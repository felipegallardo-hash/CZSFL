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a76d0b09b3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IZADOR" sheetId="1" r:id="R22bdaa6d99944633"/>
    <x:sheet xmlns:r="http://schemas.openxmlformats.org/officeDocument/2006/relationships" name="GENERAL" sheetId="2" r:id="Rfae5a1f947b34470"/>
    <x:sheet xmlns:r="http://schemas.openxmlformats.org/officeDocument/2006/relationships" name="LISTADO" sheetId="3" r:id="R4ff4aa92d9c94815"/>
    <x:sheet xmlns:r="http://schemas.openxmlformats.org/officeDocument/2006/relationships" name="PLANCHAS" sheetId="4" r:id="R6ef6fc776f324bf6"/>
    <x:sheet xmlns:r="http://schemas.openxmlformats.org/officeDocument/2006/relationships" name="MAYOR AUX G" sheetId="5" r:id="Rbf53208962b0424b"/>
    <x:sheet xmlns:r="http://schemas.openxmlformats.org/officeDocument/2006/relationships" name="BOCINAS MATERIA PRIMA" sheetId="6" r:id="R5a4ef9caacfa48fa"/>
    <x:sheet xmlns:r="http://schemas.openxmlformats.org/officeDocument/2006/relationships" name="BOCINAS" sheetId="7" r:id="Rd5135a1cbd504db2"/>
    <x:sheet xmlns:r="http://schemas.openxmlformats.org/officeDocument/2006/relationships" name="Hoja6" sheetId="8" r:id="R7d85902a32db48d5"/>
    <x:sheet xmlns:r="http://schemas.openxmlformats.org/officeDocument/2006/relationships" name="Hoja7" sheetId="9" r:id="R90ccf215de314b21"/>
    <x:sheet xmlns:r="http://schemas.openxmlformats.org/officeDocument/2006/relationships" name="AUX_COTIZADOR" sheetId="10" r:id="R3cd710dd4e3a4d5f"/>
  </x:sheets>
  <x:definedNames>
    <x:definedName name="Sec_430">'AUX_COTIZADOR'!$E$1:$E$7</x:definedName>
    <x:definedName name="Sec_55_55">'AUX_COTIZADOR'!$F$1:$F$6</x:definedName>
    <x:definedName name="Sec_2100">'AUX_COTIZADOR'!$G$1:$G$3</x:definedName>
    <x:definedName name="Sec_RETORTA">'AUX_COTIZADOR'!$H$1:$H$1</x:definedName>
    <x:definedName name="ListaMateriales">'AUX_COTIZADOR'!$A$1:$A$30</x:definedName>
    <x:definedName name="ListaEstilos">'AUX_COTIZADOR'!$C$1:$C$3</x:definedName>
    <x:definedName name="ListaSecciones">'AUX_COTIZADOR'!$D$1:$D$8</x:definedName>
    <x:definedName name="ListaCortes">'AUX_COTIZADOR'!$B$1:$B$87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_-* #,##0_-;\-* #,##0_-;_-* &quot;-&quot;??_-;_-@"/>
    <x:numFmt numFmtId="165" formatCode="_-&quot;$&quot;\ * #,##0_-;\-&quot;$&quot;\ * #,##0_-;_-&quot;$&quot;\ * &quot;-&quot;??_-;_-@"/>
    <x:numFmt numFmtId="166" formatCode="0.0"/>
    <x:numFmt numFmtId="167" formatCode="_ &quot;$&quot;* #,##0_ ;_ &quot;$&quot;* \-#,##0_ ;_ &quot;$&quot;* &quot;-&quot;_ ;_ @_ "/>
    <x:numFmt numFmtId="168" formatCode="_-* #,##0.000_-;\-* #,##0.000_-;_-* &quot;-&quot;??_-;_-@"/>
    <x:numFmt numFmtId="169" formatCode="0.000"/>
    <x:numFmt numFmtId="170" formatCode="&quot;$&quot;#,##0"/>
    <x:numFmt numFmtId="171" formatCode="&quot;$&quot;#,##0;[Red]&quot;$&quot;\-#,##0"/>
    <x:numFmt numFmtId="172" formatCode="0.0000"/>
    <x:numFmt numFmtId="173" formatCode="$ #,##0"/>
  </x:numFmts>
  <x:fonts count="28">
    <x:font>
      <x:sz val="11"/>
      <x:color theme="1"/>
      <x:name val="Arial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theme="1"/>
      <x:name val="Arial"/>
    </x:font>
    <x:font>
      <x:sz val="11"/>
      <x:name val="Arial"/>
    </x:font>
    <x:font>
      <x:sz val="11"/>
      <x:color theme="1"/>
      <x:name val="Arial"/>
    </x:font>
    <x:font>
      <x:b/>
      <x:sz val="8"/>
      <x:color rgb="FF555555"/>
      <x:name val="Fira Sans Condensed"/>
    </x:font>
    <x:font>
      <x:sz val="8"/>
      <x:color rgb="FF555555"/>
      <x:name val="Fira Sans Condensed"/>
    </x:font>
    <x:font>
      <x:b/>
      <x:sz val="11"/>
      <x:name val="Calibri"/>
    </x:font>
    <x:font>
      <x:b/>
      <x:sz val="8"/>
      <x:name val="Fira Sans Condensed"/>
    </x:font>
    <x:font>
      <x:sz val="11"/>
      <x:name val="Calibri"/>
    </x:font>
    <x:font>
      <x:sz val="8"/>
      <x:name val="Fira Sans Condensed"/>
    </x:font>
    <x:font>
      <x:b/>
      <x:sz val="11"/>
      <x:color rgb="FFFFFF00"/>
      <x:name val="Arial"/>
    </x:font>
    <x:font>
      <x:b/>
      <x:sz val="10"/>
      <x:color theme="1"/>
      <x:name val="Calibri"/>
    </x:font>
    <x:font>
      <x:b/>
      <x:sz val="10"/>
      <x:color rgb="FFFFFFFF"/>
      <x:name val="Calibri"/>
    </x:font>
    <x:font>
      <x:b/>
      <x:sz val="11"/>
      <x:color theme="1"/>
      <x:name val="calibri"/>
    </x:font>
    <x:font>
      <x:b/>
      <x:sz val="20"/>
      <x:color rgb="FFFFFFFF"/>
      <x:name val="Calibri"/>
    </x:font>
    <x:font>
      <x:i/>
      <x:sz val="10"/>
      <x:color rgb="FF666666"/>
      <x:name val="Calibri"/>
    </x:font>
    <x:font>
      <x:b/>
      <x:sz val="13"/>
      <x:color rgb="FFFFFFFF"/>
    </x:font>
    <x:font>
      <x:b/>
      <x:sz val="10"/>
      <x:color rgb="FF17365D"/>
      <x:name val="Calibri"/>
    </x:font>
    <x:font>
      <x:sz val="10"/>
      <x:color rgb="FF000000"/>
      <x:name val="Calibri"/>
    </x:font>
    <x:font>
      <x:b/>
      <x:sz val="10"/>
      <x:color rgb="FF000000"/>
      <x:name val="Calibri"/>
    </x:font>
    <x:font>
      <x:b/>
      <x:sz val="12"/>
      <x:color rgb="FFFFFFFF"/>
    </x:font>
    <x:font>
      <x:b/>
      <x:sz val="14"/>
      <x:color rgb="FF17365D"/>
    </x:font>
    <x:font>
      <x:sz val="10"/>
      <x:color rgb="FF666666"/>
    </x:font>
    <x:font>
      <x:b/>
      <x:color rgb="FF17365D"/>
    </x:font>
    <x:font/>
    <x:font>
      <x:b/>
    </x:font>
  </x:fonts>
  <x:fills count="36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00B0F0"/>
      </x:patternFill>
    </x:fill>
    <x:fill>
      <x:patternFill patternType="solid">
        <x:fgColor rgb="FFFF99FF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92D050"/>
      </x:patternFill>
    </x:fill>
    <x:fill>
      <x:patternFill patternType="solid">
        <x:fgColor theme="9" tint="0.79998"/>
      </x:patternFill>
    </x:fill>
    <x:fill>
      <x:patternFill patternType="solid">
        <x:fgColor theme="9" tint="0.39998"/>
      </x:patternFill>
    </x:fill>
    <x:fill>
      <x:patternFill patternType="solid">
        <x:fgColor rgb="FFFF99FF"/>
      </x:patternFill>
    </x:fill>
    <x:fill>
      <x:patternFill patternType="solid">
        <x:fgColor rgb="FFFFFFFF"/>
      </x:patternFill>
    </x:fill>
    <x:fill>
      <x:patternFill patternType="solid">
        <x:fgColor rgb="FFD9EDF7"/>
      </x:patternFill>
    </x:fill>
    <x:fill>
      <x:patternFill patternType="solid">
        <x:fgColor rgb="FFF3F3F3"/>
      </x:patternFill>
    </x:fill>
    <x:fill>
      <x:patternFill patternType="solid">
        <x:fgColor theme="7"/>
      </x:patternFill>
    </x:fill>
    <x:fill>
      <x:patternFill patternType="solid">
        <x:fgColor theme="7"/>
      </x:patternFill>
    </x:fill>
    <x:fill>
      <x:patternFill patternType="solid">
        <x:fgColor rgb="FFFF99FF"/>
      </x:patternFill>
    </x:fill>
    <x:fill>
      <x:patternFill patternType="solid">
        <x:fgColor rgb="FFFFC000"/>
      </x:patternFill>
    </x:fill>
    <x:fill>
      <x:patternFill patternType="solid">
        <x:fgColor theme="2" tint="-0.15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theme="4" tint="0.39998"/>
      </x:patternFill>
    </x:fill>
    <x:fill>
      <x:patternFill patternType="solid">
        <x:fgColor theme="2" tint="-0.24998"/>
      </x:patternFill>
    </x:fill>
    <x:fill>
      <x:patternFill patternType="solid">
        <x:fgColor theme="1"/>
      </x:patternFill>
    </x:fill>
    <x:fill>
      <x:patternFill patternType="solid">
        <x:fgColor rgb="FFFDFCCF"/>
      </x:patternFill>
    </x:fill>
    <x:fill>
      <x:patternFill patternType="solid">
        <x:fgColor theme="5" tint="0.3999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89">
    <x:border/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DDDDDD"/>
      </x:left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left style="medium">
        <x:color rgb="FFDDDDDD"/>
      </x:left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left style="medium">
        <x:color rgb="FFDDDDDD"/>
      </x:left>
      <x:right style="medium">
        <x:color rgb="FFCCCCCC"/>
      </x:right>
      <x:top style="medium">
        <x:color rgb="FFCCCCCC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left style="medium">
        <x:color rgb="FFDDDDDD"/>
      </x:left>
      <x:right style="medium">
        <x:color rgb="FFCCCCCC"/>
      </x:right>
      <x:top style="medium">
        <x:color rgb="FFDDDDDD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left style="medium">
        <x:color rgb="FFDDDDDD"/>
      </x:left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left style="medium">
        <x:color rgb="FFDDDDDD"/>
      </x:left>
      <x:right style="medium">
        <x:color rgb="FFCCCCCC"/>
      </x:right>
      <x:top style="medium">
        <x:color rgb="FFDDDDDD"/>
      </x:top>
      <x:bottom style="medium">
        <x:color rgb="FFCCCCCC"/>
      </x:bottom>
    </x:border>
    <x:border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right style="medium">
        <x:color rgb="FFCCCCCC"/>
      </x:right>
      <x:top style="medium">
        <x:color rgb="FFCCCCCC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</x:border>
    <x:border>
      <x:left style="medium">
        <x:color indexed="64"/>
      </x:left>
      <x:top style="medium">
        <x:color indexed="64"/>
      </x:top>
    </x:border>
    <x:border>
      <x:left style="medium">
        <x:color indexed="64"/>
      </x:left>
    </x:border>
    <x:border>
      <x:left style="medium">
        <x:color indexed="64"/>
      </x:left>
      <x:right style="medium">
        <x:color indexed="64"/>
      </x:right>
    </x:border>
    <x:border>
      <x:left style="medium">
        <x:color rgb="FFFFFFFF"/>
      </x:left>
      <x:right style="medium">
        <x:color rgb="FFFFFFFF"/>
      </x:right>
      <x:top style="medium">
        <x:color rgb="FFFFFFFF"/>
      </x:top>
      <x:bottom style="medium">
        <x:color indexed="64"/>
      </x:bottom>
    </x:border>
    <x:border>
      <x:left style="medium">
        <x:color rgb="FFFFFFFF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  <x:bottom style="thin">
        <x:color indexed="64"/>
      </x:bottom>
    </x:border>
    <x:border>
      <x:bottom style="medium">
        <x:color rgb="FF17365D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17365D"/>
      </x:left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medium">
        <x:color rgb="FF17365D"/>
      </x:bottom>
    </x:border>
    <x:border>
      <x:top style="medium">
        <x:color rgb="FF17365D"/>
      </x:top>
    </x:border>
    <x:border>
      <x:right style="medium">
        <x:color rgb="FF17365D"/>
      </x:right>
      <x:top style="medium">
        <x:color rgb="FF17365D"/>
      </x:top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medium">
        <x:color rgb="FF17365D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DDDDDD"/>
      </x:left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left style="medium">
        <x:color rgb="FFDDDDDD"/>
      </x:left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left style="medium">
        <x:color rgb="FFCCCCCC"/>
      </x:left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left style="medium">
        <x:color rgb="FFDDDDDD"/>
      </x:left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right style="medium">
        <x:color rgb="FFDDDDDD"/>
      </x:right>
      <x:top style="medium">
        <x:color rgb="FFDDDDDD"/>
      </x:top>
      <x:bottom style="medium">
        <x:color rgb="FFDDDDDD"/>
      </x:bottom>
    </x:border>
    <x:border>
      <x:left style="medium">
        <x:color rgb="FFDDDDDD"/>
      </x:left>
      <x:right style="medium">
        <x:color rgb="FFCCCCCC"/>
      </x:right>
      <x:top style="medium">
        <x:color rgb="FFDDDDDD"/>
      </x:top>
      <x:bottom style="medium">
        <x:color rgb="FFDDDDDD"/>
      </x:bottom>
    </x:border>
    <x:border>
      <x:right style="medium">
        <x:color rgb="FFDDDDDD"/>
      </x:right>
      <x:top style="medium">
        <x:color rgb="FFCCCCCC"/>
      </x:top>
      <x:bottom style="medium">
        <x:color rgb="FFDDDDDD"/>
      </x:bottom>
    </x:border>
    <x:border>
      <x:left style="medium">
        <x:color rgb="FFDDDDDD"/>
      </x:left>
      <x:right style="medium">
        <x:color rgb="FFCCCCCC"/>
      </x:right>
      <x:top style="medium">
        <x:color rgb="FFCCCCCC"/>
      </x:top>
      <x:bottom style="medium">
        <x:color rgb="FFDDDDDD"/>
      </x:bottom>
    </x:border>
    <x:border>
      <x:right style="medium">
        <x:color rgb="FFDDDDDD"/>
      </x:right>
      <x:top style="medium">
        <x:color rgb="FFDDDDDD"/>
      </x:top>
      <x:bottom style="medium">
        <x:color rgb="FFCCCCCC"/>
      </x:bottom>
    </x:border>
    <x:border>
      <x:left style="medium">
        <x:color rgb="FFDDDDDD"/>
      </x:left>
      <x:right style="medium">
        <x:color rgb="FFCCCCCC"/>
      </x:right>
      <x:top style="medium">
        <x:color rgb="FFDDDDDD"/>
      </x:top>
      <x:bottom style="medium">
        <x:color rgb="FFCCCCCC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right style="medium">
        <x:color rgb="FFCCCCCC"/>
      </x:right>
      <x:top style="medium">
        <x:color rgb="FFCCCCCC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rgb="FFFFFFFF"/>
      </x:left>
      <x:right style="medium">
        <x:color rgb="FFFFFFFF"/>
      </x:right>
      <x:top style="medium">
        <x:color rgb="FFFFFFFF"/>
      </x:top>
      <x:bottom style="medium">
        <x:color indexed="64"/>
      </x:bottom>
    </x:border>
    <x:border>
      <x:left style="medium">
        <x:color rgb="FFFFFFFF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</x:border>
    <x:border>
      <x:right style="thin">
        <x:color indexed="64"/>
      </x:right>
      <x:bottom style="thin">
        <x:color indexed="64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</x:borders>
  <x:cellStyleXfs count="2">
    <x:xf numFmtId="0" fontId="0" fillId="0" borderId="2"/>
    <x:xf numFmtId="42" fontId="5" fillId="0" borderId="2"/>
  </x:cellStyleXfs>
  <x:cellXfs count="535">
    <x:xf numFmtId="0" fontId="0" fillId="0" borderId="0" xfId="0"/>
    <x:xf numFmtId="0" fontId="0" fillId="0" borderId="0" xfId="0" applyAlignment="1">
      <x:alignment horizontal="center"/>
    </x:xf>
    <x:xf numFmtId="0" fontId="0" fillId="4" borderId="3" xfId="0" applyAlignment="1">
      <x:alignment horizontal="center"/>
    </x:xf>
    <x:xf numFmtId="0" fontId="5" fillId="4" borderId="3" xfId="0" applyAlignment="1">
      <x:alignment horizontal="center"/>
    </x:xf>
    <x:xf numFmtId="1" fontId="1" fillId="5" borderId="3" xfId="0" applyAlignment="1">
      <x:alignment horizontal="center" vertical="center"/>
    </x:xf>
    <x:xf numFmtId="1" fontId="1" fillId="6" borderId="3" xfId="0" applyAlignment="1">
      <x:alignment horizontal="center" vertical="center"/>
    </x:xf>
    <x:xf numFmtId="1" fontId="5" fillId="7" borderId="3" xfId="0" applyAlignment="1">
      <x:alignment horizontal="center"/>
    </x:xf>
    <x:xf numFmtId="0" fontId="5" fillId="0" borderId="0" xfId="0"/>
    <x:xf numFmtId="0" fontId="0" fillId="8" borderId="0" xfId="0"/>
    <x:xf numFmtId="3" fontId="0" fillId="9" borderId="0" xfId="0"/>
    <x:xf numFmtId="3" fontId="0" fillId="0" borderId="0" xfId="0"/>
    <x:xf numFmtId="0" fontId="5" fillId="0" borderId="3" xfId="0"/>
    <x:xf numFmtId="0" fontId="0" fillId="0" borderId="3" xfId="0" applyAlignment="1">
      <x:alignment horizontal="center"/>
    </x:xf>
    <x:xf numFmtId="0" fontId="3" fillId="0" borderId="0" xfId="0" applyAlignment="1">
      <x:alignment horizontal="center"/>
    </x:xf>
    <x:xf numFmtId="1" fontId="1" fillId="6" borderId="2" xfId="0" applyAlignment="1">
      <x:alignment horizontal="center" vertical="center"/>
    </x:xf>
    <x:xf numFmtId="1" fontId="5" fillId="7" borderId="2" xfId="0" applyAlignment="1">
      <x:alignment horizontal="center"/>
    </x:xf>
    <x:xf numFmtId="0" fontId="0" fillId="7" borderId="2" xfId="0" applyAlignment="1">
      <x:alignment horizontal="center"/>
    </x:xf>
    <x:xf numFmtId="0" fontId="0" fillId="7" borderId="0" xfId="0"/>
    <x:xf numFmtId="0" fontId="2" fillId="12" borderId="1" xfId="0" applyAlignment="1">
      <x:alignment vertical="center"/>
    </x:xf>
    <x:xf numFmtId="0" fontId="1" fillId="12" borderId="1" xfId="0" applyAlignment="1">
      <x:alignment vertical="center"/>
    </x:xf>
    <x:xf numFmtId="164" fontId="1" fillId="4" borderId="0" xfId="0" applyAlignment="1">
      <x:alignment vertical="center"/>
    </x:xf>
    <x:xf numFmtId="165" fontId="1" fillId="4" borderId="0" xfId="0" applyAlignment="1">
      <x:alignment vertical="center"/>
    </x:xf>
    <x:xf numFmtId="0" fontId="7" fillId="13" borderId="4" xfId="0" applyAlignment="1">
      <x:alignment horizontal="center" vertical="center" wrapText="1"/>
    </x:xf>
    <x:xf numFmtId="0" fontId="7" fillId="15" borderId="4" xfId="0" applyAlignment="1">
      <x:alignment horizontal="center" vertical="center" wrapText="1"/>
    </x:xf>
    <x:xf numFmtId="0" fontId="6" fillId="14" borderId="5" xfId="0" applyAlignment="1">
      <x:alignment horizontal="center" vertical="center" wrapText="1"/>
    </x:xf>
    <x:xf numFmtId="0" fontId="6" fillId="14" borderId="6" xfId="0" applyAlignment="1">
      <x:alignment horizontal="center" vertical="center" wrapText="1"/>
    </x:xf>
    <x:xf numFmtId="0" fontId="7" fillId="13" borderId="8" xfId="0" applyAlignment="1">
      <x:alignment horizontal="center" vertical="center" wrapText="1"/>
    </x:xf>
    <x:xf numFmtId="0" fontId="7" fillId="15" borderId="8" xfId="0" applyAlignment="1">
      <x:alignment horizontal="center" vertical="center" wrapText="1"/>
    </x:xf>
    <x:xf numFmtId="0" fontId="7" fillId="13" borderId="10" xfId="0" applyAlignment="1">
      <x:alignment horizontal="center" vertical="center" wrapText="1"/>
    </x:xf>
    <x:xf numFmtId="0" fontId="7" fillId="13" borderId="11" xfId="0" applyAlignment="1">
      <x:alignment horizontal="center" vertical="center" wrapText="1"/>
    </x:xf>
    <x:xf numFmtId="0" fontId="0" fillId="0" borderId="2" xfId="0"/>
    <x:xf numFmtId="0" fontId="8" fillId="2" borderId="3" xfId="0" applyAlignment="1">
      <x:alignment horizontal="center" vertical="center"/>
    </x:xf>
    <x:xf numFmtId="0" fontId="10" fillId="16" borderId="3" xfId="0" applyAlignment="1">
      <x:alignment horizontal="center" vertical="center"/>
    </x:xf>
    <x:xf numFmtId="0" fontId="4" fillId="0" borderId="3" xfId="0"/>
    <x:xf numFmtId="0" fontId="11" fillId="7" borderId="14" xfId="0" applyAlignment="1">
      <x:alignment horizontal="center" vertical="center" wrapText="1"/>
    </x:xf>
    <x:xf numFmtId="0" fontId="7" fillId="7" borderId="4" xfId="0" applyAlignment="1">
      <x:alignment horizontal="center" vertical="center" wrapText="1"/>
    </x:xf>
    <x:xf numFmtId="1" fontId="7" fillId="7" borderId="4" xfId="0" applyAlignment="1">
      <x:alignment horizontal="center" vertical="center" wrapText="1"/>
    </x:xf>
    <x:xf numFmtId="16" fontId="7" fillId="7" borderId="9" xfId="0" applyAlignment="1">
      <x:alignment horizontal="center" vertical="center" wrapText="1"/>
    </x:xf>
    <x:xf numFmtId="0" fontId="6" fillId="7" borderId="13" xfId="0" applyAlignment="1">
      <x:alignment horizontal="center" vertical="center" wrapText="1"/>
    </x:xf>
    <x:xf numFmtId="0" fontId="6" fillId="7" borderId="6" xfId="0" applyAlignment="1">
      <x:alignment horizontal="center" vertical="center" wrapText="1"/>
    </x:xf>
    <x:xf numFmtId="0" fontId="6" fillId="7" borderId="7" xfId="0" applyAlignment="1">
      <x:alignment horizontal="center" vertical="center" wrapText="1"/>
    </x:xf>
    <x:xf numFmtId="0" fontId="7" fillId="7" borderId="14" xfId="0" applyAlignment="1">
      <x:alignment horizontal="center" vertical="center" wrapText="1"/>
    </x:xf>
    <x:xf numFmtId="0" fontId="7" fillId="7" borderId="9" xfId="0" applyAlignment="1">
      <x:alignment horizontal="center" vertical="center" wrapText="1"/>
    </x:xf>
    <x:xf numFmtId="0" fontId="7" fillId="7" borderId="15" xfId="0" applyAlignment="1">
      <x:alignment horizontal="center" vertical="center" wrapText="1"/>
    </x:xf>
    <x:xf numFmtId="0" fontId="7" fillId="7" borderId="11" xfId="0" applyAlignment="1">
      <x:alignment horizontal="center" vertical="center" wrapText="1"/>
    </x:xf>
    <x:xf numFmtId="0" fontId="7" fillId="7" borderId="12" xfId="0" applyAlignment="1">
      <x:alignment horizontal="center" vertical="center" wrapText="1"/>
    </x:xf>
    <x:xf numFmtId="0" fontId="9" fillId="7" borderId="13" xfId="0" applyAlignment="1">
      <x:alignment horizontal="center" vertical="center" wrapText="1"/>
    </x:xf>
    <x:xf numFmtId="14" fontId="7" fillId="7" borderId="11" xfId="0" applyAlignment="1">
      <x:alignment horizontal="center" vertical="center" wrapText="1"/>
    </x:xf>
    <x:xf numFmtId="0" fontId="4" fillId="7" borderId="17" xfId="0"/>
    <x:xf numFmtId="0" fontId="4" fillId="7" borderId="2" xfId="0"/>
    <x:xf numFmtId="0" fontId="6" fillId="7" borderId="5" xfId="0" applyAlignment="1">
      <x:alignment horizontal="center" vertical="center" wrapText="1"/>
    </x:xf>
    <x:xf numFmtId="0" fontId="9" fillId="7" borderId="2" xfId="0" applyAlignment="1">
      <x:alignment horizontal="center" vertical="center" wrapText="1"/>
    </x:xf>
    <x:xf numFmtId="0" fontId="11" fillId="7" borderId="2" xfId="0" applyAlignment="1">
      <x:alignment horizontal="center" vertical="center" wrapText="1"/>
    </x:xf>
    <x:xf numFmtId="1" fontId="8" fillId="2" borderId="3" xfId="0" applyAlignment="1">
      <x:alignment horizontal="center" vertical="center" wrapText="1"/>
    </x:xf>
    <x:xf numFmtId="1" fontId="11" fillId="17" borderId="3" xfId="0" applyAlignment="1">
      <x:alignment horizontal="center" vertical="center" wrapText="1"/>
    </x:xf>
    <x:xf numFmtId="1" fontId="10" fillId="16" borderId="3" xfId="0" applyAlignment="1">
      <x:alignment vertical="center"/>
    </x:xf>
    <x:xf numFmtId="1" fontId="4" fillId="0" borderId="3" xfId="0"/>
    <x:xf numFmtId="166" fontId="11" fillId="17" borderId="3" xfId="0" applyAlignment="1">
      <x:alignment horizontal="center" vertical="center" wrapText="1"/>
    </x:xf>
    <x:xf numFmtId="166" fontId="8" fillId="2" borderId="3" xfId="0" applyAlignment="1">
      <x:alignment horizontal="center" vertical="center" wrapText="1"/>
    </x:xf>
    <x:xf numFmtId="166" fontId="4" fillId="0" borderId="3" xfId="0"/>
    <x:xf numFmtId="1" fontId="1" fillId="18" borderId="2" xfId="0" applyAlignment="1">
      <x:alignment horizontal="center" vertical="center"/>
    </x:xf>
    <x:xf numFmtId="1" fontId="5" fillId="4" borderId="2" xfId="0" applyAlignment="1">
      <x:alignment horizontal="center"/>
    </x:xf>
    <x:xf numFmtId="167" fontId="5" fillId="4" borderId="2" xfId="1" applyAlignment="1">
      <x:alignment horizontal="center"/>
    </x:xf>
    <x:xf numFmtId="0" fontId="4" fillId="7" borderId="2" xfId="0" applyAlignment="1">
      <x:alignment horizontal="center"/>
    </x:xf>
    <x:xf numFmtId="167" fontId="4" fillId="7" borderId="2" xfId="1" applyAlignment="1">
      <x:alignment horizontal="center"/>
    </x:xf>
    <x:xf numFmtId="0" fontId="9" fillId="19" borderId="17" xfId="0" applyAlignment="1">
      <x:alignment vertical="center" wrapText="1"/>
    </x:xf>
    <x:xf numFmtId="168" fontId="9" fillId="19" borderId="2" xfId="0" applyAlignment="1">
      <x:alignment vertical="center" wrapText="1"/>
    </x:xf>
    <x:xf numFmtId="167" fontId="9" fillId="19" borderId="2" xfId="1" applyAlignment="1">
      <x:alignment vertical="center" wrapText="1"/>
    </x:xf>
    <x:xf numFmtId="0" fontId="0" fillId="19" borderId="3" xfId="0"/>
    <x:xf numFmtId="0" fontId="0" fillId="0" borderId="0" xfId="0" applyAlignment="1">
      <x:alignment vertical="center"/>
    </x:xf>
    <x:xf numFmtId="0" fontId="3" fillId="11" borderId="0" xfId="0" applyAlignment="1">
      <x:alignment vertical="center"/>
    </x:xf>
    <x:xf numFmtId="0" fontId="3" fillId="8" borderId="0" xfId="0" applyAlignment="1">
      <x:alignment vertical="center"/>
    </x:xf>
    <x:xf numFmtId="169" fontId="0" fillId="8" borderId="0" xfId="0"/>
    <x:xf numFmtId="0" fontId="0" fillId="10" borderId="3" xfId="0" applyAlignment="1">
      <x:alignment horizontal="center"/>
    </x:xf>
    <x:xf numFmtId="1" fontId="0" fillId="0" borderId="2" xfId="0"/>
    <x:xf numFmtId="0" fontId="0" fillId="10" borderId="2" xfId="0"/>
    <x:xf numFmtId="0" fontId="5" fillId="10" borderId="2" xfId="0"/>
    <x:xf numFmtId="1" fontId="0" fillId="10" borderId="2" xfId="0"/>
    <x:xf numFmtId="0" fontId="0" fillId="10" borderId="0" xfId="0"/>
    <x:xf numFmtId="0" fontId="0" fillId="8" borderId="2" xfId="0"/>
    <x:xf numFmtId="1" fontId="0" fillId="8" borderId="2" xfId="0"/>
    <x:xf numFmtId="1" fontId="0" fillId="0" borderId="0" xfId="0"/>
    <x:xf numFmtId="1" fontId="0" fillId="10" borderId="0" xfId="0"/>
    <x:xf numFmtId="0" fontId="0" fillId="3" borderId="0" xfId="0"/>
    <x:xf numFmtId="0" fontId="0" fillId="3" borderId="2" xfId="0"/>
    <x:xf numFmtId="1" fontId="0" fillId="3" borderId="2" xfId="0"/>
    <x:xf numFmtId="1" fontId="0" fillId="3" borderId="0" xfId="0"/>
    <x:xf numFmtId="0" fontId="0" fillId="20" borderId="3" xfId="0" applyAlignment="1">
      <x:alignment horizontal="center"/>
    </x:xf>
    <x:xf numFmtId="0" fontId="5" fillId="21" borderId="3" xfId="0" applyAlignment="1">
      <x:alignment horizontal="center"/>
    </x:xf>
    <x:xf numFmtId="0" fontId="5" fillId="10" borderId="3" xfId="0" applyAlignment="1">
      <x:alignment horizontal="center"/>
    </x:xf>
    <x:xf numFmtId="0" fontId="5" fillId="22" borderId="3" xfId="0" applyAlignment="1">
      <x:alignment horizontal="center"/>
    </x:xf>
    <x:xf numFmtId="0" fontId="5" fillId="3" borderId="3" xfId="0" applyAlignment="1">
      <x:alignment horizontal="center"/>
    </x:xf>
    <x:xf numFmtId="0" fontId="0" fillId="4" borderId="3" xfId="0"/>
    <x:xf numFmtId="0" fontId="0" fillId="0" borderId="3" xfId="0"/>
    <x:xf numFmtId="0" fontId="0" fillId="0" borderId="0" xfId="0"/>
    <x:xf numFmtId="0" fontId="0" fillId="0" borderId="2" xfId="0" applyAlignment="1">
      <x:alignment horizontal="center"/>
    </x:xf>
    <x:xf numFmtId="0" fontId="0" fillId="0" borderId="18" xfId="0" applyAlignment="1">
      <x:alignment horizontal="center"/>
    </x:xf>
    <x:xf numFmtId="170" fontId="0" fillId="20" borderId="3" xfId="0" applyAlignment="1">
      <x:alignment horizontal="center"/>
    </x:xf>
    <x:xf numFmtId="170" fontId="5" fillId="4" borderId="19" xfId="0" applyAlignment="1">
      <x:alignment horizontal="center"/>
    </x:xf>
    <x:xf numFmtId="170" fontId="5" fillId="3" borderId="3" xfId="0" applyAlignment="1">
      <x:alignment horizontal="center"/>
    </x:xf>
    <x:xf numFmtId="170" fontId="5" fillId="22" borderId="3" xfId="0" applyAlignment="1">
      <x:alignment horizontal="center"/>
    </x:xf>
    <x:xf numFmtId="170" fontId="5" fillId="10" borderId="3" xfId="0" applyAlignment="1">
      <x:alignment horizontal="center"/>
    </x:xf>
    <x:xf numFmtId="170" fontId="5" fillId="21" borderId="3" xfId="0" applyAlignment="1">
      <x:alignment horizontal="center"/>
    </x:xf>
    <x:xf numFmtId="170" fontId="0" fillId="0" borderId="0" xfId="0"/>
    <x:xf numFmtId="170" fontId="0" fillId="0" borderId="2" xfId="0" applyAlignment="1">
      <x:alignment horizontal="center"/>
    </x:xf>
    <x:xf numFmtId="0" fontId="0" fillId="23" borderId="3" xfId="0" applyAlignment="1">
      <x:alignment horizontal="center"/>
    </x:xf>
    <x:xf numFmtId="170" fontId="0" fillId="23" borderId="3" xfId="0" applyAlignment="1">
      <x:alignment horizontal="center"/>
    </x:xf>
    <x:xf numFmtId="0" fontId="0" fillId="8" borderId="3" xfId="0" applyAlignment="1">
      <x:alignment horizontal="center"/>
    </x:xf>
    <x:xf numFmtId="1" fontId="1" fillId="6" borderId="3" xfId="0" applyAlignment="1">
      <x:alignment vertical="center"/>
    </x:xf>
    <x:xf numFmtId="0" fontId="5" fillId="0" borderId="3" xfId="0"/>
    <x:xf numFmtId="1" fontId="5" fillId="7" borderId="3" xfId="0"/>
    <x:xf numFmtId="0" fontId="5" fillId="0" borderId="20" xfId="0"/>
    <x:xf numFmtId="0" fontId="6" fillId="14" borderId="7" xfId="0" applyAlignment="1">
      <x:alignment vertical="center" wrapText="1"/>
    </x:xf>
    <x:xf numFmtId="0" fontId="0" fillId="13" borderId="16" xfId="0"/>
    <x:xf numFmtId="0" fontId="7" fillId="13" borderId="9" xfId="0" applyAlignment="1">
      <x:alignment vertical="center" wrapText="1"/>
    </x:xf>
    <x:xf numFmtId="0" fontId="7" fillId="15" borderId="9" xfId="0" applyAlignment="1">
      <x:alignment vertical="center" wrapText="1"/>
    </x:xf>
    <x:xf numFmtId="0" fontId="7" fillId="13" borderId="12" xfId="0" applyAlignment="1">
      <x:alignment vertical="center" wrapText="1"/>
    </x:xf>
    <x:xf numFmtId="0" fontId="0" fillId="0" borderId="0" xfId="0"/>
    <x:xf numFmtId="0" fontId="0" fillId="4" borderId="2" xfId="0" applyAlignment="1">
      <x:alignment horizontal="center"/>
    </x:xf>
    <x:xf numFmtId="0" fontId="5" fillId="21" borderId="21" xfId="0" applyAlignment="1">
      <x:alignment horizontal="center"/>
    </x:xf>
    <x:xf numFmtId="0" fontId="5" fillId="0" borderId="3" xfId="0" applyAlignment="1">
      <x:alignment horizontal="center"/>
    </x:xf>
    <x:xf numFmtId="16" fontId="5" fillId="0" borderId="3" xfId="0"/>
    <x:xf numFmtId="0" fontId="3" fillId="24" borderId="29" xfId="0" applyAlignment="1">
      <x:alignment horizontal="center"/>
    </x:xf>
    <x:xf numFmtId="0" fontId="3" fillId="24" borderId="22" xfId="0" applyAlignment="1">
      <x:alignment horizontal="center"/>
    </x:xf>
    <x:xf numFmtId="0" fontId="3" fillId="24" borderId="30" xfId="0" applyAlignment="1">
      <x:alignment horizontal="center"/>
    </x:xf>
    <x:xf numFmtId="170" fontId="3" fillId="24" borderId="28" xfId="0" applyAlignment="1">
      <x:alignment horizontal="center"/>
    </x:xf>
    <x:xf numFmtId="9" fontId="3" fillId="24" borderId="28" xfId="0" applyAlignment="1">
      <x:alignment horizontal="center"/>
    </x:xf>
    <x:xf numFmtId="0" fontId="3" fillId="24" borderId="28" xfId="0" applyAlignment="1">
      <x:alignment horizontal="center"/>
    </x:xf>
    <x:xf numFmtId="0" fontId="3" fillId="24" borderId="25" xfId="0" applyAlignment="1">
      <x:alignment horizontal="center"/>
    </x:xf>
    <x:xf numFmtId="170" fontId="3" fillId="24" borderId="27" xfId="0" applyAlignment="1">
      <x:alignment horizontal="center"/>
    </x:xf>
    <x:xf numFmtId="0" fontId="3" fillId="26" borderId="26" xfId="0" applyAlignment="1">
      <x:alignment horizontal="center"/>
    </x:xf>
    <x:xf numFmtId="0" fontId="3" fillId="10" borderId="29" xfId="0" applyAlignment="1">
      <x:alignment horizontal="center" vertical="center"/>
    </x:xf>
    <x:xf numFmtId="0" fontId="3" fillId="11" borderId="23" xfId="0" applyAlignment="1">
      <x:alignment horizontal="center" vertical="center"/>
    </x:xf>
    <x:xf numFmtId="0" fontId="0" fillId="0" borderId="24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10" borderId="31" xfId="0" applyAlignment="1">
      <x:alignment horizontal="center" vertical="center"/>
    </x:xf>
    <x:xf numFmtId="170" fontId="3" fillId="10" borderId="31" xfId="1" applyAlignment="1">
      <x:alignment horizontal="center" vertical="center"/>
    </x:xf>
    <x:xf numFmtId="9" fontId="3" fillId="10" borderId="31" xfId="0" applyAlignment="1">
      <x:alignment horizontal="center" vertical="center"/>
    </x:xf>
    <x:xf numFmtId="170" fontId="3" fillId="26" borderId="31" xfId="1" applyAlignment="1">
      <x:alignment horizontal="center" vertical="center"/>
    </x:xf>
    <x:xf numFmtId="0" fontId="3" fillId="26" borderId="31" xfId="0" applyAlignment="1">
      <x:alignment horizontal="center" vertical="center"/>
    </x:xf>
    <x:xf numFmtId="170" fontId="3" fillId="26" borderId="31" xfId="0" applyAlignment="1">
      <x:alignment horizontal="center" vertical="center"/>
    </x:xf>
    <x:xf numFmtId="0" fontId="5" fillId="4" borderId="20" xfId="0" applyAlignment="1">
      <x:alignment horizontal="center"/>
    </x:xf>
    <x:xf numFmtId="167" fontId="0" fillId="0" borderId="0" xfId="1"/>
    <x:xf numFmtId="3" fontId="13" fillId="0" borderId="0" xfId="0"/>
    <x:xf numFmtId="171" fontId="14" fillId="0" borderId="32" xfId="0" applyAlignment="1">
      <x:alignment horizontal="right" vertical="center" wrapText="1"/>
    </x:xf>
    <x:xf numFmtId="171" fontId="14" fillId="0" borderId="33" xfId="0" applyAlignment="1">
      <x:alignment horizontal="right" vertical="center" wrapText="1"/>
    </x:xf>
    <x:xf numFmtId="0" fontId="5" fillId="17" borderId="3" xfId="0" applyAlignment="1">
      <x:alignment horizontal="center"/>
    </x:xf>
    <x:xf numFmtId="170" fontId="5" fillId="17" borderId="3" xfId="0" applyAlignment="1">
      <x:alignment horizontal="center"/>
    </x:xf>
    <x:xf numFmtId="0" fontId="3" fillId="24" borderId="28" xfId="0" applyAlignment="1">
      <x:alignment horizontal="center"/>
    </x:xf>
    <x:xf numFmtId="170" fontId="3" fillId="24" borderId="34" xfId="0" applyAlignment="1">
      <x:alignment horizontal="center"/>
    </x:xf>
    <x:xf numFmtId="0" fontId="3" fillId="24" borderId="23" xfId="0" applyAlignment="1">
      <x:alignment horizontal="center"/>
    </x:xf>
    <x:xf numFmtId="170" fontId="3" fillId="24" borderId="24" xfId="0" applyAlignment="1">
      <x:alignment horizontal="center"/>
    </x:xf>
    <x:xf numFmtId="0" fontId="5" fillId="0" borderId="20" xfId="0"/>
    <x:xf numFmtId="170" fontId="3" fillId="0" borderId="0" xfId="1" applyAlignment="1">
      <x:alignment horizontal="center" vertical="center"/>
    </x:xf>
    <x:xf numFmtId="170" fontId="3" fillId="0" borderId="0" xfId="1" applyAlignment="1">
      <x:alignment horizontal="center"/>
    </x:xf>
    <x:xf numFmtId="170" fontId="3" fillId="0" borderId="0" xfId="0" applyAlignment="1">
      <x:alignment horizontal="center"/>
    </x:xf>
    <x:xf numFmtId="167" fontId="0" fillId="0" borderId="0" xfId="0"/>
    <x:xf numFmtId="0" fontId="5" fillId="4" borderId="35" xfId="0" applyAlignment="1">
      <x:alignment horizontal="center"/>
    </x:xf>
    <x:xf numFmtId="0" fontId="5" fillId="4" borderId="2" xfId="0" applyAlignment="1">
      <x:alignment horizontal="center"/>
    </x:xf>
    <x:xf numFmtId="0" fontId="3" fillId="0" borderId="0" xfId="0"/>
    <x:xf numFmtId="0" fontId="0" fillId="27" borderId="3" xfId="0"/>
    <x:xf numFmtId="0" fontId="0" fillId="8" borderId="3" xfId="0"/>
    <x:xf numFmtId="0" fontId="5" fillId="27" borderId="3" xfId="0"/>
    <x:xf numFmtId="0" fontId="0" fillId="8" borderId="21" xfId="0"/>
    <x:xf numFmtId="0" fontId="0" fillId="27" borderId="3" xfId="0" applyAlignment="1">
      <x:alignment horizontal="center"/>
    </x:xf>
    <x:xf numFmtId="0" fontId="0" fillId="8" borderId="21" xfId="0" applyAlignment="1">
      <x:alignment horizontal="center"/>
    </x:xf>
    <x:xf numFmtId="167" fontId="3" fillId="27" borderId="3" xfId="1"/>
    <x:xf numFmtId="167" fontId="0" fillId="27" borderId="3" xfId="1" applyAlignment="1">
      <x:alignment horizontal="center"/>
    </x:xf>
    <x:xf numFmtId="167" fontId="0" fillId="8" borderId="3" xfId="1" applyAlignment="1">
      <x:alignment horizontal="center"/>
    </x:xf>
    <x:xf numFmtId="167" fontId="0" fillId="8" borderId="21" xfId="1" applyAlignment="1">
      <x:alignment horizontal="center"/>
    </x:xf>
    <x:xf numFmtId="1" fontId="3" fillId="27" borderId="3" xfId="1" applyAlignment="1">
      <x:alignment horizontal="center"/>
    </x:xf>
    <x:xf numFmtId="167" fontId="0" fillId="27" borderId="3" xfId="0"/>
    <x:xf numFmtId="167" fontId="0" fillId="8" borderId="3" xfId="0"/>
    <x:xf numFmtId="167" fontId="0" fillId="8" borderId="21" xfId="0"/>
    <x:xf numFmtId="167" fontId="3" fillId="8" borderId="3" xfId="1"/>
    <x:xf numFmtId="0" fontId="3" fillId="8" borderId="3" xfId="0"/>
    <x:xf numFmtId="167" fontId="3" fillId="27" borderId="3" xfId="0"/>
    <x:xf numFmtId="0" fontId="3" fillId="27" borderId="3" xfId="0" applyAlignment="1">
      <x:alignment horizontal="center"/>
    </x:xf>
    <x:xf numFmtId="2" fontId="3" fillId="10" borderId="31" xfId="0" applyAlignment="1">
      <x:alignment horizontal="center" vertical="center"/>
    </x:xf>
    <x:xf numFmtId="0" fontId="3" fillId="3" borderId="3" xfId="0" applyAlignment="1">
      <x:alignment horizontal="center"/>
    </x:xf>
    <x:xf numFmtId="170" fontId="3" fillId="3" borderId="3" xfId="0" applyAlignment="1">
      <x:alignment horizontal="center"/>
    </x:xf>
    <x:xf numFmtId="172" fontId="0" fillId="0" borderId="0" xfId="0"/>
    <x:xf numFmtId="166" fontId="0" fillId="0" borderId="0" xfId="0"/>
    <x:xf numFmtId="167" fontId="3" fillId="8" borderId="3" xfId="1" applyAlignment="1">
      <x:alignment horizontal="center"/>
    </x:xf>
    <x:xf numFmtId="0" fontId="0" fillId="0" borderId="3" xfId="0"/>
    <x:xf numFmtId="0" fontId="4" fillId="8" borderId="3" xfId="0" applyAlignment="1">
      <x:alignment horizontal="center"/>
    </x:xf>
    <x:xf numFmtId="167" fontId="4" fillId="8" borderId="3" xfId="1" applyAlignment="1">
      <x:alignment horizontal="center"/>
    </x:xf>
    <x:xf numFmtId="0" fontId="15" fillId="0" borderId="3" xfId="0"/>
    <x:xf numFmtId="0" fontId="5" fillId="0" borderId="0" xfId="0" applyAlignment="1">
      <x:alignment horizontal="center" vertical="center"/>
    </x:xf>
    <x:xf numFmtId="0" fontId="5" fillId="0" borderId="34" xfId="0" applyAlignment="1">
      <x:alignment horizontal="center" vertical="center"/>
    </x:xf>
    <x:xf numFmtId="9" fontId="0" fillId="0" borderId="0" xfId="0"/>
    <x:xf numFmtId="0" fontId="0" fillId="8" borderId="3" xfId="0" applyAlignment="1">
      <x:alignment horizontal="center"/>
    </x:xf>
    <x:xf numFmtId="167" fontId="0" fillId="8" borderId="3" xfId="0"/>
    <x:xf numFmtId="0" fontId="0" fillId="8" borderId="3" xfId="0"/>
    <x:xf numFmtId="0" fontId="0" fillId="27" borderId="21" xfId="0"/>
    <x:xf numFmtId="0" fontId="0" fillId="27" borderId="21" xfId="0" applyAlignment="1">
      <x:alignment horizontal="center"/>
    </x:xf>
    <x:xf numFmtId="167" fontId="0" fillId="27" borderId="21" xfId="1" applyAlignment="1">
      <x:alignment horizontal="center"/>
    </x:xf>
    <x:xf numFmtId="167" fontId="0" fillId="27" borderId="21" xfId="0"/>
    <x:xf numFmtId="167" fontId="3" fillId="8" borderId="21" xfId="1"/>
    <x:xf numFmtId="0" fontId="0" fillId="8" borderId="19" xfId="0" applyAlignment="1">
      <x:alignment horizontal="center"/>
    </x:xf>
    <x:xf numFmtId="0" fontId="0" fillId="8" borderId="17" xfId="0" applyAlignment="1">
      <x:alignment horizontal="center"/>
    </x:xf>
    <x:xf numFmtId="170" fontId="0" fillId="8" borderId="34" xfId="0" applyAlignment="1">
      <x:alignment horizontal="center"/>
    </x:xf>
    <x:xf numFmtId="0" fontId="0" fillId="0" borderId="36" xfId="0" applyAlignment="1">
      <x:alignment horizontal="center"/>
    </x:xf>
    <x:xf numFmtId="170" fontId="0" fillId="0" borderId="34" xfId="0" applyAlignment="1">
      <x:alignment horizontal="center"/>
    </x:xf>
    <x:xf numFmtId="0" fontId="0" fillId="8" borderId="19" xfId="0" applyAlignment="1">
      <x:alignment horizontal="center"/>
    </x:xf>
    <x:xf numFmtId="0" fontId="0" fillId="8" borderId="17" xfId="0" applyAlignment="1">
      <x:alignment horizontal="center"/>
    </x:xf>
    <x:xf numFmtId="0" fontId="0" fillId="23" borderId="19" xfId="0" applyAlignment="1">
      <x:alignment horizontal="center"/>
    </x:xf>
    <x:xf numFmtId="0" fontId="0" fillId="23" borderId="17" xfId="0" applyAlignment="1">
      <x:alignment horizontal="center"/>
    </x:xf>
    <x:xf numFmtId="170" fontId="0" fillId="23" borderId="21" xfId="0" applyAlignment="1">
      <x:alignment horizontal="center"/>
    </x:xf>
    <x:xf numFmtId="170" fontId="0" fillId="23" borderId="34" xfId="0" applyAlignment="1">
      <x:alignment horizontal="center"/>
    </x:xf>
    <x:xf numFmtId="170" fontId="0" fillId="23" borderId="20" xfId="0" applyAlignment="1">
      <x:alignment horizontal="center"/>
    </x:xf>
    <x:xf numFmtId="167" fontId="0" fillId="0" borderId="0" xfId="0" applyAlignment="1">
      <x:alignment horizontal="center"/>
    </x:xf>
    <x:xf numFmtId="167" fontId="0" fillId="0" borderId="0" xfId="1" applyAlignment="1">
      <x:alignment horizontal="center" vertical="center"/>
    </x:xf>
    <x:xf numFmtId="167" fontId="0" fillId="0" borderId="3" xfId="0" applyAlignment="1">
      <x:alignment horizontal="center"/>
    </x:xf>
    <x:xf numFmtId="167" fontId="0" fillId="8" borderId="3" xfId="0" applyAlignment="1">
      <x:alignment horizontal="center"/>
    </x:xf>
    <x:xf numFmtId="0" fontId="3" fillId="17" borderId="0" xfId="0" applyAlignment="1">
      <x:alignment vertical="center"/>
    </x:xf>
    <x:xf numFmtId="0" fontId="12" fillId="25" borderId="0" xfId="0" applyAlignment="1">
      <x:alignment vertical="center"/>
    </x:xf>
    <x:xf numFmtId="0" fontId="16" fillId="28" borderId="0" xfId="0" applyAlignment="1">
      <x:alignment horizontal="center" vertical="center"/>
    </x:xf>
    <x:xf numFmtId="0" fontId="17" fillId="0" borderId="0" xfId="0" applyAlignment="1">
      <x:alignment horizontal="center"/>
    </x:xf>
    <x:xf numFmtId="0" fontId="18" fillId="28" borderId="37" xfId="0" applyAlignment="1">
      <x:alignment horizontal="left"/>
    </x:xf>
    <x:xf numFmtId="0" fontId="0" fillId="0" borderId="37" xfId="0"/>
    <x:xf numFmtId="0" fontId="19" fillId="0" borderId="0" xfId="0" applyAlignment="1">
      <x:alignment vertical="center"/>
    </x:xf>
    <x:xf numFmtId="0" fontId="20" fillId="29" borderId="38" xfId="0" applyAlignment="1">
      <x:alignment vertical="center"/>
    </x:xf>
    <x:xf numFmtId="173" fontId="20" fillId="30" borderId="38" xfId="0" applyAlignment="1">
      <x:alignment vertical="center"/>
    </x:xf>
    <x:xf numFmtId="173" fontId="21" fillId="31" borderId="38" xfId="0" applyAlignment="1">
      <x:alignment vertical="center"/>
    </x:xf>
    <x:xf numFmtId="173" fontId="20" fillId="31" borderId="38" xfId="0" applyAlignment="1">
      <x:alignment vertical="center"/>
    </x:xf>
    <x:xf numFmtId="1" fontId="20" fillId="30" borderId="38" xfId="0" applyAlignment="1">
      <x:alignment vertical="center"/>
    </x:xf>
    <x:xf numFmtId="0" fontId="20" fillId="30" borderId="38" xfId="0" applyAlignment="1">
      <x:alignment vertical="center"/>
    </x:xf>
    <x:xf numFmtId="0" fontId="20" fillId="31" borderId="38" xfId="0" applyAlignment="1">
      <x:alignment vertical="center" wrapText="1"/>
    </x:xf>
    <x:xf numFmtId="0" fontId="18" fillId="28" borderId="0" xfId="0" applyAlignment="1">
      <x:alignment horizontal="left"/>
    </x:xf>
    <x:xf numFmtId="0" fontId="21" fillId="31" borderId="38" xfId="0" applyAlignment="1">
      <x:alignment vertical="center"/>
    </x:xf>
    <x:xf numFmtId="0" fontId="22" fillId="28" borderId="39" xfId="0" applyAlignment="1">
      <x:alignment horizontal="center"/>
    </x:xf>
    <x:xf numFmtId="173" fontId="23" fillId="31" borderId="39" xfId="0" applyAlignment="1">
      <x:alignment horizontal="center"/>
    </x:xf>
    <x:xf numFmtId="0" fontId="0" fillId="0" borderId="39" xfId="0"/>
    <x:xf numFmtId="0" fontId="22" fillId="28" borderId="0" xfId="0"/>
    <x:xf numFmtId="0" fontId="24" fillId="0" borderId="0" xfId="0" applyAlignment="1">
      <x:alignment vertical="center" wrapText="1"/>
    </x:xf>
    <x:xf numFmtId="170" fontId="3" fillId="10" borderId="31" xfId="1" applyAlignment="1">
      <x:alignment horizontal="center" vertical="center"/>
    </x:xf>
    <x:xf numFmtId="170" fontId="3" fillId="26" borderId="31" xfId="1" applyAlignment="1">
      <x:alignment horizontal="center" vertical="center"/>
    </x:xf>
    <x:xf numFmtId="167" fontId="0" fillId="0" borderId="0" xfId="1" applyAlignment="1">
      <x:alignment horizontal="center" vertical="center"/>
    </x:xf>
    <x:xf numFmtId="170" fontId="3" fillId="26" borderId="31" xfId="0" applyAlignment="1">
      <x:alignment horizontal="center" vertical="center"/>
    </x:xf>
    <x:xf numFmtId="170" fontId="3" fillId="24" borderId="28" xfId="0" applyAlignment="1">
      <x:alignment horizontal="center"/>
    </x:xf>
    <x:xf numFmtId="170" fontId="3" fillId="24" borderId="34" xfId="0" applyAlignment="1">
      <x:alignment horizontal="center"/>
    </x:xf>
    <x:xf numFmtId="170" fontId="3" fillId="24" borderId="24" xfId="0" applyAlignment="1">
      <x:alignment horizontal="center"/>
    </x:xf>
    <x:xf numFmtId="170" fontId="3" fillId="24" borderId="27" xfId="0" applyAlignment="1">
      <x:alignment horizontal="center"/>
    </x:xf>
    <x:xf numFmtId="170" fontId="3" fillId="0" borderId="0" xfId="1" applyAlignment="1">
      <x:alignment horizontal="center" vertical="center"/>
    </x:xf>
    <x:xf numFmtId="170" fontId="3" fillId="0" borderId="0" xfId="1" applyAlignment="1">
      <x:alignment horizontal="center"/>
    </x:xf>
    <x:xf numFmtId="170" fontId="3" fillId="0" borderId="0" xfId="0" applyAlignment="1">
      <x:alignment horizontal="center"/>
    </x:xf>
    <x:xf numFmtId="167" fontId="4" fillId="7" borderId="2" xfId="1" applyAlignment="1">
      <x:alignment horizontal="center"/>
    </x:xf>
    <x:xf numFmtId="170" fontId="0" fillId="0" borderId="2" xfId="0" applyAlignment="1">
      <x:alignment horizontal="center"/>
    </x:xf>
    <x:xf numFmtId="170" fontId="5" fillId="4" borderId="19" xfId="0" applyAlignment="1">
      <x:alignment horizontal="center"/>
    </x:xf>
    <x:xf numFmtId="167" fontId="9" fillId="19" borderId="2" xfId="1" applyAlignment="1">
      <x:alignment vertical="center" wrapText="1"/>
    </x:xf>
    <x:xf numFmtId="164" fontId="1" fillId="4" borderId="0" xfId="0" applyAlignment="1">
      <x:alignment vertical="center"/>
    </x:xf>
    <x:xf numFmtId="170" fontId="5" fillId="3" borderId="3" xfId="0" applyAlignment="1">
      <x:alignment horizontal="center"/>
    </x:xf>
    <x:xf numFmtId="167" fontId="0" fillId="0" borderId="0" xfId="1"/>
    <x:xf numFmtId="165" fontId="1" fillId="4" borderId="0" xfId="0" applyAlignment="1">
      <x:alignment vertical="center"/>
    </x:xf>
    <x:xf numFmtId="170" fontId="5" fillId="22" borderId="3" xfId="0" applyAlignment="1">
      <x:alignment horizontal="center"/>
    </x:xf>
    <x:xf numFmtId="170" fontId="5" fillId="10" borderId="3" xfId="0" applyAlignment="1">
      <x:alignment horizontal="center"/>
    </x:xf>
    <x:xf numFmtId="167" fontId="0" fillId="0" borderId="0" xfId="0"/>
    <x:xf numFmtId="167" fontId="5" fillId="4" borderId="2" xfId="1" applyAlignment="1">
      <x:alignment horizontal="center"/>
    </x:xf>
    <x:xf numFmtId="170" fontId="5" fillId="17" borderId="3" xfId="0" applyAlignment="1">
      <x:alignment horizontal="center"/>
    </x:xf>
    <x:xf numFmtId="170" fontId="0" fillId="0" borderId="0" xfId="0"/>
    <x:xf numFmtId="170" fontId="5" fillId="21" borderId="3" xfId="0" applyAlignment="1">
      <x:alignment horizontal="center"/>
    </x:xf>
    <x:xf numFmtId="171" fontId="14" fillId="0" borderId="32" xfId="0" applyAlignment="1">
      <x:alignment horizontal="right" vertical="center" wrapText="1"/>
    </x:xf>
    <x:xf numFmtId="170" fontId="0" fillId="20" borderId="3" xfId="0" applyAlignment="1">
      <x:alignment horizontal="center"/>
    </x:xf>
    <x:xf numFmtId="171" fontId="14" fillId="0" borderId="33" xfId="0" applyAlignment="1">
      <x:alignment horizontal="right" vertical="center" wrapText="1"/>
    </x:xf>
    <x:xf numFmtId="170" fontId="0" fillId="23" borderId="3" xfId="0" applyAlignment="1">
      <x:alignment horizontal="center"/>
    </x:xf>
    <x:xf numFmtId="170" fontId="0" fillId="23" borderId="21" xfId="0" applyAlignment="1">
      <x:alignment horizontal="center"/>
    </x:xf>
    <x:xf numFmtId="170" fontId="0" fillId="23" borderId="34" xfId="0" applyAlignment="1">
      <x:alignment horizontal="center"/>
    </x:xf>
    <x:xf numFmtId="170" fontId="0" fillId="23" borderId="20" xfId="0" applyAlignment="1">
      <x:alignment horizontal="center"/>
    </x:xf>
    <x:xf numFmtId="170" fontId="0" fillId="8" borderId="34" xfId="0" applyAlignment="1">
      <x:alignment horizontal="center"/>
    </x:xf>
    <x:xf numFmtId="170" fontId="0" fillId="0" borderId="34" xfId="0" applyAlignment="1">
      <x:alignment horizontal="center"/>
    </x:xf>
    <x:xf numFmtId="167" fontId="0" fillId="8" borderId="3" xfId="0"/>
    <x:xf numFmtId="170" fontId="3" fillId="3" borderId="3" xfId="0" applyAlignment="1">
      <x:alignment horizontal="center"/>
    </x:xf>
    <x:xf numFmtId="172" fontId="0" fillId="0" borderId="0" xfId="0"/>
    <x:xf numFmtId="167" fontId="0" fillId="27" borderId="3" xfId="1" applyAlignment="1">
      <x:alignment horizontal="center"/>
    </x:xf>
    <x:xf numFmtId="167" fontId="3" fillId="27" borderId="3" xfId="1"/>
    <x:xf numFmtId="167" fontId="0" fillId="27" borderId="3" xfId="0"/>
    <x:xf numFmtId="167" fontId="0" fillId="8" borderId="3" xfId="1" applyAlignment="1">
      <x:alignment horizontal="center"/>
    </x:xf>
    <x:xf numFmtId="167" fontId="3" fillId="8" borderId="3" xfId="1"/>
    <x:xf numFmtId="167" fontId="0" fillId="0" borderId="3" xfId="0" applyAlignment="1">
      <x:alignment horizontal="center"/>
    </x:xf>
    <x:xf numFmtId="167" fontId="3" fillId="8" borderId="3" xfId="1" applyAlignment="1">
      <x:alignment horizontal="center"/>
    </x:xf>
    <x:xf numFmtId="167" fontId="0" fillId="8" borderId="3" xfId="0" applyAlignment="1">
      <x:alignment horizontal="center"/>
    </x:xf>
    <x:xf numFmtId="167" fontId="0" fillId="8" borderId="21" xfId="1" applyAlignment="1">
      <x:alignment horizontal="center"/>
    </x:xf>
    <x:xf numFmtId="167" fontId="0" fillId="8" borderId="21" xfId="0"/>
    <x:xf numFmtId="167" fontId="3" fillId="27" borderId="3" xfId="0"/>
    <x:xf numFmtId="167" fontId="0" fillId="27" borderId="21" xfId="1" applyAlignment="1">
      <x:alignment horizontal="center"/>
    </x:xf>
    <x:xf numFmtId="167" fontId="0" fillId="27" borderId="21" xfId="0"/>
    <x:xf numFmtId="167" fontId="3" fillId="8" borderId="21" xfId="1"/>
    <x:xf numFmtId="167" fontId="0" fillId="0" borderId="0" xfId="0" applyAlignment="1">
      <x:alignment horizontal="center"/>
    </x:xf>
    <x:xf numFmtId="167" fontId="4" fillId="8" borderId="3" xfId="1" applyAlignment="1">
      <x:alignment horizontal="center"/>
    </x:xf>
    <x:xf numFmtId="169" fontId="0" fillId="8" borderId="0" xfId="0"/>
    <x:xf numFmtId="0" fontId="0" fillId="0" borderId="40" xfId="0"/>
    <x:xf numFmtId="173" fontId="26" fillId="32" borderId="38" xfId="0" applyAlignment="1">
      <x:alignment vertical="center"/>
    </x:xf>
    <x:xf numFmtId="0" fontId="25" fillId="0" borderId="0" xfId="0" applyAlignment="1">
      <x:alignment vertical="center"/>
    </x:xf>
    <x:xf numFmtId="173" fontId="27" fillId="31" borderId="38" xfId="0" applyAlignment="1">
      <x:alignment vertical="center"/>
    </x:xf>
    <x:xf numFmtId="173" fontId="20" fillId="29" borderId="38" xfId="0" applyAlignment="1">
      <x:alignment vertical="center"/>
    </x:xf>
    <x:xf numFmtId="1" fontId="26" fillId="32" borderId="38" xfId="0" applyAlignment="1">
      <x:alignment vertical="center"/>
    </x:xf>
    <x:xf numFmtId="173" fontId="26" fillId="31" borderId="38" xfId="0" applyAlignment="1">
      <x:alignment vertical="center"/>
    </x:xf>
    <x:xf numFmtId="0" fontId="26" fillId="32" borderId="38" xfId="0" applyAlignment="1">
      <x:alignment vertical="center"/>
    </x:xf>
    <x:xf numFmtId="0" fontId="26" fillId="31" borderId="38" xfId="0" applyAlignment="1">
      <x:alignment vertical="center"/>
    </x:xf>
    <x:xf numFmtId="0" fontId="0" fillId="0" borderId="47" xfId="0"/>
    <x:xf numFmtId="0" fontId="0" fillId="0" borderId="48" xfId="0"/>
    <x:xf numFmtId="0" fontId="0" fillId="0" borderId="43" xfId="0"/>
    <x:xf numFmtId="0" fontId="0" fillId="0" borderId="44" xfId="0"/>
    <x:xf numFmtId="0" fontId="18" fillId="28" borderId="49" xfId="0" applyAlignment="1">
      <x:alignment horizontal="left"/>
    </x:xf>
    <x:xf numFmtId="1" fontId="20" fillId="29" borderId="38" xfId="0" applyAlignment="1">
      <x:alignment vertical="center"/>
    </x:xf>
    <x:xf numFmtId="2" fontId="20" fillId="29" borderId="38" xfId="0" applyAlignment="1">
      <x:alignment vertical="center"/>
    </x:xf>
    <x:xf numFmtId="1" fontId="27" fillId="31" borderId="38" xfId="0" applyAlignment="1">
      <x:alignment vertical="center"/>
    </x:xf>
    <x:xf numFmtId="173" fontId="27" fillId="29" borderId="38" xfId="0" applyAlignment="1">
      <x:alignment vertical="center"/>
    </x:xf>
    <x:xf numFmtId="173" fontId="20" fillId="32" borderId="38" xfId="0" applyAlignment="1">
      <x:alignment vertical="center"/>
    </x:xf>
    <x:xf numFmtId="0" fontId="0" fillId="0" borderId="50" xfId="0" applyNumberFormat="1" applyFont="1" applyFill="1" applyBorder="1"/>
    <x:xf numFmtId="0" fontId="0" fillId="0" borderId="50" xfId="0" applyNumberFormat="1" applyFont="1" applyFill="1" applyBorder="1" applyAlignment="1">
      <x:alignment horizontal="center"/>
    </x:xf>
    <x:xf numFmtId="0" fontId="0" fillId="4" borderId="51" xfId="0" applyNumberFormat="1" applyFont="1" applyFill="1" applyBorder="1" applyAlignment="1">
      <x:alignment horizontal="center"/>
    </x:xf>
    <x:xf numFmtId="1" fontId="1" fillId="5" borderId="51" xfId="0" applyNumberFormat="1" applyFont="1" applyFill="1" applyBorder="1" applyAlignment="1">
      <x:alignment horizontal="center" vertical="center"/>
    </x:xf>
    <x:xf numFmtId="1" fontId="0" fillId="5" borderId="51" xfId="0" applyNumberFormat="1" applyFont="1" applyFill="1" applyBorder="1" applyAlignment="1">
      <x:alignment horizontal="center"/>
    </x:xf>
    <x:xf numFmtId="0" fontId="0" fillId="8" borderId="50" xfId="0" applyNumberFormat="1" applyFont="1" applyFill="1" applyBorder="1"/>
    <x:xf numFmtId="3" fontId="0" fillId="9" borderId="50" xfId="0" applyNumberFormat="1" applyFont="1" applyFill="1" applyBorder="1"/>
    <x:xf numFmtId="3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1" xfId="0" applyNumberFormat="1" applyFont="1" applyFill="1" applyBorder="1" applyAlignment="1">
      <x:alignment horizontal="center"/>
    </x:xf>
    <x:xf numFmtId="0" fontId="3" fillId="0" borderId="50" xfId="0" applyNumberFormat="1" applyFont="1" applyFill="1" applyBorder="1" applyAlignment="1">
      <x:alignment horizontal="center"/>
    </x:xf>
    <x:xf numFmtId="1" fontId="1" fillId="5" borderId="50" xfId="0" applyNumberFormat="1" applyFont="1" applyFill="1" applyBorder="1" applyAlignment="1">
      <x:alignment horizontal="center" vertical="center"/>
    </x:xf>
    <x:xf numFmtId="1" fontId="0" fillId="5" borderId="50" xfId="0" applyNumberFormat="1" applyFont="1" applyFill="1" applyBorder="1" applyAlignment="1">
      <x:alignment horizontal="center"/>
    </x:xf>
    <x:xf numFmtId="0" fontId="0" fillId="5" borderId="50" xfId="0" applyNumberFormat="1" applyFont="1" applyFill="1" applyBorder="1" applyAlignment="1">
      <x:alignment horizontal="center"/>
    </x:xf>
    <x:xf numFmtId="0" fontId="0" fillId="5" borderId="50" xfId="0" applyNumberFormat="1" applyFont="1" applyFill="1" applyBorder="1"/>
    <x:xf numFmtId="0" fontId="2" fillId="4" borderId="50" xfId="0" applyNumberFormat="1" applyFont="1" applyFill="1" applyBorder="1" applyAlignment="1">
      <x:alignment vertical="center"/>
    </x:xf>
    <x:xf numFmtId="0" fontId="1" fillId="4" borderId="50" xfId="0" applyNumberFormat="1" applyFont="1" applyFill="1" applyBorder="1" applyAlignment="1">
      <x:alignment vertical="center"/>
    </x:xf>
    <x:xf numFmtId="164" fontId="1" fillId="4" borderId="50" xfId="0" applyNumberFormat="1" applyFont="1" applyFill="1" applyBorder="1" applyAlignment="1">
      <x:alignment vertical="center"/>
    </x:xf>
    <x:xf numFmtId="165" fontId="1" fillId="4" borderId="50" xfId="0" applyNumberFormat="1" applyFont="1" applyFill="1" applyBorder="1" applyAlignment="1">
      <x:alignment vertical="center"/>
    </x:xf>
    <x:xf numFmtId="0" fontId="7" fillId="13" borderId="52" xfId="0" applyNumberFormat="1" applyFont="1" applyFill="1" applyBorder="1" applyAlignment="1">
      <x:alignment horizontal="center" vertical="center" wrapText="1"/>
    </x:xf>
    <x:xf numFmtId="0" fontId="7" fillId="15" borderId="52" xfId="0" applyNumberFormat="1" applyFont="1" applyFill="1" applyBorder="1" applyAlignment="1">
      <x:alignment horizontal="center" vertical="center" wrapText="1"/>
    </x:xf>
    <x:xf numFmtId="0" fontId="6" fillId="14" borderId="53" xfId="0" applyNumberFormat="1" applyFont="1" applyFill="1" applyBorder="1" applyAlignment="1">
      <x:alignment horizontal="center" vertical="center" wrapText="1"/>
    </x:xf>
    <x:xf numFmtId="0" fontId="6" fillId="14" borderId="54" xfId="0" applyNumberFormat="1" applyFont="1" applyFill="1" applyBorder="1" applyAlignment="1">
      <x:alignment horizontal="center" vertical="center" wrapText="1"/>
    </x:xf>
    <x:xf numFmtId="0" fontId="7" fillId="13" borderId="55" xfId="0" applyNumberFormat="1" applyFont="1" applyFill="1" applyBorder="1" applyAlignment="1">
      <x:alignment horizontal="center" vertical="center" wrapText="1"/>
    </x:xf>
    <x:xf numFmtId="0" fontId="7" fillId="15" borderId="55" xfId="0" applyNumberFormat="1" applyFont="1" applyFill="1" applyBorder="1" applyAlignment="1">
      <x:alignment horizontal="center" vertical="center" wrapText="1"/>
    </x:xf>
    <x:xf numFmtId="0" fontId="7" fillId="13" borderId="56" xfId="0" applyNumberFormat="1" applyFont="1" applyFill="1" applyBorder="1" applyAlignment="1">
      <x:alignment horizontal="center" vertical="center" wrapText="1"/>
    </x:xf>
    <x:xf numFmtId="0" fontId="7" fillId="13" borderId="57" xfId="0" applyNumberFormat="1" applyFont="1" applyFill="1" applyBorder="1" applyAlignment="1">
      <x:alignment horizontal="center" vertical="center" wrapText="1"/>
    </x:xf>
    <x:xf numFmtId="0" fontId="8" fillId="2" borderId="51" xfId="0" applyNumberFormat="1" applyFont="1" applyFill="1" applyBorder="1" applyAlignment="1">
      <x:alignment horizontal="center" vertical="center"/>
    </x:xf>
    <x:xf numFmtId="0" fontId="10" fillId="16" borderId="51" xfId="0" applyNumberFormat="1" applyFont="1" applyFill="1" applyBorder="1" applyAlignment="1">
      <x:alignment horizontal="center" vertical="center"/>
    </x:xf>
    <x:xf numFmtId="0" fontId="4" fillId="0" borderId="51" xfId="0" applyNumberFormat="1" applyFont="1" applyFill="1" applyBorder="1"/>
    <x:xf numFmtId="0" fontId="11" fillId="5" borderId="58" xfId="0" applyNumberFormat="1" applyFont="1" applyFill="1" applyBorder="1" applyAlignment="1">
      <x:alignment horizontal="center" vertical="center" wrapText="1"/>
    </x:xf>
    <x:xf numFmtId="0" fontId="7" fillId="5" borderId="52" xfId="0" applyNumberFormat="1" applyFont="1" applyFill="1" applyBorder="1" applyAlignment="1">
      <x:alignment horizontal="center" vertical="center" wrapText="1"/>
    </x:xf>
    <x:xf numFmtId="1" fontId="7" fillId="5" borderId="52" xfId="0" applyNumberFormat="1" applyFont="1" applyFill="1" applyBorder="1" applyAlignment="1">
      <x:alignment horizontal="center" vertical="center" wrapText="1"/>
    </x:xf>
    <x:xf numFmtId="16" fontId="7" fillId="5" borderId="59" xfId="0" applyNumberFormat="1" applyFont="1" applyFill="1" applyBorder="1" applyAlignment="1">
      <x:alignment horizontal="center" vertical="center" wrapText="1"/>
    </x:xf>
    <x:xf numFmtId="0" fontId="6" fillId="5" borderId="60" xfId="0" applyNumberFormat="1" applyFont="1" applyFill="1" applyBorder="1" applyAlignment="1">
      <x:alignment horizontal="center" vertical="center" wrapText="1"/>
    </x:xf>
    <x:xf numFmtId="0" fontId="6" fillId="5" borderId="54" xfId="0" applyNumberFormat="1" applyFont="1" applyFill="1" applyBorder="1" applyAlignment="1">
      <x:alignment horizontal="center" vertical="center" wrapText="1"/>
    </x:xf>
    <x:xf numFmtId="0" fontId="6" fillId="5" borderId="61" xfId="0" applyNumberFormat="1" applyFont="1" applyFill="1" applyBorder="1" applyAlignment="1">
      <x:alignment horizontal="center" vertical="center" wrapText="1"/>
    </x:xf>
    <x:xf numFmtId="0" fontId="7" fillId="5" borderId="58" xfId="0" applyNumberFormat="1" applyFont="1" applyFill="1" applyBorder="1" applyAlignment="1">
      <x:alignment horizontal="center" vertical="center" wrapText="1"/>
    </x:xf>
    <x:xf numFmtId="0" fontId="7" fillId="5" borderId="59" xfId="0" applyNumberFormat="1" applyFont="1" applyFill="1" applyBorder="1" applyAlignment="1">
      <x:alignment horizontal="center" vertical="center" wrapText="1"/>
    </x:xf>
    <x:xf numFmtId="0" fontId="7" fillId="5" borderId="62" xfId="0" applyNumberFormat="1" applyFont="1" applyFill="1" applyBorder="1" applyAlignment="1">
      <x:alignment horizontal="center" vertical="center" wrapText="1"/>
    </x:xf>
    <x:xf numFmtId="0" fontId="7" fillId="5" borderId="57" xfId="0" applyNumberFormat="1" applyFont="1" applyFill="1" applyBorder="1" applyAlignment="1">
      <x:alignment horizontal="center" vertical="center" wrapText="1"/>
    </x:xf>
    <x:xf numFmtId="0" fontId="7" fillId="5" borderId="63" xfId="0" applyNumberFormat="1" applyFont="1" applyFill="1" applyBorder="1" applyAlignment="1">
      <x:alignment horizontal="center" vertical="center" wrapText="1"/>
    </x:xf>
    <x:xf numFmtId="0" fontId="9" fillId="5" borderId="60" xfId="0" applyNumberFormat="1" applyFont="1" applyFill="1" applyBorder="1" applyAlignment="1">
      <x:alignment horizontal="center" vertical="center" wrapText="1"/>
    </x:xf>
    <x:xf numFmtId="14" fontId="7" fillId="5" borderId="57" xfId="0" applyNumberFormat="1" applyFont="1" applyFill="1" applyBorder="1" applyAlignment="1">
      <x:alignment horizontal="center" vertical="center" wrapText="1"/>
    </x:xf>
    <x:xf numFmtId="0" fontId="4" fillId="5" borderId="64" xfId="0" applyNumberFormat="1" applyFont="1" applyFill="1" applyBorder="1"/>
    <x:xf numFmtId="0" fontId="4" fillId="5" borderId="50" xfId="0" applyNumberFormat="1" applyFont="1" applyFill="1" applyBorder="1"/>
    <x:xf numFmtId="0" fontId="6" fillId="5" borderId="53" xfId="0" applyNumberFormat="1" applyFont="1" applyFill="1" applyBorder="1" applyAlignment="1">
      <x:alignment horizontal="center" vertical="center" wrapText="1"/>
    </x:xf>
    <x:xf numFmtId="0" fontId="9" fillId="5" borderId="50" xfId="0" applyNumberFormat="1" applyFont="1" applyFill="1" applyBorder="1" applyAlignment="1">
      <x:alignment horizontal="center" vertical="center" wrapText="1"/>
    </x:xf>
    <x:xf numFmtId="0" fontId="11" fillId="5" borderId="50" xfId="0" applyNumberFormat="1" applyFont="1" applyFill="1" applyBorder="1" applyAlignment="1">
      <x:alignment horizontal="center" vertical="center" wrapText="1"/>
    </x:xf>
    <x:xf numFmtId="1" fontId="8" fillId="2" borderId="51" xfId="0" applyNumberFormat="1" applyFont="1" applyFill="1" applyBorder="1" applyAlignment="1">
      <x:alignment horizontal="center" vertical="center" wrapText="1"/>
    </x:xf>
    <x:xf numFmtId="1" fontId="11" fillId="16" borderId="51" xfId="0" applyNumberFormat="1" applyFont="1" applyFill="1" applyBorder="1" applyAlignment="1">
      <x:alignment horizontal="center" vertical="center" wrapText="1"/>
    </x:xf>
    <x:xf numFmtId="1" fontId="10" fillId="16" borderId="51" xfId="0" applyNumberFormat="1" applyFont="1" applyFill="1" applyBorder="1" applyAlignment="1">
      <x:alignment vertical="center"/>
    </x:xf>
    <x:xf numFmtId="1" fontId="4" fillId="0" borderId="51" xfId="0" applyNumberFormat="1" applyFont="1" applyFill="1" applyBorder="1"/>
    <x:xf numFmtId="166" fontId="11" fillId="16" borderId="51" xfId="0" applyNumberFormat="1" applyFont="1" applyFill="1" applyBorder="1" applyAlignment="1">
      <x:alignment horizontal="center" vertical="center" wrapText="1"/>
    </x:xf>
    <x:xf numFmtId="166" fontId="8" fillId="2" borderId="51" xfId="0" applyNumberFormat="1" applyFont="1" applyFill="1" applyBorder="1" applyAlignment="1">
      <x:alignment horizontal="center" vertical="center" wrapText="1"/>
    </x:xf>
    <x:xf numFmtId="166" fontId="4" fillId="0" borderId="51" xfId="0" applyNumberFormat="1" applyFont="1" applyFill="1" applyBorder="1"/>
    <x:xf numFmtId="1" fontId="1" fillId="4" borderId="50" xfId="0" applyNumberFormat="1" applyFont="1" applyFill="1" applyBorder="1" applyAlignment="1">
      <x:alignment horizontal="center" vertical="center"/>
    </x:xf>
    <x:xf numFmtId="1" fontId="0" fillId="4" borderId="50" xfId="0" applyNumberFormat="1" applyFont="1" applyFill="1" applyBorder="1" applyAlignment="1">
      <x:alignment horizontal="center"/>
    </x:xf>
    <x:xf numFmtId="167" fontId="0" fillId="4" borderId="50" xfId="0" applyNumberFormat="1" applyFont="1" applyFill="1" applyBorder="1" applyAlignment="1">
      <x:alignment horizontal="center"/>
    </x:xf>
    <x:xf numFmtId="0" fontId="4" fillId="5" borderId="50" xfId="0" applyNumberFormat="1" applyFont="1" applyFill="1" applyBorder="1" applyAlignment="1">
      <x:alignment horizontal="center"/>
    </x:xf>
    <x:xf numFmtId="167" fontId="4" fillId="5" borderId="50" xfId="0" applyNumberFormat="1" applyFont="1" applyFill="1" applyBorder="1" applyAlignment="1">
      <x:alignment horizontal="center"/>
    </x:xf>
    <x:xf numFmtId="0" fontId="9" fillId="19" borderId="64" xfId="0" applyNumberFormat="1" applyFont="1" applyFill="1" applyBorder="1" applyAlignment="1">
      <x:alignment vertical="center" wrapText="1"/>
    </x:xf>
    <x:xf numFmtId="168" fontId="9" fillId="19" borderId="50" xfId="0" applyNumberFormat="1" applyFont="1" applyFill="1" applyBorder="1" applyAlignment="1">
      <x:alignment vertical="center" wrapText="1"/>
    </x:xf>
    <x:xf numFmtId="167" fontId="9" fillId="19" borderId="50" xfId="0" applyNumberFormat="1" applyFont="1" applyFill="1" applyBorder="1" applyAlignment="1">
      <x:alignment vertical="center" wrapText="1"/>
    </x:xf>
    <x:xf numFmtId="0" fontId="0" fillId="19" borderId="51" xfId="0" applyNumberFormat="1" applyFont="1" applyFill="1" applyBorder="1"/>
    <x:xf numFmtId="0" fontId="0" fillId="0" borderId="50" xfId="0" applyNumberFormat="1" applyFont="1" applyFill="1" applyBorder="1" applyAlignment="1">
      <x:alignment vertical="center"/>
    </x:xf>
    <x:xf numFmtId="0" fontId="3" fillId="11" borderId="50" xfId="0" applyNumberFormat="1" applyFont="1" applyFill="1" applyBorder="1" applyAlignment="1">
      <x:alignment vertical="center"/>
    </x:xf>
    <x:xf numFmtId="0" fontId="3" fillId="8" borderId="50" xfId="0" applyNumberFormat="1" applyFont="1" applyFill="1" applyBorder="1" applyAlignment="1">
      <x:alignment vertical="center"/>
    </x:xf>
    <x:xf numFmtId="169" fontId="0" fillId="8" borderId="50" xfId="0" applyNumberFormat="1" applyFont="1" applyFill="1" applyBorder="1"/>
    <x:xf numFmtId="0" fontId="0" fillId="10" borderId="51" xfId="0" applyNumberFormat="1" applyFont="1" applyFill="1" applyBorder="1" applyAlignment="1">
      <x:alignment horizontal="center"/>
    </x:xf>
    <x:xf numFmtId="1" fontId="0" fillId="0" borderId="50" xfId="0" applyNumberFormat="1" applyFont="1" applyFill="1" applyBorder="1"/>
    <x:xf numFmtId="0" fontId="0" fillId="10" borderId="50" xfId="0" applyNumberFormat="1" applyFont="1" applyFill="1" applyBorder="1"/>
    <x:xf numFmtId="1" fontId="0" fillId="10" borderId="50" xfId="0" applyNumberFormat="1" applyFont="1" applyFill="1" applyBorder="1"/>
    <x:xf numFmtId="1" fontId="0" fillId="8" borderId="50" xfId="0" applyNumberFormat="1" applyFont="1" applyFill="1" applyBorder="1"/>
    <x:xf numFmtId="0" fontId="0" fillId="3" borderId="50" xfId="0" applyNumberFormat="1" applyFont="1" applyFill="1" applyBorder="1"/>
    <x:xf numFmtId="1" fontId="0" fillId="3" borderId="50" xfId="0" applyNumberFormat="1" applyFont="1" applyFill="1" applyBorder="1"/>
    <x:xf numFmtId="0" fontId="0" fillId="20" borderId="51" xfId="0" applyNumberFormat="1" applyFont="1" applyFill="1" applyBorder="1" applyAlignment="1">
      <x:alignment horizontal="center"/>
    </x:xf>
    <x:xf numFmtId="0" fontId="0" fillId="21" borderId="51" xfId="0" applyNumberFormat="1" applyFont="1" applyFill="1" applyBorder="1" applyAlignment="1">
      <x:alignment horizontal="center"/>
    </x:xf>
    <x:xf numFmtId="0" fontId="0" fillId="22" borderId="51" xfId="0" applyNumberFormat="1" applyFont="1" applyFill="1" applyBorder="1" applyAlignment="1">
      <x:alignment horizontal="center"/>
    </x:xf>
    <x:xf numFmtId="0" fontId="0" fillId="3" borderId="51" xfId="0" applyNumberFormat="1" applyFont="1" applyFill="1" applyBorder="1" applyAlignment="1">
      <x:alignment horizontal="center"/>
    </x:xf>
    <x:xf numFmtId="0" fontId="0" fillId="4" borderId="51" xfId="0" applyNumberFormat="1" applyFont="1" applyFill="1" applyBorder="1"/>
    <x:xf numFmtId="0" fontId="0" fillId="0" borderId="65" xfId="0" applyNumberFormat="1" applyFont="1" applyFill="1" applyBorder="1" applyAlignment="1">
      <x:alignment horizontal="center"/>
    </x:xf>
    <x:xf numFmtId="170" fontId="0" fillId="20" borderId="51" xfId="0" applyNumberFormat="1" applyFont="1" applyFill="1" applyBorder="1" applyAlignment="1">
      <x:alignment horizontal="center"/>
    </x:xf>
    <x:xf numFmtId="170" fontId="0" fillId="4" borderId="66" xfId="0" applyNumberFormat="1" applyFont="1" applyFill="1" applyBorder="1" applyAlignment="1">
      <x:alignment horizontal="center"/>
    </x:xf>
    <x:xf numFmtId="170" fontId="0" fillId="3" borderId="51" xfId="0" applyNumberFormat="1" applyFont="1" applyFill="1" applyBorder="1" applyAlignment="1">
      <x:alignment horizontal="center"/>
    </x:xf>
    <x:xf numFmtId="170" fontId="0" fillId="22" borderId="51" xfId="0" applyNumberFormat="1" applyFont="1" applyFill="1" applyBorder="1" applyAlignment="1">
      <x:alignment horizontal="center"/>
    </x:xf>
    <x:xf numFmtId="170" fontId="0" fillId="10" borderId="51" xfId="0" applyNumberFormat="1" applyFont="1" applyFill="1" applyBorder="1" applyAlignment="1">
      <x:alignment horizontal="center"/>
    </x:xf>
    <x:xf numFmtId="170" fontId="0" fillId="21" borderId="51" xfId="0" applyNumberFormat="1" applyFont="1" applyFill="1" applyBorder="1" applyAlignment="1">
      <x:alignment horizontal="center"/>
    </x:xf>
    <x:xf numFmtId="170" fontId="0" fillId="0" borderId="50" xfId="0" applyNumberFormat="1" applyFont="1" applyFill="1" applyBorder="1"/>
    <x:xf numFmtId="170" fontId="0" fillId="0" borderId="50" xfId="0" applyNumberFormat="1" applyFont="1" applyFill="1" applyBorder="1" applyAlignment="1">
      <x:alignment horizontal="center"/>
    </x:xf>
    <x:xf numFmtId="0" fontId="0" fillId="23" borderId="51" xfId="0" applyNumberFormat="1" applyFont="1" applyFill="1" applyBorder="1" applyAlignment="1">
      <x:alignment horizontal="center"/>
    </x:xf>
    <x:xf numFmtId="170" fontId="0" fillId="23" borderId="51" xfId="0" applyNumberFormat="1" applyFont="1" applyFill="1" applyBorder="1" applyAlignment="1">
      <x:alignment horizontal="center"/>
    </x:xf>
    <x:xf numFmtId="0" fontId="0" fillId="8" borderId="51" xfId="0" applyNumberFormat="1" applyFont="1" applyFill="1" applyBorder="1" applyAlignment="1">
      <x:alignment horizontal="center"/>
    </x:xf>
    <x:xf numFmtId="1" fontId="1" fillId="5" borderId="51" xfId="0" applyNumberFormat="1" applyFont="1" applyFill="1" applyBorder="1" applyAlignment="1">
      <x:alignment vertical="center"/>
    </x:xf>
    <x:xf numFmtId="1" fontId="0" fillId="5" borderId="51" xfId="0" applyNumberFormat="1" applyFont="1" applyFill="1" applyBorder="1"/>
    <x:xf numFmtId="0" fontId="0" fillId="0" borderId="67" xfId="0" applyNumberFormat="1" applyFont="1" applyFill="1" applyBorder="1"/>
    <x:xf numFmtId="0" fontId="6" fillId="14" borderId="61" xfId="0" applyNumberFormat="1" applyFont="1" applyFill="1" applyBorder="1" applyAlignment="1">
      <x:alignment vertical="center" wrapText="1"/>
    </x:xf>
    <x:xf numFmtId="0" fontId="0" fillId="13" borderId="68" xfId="0" applyNumberFormat="1" applyFont="1" applyFill="1" applyBorder="1"/>
    <x:xf numFmtId="0" fontId="7" fillId="13" borderId="59" xfId="0" applyNumberFormat="1" applyFont="1" applyFill="1" applyBorder="1" applyAlignment="1">
      <x:alignment vertical="center" wrapText="1"/>
    </x:xf>
    <x:xf numFmtId="0" fontId="7" fillId="15" borderId="59" xfId="0" applyNumberFormat="1" applyFont="1" applyFill="1" applyBorder="1" applyAlignment="1">
      <x:alignment vertical="center" wrapText="1"/>
    </x:xf>
    <x:xf numFmtId="0" fontId="7" fillId="13" borderId="63" xfId="0" applyNumberFormat="1" applyFont="1" applyFill="1" applyBorder="1" applyAlignment="1">
      <x:alignment vertical="center" wrapText="1"/>
    </x:xf>
    <x:xf numFmtId="0" fontId="0" fillId="4" borderId="50" xfId="0" applyNumberFormat="1" applyFont="1" applyFill="1" applyBorder="1" applyAlignment="1">
      <x:alignment horizontal="center"/>
    </x:xf>
    <x:xf numFmtId="0" fontId="0" fillId="21" borderId="69" xfId="0" applyNumberFormat="1" applyFont="1" applyFill="1" applyBorder="1" applyAlignment="1">
      <x:alignment horizontal="center"/>
    </x:xf>
    <x:xf numFmtId="16" fontId="0" fillId="0" borderId="51" xfId="0" applyNumberFormat="1" applyFont="1" applyFill="1" applyBorder="1"/>
    <x:xf numFmtId="0" fontId="3" fillId="24" borderId="70" xfId="0" applyNumberFormat="1" applyFont="1" applyFill="1" applyBorder="1" applyAlignment="1">
      <x:alignment horizontal="center"/>
    </x:xf>
    <x:xf numFmtId="0" fontId="3" fillId="24" borderId="71" xfId="0" applyNumberFormat="1" applyFont="1" applyFill="1" applyBorder="1" applyAlignment="1">
      <x:alignment horizontal="center"/>
    </x:xf>
    <x:xf numFmtId="0" fontId="3" fillId="24" borderId="72" xfId="0" applyNumberFormat="1" applyFont="1" applyFill="1" applyBorder="1" applyAlignment="1">
      <x:alignment horizontal="center"/>
    </x:xf>
    <x:xf numFmtId="170" fontId="3" fillId="24" borderId="73" xfId="0" applyNumberFormat="1" applyFont="1" applyFill="1" applyBorder="1" applyAlignment="1">
      <x:alignment horizontal="center"/>
    </x:xf>
    <x:xf numFmtId="9" fontId="3" fillId="24" borderId="73" xfId="0" applyNumberFormat="1" applyFont="1" applyFill="1" applyBorder="1" applyAlignment="1">
      <x:alignment horizontal="center"/>
    </x:xf>
    <x:xf numFmtId="0" fontId="3" fillId="24" borderId="73" xfId="0" applyNumberFormat="1" applyFont="1" applyFill="1" applyBorder="1" applyAlignment="1">
      <x:alignment horizontal="center"/>
    </x:xf>
    <x:xf numFmtId="0" fontId="3" fillId="24" borderId="74" xfId="0" applyNumberFormat="1" applyFont="1" applyFill="1" applyBorder="1" applyAlignment="1">
      <x:alignment horizontal="center"/>
    </x:xf>
    <x:xf numFmtId="170" fontId="3" fillId="24" borderId="75" xfId="0" applyNumberFormat="1" applyFont="1" applyFill="1" applyBorder="1" applyAlignment="1">
      <x:alignment horizontal="center"/>
    </x:xf>
    <x:xf numFmtId="0" fontId="3" fillId="26" borderId="76" xfId="0" applyNumberFormat="1" applyFont="1" applyFill="1" applyBorder="1" applyAlignment="1">
      <x:alignment horizontal="center"/>
    </x:xf>
    <x:xf numFmtId="0" fontId="3" fillId="10" borderId="70" xfId="0" applyNumberFormat="1" applyFont="1" applyFill="1" applyBorder="1" applyAlignment="1">
      <x:alignment horizontal="center" vertical="center"/>
    </x:xf>
    <x:xf numFmtId="0" fontId="3" fillId="11" borderId="77" xfId="0" applyNumberFormat="1" applyFont="1" applyFill="1" applyBorder="1" applyAlignment="1">
      <x:alignment horizontal="center" vertical="center"/>
    </x:xf>
    <x:xf numFmtId="0" fontId="0" fillId="0" borderId="78" xfId="0" applyNumberFormat="1" applyFont="1" applyFill="1" applyBorder="1" applyAlignment="1">
      <x:alignment horizontal="center" vertical="center"/>
    </x:xf>
    <x:xf numFmtId="0" fontId="0" fillId="0" borderId="50" xfId="0" applyNumberFormat="1" applyFont="1" applyFill="1" applyBorder="1" applyAlignment="1">
      <x:alignment horizontal="center" vertical="center"/>
    </x:xf>
    <x:xf numFmtId="0" fontId="3" fillId="10" borderId="79" xfId="0" applyNumberFormat="1" applyFont="1" applyFill="1" applyBorder="1" applyAlignment="1">
      <x:alignment horizontal="center" vertical="center"/>
    </x:xf>
    <x:xf numFmtId="170" fontId="3" fillId="10" borderId="79" xfId="0" applyNumberFormat="1" applyFont="1" applyFill="1" applyBorder="1" applyAlignment="1">
      <x:alignment horizontal="center" vertical="center"/>
    </x:xf>
    <x:xf numFmtId="9" fontId="3" fillId="10" borderId="79" xfId="0" applyNumberFormat="1" applyFont="1" applyFill="1" applyBorder="1" applyAlignment="1">
      <x:alignment horizontal="center" vertical="center"/>
    </x:xf>
    <x:xf numFmtId="170" fontId="3" fillId="26" borderId="79" xfId="0" applyNumberFormat="1" applyFont="1" applyFill="1" applyBorder="1" applyAlignment="1">
      <x:alignment horizontal="center" vertical="center"/>
    </x:xf>
    <x:xf numFmtId="0" fontId="3" fillId="26" borderId="79" xfId="0" applyNumberFormat="1" applyFont="1" applyFill="1" applyBorder="1" applyAlignment="1">
      <x:alignment horizontal="center" vertical="center"/>
    </x:xf>
    <x:xf numFmtId="0" fontId="0" fillId="4" borderId="67" xfId="0" applyNumberFormat="1" applyFont="1" applyFill="1" applyBorder="1" applyAlignment="1">
      <x:alignment horizontal="center"/>
    </x:xf>
    <x:xf numFmtId="167" fontId="0" fillId="0" borderId="50" xfId="0" applyNumberFormat="1" applyFont="1" applyFill="1" applyBorder="1"/>
    <x:xf numFmtId="3" fontId="13" fillId="0" borderId="50" xfId="0" applyNumberFormat="1" applyFont="1" applyFill="1" applyBorder="1"/>
    <x:xf numFmtId="171" fontId="14" fillId="0" borderId="80" xfId="0" applyNumberFormat="1" applyFont="1" applyFill="1" applyBorder="1" applyAlignment="1">
      <x:alignment horizontal="right" vertical="center" wrapText="1"/>
    </x:xf>
    <x:xf numFmtId="171" fontId="14" fillId="0" borderId="81" xfId="0" applyNumberFormat="1" applyFont="1" applyFill="1" applyBorder="1" applyAlignment="1">
      <x:alignment horizontal="right" vertical="center" wrapText="1"/>
    </x:xf>
    <x:xf numFmtId="0" fontId="0" fillId="16" borderId="51" xfId="0" applyNumberFormat="1" applyFont="1" applyFill="1" applyBorder="1" applyAlignment="1">
      <x:alignment horizontal="center"/>
    </x:xf>
    <x:xf numFmtId="170" fontId="0" fillId="16" borderId="51" xfId="0" applyNumberFormat="1" applyFont="1" applyFill="1" applyBorder="1" applyAlignment="1">
      <x:alignment horizontal="center"/>
    </x:xf>
    <x:xf numFmtId="170" fontId="3" fillId="24" borderId="82" xfId="0" applyNumberFormat="1" applyFont="1" applyFill="1" applyBorder="1" applyAlignment="1">
      <x:alignment horizontal="center"/>
    </x:xf>
    <x:xf numFmtId="0" fontId="3" fillId="24" borderId="77" xfId="0" applyNumberFormat="1" applyFont="1" applyFill="1" applyBorder="1" applyAlignment="1">
      <x:alignment horizontal="center"/>
    </x:xf>
    <x:xf numFmtId="170" fontId="3" fillId="24" borderId="78" xfId="0" applyNumberFormat="1" applyFont="1" applyFill="1" applyBorder="1" applyAlignment="1">
      <x:alignment horizontal="center"/>
    </x:xf>
    <x:xf numFmtId="170" fontId="3" fillId="0" borderId="50" xfId="0" applyNumberFormat="1" applyFont="1" applyFill="1" applyBorder="1" applyAlignment="1">
      <x:alignment horizontal="center" vertical="center"/>
    </x:xf>
    <x:xf numFmtId="170" fontId="3" fillId="0" borderId="50" xfId="0" applyNumberFormat="1" applyFont="1" applyFill="1" applyBorder="1" applyAlignment="1">
      <x:alignment horizontal="center"/>
    </x:xf>
    <x:xf numFmtId="0" fontId="0" fillId="4" borderId="83" xfId="0" applyNumberFormat="1" applyFont="1" applyFill="1" applyBorder="1" applyAlignment="1">
      <x:alignment horizontal="center"/>
    </x:xf>
    <x:xf numFmtId="0" fontId="3" fillId="0" borderId="50" xfId="0" applyNumberFormat="1" applyFont="1" applyFill="1" applyBorder="1"/>
    <x:xf numFmtId="0" fontId="0" fillId="27" borderId="51" xfId="0" applyNumberFormat="1" applyFont="1" applyFill="1" applyBorder="1"/>
    <x:xf numFmtId="0" fontId="0" fillId="8" borderId="51" xfId="0" applyNumberFormat="1" applyFont="1" applyFill="1" applyBorder="1"/>
    <x:xf numFmtId="0" fontId="0" fillId="8" borderId="69" xfId="0" applyNumberFormat="1" applyFont="1" applyFill="1" applyBorder="1"/>
    <x:xf numFmtId="0" fontId="0" fillId="27" borderId="51" xfId="0" applyNumberFormat="1" applyFont="1" applyFill="1" applyBorder="1" applyAlignment="1">
      <x:alignment horizontal="center"/>
    </x:xf>
    <x:xf numFmtId="0" fontId="0" fillId="8" borderId="69" xfId="0" applyNumberFormat="1" applyFont="1" applyFill="1" applyBorder="1" applyAlignment="1">
      <x:alignment horizontal="center"/>
    </x:xf>
    <x:xf numFmtId="167" fontId="3" fillId="27" borderId="51" xfId="0" applyNumberFormat="1" applyFont="1" applyFill="1" applyBorder="1"/>
    <x:xf numFmtId="167" fontId="0" fillId="27" borderId="51" xfId="0" applyNumberFormat="1" applyFont="1" applyFill="1" applyBorder="1" applyAlignment="1">
      <x:alignment horizontal="center"/>
    </x:xf>
    <x:xf numFmtId="167" fontId="0" fillId="8" borderId="51" xfId="0" applyNumberFormat="1" applyFont="1" applyFill="1" applyBorder="1" applyAlignment="1">
      <x:alignment horizontal="center"/>
    </x:xf>
    <x:xf numFmtId="167" fontId="0" fillId="8" borderId="69" xfId="0" applyNumberFormat="1" applyFont="1" applyFill="1" applyBorder="1" applyAlignment="1">
      <x:alignment horizontal="center"/>
    </x:xf>
    <x:xf numFmtId="1" fontId="3" fillId="27" borderId="51" xfId="0" applyNumberFormat="1" applyFont="1" applyFill="1" applyBorder="1" applyAlignment="1">
      <x:alignment horizontal="center"/>
    </x:xf>
    <x:xf numFmtId="167" fontId="0" fillId="27" borderId="51" xfId="0" applyNumberFormat="1" applyFont="1" applyFill="1" applyBorder="1"/>
    <x:xf numFmtId="167" fontId="0" fillId="8" borderId="51" xfId="0" applyNumberFormat="1" applyFont="1" applyFill="1" applyBorder="1"/>
    <x:xf numFmtId="167" fontId="0" fillId="8" borderId="69" xfId="0" applyNumberFormat="1" applyFont="1" applyFill="1" applyBorder="1"/>
    <x:xf numFmtId="167" fontId="3" fillId="8" borderId="51" xfId="0" applyNumberFormat="1" applyFont="1" applyFill="1" applyBorder="1"/>
    <x:xf numFmtId="0" fontId="3" fillId="8" borderId="51" xfId="0" applyNumberFormat="1" applyFont="1" applyFill="1" applyBorder="1"/>
    <x:xf numFmtId="0" fontId="3" fillId="27" borderId="51" xfId="0" applyNumberFormat="1" applyFont="1" applyFill="1" applyBorder="1" applyAlignment="1">
      <x:alignment horizontal="center"/>
    </x:xf>
    <x:xf numFmtId="2" fontId="3" fillId="10" borderId="79" xfId="0" applyNumberFormat="1" applyFont="1" applyFill="1" applyBorder="1" applyAlignment="1">
      <x:alignment horizontal="center" vertical="center"/>
    </x:xf>
    <x:xf numFmtId="0" fontId="3" fillId="3" borderId="51" xfId="0" applyNumberFormat="1" applyFont="1" applyFill="1" applyBorder="1" applyAlignment="1">
      <x:alignment horizontal="center"/>
    </x:xf>
    <x:xf numFmtId="170" fontId="3" fillId="3" borderId="51" xfId="0" applyNumberFormat="1" applyFont="1" applyFill="1" applyBorder="1" applyAlignment="1">
      <x:alignment horizontal="center"/>
    </x:xf>
    <x:xf numFmtId="172" fontId="0" fillId="0" borderId="50" xfId="0" applyNumberFormat="1" applyFont="1" applyFill="1" applyBorder="1"/>
    <x:xf numFmtId="166" fontId="0" fillId="0" borderId="50" xfId="0" applyNumberFormat="1" applyFont="1" applyFill="1" applyBorder="1"/>
    <x:xf numFmtId="167" fontId="3" fillId="8" borderId="51" xfId="0" applyNumberFormat="1" applyFont="1" applyFill="1" applyBorder="1" applyAlignment="1">
      <x:alignment horizontal="center"/>
    </x:xf>
    <x:xf numFmtId="0" fontId="4" fillId="8" borderId="51" xfId="0" applyNumberFormat="1" applyFont="1" applyFill="1" applyBorder="1" applyAlignment="1">
      <x:alignment horizontal="center"/>
    </x:xf>
    <x:xf numFmtId="167" fontId="4" fillId="8" borderId="51" xfId="0" applyNumberFormat="1" applyFont="1" applyFill="1" applyBorder="1" applyAlignment="1">
      <x:alignment horizontal="center"/>
    </x:xf>
    <x:xf numFmtId="0" fontId="15" fillId="0" borderId="51" xfId="0" applyNumberFormat="1" applyFont="1" applyFill="1" applyBorder="1"/>
    <x:xf numFmtId="0" fontId="0" fillId="0" borderId="82" xfId="0" applyNumberFormat="1" applyFont="1" applyFill="1" applyBorder="1" applyAlignment="1">
      <x:alignment horizontal="center" vertical="center"/>
    </x:xf>
    <x:xf numFmtId="9" fontId="0" fillId="0" borderId="50" xfId="0" applyNumberFormat="1" applyFont="1" applyFill="1" applyBorder="1"/>
    <x:xf numFmtId="0" fontId="0" fillId="27" borderId="69" xfId="0" applyNumberFormat="1" applyFont="1" applyFill="1" applyBorder="1"/>
    <x:xf numFmtId="0" fontId="0" fillId="27" borderId="69" xfId="0" applyNumberFormat="1" applyFont="1" applyFill="1" applyBorder="1" applyAlignment="1">
      <x:alignment horizontal="center"/>
    </x:xf>
    <x:xf numFmtId="167" fontId="0" fillId="27" borderId="69" xfId="0" applyNumberFormat="1" applyFont="1" applyFill="1" applyBorder="1" applyAlignment="1">
      <x:alignment horizontal="center"/>
    </x:xf>
    <x:xf numFmtId="167" fontId="0" fillId="27" borderId="69" xfId="0" applyNumberFormat="1" applyFont="1" applyFill="1" applyBorder="1"/>
    <x:xf numFmtId="167" fontId="3" fillId="8" borderId="69" xfId="0" applyNumberFormat="1" applyFont="1" applyFill="1" applyBorder="1"/>
    <x:xf numFmtId="0" fontId="0" fillId="8" borderId="66" xfId="0" applyNumberFormat="1" applyFont="1" applyFill="1" applyBorder="1" applyAlignment="1">
      <x:alignment horizontal="center"/>
    </x:xf>
    <x:xf numFmtId="0" fontId="0" fillId="8" borderId="64" xfId="0" applyNumberFormat="1" applyFont="1" applyFill="1" applyBorder="1" applyAlignment="1">
      <x:alignment horizontal="center"/>
    </x:xf>
    <x:xf numFmtId="170" fontId="0" fillId="8" borderId="82" xfId="0" applyNumberFormat="1" applyFont="1" applyFill="1" applyBorder="1" applyAlignment="1">
      <x:alignment horizontal="center"/>
    </x:xf>
    <x:xf numFmtId="0" fontId="0" fillId="0" borderId="84" xfId="0" applyNumberFormat="1" applyFont="1" applyFill="1" applyBorder="1" applyAlignment="1">
      <x:alignment horizontal="center"/>
    </x:xf>
    <x:xf numFmtId="170" fontId="0" fillId="0" borderId="82" xfId="0" applyNumberFormat="1" applyFont="1" applyFill="1" applyBorder="1" applyAlignment="1">
      <x:alignment horizontal="center"/>
    </x:xf>
    <x:xf numFmtId="0" fontId="0" fillId="23" borderId="66" xfId="0" applyNumberFormat="1" applyFont="1" applyFill="1" applyBorder="1" applyAlignment="1">
      <x:alignment horizontal="center"/>
    </x:xf>
    <x:xf numFmtId="0" fontId="0" fillId="23" borderId="64" xfId="0" applyNumberFormat="1" applyFont="1" applyFill="1" applyBorder="1" applyAlignment="1">
      <x:alignment horizontal="center"/>
    </x:xf>
    <x:xf numFmtId="170" fontId="0" fillId="23" borderId="69" xfId="0" applyNumberFormat="1" applyFont="1" applyFill="1" applyBorder="1" applyAlignment="1">
      <x:alignment horizontal="center"/>
    </x:xf>
    <x:xf numFmtId="170" fontId="0" fillId="23" borderId="82" xfId="0" applyNumberFormat="1" applyFont="1" applyFill="1" applyBorder="1" applyAlignment="1">
      <x:alignment horizontal="center"/>
    </x:xf>
    <x:xf numFmtId="170" fontId="0" fillId="23" borderId="67" xfId="0" applyNumberFormat="1" applyFont="1" applyFill="1" applyBorder="1" applyAlignment="1">
      <x:alignment horizontal="center"/>
    </x:xf>
    <x:xf numFmtId="167" fontId="0" fillId="0" borderId="50" xfId="0" applyNumberFormat="1" applyFont="1" applyFill="1" applyBorder="1" applyAlignment="1">
      <x:alignment horizontal="center"/>
    </x:xf>
    <x:xf numFmtId="167" fontId="0" fillId="0" borderId="50" xfId="0" applyNumberFormat="1" applyFont="1" applyFill="1" applyBorder="1" applyAlignment="1">
      <x:alignment horizontal="center" vertical="center"/>
    </x:xf>
    <x:xf numFmtId="167" fontId="0" fillId="0" borderId="51" xfId="0" applyNumberFormat="1" applyFont="1" applyFill="1" applyBorder="1" applyAlignment="1">
      <x:alignment horizontal="center"/>
    </x:xf>
    <x:xf numFmtId="0" fontId="3" fillId="16" borderId="50" xfId="0" applyNumberFormat="1" applyFont="1" applyFill="1" applyBorder="1" applyAlignment="1">
      <x:alignment vertical="center"/>
    </x:xf>
    <x:xf numFmtId="0" fontId="12" fillId="25" borderId="50" xfId="0" applyNumberFormat="1" applyFont="1" applyFill="1" applyBorder="1" applyAlignment="1">
      <x:alignment vertical="center"/>
    </x:xf>
    <x:xf numFmtId="0" fontId="16" fillId="28" borderId="50" xfId="0" applyNumberFormat="1" applyFont="1" applyFill="1" applyBorder="1" applyAlignment="1">
      <x:alignment horizontal="center" vertical="center"/>
    </x:xf>
    <x:xf numFmtId="0" fontId="17" fillId="0" borderId="50" xfId="0" applyNumberFormat="1" applyFont="1" applyFill="1" applyBorder="1" applyAlignment="1">
      <x:alignment horizontal="center"/>
    </x:xf>
    <x:xf numFmtId="0" fontId="18" fillId="28" borderId="37" xfId="0" applyNumberFormat="1" applyFont="1" applyFill="1" applyBorder="1" applyAlignment="1">
      <x:alignment horizontal="left"/>
    </x:xf>
    <x:xf numFmtId="0" fontId="0" fillId="0" borderId="37" xfId="0" applyNumberFormat="1" applyFont="1" applyFill="1" applyBorder="1"/>
    <x:xf numFmtId="0" fontId="19" fillId="0" borderId="50" xfId="0" applyNumberFormat="1" applyFont="1" applyFill="1" applyBorder="1" applyAlignment="1">
      <x:alignment vertical="center"/>
    </x:xf>
    <x:xf numFmtId="0" fontId="20" fillId="29" borderId="38" xfId="0" applyNumberFormat="1" applyFont="1" applyFill="1" applyBorder="1" applyAlignment="1">
      <x:alignment vertical="center"/>
    </x:xf>
    <x:xf numFmtId="173" fontId="20" fillId="30" borderId="38" xfId="0" applyNumberFormat="1" applyFont="1" applyFill="1" applyBorder="1" applyAlignment="1">
      <x:alignment vertical="center"/>
    </x:xf>
    <x:xf numFmtId="173" fontId="21" fillId="31" borderId="38" xfId="0" applyNumberFormat="1" applyFont="1" applyFill="1" applyBorder="1" applyAlignment="1">
      <x:alignment vertical="center"/>
    </x:xf>
    <x:xf numFmtId="173" fontId="20" fillId="31" borderId="38" xfId="0" applyNumberFormat="1" applyFont="1" applyFill="1" applyBorder="1" applyAlignment="1">
      <x:alignment vertical="center"/>
    </x:xf>
    <x:xf numFmtId="1" fontId="20" fillId="30" borderId="38" xfId="0" applyNumberFormat="1" applyFont="1" applyFill="1" applyBorder="1" applyAlignment="1">
      <x:alignment vertical="center"/>
    </x:xf>
    <x:xf numFmtId="0" fontId="20" fillId="30" borderId="38" xfId="0" applyNumberFormat="1" applyFont="1" applyFill="1" applyBorder="1" applyAlignment="1">
      <x:alignment vertical="center"/>
    </x:xf>
    <x:xf numFmtId="0" fontId="20" fillId="31" borderId="38" xfId="0" applyNumberFormat="1" applyFont="1" applyFill="1" applyBorder="1" applyAlignment="1">
      <x:alignment vertical="center" wrapText="1"/>
    </x:xf>
    <x:xf numFmtId="0" fontId="18" fillId="28" borderId="50" xfId="0" applyNumberFormat="1" applyFont="1" applyFill="1" applyBorder="1" applyAlignment="1">
      <x:alignment horizontal="left"/>
    </x:xf>
    <x:xf numFmtId="0" fontId="21" fillId="31" borderId="38" xfId="0" applyNumberFormat="1" applyFont="1" applyFill="1" applyBorder="1" applyAlignment="1">
      <x:alignment vertical="center"/>
    </x:xf>
    <x:xf numFmtId="0" fontId="22" fillId="28" borderId="39" xfId="0" applyNumberFormat="1" applyFont="1" applyFill="1" applyBorder="1" applyAlignment="1">
      <x:alignment horizontal="center"/>
    </x:xf>
    <x:xf numFmtId="173" fontId="23" fillId="31" borderId="39" xfId="0" applyNumberFormat="1" applyFont="1" applyFill="1" applyBorder="1" applyAlignment="1">
      <x:alignment horizontal="center"/>
    </x:xf>
    <x:xf numFmtId="0" fontId="0" fillId="0" borderId="39" xfId="0" applyNumberFormat="1" applyFont="1" applyFill="1" applyBorder="1"/>
    <x:xf numFmtId="0" fontId="22" fillId="28" borderId="50" xfId="0" applyNumberFormat="1" applyFont="1" applyFill="1" applyBorder="1"/>
    <x:xf numFmtId="0" fontId="24" fillId="0" borderId="50" xfId="0" applyNumberFormat="1" applyFont="1" applyFill="1" applyBorder="1" applyAlignment="1">
      <x:alignment vertical="center" wrapText="1"/>
    </x:xf>
    <x:xf numFmtId="173" fontId="26" fillId="32" borderId="38" xfId="0" applyNumberFormat="1" applyFont="1" applyFill="1" applyBorder="1" applyAlignment="1">
      <x:alignment vertical="center"/>
    </x:xf>
    <x:xf numFmtId="0" fontId="25" fillId="0" borderId="50" xfId="0" applyNumberFormat="1" applyFont="1" applyFill="1" applyBorder="1" applyAlignment="1">
      <x:alignment vertical="center"/>
    </x:xf>
    <x:xf numFmtId="173" fontId="27" fillId="31" borderId="38" xfId="0" applyNumberFormat="1" applyFont="1" applyFill="1" applyBorder="1" applyAlignment="1">
      <x:alignment vertical="center"/>
    </x:xf>
    <x:xf numFmtId="173" fontId="20" fillId="29" borderId="38" xfId="0" applyNumberFormat="1" applyFont="1" applyFill="1" applyBorder="1" applyAlignment="1">
      <x:alignment vertical="center"/>
    </x:xf>
    <x:xf numFmtId="1" fontId="26" fillId="32" borderId="38" xfId="0" applyNumberFormat="1" applyFont="1" applyFill="1" applyBorder="1" applyAlignment="1">
      <x:alignment vertical="center"/>
    </x:xf>
    <x:xf numFmtId="173" fontId="26" fillId="31" borderId="38" xfId="0" applyNumberFormat="1" applyFont="1" applyFill="1" applyBorder="1" applyAlignment="1">
      <x:alignment vertical="center"/>
    </x:xf>
    <x:xf numFmtId="0" fontId="26" fillId="32" borderId="38" xfId="0" applyNumberFormat="1" applyFont="1" applyFill="1" applyBorder="1" applyAlignment="1">
      <x:alignment vertical="center"/>
    </x:xf>
    <x:xf numFmtId="0" fontId="26" fillId="31" borderId="38" xfId="0" applyNumberFormat="1" applyFont="1" applyFill="1" applyBorder="1" applyAlignment="1">
      <x:alignment vertical="center"/>
    </x:xf>
    <x:xf numFmtId="0" fontId="0" fillId="0" borderId="85" xfId="0" applyNumberFormat="1" applyFont="1" applyFill="1" applyBorder="1"/>
    <x:xf numFmtId="0" fontId="0" fillId="0" borderId="86" xfId="0" applyNumberFormat="1" applyFont="1" applyFill="1" applyBorder="1"/>
    <x:xf numFmtId="0" fontId="0" fillId="0" borderId="87" xfId="0" applyNumberFormat="1" applyFont="1" applyFill="1" applyBorder="1"/>
    <x:xf numFmtId="0" fontId="0" fillId="0" borderId="88" xfId="0" applyNumberFormat="1" applyFont="1" applyFill="1" applyBorder="1"/>
    <x:xf numFmtId="1" fontId="20" fillId="29" borderId="38" xfId="0" applyNumberFormat="1" applyFont="1" applyFill="1" applyBorder="1" applyAlignment="1">
      <x:alignment vertical="center"/>
    </x:xf>
    <x:xf numFmtId="2" fontId="20" fillId="29" borderId="38" xfId="0" applyNumberFormat="1" applyFont="1" applyFill="1" applyBorder="1" applyAlignment="1">
      <x:alignment vertical="center"/>
    </x:xf>
    <x:xf numFmtId="1" fontId="27" fillId="31" borderId="38" xfId="0" applyNumberFormat="1" applyFont="1" applyFill="1" applyBorder="1" applyAlignment="1">
      <x:alignment vertical="center"/>
    </x:xf>
    <x:xf numFmtId="173" fontId="27" fillId="29" borderId="38" xfId="0" applyNumberFormat="1" applyFont="1" applyFill="1" applyBorder="1" applyAlignment="1">
      <x:alignment vertical="center"/>
    </x:xf>
    <x:xf numFmtId="173" fontId="20" fillId="32" borderId="38" xfId="0" applyNumberFormat="1" applyFont="1" applyFill="1" applyBorder="1" applyAlignment="1">
      <x:alignment vertical="center"/>
    </x:xf>
    <x:xf numFmtId="0" fontId="20" fillId="33" borderId="38" xfId="0" applyNumberFormat="1" applyFont="1" applyFill="1" applyBorder="1" applyAlignment="1">
      <x:alignment vertical="center"/>
    </x:xf>
    <x:xf numFmtId="173" fontId="27" fillId="33" borderId="38" xfId="0" applyNumberFormat="1" applyFont="1" applyFill="1" applyBorder="1" applyAlignment="1">
      <x:alignment vertical="center"/>
    </x:xf>
    <x:xf numFmtId="173" fontId="20" fillId="34" borderId="38" xfId="0" applyNumberFormat="1" applyFont="1" applyFill="1" applyBorder="1" applyAlignment="1">
      <x:alignment vertical="center"/>
    </x:xf>
    <x:xf numFmtId="173" fontId="26" fillId="35" borderId="38" xfId="0" applyNumberFormat="1" applyFont="1" applyFill="1" applyBorder="1" applyAlignment="1">
      <x:alignment vertical="center"/>
    </x:xf>
    <x:xf numFmtId="173" fontId="27" fillId="35" borderId="38" xfId="0" applyNumberFormat="1" applyFont="1" applyFill="1" applyBorder="1" applyAlignment="1">
      <x:alignment vertical="center"/>
    </x:xf>
    <x:xf numFmtId="0" fontId="26" fillId="35" borderId="38" xfId="0" applyNumberFormat="1" applyFont="1" applyFill="1" applyBorder="1" applyAlignment="1">
      <x:alignment vertical="center"/>
    </x:xf>
  </x:cellXfs>
  <x:cellStyles count="2">
    <x:cellStyle name="Normal" xfId="0"/>
    <x:cellStyle name="Moneda [0]" xfId="1"/>
  </x:cellStyles>
  <x:dxfs count="15">
    <x:dxf>
      <x:numFmt numFmtId="32" formatCode="_ &quot;$&quot;* #,##0_ ;_ &quot;$&quot;* \-#,##0_ ;_ &quot;$&quot;* &quot;-&quot;_ ;_ @_ "/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bottom style="thin">
          <x:color indexed="64"/>
        </x:bottom>
      </x:border>
    </x:dxf>
    <x:dxf>
      <x:fill>
        <x:patternFill>
          <x:bgColor indexed="64"/>
        </x:patternFill>
      </x:fill>
    </x:dxf>
    <x:dxf>
      <x:font>
        <x:b/>
        <x:sz val="11"/>
        <x:color theme="1"/>
        <x:name val="Arial"/>
      </x:font>
    </x:dxf>
    <x:dxf>
      <x:fill>
        <x:patternFill>
          <x:bgColor rgb="00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72fbd23714367" /><Relationship Type="http://schemas.openxmlformats.org/officeDocument/2006/relationships/theme" Target="/xl/theme/theme1.xml" Id="Rf6507c25d21842d8" /><Relationship Type="http://schemas.openxmlformats.org/officeDocument/2006/relationships/sharedStrings" Target="/xl/sharedStrings.xml" Id="Rb36185c2f94446dc" /><Relationship Type="http://schemas.openxmlformats.org/officeDocument/2006/relationships/worksheet" Target="/xl/worksheets/sheet1.xml" Id="R22bdaa6d99944633" /><Relationship Type="http://schemas.openxmlformats.org/officeDocument/2006/relationships/worksheet" Target="/xl/worksheets/sheet2.xml" Id="Rfae5a1f947b34470" /><Relationship Type="http://schemas.openxmlformats.org/officeDocument/2006/relationships/worksheet" Target="/xl/worksheets/sheet3.xml" Id="R4ff4aa92d9c94815" /><Relationship Type="http://schemas.openxmlformats.org/officeDocument/2006/relationships/worksheet" Target="/xl/worksheets/sheet4.xml" Id="R6ef6fc776f324bf6" /><Relationship Type="http://schemas.openxmlformats.org/officeDocument/2006/relationships/worksheet" Target="/xl/worksheets/sheet5.xml" Id="Rbf53208962b0424b" /><Relationship Type="http://schemas.openxmlformats.org/officeDocument/2006/relationships/worksheet" Target="/xl/worksheets/sheet6.xml" Id="R5a4ef9caacfa48fa" /><Relationship Type="http://schemas.openxmlformats.org/officeDocument/2006/relationships/worksheet" Target="/xl/worksheets/sheet7.xml" Id="Rd5135a1cbd504db2" /><Relationship Type="http://schemas.openxmlformats.org/officeDocument/2006/relationships/worksheet" Target="/xl/worksheets/sheet8.xml" Id="R7d85902a32db48d5" /><Relationship Type="http://schemas.openxmlformats.org/officeDocument/2006/relationships/worksheet" Target="/xl/worksheets/sheet9.xml" Id="R90ccf215de314b21" /><Relationship Type="http://schemas.openxmlformats.org/officeDocument/2006/relationships/worksheet" Target="/xl/worksheets/sheet10.xml" Id="R3cd710dd4e3a4d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347a892adee412d" /><Relationship Type="http://schemas.openxmlformats.org/officeDocument/2006/relationships/image" Target="/xl/media/image2.png" Id="Rdb3f7987353b44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ef0282a0b3fa45a3" /><Relationship Type="http://schemas.openxmlformats.org/officeDocument/2006/relationships/image" Target="/xl/media/image2.jpg" Id="R00f6caf3134a4d8d" /><Relationship Type="http://schemas.openxmlformats.org/officeDocument/2006/relationships/image" Target="/xl/media/image3.jpg" Id="R1fb5edf83070472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8c3c58153af9469c" /><Relationship Type="http://schemas.openxmlformats.org/officeDocument/2006/relationships/image" Target="/xl/media/image4.png" Id="R90808c051a574a69" /><Relationship Type="http://schemas.openxmlformats.org/officeDocument/2006/relationships/image" Target="/xl/media/image5.png" Id="Redc69ef72c914c66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1219200</xdr:colOff>
      <xdr:row>24</xdr:row>
      <xdr:rowOff>44823</xdr:rowOff>
    </xdr:from>
    <xdr:to>
      <xdr:col>11</xdr:col>
      <xdr:colOff>34678</xdr:colOff>
      <xdr:row>37</xdr:row>
      <xdr:rowOff>47332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47a892adee41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6</xdr:col>
      <xdr:colOff>768939</xdr:colOff>
      <xdr:row>38</xdr:row>
      <xdr:rowOff>42773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3f7987353b44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37</xdr:col>
      <xdr:colOff>27215</xdr:colOff>
      <xdr:row>12</xdr:row>
      <xdr:rowOff>186228</xdr:rowOff>
    </xdr:from>
    <xdr:to>
      <xdr:col>38</xdr:col>
      <xdr:colOff>941294</xdr:colOff>
      <xdr:row>20</xdr:row>
      <xdr:rowOff>22410</xdr:rowOff>
    </xdr:to>
    <xdr:pic>
      <xdr:nvPicPr>
        <xdr:cNvPr id="1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0282a0b3fa45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36</xdr:col>
      <xdr:colOff>803597</xdr:colOff>
      <xdr:row>19</xdr:row>
      <xdr:rowOff>190500</xdr:rowOff>
    </xdr:from>
    <xdr:to>
      <xdr:col>38</xdr:col>
      <xdr:colOff>649942</xdr:colOff>
      <xdr:row>26</xdr:row>
      <xdr:rowOff>7932</xdr:rowOff>
    </xdr:to>
    <xdr:pic>
      <xdr:nvPicPr>
        <xdr:cNvPr id="2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6caf3134a4d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37</xdr:col>
      <xdr:colOff>16012</xdr:colOff>
      <xdr:row>26</xdr:row>
      <xdr:rowOff>773</xdr:rowOff>
    </xdr:from>
    <xdr:to>
      <xdr:col>38</xdr:col>
      <xdr:colOff>773207</xdr:colOff>
      <xdr:row>32</xdr:row>
      <xdr:rowOff>92739</xdr:rowOff>
    </xdr:to>
    <xdr:pic>
      <xdr:nvPicPr>
        <xdr:cNvPr id="3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b5edf8307047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3</xdr:col>
      <xdr:colOff>582706</xdr:colOff>
      <xdr:row>32</xdr:row>
      <xdr:rowOff>8965</xdr:rowOff>
    </xdr:from>
    <xdr:to>
      <xdr:col>16</xdr:col>
      <xdr:colOff>351804</xdr:colOff>
      <xdr:row>46</xdr:row>
      <xdr:rowOff>146467</xdr:rowOff>
    </xdr:to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c58153af946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681318</xdr:colOff>
      <xdr:row>47</xdr:row>
      <xdr:rowOff>80682</xdr:rowOff>
    </xdr:from>
    <xdr:to>
      <xdr:col>16</xdr:col>
      <xdr:colOff>907559</xdr:colOff>
      <xdr:row>62</xdr:row>
      <xdr:rowOff>48414</xdr:rowOff>
    </xdr:to>
    <xdr:pic>
      <xdr:nvPicPr>
        <xdr:cNvPr id="2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808c051a574a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645459</xdr:colOff>
      <xdr:row>60</xdr:row>
      <xdr:rowOff>170330</xdr:rowOff>
    </xdr:from>
    <xdr:to>
      <xdr:col>8</xdr:col>
      <xdr:colOff>856324</xdr:colOff>
      <xdr:row>74</xdr:row>
      <xdr:rowOff>164974</xdr:rowOff>
    </xdr:to>
    <xdr:pic>
      <xdr:nvPicPr>
        <xdr:cNvPr id="3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69ef72c914c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Tabla2" displayName="Tabla2" ref="B4:L20" headerRowCount="1" totalsRowShown="0" dataDxfId="12">
  <x:autoFilter ref="B4:L20"/>
  <x:tableColumns count="11">
    <x:tableColumn id="1" name="Proveedor" dataDxfId="10"/>
    <x:tableColumn id="2" name="codigo" dataDxfId="9"/>
    <x:tableColumn id="3" name="Plancha" dataDxfId="8"/>
    <x:tableColumn id="4" name="Inventario" dataDxfId="7"/>
    <x:tableColumn id="5" name="Costo Unitario" dataDxfId="6">
      <x:calculatedColumnFormula>LISTADO!AI1</x:calculatedColumnFormula>
    </x:tableColumn>
    <x:tableColumn id="6" name="L" dataDxfId="5"/>
    <x:tableColumn id="7" name="W" dataDxfId="4"/>
    <x:tableColumn id="8" name="Factor" dataDxfId="3"/>
    <x:tableColumn id="9" name="P $Venta" dataDxfId="2">
      <x:calculatedColumnFormula>Tabla2[[#This Row],[Costo Unitario]]*Tabla2[[#This Row],[Factor]]</x:calculatedColumnFormula>
    </x:tableColumn>
    <x:tableColumn id="10" name="Planchas" dataDxfId="1"/>
    <x:tableColumn id="11" name="Total" dataDxfId="0">
      <x:calculatedColumnFormula>Tabla2[[#This Row],[P $Venta]]*Tabla2[[#This Row],[Planchas]]</x:calculatedColumnFormula>
    </x:tableColumn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4abbb5f3a644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229c04dfc3d4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6e2878eb3244999" /><Relationship Type="http://schemas.openxmlformats.org/officeDocument/2006/relationships/table" Target="/xl/tables/table1.xml" Id="R2ec0f1e7c7024a9e" /></Relationships>
</file>

<file path=xl/worksheets/sheet1.xml><?xml version="1.0" encoding="utf-8"?>
<x:worksheet xmlns:x="http://schemas.openxmlformats.org/spreadsheetml/2006/main">
  <x:sheetPr>
    <x:tabColor rgb="0017365D"/>
  </x:sheetPr>
  <x:sheetViews>
    <x:sheetView showGridLines="0" workbookViewId="0"/>
  </x:sheetViews>
  <x:sheetFormatPr baseColWidth="8" defaultRowHeight="15"/>
  <x:cols>
    <x:col min="1" max="1" width="24" style="117" customWidth="1"/>
    <x:col min="2" max="2" width="28" style="117" customWidth="1"/>
    <x:col min="3" max="3" width="5" style="117" customWidth="1"/>
    <x:col min="4" max="4" width="24" style="117" customWidth="1"/>
    <x:col min="5" max="5" width="28" style="117" customWidth="1"/>
    <x:col min="6" max="6" width="5" style="117" customWidth="1"/>
    <x:col min="7" max="7" width="24" style="117" customWidth="1"/>
    <x:col min="8" max="8" width="28" style="117" customWidth="1"/>
    <x:col min="9" max="9" width="5" style="117" customWidth="1"/>
    <x:col min="10" max="10" width="24" style="117" customWidth="1"/>
    <x:col min="11" max="11" width="28" style="117" customWidth="1"/>
  </x:cols>
  <x:sheetData>
    <x:row r="1" s="117" customFormat="1" ht="34" customHeight="1">
      <x:c r="A1" s="217" t="inlineStr">
        <x:is>
          <x:t xml:space="preserve">COTIZADOR DE EMPAQUETADURAS</x:t>
        </x:is>
      </x:c>
    </x:row>
    <x:row r="2" s="117" customFormat="1" ht="22" customHeight="1">
      <x:c r="A2" s="218" t="inlineStr">
        <x:is>
          <x:t xml:space="preserve">Seleccione las opciones en amarillo. Los valores azules se calculan automáticamente.</x:t>
        </x:is>
      </x:c>
    </x:row>
    <x:row r="4">
      <x:c r="A4" s="304" t="inlineStr">
        <x:is>
          <x:t xml:space="preserve">1. EMPAQUETADURA PLANA / CORTADA</x:t>
        </x:is>
      </x:c>
      <x:c r="B4" s="291" t="n"/>
      <x:c r="C4" s="291" t="n"/>
      <x:c r="D4" s="291" t="n"/>
      <x:c r="E4" s="291" t="n"/>
      <x:c r="G4" s="304" t="inlineStr">
        <x:is>
          <x:t xml:space="preserve">2. EMPAQUETADURA TRENZADA</x:t>
        </x:is>
      </x:c>
      <x:c r="H4" s="291" t="n"/>
      <x:c r="I4" s="291" t="n"/>
      <x:c r="J4" s="291" t="n"/>
      <x:c r="K4" s="291" t="n"/>
    </x:row>
    <x:row r="5">
      <x:c r="A5" s="221" t="inlineStr">
        <x:is>
          <x:t xml:space="preserve">Material</x:t>
        </x:is>
      </x:c>
      <x:c r="B5" s="222" t="inlineStr">
        <x:is>
          <x:t xml:space="preserve">DURLON 9000 1/8</x:t>
        </x:is>
      </x:c>
      <x:c r="D5" s="221" t="inlineStr">
        <x:is>
          <x:t xml:space="preserve">Costo de corte unitario</x:t>
        </x:is>
      </x:c>
      <x:c r="E5" s="292" t="str">
        <x:f>IFERROR(VLOOKUP(B6,LISTADO!A:L,12,0),"")</x:f>
      </x:c>
      <x:c r="G5" s="293" t="str">
        <x:v>Estilo</x:v>
      </x:c>
      <x:c r="H5" s="529" t="n">
        <x:v>2100</x:v>
      </x:c>
      <x:c r="J5" s="293" t="str">
        <x:v>Precio venta / kg</x:v>
      </x:c>
      <x:c r="K5" s="532" t="n">
        <x:f>IFERROR(ROUND(H7*H8,-2),"")</x:f>
        <x:v>267800</x:v>
      </x:c>
    </x:row>
    <x:row r="6">
      <x:c r="A6" s="221" t="inlineStr">
        <x:is>
          <x:t xml:space="preserve">Tipo de corte</x:t>
        </x:is>
      </x:c>
      <x:c r="B6" s="222" t="inlineStr">
        <x:is>
          <x:t xml:space="preserve">FF150 3-1/2"</x:t>
        </x:is>
      </x:c>
      <x:c r="D6" s="221" t="inlineStr">
        <x:is>
          <x:t xml:space="preserve">Costo material / unidad</x:t>
        </x:is>
      </x:c>
      <x:c r="E6" s="292" t="str">
        <x:f>IFERROR(VLOOKUP(B5,LISTADO!AG:AI,3,0)/B8,"")</x:f>
      </x:c>
      <x:c r="G6" s="293" t="str">
        <x:v>Sección</x:v>
      </x:c>
      <x:c r="H6" s="529" t="str">
        <x:v>"3/4"</x:v>
      </x:c>
      <x:c r="J6" s="293" t="str">
        <x:v>Kg a cotizar</x:v>
      </x:c>
      <x:c r="K6" s="530" t="n">
        <x:v>2</x:v>
      </x:c>
    </x:row>
    <x:row r="7">
      <x:c r="A7" s="221" t="inlineStr">
        <x:is>
          <x:t xml:space="preserve">Cantidad a cotizar</x:t>
        </x:is>
      </x:c>
      <x:c r="B7" s="305" t="n">
        <x:v>8</x:v>
      </x:c>
      <x:c r="D7" s="221" t="inlineStr">
        <x:is>
          <x:t xml:space="preserve">Factor / margen</x:t>
        </x:is>
      </x:c>
      <x:c r="E7" s="222" t="n">
        <x:v>2</x:v>
      </x:c>
      <x:c r="G7" s="293" t="str">
        <x:v>Costo por kg</x:v>
      </x:c>
      <x:c r="H7" s="531" t="n">
        <x:f>IFERROR(VLOOKUP(H5&amp;"|"&amp;H6,AUX_COTIZADOR!$F$2:$J$17,5,FALSE),"")</x:f>
        <x:v>41194.92019403</x:v>
      </x:c>
      <x:c r="J7" s="293" t="str">
        <x:v>Total cotización</x:v>
      </x:c>
      <x:c r="K7" s="533" t="n">
        <x:f>IFERROR(K5*K6,"")</x:f>
        <x:v>535600</x:v>
      </x:c>
    </x:row>
    <x:row r="8">
      <x:c r="A8" s="221" t="inlineStr">
        <x:is>
          <x:t xml:space="preserve">Cantidad por plancha</x:t>
        </x:is>
      </x:c>
      <x:c r="B8" s="296" t="str">
        <x:f>IFERROR(ROUNDDOWN(VLOOKUP(B5,LISTADO!AG:AK,4,0)/VLOOKUP(B6,LISTADO!A:D,4,0),0)*ROUNDDOWN(VLOOKUP(B5,LISTADO!AG:AK,5,0)/VLOOKUP(B6,LISTADO!A:D,4,0),0),"")</x:f>
      </x:c>
      <x:c r="D8" s="221" t="inlineStr">
        <x:is>
          <x:t xml:space="preserve">Precio venta unitario</x:t>
        </x:is>
      </x:c>
      <x:c r="E8" s="294" t="n">
        <x:f>IFERROR(ROUND((E5+E6)*E7,-2),"")</x:f>
        <x:v>0</x:v>
      </x:c>
      <x:c r="G8" s="293" t="str">
        <x:v>Factor / margen</x:v>
      </x:c>
      <x:c r="H8" s="529" t="n">
        <x:v>6.5</x:v>
      </x:c>
      <x:c r="J8" s="293" t="str">
        <x:v>Estado</x:v>
      </x:c>
      <x:c r="K8" s="532" t="str">
        <x:f>IF(H7="","REVISAR COSTO","OK")</x:f>
        <x:v>OK</x:v>
      </x:c>
    </x:row>
    <x:row r="10">
      <x:c r="A10" s="221" t="inlineStr">
        <x:is>
          <x:t xml:space="preserve">Cantidad</x:t>
        </x:is>
      </x:c>
      <x:c r="B10" s="296" t="n">
        <x:f>B7</x:f>
        <x:v>8</x:v>
      </x:c>
      <x:c r="D10" s="221" t="inlineStr">
        <x:is>
          <x:t xml:space="preserve">Total cotización</x:t>
        </x:is>
      </x:c>
      <x:c r="E10" s="294" t="n">
        <x:f>IFERROR(B10*E8,"")</x:f>
        <x:v>0</x:v>
      </x:c>
      <x:c r="G10" s="221" t="inlineStr">
        <x:is>
          <x:t xml:space="preserve">Glosa</x:t>
        </x:is>
      </x:c>
      <x:c r="H10" s="534" t="str">
        <x:f>IFERROR(CONCATENATE("EMPAQUETADURA TRENZADA ESTILO ",H5," SECCION ",H6),"")</x:f>
        <x:v>EMPAQUETADURA TRENZADA ESTILO 2100 SECCION "3/4"</x:v>
      </x:c>
      <x:c r="I10" s="300" t="n"/>
      <x:c r="J10" s="300" t="n"/>
      <x:c r="K10" s="301" t="n"/>
    </x:row>
    <x:row r="11">
      <x:c r="A11" s="221" t="inlineStr">
        <x:is>
          <x:t xml:space="preserve">Glosa</x:t>
        </x:is>
      </x:c>
      <x:c r="B11" s="299" t="str">
        <x:f>IFERROR(CONCATENATE("EMPAQUETADURA ",B6," ",B5),"")</x:f>
        <x:v>EMPAQUETADURA FF150 3-1/2" DURLON 9000 1/8</x:v>
      </x:c>
      <x:c r="C11" s="300" t="n"/>
      <x:c r="D11" s="300" t="n"/>
      <x:c r="E11" s="301" t="n"/>
    </x:row>
    <x:row r="13">
      <x:c r="A13" s="229" t="inlineStr">
        <x:is>
          <x:t xml:space="preserve">RESUMEN DE COTIZACIÓN</x:t>
        </x:is>
      </x:c>
    </x:row>
    <x:row r="14">
      <x:c r="A14" s="221" t="inlineStr">
        <x:is>
          <x:t xml:space="preserve">Producto 1</x:t>
        </x:is>
      </x:c>
      <x:c r="B14" s="230" t="str">
        <x:f>B11</x:f>
        <x:v>EMPAQUETADURA FF150 3-1/2" DURLON 9000 1/8</x:v>
      </x:c>
      <x:c r="D14" s="221" t="inlineStr">
        <x:is>
          <x:t xml:space="preserve">Total</x:t>
        </x:is>
      </x:c>
      <x:c r="E14" s="224" t="n">
        <x:f>E10</x:f>
        <x:v>0</x:v>
      </x:c>
      <x:c r="G14" s="221" t="inlineStr">
        <x:is>
          <x:t xml:space="preserve">Producto 2</x:t>
        </x:is>
      </x:c>
      <x:c r="H14" s="230" t="str">
        <x:f>H10</x:f>
        <x:v>EMPAQUETADURA TRENZADA ESTILO 2100 SECCION "3/4"</x:v>
      </x:c>
      <x:c r="J14" s="221" t="inlineStr">
        <x:is>
          <x:t xml:space="preserve">Total</x:t>
        </x:is>
      </x:c>
      <x:c r="K14" s="224" t="n">
        <x:f>K7</x:f>
        <x:v>535600</x:v>
      </x:c>
    </x:row>
    <x:row r="16">
      <x:c r="A16" s="231" t="inlineStr">
        <x:is>
          <x:t xml:space="preserve">TOTAL GENERAL</x:t>
        </x:is>
      </x:c>
      <x:c r="B16" s="232" t="n">
        <x:f>SUM(E10,K7)</x:f>
        <x:v>535600</x:v>
      </x:c>
      <x:c r="C16" s="302" t="n"/>
      <x:c r="D16" s="302" t="n"/>
      <x:c r="E16" s="302" t="n"/>
      <x:c r="F16" s="302" t="n"/>
      <x:c r="G16" s="302" t="n"/>
      <x:c r="H16" s="302" t="n"/>
      <x:c r="I16" s="302" t="n"/>
      <x:c r="J16" s="302" t="n"/>
      <x:c r="K16" s="303" t="n"/>
    </x:row>
    <x:row r="19">
      <x:c r="A19" s="234" t="inlineStr">
        <x:is>
          <x:t xml:space="preserve">GUÍA RÁPIDA</x:t>
        </x:is>
      </x:c>
    </x:row>
    <x:row r="20" s="117" customFormat="1" ht="20" customHeight="1">
      <x:c r="A20" s="235" t="inlineStr">
        <x:is>
          <x:t xml:space="preserve">1. Seleccione el material y el tipo de corte en la sección de empaquetadura plana.</x:t>
        </x:is>
      </x:c>
    </x:row>
    <x:row r="21" s="117" customFormat="1" ht="20" customHeight="1">
      <x:c r="A21" s="235" t="inlineStr">
        <x:is>
          <x:t xml:space="preserve">2. Ingrese la cantidad que necesita y el factor/margen de venta.</x:t>
        </x:is>
      </x:c>
    </x:row>
    <x:row r="22" s="117" customFormat="1" ht="20" customHeight="1">
      <x:c r="A22" s="235" t="inlineStr">
        <x:is>
          <x:t xml:space="preserve">3. Para trenzadas, seleccione el estilo/sección, indique los kg y el factor/margen.</x:t>
        </x:is>
      </x:c>
    </x:row>
    <x:row r="23" s="117" customFormat="1" ht="20" customHeight="1">
      <x:c r="A23" s="235" t="inlineStr">
        <x:is>
          <x:t xml:space="preserve">4. Los costos, precios y totales se calculan automáticamente.</x:t>
        </x:is>
      </x:c>
    </x:row>
    <x:row r="24" s="117" customFormat="1" ht="20" customHeight="1">
      <x:c r="A24" s="235" t="inlineStr">
        <x:is>
          <x:t xml:space="preserve">5. Las celdas amarillas son editables; las verdes/azules son resultados calculados.</x:t>
        </x:is>
      </x:c>
    </x:row>
  </x:sheetData>
  <x:mergeCells>
    <x:mergeCell ref="A22:K22"/>
    <x:mergeCell ref="A4:E4"/>
    <x:mergeCell ref="A20:K20"/>
    <x:mergeCell ref="A21:K21"/>
    <x:mergeCell ref="A24:K24"/>
    <x:mergeCell ref="A2:K2"/>
    <x:mergeCell ref="A19:K19"/>
    <x:mergeCell ref="B16:K16"/>
    <x:mergeCell ref="B11:E11"/>
    <x:mergeCell ref="A13:K13"/>
    <x:mergeCell ref="A1:K1"/>
    <x:mergeCell ref="A23:K23"/>
    <x:mergeCell ref="H10:K10"/>
    <x:mergeCell ref="G4:K4"/>
  </x:mergeCells>
  <x:conditionalFormatting sqref="B8:B8">
    <x:cfRule type="cellIs" dxfId="14" priority="1" operator="equal">
      <x:formula>0</x:formula>
    </x:cfRule>
  </x:conditionalFormatting>
  <x:dataValidations count="8">
    <x:dataValidation type="list" allowBlank="0" showDropDown="0" showInputMessage="0" showErrorMessage="0" sqref="B5">
      <x:formula1>=ListaMateriales</x:formula1>
    </x:dataValidation>
    <x:dataValidation type="list" allowBlank="0" showDropDown="0" showInputMessage="0" showErrorMessage="0" sqref="B6">
      <x:formula1>=ListaCortes</x:formula1>
    </x:dataValidation>
    <x:dataValidation type="list" allowBlank="0" showDropDown="0" showInputMessage="0" showErrorMessage="0" sqref="H5">
      <x:formula1>AUX_COTIZADOR!$C$1:$C$3</x:formula1>
    </x:dataValidation>
    <x:dataValidation type="list" allowBlank="0" showDropDown="0" showInputMessage="0" showErrorMessage="0" sqref="H6">
      <x:formula1>AUX_COTIZADOR!$D$1:$D$8</x:formula1>
    </x:dataValidation>
    <x:dataValidation type="decimal" operator="greaterThan" allowBlank="0" showDropDown="0" showInputMessage="0" showErrorMessage="0" sqref="B7 H7">
      <x:formula1>0</x:formula1>
    </x:dataValidation>
    <x:dataValidation type="decimal" operator="greaterThan" allowBlank="0" showDropDown="0" showInputMessage="0" showErrorMessage="0" sqref="E7 H8">
      <x:formula1>0</x:formula1>
    </x:dataValidation>
    <x:dataValidation type="decimal" operator="greaterThan" sqref="K6">
      <x:formula1>0</x:formula1>
    </x:dataValidation>
    <x:dataValidation type="decimal" operator="greaterThan" sqref="H8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A6A6A6"/>
  </x:sheetPr>
  <x:sheetFormatPr baseColWidth="10" defaultRowHeight="15"/>
  <x:cols>
    <x:col min="1" max="1" width="28" style="13" customWidth="1"/>
    <x:col min="2" max="2" width="46" style="13" customWidth="1"/>
    <x:col min="3" max="3" width="25.375" style="1" customWidth="1"/>
    <x:col min="4" max="4" width="16.875" style="1" customWidth="1"/>
    <x:col min="5" max="5" width="27.125" style="1" customWidth="1"/>
    <x:col min="6" max="6" width="10.625" style="1" customWidth="1"/>
    <x:col min="7" max="7" width="19.25" style="117" customWidth="1"/>
    <x:col min="8" max="8" width="41.5" style="117" customWidth="1"/>
    <x:col min="9" max="9" width="18.75" style="117" customWidth="1"/>
  </x:cols>
  <x:sheetData>
    <x:row r="1" s="215" customFormat="1" ht="15.75" customHeight="1">
      <x:c r="A1" s="215" t="inlineStr">
        <x:is>
          <x:t xml:space="preserve">COTIZA TU EMPAQUETADURA CORTADA**</x:t>
        </x:is>
      </x:c>
    </x:row>
    <x:row r="2" s="69" customFormat="1" ht="15.75" customHeight="1">
      <x:c r="A2" s="70" t="inlineStr">
        <x:is>
          <x:t xml:space="preserve">Seleccionar Material</x:t>
        </x:is>
      </x:c>
      <x:c r="B2" s="131" t="inlineStr">
        <x:is>
          <x:t xml:space="preserve">DURLON 9000 1/8</x:t>
        </x:is>
      </x:c>
      <x:c r="C2" s="132" t="inlineStr">
        <x:is>
          <x:t xml:space="preserve">Cantidad X Plancha</x:t>
        </x:is>
      </x:c>
      <x:c r="D2" s="133" t="e">
        <x:f>ROUNDDOWN(VLOOKUP(B2,LISTADO!AG:AK,4,0)/VLOOKUP(GENERAL!B3,LISTADO!A:D,4,0),0)*ROUNDDOWN(VLOOKUP(B2,LISTADO!AG:AK,5,0)/VLOOKUP(GENERAL!B3,LISTADO!A:D,4,0),0)</x:f>
        <x:v>#N/A</x:v>
      </x:c>
      <x:c r="E2" s="134" t="n"/>
      <x:c r="F2" s="134" t="n"/>
      <x:c r="G2" s="70" t="inlineStr">
        <x:is>
          <x:t xml:space="preserve">Seleccionar Material</x:t>
        </x:is>
      </x:c>
      <x:c r="H2" s="131" t="inlineStr">
        <x:is>
          <x:t xml:space="preserve">PTFE EXP 1/8</x:t>
        </x:is>
      </x:c>
      <x:c r="I2" s="132" t="inlineStr">
        <x:is>
          <x:t xml:space="preserve">Cantidad X Plancha</x:t>
        </x:is>
      </x:c>
      <x:c r="J2" s="133" t="e">
        <x:f>ROUNDDOWN(VLOOKUP(H2,LISTADO!AM:AQ,4,0)/VLOOKUP(GENERAL!H3,LISTADO!G:J,4,0),0)*ROUNDDOWN(VLOOKUP(H2,LISTADO!AM:AQ,5,0)/VLOOKUP(GENERAL!H3,LISTADO!G:J,4,0),0)</x:f>
        <x:v>#N/A</x:v>
      </x:c>
    </x:row>
    <x:row r="3" s="69" customFormat="1">
      <x:c r="A3" s="70" t="inlineStr">
        <x:is>
          <x:t xml:space="preserve">Corte</x:t>
        </x:is>
      </x:c>
      <x:c r="B3" s="135" t="inlineStr">
        <x:is>
          <x:t xml:space="preserve">FF150 3-1/2"</x:t>
        </x:is>
      </x:c>
      <x:c r="C3" s="188" t="n"/>
      <x:c r="D3" s="134" t="n"/>
      <x:c r="E3" s="134" t="n"/>
      <x:c r="F3" s="134" t="n"/>
      <x:c r="G3" s="70" t="inlineStr">
        <x:is>
          <x:t xml:space="preserve">Corte</x:t>
        </x:is>
      </x:c>
      <x:c r="H3" s="30" t="inlineStr">
        <x:is>
          <x:t xml:space="preserve">FF150 20"</x:t>
        </x:is>
      </x:c>
      <x:c r="I3" s="134" t="n"/>
      <x:c r="J3" s="134" t="n"/>
    </x:row>
    <x:row r="4" s="69" customFormat="1">
      <x:c r="A4" s="70" t="inlineStr">
        <x:is>
          <x:t xml:space="preserve">Costo unitario</x:t>
        </x:is>
      </x:c>
      <x:c r="B4" s="236" t="e">
        <x:f>VLOOKUP(B3,LISTADO!A:L,12,0)+(VLOOKUP(B2,LISTADO!AG:AI,3,0)/$D$2)</x:f>
        <x:v>#N/A</x:v>
      </x:c>
      <x:c r="C4" s="188" t="n"/>
      <x:c r="D4" s="134" t="n"/>
      <x:c r="E4" s="134" t="n"/>
      <x:c r="F4" s="134" t="n"/>
      <x:c r="G4" s="70" t="inlineStr">
        <x:is>
          <x:t xml:space="preserve">Costo unitario</x:t>
        </x:is>
      </x:c>
      <x:c r="H4" s="236" t="e">
        <x:f>VLOOKUP(H3,LISTADO!G:L,12,0)+(VLOOKUP(H2,LISTADO!AG:AI,3,0)/$J$2)</x:f>
        <x:v>#N/A</x:v>
      </x:c>
      <x:c r="I4" s="134" t="n"/>
      <x:c r="J4" s="134" t="n"/>
    </x:row>
    <x:row r="5" s="69" customFormat="1" ht="15.75" customHeight="1">
      <x:c r="A5" s="70" t="inlineStr">
        <x:is>
          <x:t xml:space="preserve">Margen Factor</x:t>
        </x:is>
      </x:c>
      <x:c r="B5" s="178" t="n">
        <x:v>2</x:v>
      </x:c>
      <x:c r="C5" s="188" t="n"/>
      <x:c r="D5" s="134" t="n"/>
      <x:c r="E5" s="134" t="n"/>
      <x:c r="F5" s="134" t="n"/>
      <x:c r="G5" s="70" t="inlineStr">
        <x:is>
          <x:t xml:space="preserve">Margen</x:t>
        </x:is>
      </x:c>
      <x:c r="H5" s="137" t="n">
        <x:v>0.5</x:v>
      </x:c>
      <x:c r="I5" s="134" t="n"/>
      <x:c r="J5" s="134" t="n"/>
    </x:row>
    <x:row r="6" s="69" customFormat="1" ht="15.75" customHeight="1">
      <x:c r="A6" s="71" t="inlineStr">
        <x:is>
          <x:t xml:space="preserve">P venta unitario</x:t>
        </x:is>
      </x:c>
      <x:c r="B6" s="237" t="e">
        <x:f>ROUND(B4*(B5),-2)</x:f>
        <x:v>#VALUE!</x:v>
      </x:c>
      <x:c r="C6" s="189" t="inlineStr">
        <x:is>
          <x:t xml:space="preserve">CLIENTE</x:t>
        </x:is>
      </x:c>
      <x:c r="D6" s="189" t="inlineStr">
        <x:is>
          <x:t xml:space="preserve">TENIENTE</x:t>
        </x:is>
      </x:c>
      <x:c r="E6" s="134" t="n"/>
      <x:c r="F6" s="134" t="n"/>
      <x:c r="G6" s="71" t="inlineStr">
        <x:is>
          <x:t xml:space="preserve">P venta unitario</x:t>
        </x:is>
      </x:c>
      <x:c r="H6" s="237" t="e">
        <x:f>ROUNDUP(H4/(1-H5),)</x:f>
        <x:v>#N/A</x:v>
      </x:c>
      <x:c r="I6" s="134" t="n"/>
      <x:c r="J6" s="134" t="n"/>
    </x:row>
    <x:row r="7" s="69" customFormat="1">
      <x:c r="A7" s="71" t="inlineStr">
        <x:is>
          <x:t xml:space="preserve">Cantidad</x:t>
        </x:is>
      </x:c>
      <x:c r="B7" s="139" t="n">
        <x:v>8</x:v>
      </x:c>
      <x:c r="C7" s="238" t="n">
        <x:v>35600</x:v>
      </x:c>
      <x:c r="D7" s="134" t="n"/>
      <x:c r="E7" s="134" t="n"/>
      <x:c r="F7" s="134" t="n"/>
      <x:c r="G7" s="71" t="inlineStr">
        <x:is>
          <x:t xml:space="preserve">Cantidad</x:t>
        </x:is>
      </x:c>
      <x:c r="H7" s="139" t="n">
        <x:v>3</x:v>
      </x:c>
      <x:c r="I7" s="134" t="n"/>
      <x:c r="J7" s="134" t="n"/>
    </x:row>
    <x:row r="8" s="69" customFormat="1">
      <x:c r="A8" s="71" t="inlineStr">
        <x:is>
          <x:t xml:space="preserve">Total</x:t>
        </x:is>
      </x:c>
      <x:c r="B8" s="239" t="e">
        <x:f>B7*B6</x:f>
        <x:v>#VALUE!</x:v>
      </x:c>
      <x:c r="C8" s="134" t="n"/>
      <x:c r="D8" s="134" t="n"/>
      <x:c r="E8" s="134" t="n"/>
      <x:c r="F8" s="134" t="n"/>
      <x:c r="G8" s="71" t="inlineStr">
        <x:is>
          <x:t xml:space="preserve">Total</x:t>
        </x:is>
      </x:c>
      <x:c r="H8" s="239" t="e">
        <x:f>H7*H6</x:f>
        <x:v>#N/A</x:v>
      </x:c>
      <x:c r="I8" s="134" t="n"/>
      <x:c r="J8" s="134" t="n"/>
    </x:row>
    <x:row r="9" s="117" customFormat="1" ht="15.75" customHeight="1">
      <x:c r="A9" s="71" t="inlineStr">
        <x:is>
          <x:t xml:space="preserve">Glosa</x:t>
        </x:is>
      </x:c>
      <x:c r="B9" s="130" t="str">
        <x:f>CONCATENATE("EMPAQUETADURA"," ",B3," ",B2)</x:f>
        <x:v>EMPAQUETADURA FF150 3-1/2" DURLON 9000 1/8</x:v>
      </x:c>
      <x:c r="G9" s="71" t="inlineStr">
        <x:is>
          <x:t xml:space="preserve">Glosa</x:t>
        </x:is>
      </x:c>
      <x:c r="H9" s="130" t="str">
        <x:f>CONCATENATE("EMPAQUETADURA"," ",H3," ",H2)</x:f>
        <x:v>EMPAQUETADURA FF150 20" PTFE EXP 1/8</x:v>
      </x:c>
      <x:c r="I9" s="1" t="n"/>
      <x:c r="J9" s="1" t="n"/>
    </x:row>
    <x:row r="11">
      <x:c r="A11" s="13" t="inlineStr">
        <x:is>
          <x:t xml:space="preserve">CLIENTE</x:t>
        </x:is>
      </x:c>
    </x:row>
    <x:row r="12">
      <x:c r="A12" s="13" t="inlineStr">
        <x:is>
          <x:t xml:space="preserve">simtexx</x:t>
        </x:is>
      </x:c>
    </x:row>
    <x:row r="14" s="216" customFormat="1" ht="15.75" customHeight="1">
      <x:c r="A14" s="216" t="inlineStr">
        <x:is>
          <x:t xml:space="preserve">COTIZA TU EMPAQUETADURA TRENZADA**</x:t>
        </x:is>
      </x:c>
    </x:row>
    <x:row r="15">
      <x:c r="A15" s="122" t="inlineStr">
        <x:is>
          <x:t xml:space="preserve">Seleccionar estilo - seccion</x:t>
        </x:is>
      </x:c>
      <x:c r="B15" s="123" t="inlineStr">
        <x:is>
          <x:t xml:space="preserve">430-"3/4"</x:t>
        </x:is>
      </x:c>
      <x:c r="C15" s="122" t="inlineStr">
        <x:is>
          <x:t xml:space="preserve">Seleccionar estilo - seccion</x:t>
        </x:is>
      </x:c>
      <x:c r="D15" s="123" t="inlineStr">
        <x:is>
          <x:t xml:space="preserve">430-"1/2"</x:t>
        </x:is>
      </x:c>
      <x:c r="E15" s="122" t="inlineStr">
        <x:is>
          <x:t xml:space="preserve">Seleccionar estilo - seccion</x:t>
        </x:is>
      </x:c>
      <x:c r="F15" s="123" t="inlineStr">
        <x:is>
          <x:t xml:space="preserve">430-"1"</x:t>
        </x:is>
      </x:c>
    </x:row>
    <x:row r="16">
      <x:c r="A16" s="124" t="inlineStr">
        <x:is>
          <x:t xml:space="preserve">Costo Kilo</x:t>
        </x:is>
      </x:c>
      <x:c r="B16" s="240" t="e">
        <x:f>VLOOKUP(B15,LISTADO!AB:AI,8,0)</x:f>
        <x:v>#N/A</x:v>
      </x:c>
      <x:c r="C16" s="124" t="inlineStr">
        <x:is>
          <x:t xml:space="preserve">Costo Kilo</x:t>
        </x:is>
      </x:c>
      <x:c r="D16" s="240" t="e">
        <x:f>VLOOKUP(D15,LISTADO!AB:AI,8,0)</x:f>
        <x:v>#N/A</x:v>
      </x:c>
      <x:c r="E16" s="124" t="inlineStr">
        <x:is>
          <x:t xml:space="preserve">Costo Kilo</x:t>
        </x:is>
      </x:c>
      <x:c r="F16" s="240" t="e">
        <x:f>VLOOKUP(F15,LISTADO!AB:AI,8,0)</x:f>
        <x:v>#N/A</x:v>
      </x:c>
    </x:row>
    <x:row r="17" s="117" customFormat="1" ht="15.75" customHeight="1">
      <x:c r="A17" s="124" t="inlineStr">
        <x:is>
          <x:t xml:space="preserve">Margen</x:t>
        </x:is>
      </x:c>
      <x:c r="B17" s="148" t="n">
        <x:v>6.5</x:v>
      </x:c>
      <x:c r="C17" s="124" t="inlineStr">
        <x:is>
          <x:t xml:space="preserve">factor</x:t>
        </x:is>
      </x:c>
      <x:c r="D17" s="148" t="n">
        <x:v>2</x:v>
      </x:c>
      <x:c r="E17" s="124" t="inlineStr">
        <x:is>
          <x:t xml:space="preserve">Margen</x:t>
        </x:is>
      </x:c>
      <x:c r="F17" s="126" t="n">
        <x:v>0.5</x:v>
      </x:c>
    </x:row>
    <x:row r="18" s="117" customFormat="1" ht="15.75" customHeight="1">
      <x:c r="A18" s="124" t="inlineStr">
        <x:is>
          <x:t xml:space="preserve">P Venta x KG</x:t>
        </x:is>
      </x:c>
      <x:c r="B18" s="241" t="e">
        <x:f>ROUND(B16*(B17),-2)</x:f>
        <x:v>#VALUE!</x:v>
      </x:c>
      <x:c r="C18" s="150" t="inlineStr">
        <x:is>
          <x:t xml:space="preserve">P Venta x KG</x:t>
        </x:is>
      </x:c>
      <x:c r="D18" s="242" t="e">
        <x:f>ROUNDUP(D16*(D17),0)</x:f>
        <x:v>#N/A</x:v>
      </x:c>
      <x:c r="E18" s="124" t="inlineStr">
        <x:is>
          <x:t xml:space="preserve">P Venta x KG</x:t>
        </x:is>
      </x:c>
      <x:c r="F18" s="240" t="e">
        <x:f>ROUNDUP(F16/(1-F17),0)</x:f>
        <x:v>#N/A</x:v>
      </x:c>
    </x:row>
    <x:row r="19">
      <x:c r="A19" s="124" t="inlineStr">
        <x:is>
          <x:t xml:space="preserve">KG</x:t>
        </x:is>
      </x:c>
      <x:c r="B19" s="148" t="n">
        <x:v>2</x:v>
      </x:c>
      <x:c r="C19" s="124" t="inlineStr">
        <x:is>
          <x:t xml:space="preserve">KG</x:t>
        </x:is>
      </x:c>
      <x:c r="D19" s="148" t="n">
        <x:v>9</x:v>
      </x:c>
      <x:c r="E19" s="124" t="inlineStr">
        <x:is>
          <x:t xml:space="preserve">KG</x:t>
        </x:is>
      </x:c>
      <x:c r="F19" s="148" t="n">
        <x:v>1</x:v>
      </x:c>
    </x:row>
    <x:row r="20">
      <x:c r="A20" s="124" t="inlineStr">
        <x:is>
          <x:t xml:space="preserve">P Venta Rollo</x:t>
        </x:is>
      </x:c>
      <x:c r="B20" s="240" t="e">
        <x:f>ROUNDUP(B19*B18,0)</x:f>
        <x:v>#VALUE!</x:v>
      </x:c>
      <x:c r="C20" s="124" t="inlineStr">
        <x:is>
          <x:t xml:space="preserve">P Venta Rollo</x:t>
        </x:is>
      </x:c>
      <x:c r="D20" s="240" t="e">
        <x:f>ROUNDUP(D19*D18,0)</x:f>
        <x:v>#N/A</x:v>
      </x:c>
      <x:c r="E20" s="124" t="inlineStr">
        <x:is>
          <x:t xml:space="preserve">P Venta Rollo</x:t>
        </x:is>
      </x:c>
      <x:c r="F20" s="240" t="e">
        <x:f>ROUNDUP(F19*F18,0)</x:f>
        <x:v>#N/A</x:v>
      </x:c>
    </x:row>
    <x:row r="21">
      <x:c r="A21" s="124" t="inlineStr">
        <x:is>
          <x:t xml:space="preserve">Cantidad de rollo</x:t>
        </x:is>
      </x:c>
      <x:c r="B21" s="148" t="n">
        <x:v>0</x:v>
      </x:c>
      <x:c r="C21" s="124" t="inlineStr">
        <x:is>
          <x:t xml:space="preserve">Cantidad de rollo</x:t>
        </x:is>
      </x:c>
      <x:c r="D21" s="148" t="n">
        <x:v>0</x:v>
      </x:c>
      <x:c r="E21" s="124" t="inlineStr">
        <x:is>
          <x:t xml:space="preserve">Cantidad de rollo</x:t>
        </x:is>
      </x:c>
      <x:c r="F21" s="148" t="n">
        <x:v>0</x:v>
      </x:c>
    </x:row>
    <x:row r="22" s="117" customFormat="1" ht="15.75" customHeight="1">
      <x:c r="A22" s="128" t="inlineStr">
        <x:is>
          <x:t xml:space="preserve">P venta total</x:t>
        </x:is>
      </x:c>
      <x:c r="B22" s="243" t="e">
        <x:f>B21*B20</x:f>
        <x:v>#VALUE!</x:v>
      </x:c>
      <x:c r="C22" s="128" t="inlineStr">
        <x:is>
          <x:t xml:space="preserve">P venta total</x:t>
        </x:is>
      </x:c>
      <x:c r="D22" s="243" t="e">
        <x:f>D21*D20</x:f>
        <x:v>#N/A</x:v>
      </x:c>
      <x:c r="E22" s="128" t="inlineStr">
        <x:is>
          <x:t xml:space="preserve">P venta total</x:t>
        </x:is>
      </x:c>
      <x:c r="F22" s="243" t="e">
        <x:f>F21*F20</x:f>
        <x:v>#N/A</x:v>
      </x:c>
    </x:row>
    <x:row r="25">
      <x:c r="B25" s="244" t="n"/>
    </x:row>
    <x:row r="26">
      <x:c r="E26" s="1" t="n">
        <x:v>10376365</x:v>
      </x:c>
    </x:row>
    <x:row r="27">
      <x:c r="B27" s="245" t="n"/>
    </x:row>
    <x:row r="29">
      <x:c r="B29" s="245" t="n"/>
    </x:row>
    <x:row r="31">
      <x:c r="B31" s="246" t="n"/>
    </x:row>
  </x:sheetData>
  <x:mergeCells>
    <x:mergeCell ref="A1:XFD1"/>
    <x:mergeCell ref="A14:XFD14"/>
  </x:mergeCells>
  <x:dataValidations count="2">
    <x:dataValidation type="list" allowBlank="1" showDropDown="0" showInputMessage="1" showErrorMessage="1" sqref="D15">
      <x:formula1>$AB$13:$AB$29</x:formula1>
    </x:dataValidation>
    <x:dataValidation type="list" allowBlank="1" showDropDown="0" showInputMessage="1" showErrorMessage="1" sqref="F15">
      <x:formula1>$AB$13:$AB$29</x:formula1>
    </x:dataValidation>
  </x:dataValidations>
  <x:pageMargins left="0.7" right="0.7" top="0.75" bottom="0.75" header="0.3" footer="0.3"/>
  <x:drawing xmlns:r="http://schemas.openxmlformats.org/officeDocument/2006/relationships" r:id="Rf04abbb5f3a6445f"/>
</x:worksheet>
</file>

<file path=xl/worksheets/sheet3.xml><?xml version="1.0" encoding="utf-8"?>
<x:worksheet xmlns:x="http://schemas.openxmlformats.org/spreadsheetml/2006/main">
  <x:sheetPr>
    <x:tabColor rgb="00A6A6A6"/>
  </x:sheetPr>
  <x:sheetFormatPr baseColWidth="10" defaultRowHeight="14.25"/>
  <x:cols>
    <x:col min="1" max="1" width="12.75" style="117" customWidth="1"/>
    <x:col min="2" max="2" width="15.625" style="33" customWidth="1"/>
    <x:col min="3" max="3" width="9.75" style="56" customWidth="1"/>
    <x:col min="4" max="4" width="10.625" style="56" customWidth="1"/>
    <x:col min="5" max="5" width="10.625" style="59" customWidth="1"/>
    <x:col min="6" max="8" width="10.625" style="56" customWidth="1"/>
    <x:col min="9" max="9" width="8.625" style="48" customWidth="1"/>
    <x:col min="10" max="10" width="10.625" style="63" customWidth="1"/>
    <x:col min="11" max="11" width="10.625" style="247" customWidth="1"/>
    <x:col min="12" max="12" width="10.625" style="63" customWidth="1"/>
    <x:col min="13" max="14" width="10.625" style="49" customWidth="1"/>
    <x:col min="15" max="17" width="10.625" style="17" customWidth="1"/>
    <x:col min="18" max="18" width="20.375" style="117" customWidth="1"/>
    <x:col min="19" max="20" width="10.625" style="117" customWidth="1"/>
    <x:col min="22" max="22" width="22" style="117" customWidth="1"/>
    <x:col min="25" max="26" width="10.625" style="1" customWidth="1"/>
    <x:col min="27" max="28" width="53.125" style="1" customWidth="1"/>
    <x:col min="29" max="29" width="18.625" style="1" customWidth="1"/>
    <x:col min="30" max="30" width="15.375" style="117" customWidth="1"/>
    <x:col min="31" max="31" width="10.625" style="1" customWidth="1"/>
    <x:col min="32" max="32" width="21" style="1" customWidth="1"/>
    <x:col min="33" max="33" width="66.25" style="1" customWidth="1"/>
    <x:col min="34" max="34" width="10.5" style="1" customWidth="1"/>
    <x:col min="35" max="35" width="18.125" style="248" customWidth="1"/>
    <x:col min="36" max="37" width="10.625" style="12" customWidth="1"/>
    <x:col min="39" max="39" width="16.125" style="117" customWidth="1"/>
    <x:col min="41" max="41" width="12.5" style="117" customWidth="1"/>
  </x:cols>
  <x:sheetData>
    <x:row r="1" s="117" customFormat="1" ht="30.75" customHeight="1">
      <x:c r="A1" s="31" t="inlineStr">
        <x:is>
          <x:t xml:space="preserve">CONCATENADO</x:t>
        </x:is>
      </x:c>
      <x:c r="B1" s="31" t="inlineStr">
        <x:is>
          <x:t xml:space="preserve">EMPAQUETADURA</x:t>
        </x:is>
      </x:c>
      <x:c r="C1" s="53" t="inlineStr">
        <x:is>
          <x:t xml:space="preserve">NPS</x:t>
        </x:is>
      </x:c>
      <x:c r="D1" s="53" t="inlineStr">
        <x:is>
          <x:t xml:space="preserve">OD
mm</x:t>
        </x:is>
      </x:c>
      <x:c r="E1" s="58" t="inlineStr">
        <x:is>
          <x:t xml:space="preserve">ID
mm</x:t>
        </x:is>
      </x:c>
      <x:c r="F1" s="53" t="inlineStr">
        <x:is>
          <x:t xml:space="preserve">NUMERO PERNOS</x:t>
        </x:is>
      </x:c>
      <x:c r="G1" s="53" t="inlineStr">
        <x:is>
          <x:t xml:space="preserve">DIAMETRO PERNO</x:t>
        </x:is>
      </x:c>
      <x:c r="H1" s="53" t="inlineStr">
        <x:is>
          <x:t xml:space="preserve">CLASE</x:t>
        </x:is>
      </x:c>
      <x:c r="I1" s="53" t="inlineStr">
        <x:is>
          <x:t xml:space="preserve">Perimetro total</x:t>
        </x:is>
      </x:c>
      <x:c r="J1" s="53" t="inlineStr">
        <x:is>
          <x:t xml:space="preserve">TIEMPO CORTE</x:t>
        </x:is>
      </x:c>
      <x:c r="K1" s="53" t="inlineStr">
        <x:is>
          <x:t xml:space="preserve">H/H </x:t>
        </x:is>
      </x:c>
      <x:c r="L1" s="53" t="inlineStr">
        <x:is>
          <x:t xml:space="preserve">COSTO MAQ</x:t>
        </x:is>
      </x:c>
      <x:c r="M1" s="51" t="n"/>
      <x:c r="N1" s="46" t="n"/>
      <x:c r="O1" s="39" t="n"/>
      <x:c r="P1" s="39" t="n"/>
      <x:c r="Q1" s="40" t="n"/>
      <x:c r="R1" s="92" t="inlineStr">
        <x:is>
          <x:t xml:space="preserve">Producto</x:t>
        </x:is>
      </x:c>
      <x:c r="S1" s="92" t="inlineStr">
        <x:is>
          <x:t xml:space="preserve">Largo</x:t>
        </x:is>
      </x:c>
      <x:c r="T1" s="92" t="inlineStr">
        <x:is>
          <x:t xml:space="preserve">Ancho</x:t>
        </x:is>
      </x:c>
      <x:c r="U1" s="16" t="n"/>
      <x:c r="V1" s="18" t="inlineStr">
        <x:is>
          <x:t xml:space="preserve">Costo Corte</x:t>
        </x:is>
      </x:c>
      <x:c r="W1" s="19" t="n"/>
      <x:c r="Y1" s="2" t="inlineStr">
        <x:is>
          <x:t xml:space="preserve">Pulgadas</x:t>
        </x:is>
      </x:c>
      <x:c r="Z1" s="3" t="inlineStr">
        <x:is>
          <x:t xml:space="preserve">mm</x:t>
        </x:is>
      </x:c>
      <x:c r="AA1" s="2" t="inlineStr">
        <x:is>
          <x:t xml:space="preserve">Lamina</x:t>
        </x:is>
      </x:c>
      <x:c r="AB1" s="118" t="n"/>
      <x:c r="AC1" s="118" t="n"/>
      <x:c r="AE1" s="2" t="inlineStr">
        <x:is>
          <x:t xml:space="preserve">Proveedor</x:t>
        </x:is>
      </x:c>
      <x:c r="AF1" s="2" t="n"/>
      <x:c r="AG1" s="2" t="inlineStr">
        <x:is>
          <x:t xml:space="preserve">Plancha</x:t>
        </x:is>
      </x:c>
      <x:c r="AH1" s="3" t="inlineStr">
        <x:is>
          <x:t xml:space="preserve">Inventario</x:t>
        </x:is>
      </x:c>
      <x:c r="AI1" s="249" t="inlineStr">
        <x:is>
          <x:t xml:space="preserve">Costo unitario</x:t>
        </x:is>
      </x:c>
      <x:c r="AJ1" s="3" t="inlineStr">
        <x:is>
          <x:t xml:space="preserve">L</x:t>
        </x:is>
      </x:c>
      <x:c r="AK1" s="3" t="inlineStr">
        <x:is>
          <x:t xml:space="preserve">W</x:t>
        </x:is>
      </x:c>
      <x:c r="AL1" s="141" t="inlineStr">
        <x:is>
          <x:t xml:space="preserve">FACTOR</x:t>
        </x:is>
      </x:c>
      <x:c r="AM1" s="157" t="inlineStr">
        <x:is>
          <x:t xml:space="preserve">P VENTA</x:t>
        </x:is>
      </x:c>
      <x:c r="AN1" s="158" t="n"/>
      <x:c r="AO1" s="158" t="n"/>
    </x:row>
    <x:row r="2" s="117" customFormat="1" ht="14.449999809265137" customHeight="1">
      <x:c r="A2" s="68" t="str">
        <x:f>CONCATENATE(B2,H2," ",C2)</x:f>
        <x:v>FF150 1/2"</x:v>
      </x:c>
      <x:c r="B2" s="32" t="inlineStr">
        <x:is>
          <x:t xml:space="preserve">FF</x:t>
        </x:is>
      </x:c>
      <x:c r="C2" s="54" t="inlineStr">
        <x:is>
          <x:t xml:space="preserve">1/2"</x:t>
        </x:is>
      </x:c>
      <x:c r="D2" s="54" t="n">
        <x:v>90</x:v>
      </x:c>
      <x:c r="E2" s="57" t="n">
        <x:v>22.2</x:v>
      </x:c>
      <x:c r="F2" s="54" t="n">
        <x:v>4</x:v>
      </x:c>
      <x:c r="G2" s="55" t="n">
        <x:f>(5/8)*25.4</x:f>
        <x:v>15.875</x:v>
      </x:c>
      <x:c r="H2" s="55" t="n">
        <x:v>150</x:v>
      </x:c>
      <x:c r="I2" s="65" t="n">
        <x:f>(D2+E2+(G2*F2))*PI()</x:f>
        <x:v>551.9778292357266</x:v>
      </x:c>
      <x:c r="J2" s="66" t="n">
        <x:f>I2/$W$4</x:f>
        <x:v>5.519778292357266</x:v>
      </x:c>
      <x:c r="K2" s="250" t="n">
        <x:f>$W$6*J2</x:f>
        <x:v>613.3086991508073</x:v>
      </x:c>
      <x:c r="L2" s="250" t="n">
        <x:f>J2*$W$5</x:f>
        <x:v>3425.9423934564097</x:v>
      </x:c>
      <x:c r="M2" s="52" t="n"/>
      <x:c r="N2" s="34" t="n"/>
      <x:c r="O2" s="35" t="n"/>
      <x:c r="P2" s="36" t="n"/>
      <x:c r="Q2" s="37" t="n"/>
      <x:c r="R2" s="184" t="n">
        <x:v>9000</x:v>
      </x:c>
      <x:c r="S2" s="108" t="n">
        <x:v>1524</x:v>
      </x:c>
      <x:c r="T2" s="108" t="n">
        <x:v>1524</x:v>
      </x:c>
      <x:c r="U2" s="14" t="n"/>
      <x:c r="V2" s="19" t="inlineStr">
        <x:is>
          <x:t xml:space="preserve">Dolar/Hora</x:t>
        </x:is>
      </x:c>
      <x:c r="W2" s="251" t="n">
        <x:v>40</x:v>
      </x:c>
      <x:c r="Y2" s="4" t="n">
        <x:v>60</x:v>
      </x:c>
      <x:c r="Z2" s="5" t="n">
        <x:f>Y2*25.4</x:f>
        <x:v>1524</x:v>
      </x:c>
      <x:c r="AA2" s="6" t="inlineStr">
        <x:is>
          <x:t xml:space="preserve">9000,9007, PTEFE EXPANDIDO</x:t>
        </x:is>
      </x:c>
      <x:c r="AB2" s="15" t="n"/>
      <x:c r="AC2" s="15" t="n"/>
      <x:c r="AE2" s="91" t="inlineStr">
        <x:is>
          <x:t xml:space="preserve">TRIANGLE</x:t>
        </x:is>
      </x:c>
      <x:c r="AF2" s="91" t="inlineStr">
        <x:is>
          <x:t xml:space="preserve">DUR790001001</x:t>
        </x:is>
      </x:c>
      <x:c r="AG2" s="91" t="inlineStr">
        <x:is>
          <x:t xml:space="preserve">DURLON 7900 1/8</x:t>
        </x:is>
      </x:c>
      <x:c r="AH2" s="91" t="n">
        <x:f>VLOOKUP(AF2,Hoja7!A:F,6,0)</x:f>
        <x:v>83</x:v>
      </x:c>
      <x:c r="AI2" s="252" t="n">
        <x:f>VLOOKUP(AF2,'MAYOR AUX G'!A:K,11,0)</x:f>
        <x:v>133083.30290534</x:v>
      </x:c>
      <x:c r="AJ2" s="91" t="n">
        <x:v>1524</x:v>
      </x:c>
      <x:c r="AK2" s="91" t="n">
        <x:v>1600</x:v>
      </x:c>
      <x:c r="AM2" s="253" t="n"/>
    </x:row>
    <x:row r="3" s="117" customFormat="1" ht="15.75" customHeight="1">
      <x:c r="A3" s="68" t="str">
        <x:f>CONCATENATE(B3,H3," ",C3)</x:f>
        <x:v>FF150 3/4"</x:v>
      </x:c>
      <x:c r="B3" s="32" t="inlineStr">
        <x:is>
          <x:t xml:space="preserve">FF</x:t>
        </x:is>
      </x:c>
      <x:c r="C3" s="54" t="inlineStr">
        <x:is>
          <x:t xml:space="preserve">3/4"</x:t>
        </x:is>
      </x:c>
      <x:c r="D3" s="54" t="n">
        <x:v>100</x:v>
      </x:c>
      <x:c r="E3" s="57" t="n">
        <x:v>27.7</x:v>
      </x:c>
      <x:c r="F3" s="54" t="n">
        <x:v>4</x:v>
      </x:c>
      <x:c r="G3" s="55" t="n">
        <x:f>(5/8)*25.4</x:f>
        <x:v>15.875</x:v>
      </x:c>
      <x:c r="H3" s="55" t="n">
        <x:v>150</x:v>
      </x:c>
      <x:c r="I3" s="65" t="n">
        <x:f>(D3+E3+(G3*F3))*PI()</x:f>
        <x:v>600.6725153663684</x:v>
      </x:c>
      <x:c r="J3" s="66" t="n">
        <x:f>I3/$W$4</x:f>
        <x:v>6.006725153663684</x:v>
      </x:c>
      <x:c r="K3" s="250" t="n">
        <x:f>$W$6*J3</x:f>
        <x:v>667.4139059626316</x:v>
      </x:c>
      <x:c r="L3" s="250" t="n">
        <x:f>J3*$W$5</x:f>
        <x:v>3728.1740787072595</x:v>
      </x:c>
      <x:c r="M3" s="52" t="n"/>
      <x:c r="N3" s="34" t="n"/>
      <x:c r="O3" s="35" t="n"/>
      <x:c r="P3" s="36" t="n"/>
      <x:c r="Q3" s="37" t="n"/>
      <x:c r="R3" s="184" t="n">
        <x:v>9007</x:v>
      </x:c>
      <x:c r="S3" s="108" t="n">
        <x:v>1524</x:v>
      </x:c>
      <x:c r="T3" s="108" t="n">
        <x:v>1524</x:v>
      </x:c>
      <x:c r="U3" s="14" t="n"/>
      <x:c r="V3" s="19" t="inlineStr">
        <x:is>
          <x:t xml:space="preserve">CLP/Hora</x:t>
        </x:is>
      </x:c>
      <x:c r="W3" s="254" t="n">
        <x:v>37240</x:v>
      </x:c>
      <x:c r="Y3" s="4" t="n">
        <x:v>60</x:v>
      </x:c>
      <x:c r="Z3" s="5" t="n">
        <x:f>Y3*25.4</x:f>
        <x:v>1524</x:v>
      </x:c>
      <x:c r="AA3" s="6" t="inlineStr">
        <x:is>
          <x:t xml:space="preserve">9000,9007, PTEFE EXPANDIDO</x:t>
        </x:is>
      </x:c>
      <x:c r="AB3" s="15" t="n"/>
      <x:c r="AC3" s="15" t="n"/>
      <x:c r="AE3" s="91" t="inlineStr">
        <x:is>
          <x:t xml:space="preserve">TRIANGLE</x:t>
        </x:is>
      </x:c>
      <x:c r="AF3" s="91" t="inlineStr">
        <x:is>
          <x:t xml:space="preserve">DUR790001002</x:t>
        </x:is>
      </x:c>
      <x:c r="AG3" s="91" t="inlineStr">
        <x:is>
          <x:t xml:space="preserve">DURLON 7900 1/16</x:t>
        </x:is>
      </x:c>
      <x:c r="AH3" s="91" t="n">
        <x:f>VLOOKUP(AF3,Hoja7!A:F,6,0)</x:f>
        <x:v>8</x:v>
      </x:c>
      <x:c r="AI3" s="252" t="n">
        <x:f>VLOOKUP(AF3,'MAYOR AUX G'!A:K,11,0)</x:f>
        <x:v>58253.17847308</x:v>
      </x:c>
      <x:c r="AJ3" s="91" t="n">
        <x:v>1524</x:v>
      </x:c>
      <x:c r="AK3" s="91" t="n">
        <x:v>1600</x:v>
      </x:c>
      <x:c r="AM3" s="253" t="n">
        <x:f>AI3*AL3</x:f>
        <x:v>0</x:v>
      </x:c>
    </x:row>
    <x:row r="4" s="117" customFormat="1" ht="15.75" customHeight="1">
      <x:c r="A4" s="68" t="str">
        <x:f>CONCATENATE(B4,H4," ",C4)</x:f>
        <x:v>FF150 1"</x:v>
      </x:c>
      <x:c r="B4" s="32" t="inlineStr">
        <x:is>
          <x:t xml:space="preserve">FF</x:t>
        </x:is>
      </x:c>
      <x:c r="C4" s="54" t="inlineStr">
        <x:is>
          <x:t xml:space="preserve">1"</x:t>
        </x:is>
      </x:c>
      <x:c r="D4" s="54" t="n">
        <x:v>110</x:v>
      </x:c>
      <x:c r="E4" s="57" t="n">
        <x:v>34.5</x:v>
      </x:c>
      <x:c r="F4" s="54" t="n">
        <x:v>4</x:v>
      </x:c>
      <x:c r="G4" s="55" t="n">
        <x:f>(5/8)*25.4</x:f>
        <x:v>15.875</x:v>
      </x:c>
      <x:c r="H4" s="55" t="n">
        <x:v>150</x:v>
      </x:c>
      <x:c r="I4" s="65" t="n">
        <x:f>(D4+E4+(G4*F4))*PI()</x:f>
        <x:v>653.451271946677</x:v>
      </x:c>
      <x:c r="J4" s="66" t="n">
        <x:f>I4/$W$4</x:f>
        <x:v>6.53451271946677</x:v>
      </x:c>
      <x:c r="K4" s="250" t="n">
        <x:f>$W$6*J4</x:f>
        <x:v>726.0569688296412</x:v>
      </x:c>
      <x:c r="L4" s="250" t="n">
        <x:f>J4*$W$5</x:f>
        <x:v>4055.754227882375</x:v>
      </x:c>
      <x:c r="M4" s="52" t="n"/>
      <x:c r="N4" s="34" t="n"/>
      <x:c r="O4" s="35" t="n"/>
      <x:c r="P4" s="36" t="n"/>
      <x:c r="Q4" s="37" t="n"/>
      <x:c r="R4" s="184" t="n">
        <x:v>7900</x:v>
      </x:c>
      <x:c r="S4" s="108" t="n">
        <x:v>1524</x:v>
      </x:c>
      <x:c r="T4" s="184" t="n">
        <x:v>1600</x:v>
      </x:c>
      <x:c r="U4" s="16" t="n"/>
      <x:c r="V4" s="19" t="inlineStr">
        <x:is>
          <x:t xml:space="preserve">V. Corte [mm/min]</x:t>
        </x:is>
      </x:c>
      <x:c r="W4" s="251" t="n">
        <x:v>100</x:v>
      </x:c>
      <x:c r="Y4" s="4" t="n">
        <x:v>60</x:v>
      </x:c>
      <x:c r="Z4" s="5" t="n">
        <x:f>Y4*25.4</x:f>
        <x:v>1524</x:v>
      </x:c>
      <x:c r="AA4" s="6" t="n">
        <x:v>7900</x:v>
      </x:c>
      <x:c r="AB4" s="15" t="n"/>
      <x:c r="AC4" s="15" t="n"/>
      <x:c r="AE4" s="90" t="inlineStr">
        <x:is>
          <x:t xml:space="preserve">TRIANGLE</x:t>
        </x:is>
      </x:c>
      <x:c r="AF4" s="90" t="inlineStr">
        <x:is>
          <x:t xml:space="preserve">DUR850001001</x:t>
        </x:is>
      </x:c>
      <x:c r="AG4" s="90" t="inlineStr">
        <x:is>
          <x:t xml:space="preserve">DURLON 8500 1/8</x:t>
        </x:is>
      </x:c>
      <x:c r="AH4" s="90" t="n">
        <x:f>VLOOKUP(AF4,Hoja7!A:F,6,0)</x:f>
        <x:v>1</x:v>
      </x:c>
      <x:c r="AI4" s="255" t="n">
        <x:f>VLOOKUP(AF4,'MAYOR AUX G'!A:K,11,0)</x:f>
        <x:v>92842</x:v>
      </x:c>
      <x:c r="AJ4" s="90" t="n">
        <x:v>1524</x:v>
      </x:c>
      <x:c r="AK4" s="90" t="n">
        <x:v>1600</x:v>
      </x:c>
      <x:c r="AM4" s="253" t="n">
        <x:f>AI4*AL4</x:f>
        <x:v>0</x:v>
      </x:c>
    </x:row>
    <x:row r="5" s="117" customFormat="1" ht="15.75" customHeight="1">
      <x:c r="A5" s="68" t="str">
        <x:f>CONCATENATE(B5,H5," ",C5)</x:f>
        <x:v>FF150 1-1/4"</x:v>
      </x:c>
      <x:c r="B5" s="32" t="inlineStr">
        <x:is>
          <x:t xml:space="preserve">FF</x:t>
        </x:is>
      </x:c>
      <x:c r="C5" s="54" t="inlineStr">
        <x:is>
          <x:t xml:space="preserve">1-1/4"</x:t>
        </x:is>
      </x:c>
      <x:c r="D5" s="54" t="n">
        <x:v>115</x:v>
      </x:c>
      <x:c r="E5" s="57" t="n">
        <x:v>43.2</x:v>
      </x:c>
      <x:c r="F5" s="54" t="n">
        <x:v>4</x:v>
      </x:c>
      <x:c r="G5" s="55" t="n">
        <x:f>(5/8)*25.4</x:f>
        <x:v>15.875</x:v>
      </x:c>
      <x:c r="H5" s="55" t="n">
        <x:v>150</x:v>
      </x:c>
      <x:c r="I5" s="65" t="n">
        <x:f>(D5+E5+(G5*F5))*PI()</x:f>
        <x:v>696.4910913008571</x:v>
      </x:c>
      <x:c r="J5" s="66" t="n">
        <x:f>I5/$W$4</x:f>
        <x:v>6.964910913008571</x:v>
      </x:c>
      <x:c r="K5" s="250" t="n">
        <x:f>$W$6*J5</x:f>
        <x:v>773.8789903342856</x:v>
      </x:c>
      <x:c r="L5" s="250" t="n">
        <x:f>J5*$W$5</x:f>
        <x:v>4322.888040007319</x:v>
      </x:c>
      <x:c r="M5" s="52" t="n"/>
      <x:c r="N5" s="34" t="n"/>
      <x:c r="O5" s="35" t="n"/>
      <x:c r="P5" s="36" t="n"/>
      <x:c r="Q5" s="37" t="n"/>
      <x:c r="R5" s="109" t="inlineStr">
        <x:is>
          <x:t xml:space="preserve">PTFE EXPANDIDO</x:t>
        </x:is>
      </x:c>
      <x:c r="S5" s="108" t="n">
        <x:v>1524</x:v>
      </x:c>
      <x:c r="T5" s="108" t="n">
        <x:v>1524</x:v>
      </x:c>
      <x:c r="U5" s="14" t="n"/>
      <x:c r="V5" s="60" t="inlineStr">
        <x:is>
          <x:t xml:space="preserve">CLP/MIN</x:t>
        </x:is>
      </x:c>
      <x:c r="W5" s="60" t="n">
        <x:f>W3/60</x:f>
        <x:v>620.6666666666666</x:v>
      </x:c>
      <x:c r="Y5" s="4" t="n">
        <x:v>63</x:v>
      </x:c>
      <x:c r="Z5" s="5" t="n">
        <x:f>Y5*25.4</x:f>
        <x:v>1600.1999999999998</x:v>
      </x:c>
      <x:c r="AA5" s="6" t="n">
        <x:v>7900</x:v>
      </x:c>
      <x:c r="AB5" s="15" t="n"/>
      <x:c r="AC5" s="15" t="n"/>
      <x:c r="AE5" s="89" t="inlineStr">
        <x:is>
          <x:t xml:space="preserve">TRIANGLE</x:t>
        </x:is>
      </x:c>
      <x:c r="AF5" s="89" t="inlineStr">
        <x:is>
          <x:t xml:space="preserve">DUR900001001</x:t>
        </x:is>
      </x:c>
      <x:c r="AG5" s="89" t="inlineStr">
        <x:is>
          <x:t xml:space="preserve">DURLON 9000 1/8</x:t>
        </x:is>
      </x:c>
      <x:c r="AH5" s="89" t="n">
        <x:v>90</x:v>
      </x:c>
      <x:c r="AI5" s="256" t="n">
        <x:f>VLOOKUP(AF5,'MAYOR AUX G'!A:K,11,0)</x:f>
        <x:v>1057463.75396825</x:v>
      </x:c>
      <x:c r="AJ5" s="89" t="n">
        <x:v>1524</x:v>
      </x:c>
      <x:c r="AK5" s="89" t="n">
        <x:v>1524</x:v>
      </x:c>
      <x:c r="AL5" t="n">
        <x:v>1.30565</x:v>
      </x:c>
      <x:c r="AM5" s="253" t="n">
        <x:f>AI5*AL5</x:f>
        <x:v>1380677.5503686457</x:v>
      </x:c>
      <x:c r="AN5" t="n">
        <x:v>10</x:v>
      </x:c>
      <x:c r="AO5" s="257" t="n">
        <x:f>AM5*AN5</x:f>
        <x:v>13806775.503686458</x:v>
      </x:c>
    </x:row>
    <x:row r="6" s="117" customFormat="1" ht="15.75" customHeight="1">
      <x:c r="A6" s="68" t="str">
        <x:f>CONCATENATE(B6,H6," ",C6)</x:f>
        <x:v>FF150 1/1/2"</x:v>
      </x:c>
      <x:c r="B6" s="32" t="inlineStr">
        <x:is>
          <x:t xml:space="preserve">FF</x:t>
        </x:is>
      </x:c>
      <x:c r="C6" s="54" t="inlineStr">
        <x:is>
          <x:t xml:space="preserve">1/1/2"</x:t>
        </x:is>
      </x:c>
      <x:c r="D6" s="54" t="n">
        <x:v>125</x:v>
      </x:c>
      <x:c r="E6" s="57" t="n">
        <x:v>49.5</x:v>
      </x:c>
      <x:c r="F6" s="54" t="n">
        <x:v>4</x:v>
      </x:c>
      <x:c r="G6" s="55" t="n">
        <x:f>(5/8)*25.4</x:f>
        <x:v>15.875</x:v>
      </x:c>
      <x:c r="H6" s="55" t="n">
        <x:v>150</x:v>
      </x:c>
      <x:c r="I6" s="65" t="n">
        <x:f>(D6+E6+(G6*F6))*PI()</x:f>
        <x:v>747.6990515543707</x:v>
      </x:c>
      <x:c r="J6" s="66" t="n">
        <x:f>I6/$W$4</x:f>
        <x:v>7.476990515543707</x:v>
      </x:c>
      <x:c r="K6" s="250" t="n">
        <x:f>$W$6*J6</x:f>
        <x:v>830.7767239493008</x:v>
      </x:c>
      <x:c r="L6" s="250" t="n">
        <x:f>J6*$W$5</x:f>
        <x:v>4640.718779980794</x:v>
      </x:c>
      <x:c r="M6" s="52" t="n"/>
      <x:c r="N6" s="34" t="n"/>
      <x:c r="O6" s="35" t="n"/>
      <x:c r="P6" s="36" t="n"/>
      <x:c r="Q6" s="37" t="n"/>
      <x:c r="R6" s="109" t="inlineStr">
        <x:is>
          <x:t xml:space="preserve">EPDM</x:t>
        </x:is>
      </x:c>
      <x:c r="S6" s="110" t="n">
        <x:v>1000</x:v>
      </x:c>
      <x:c r="T6" s="110" t="n">
        <x:v>1000</x:v>
      </x:c>
      <x:c r="U6" s="15" t="n"/>
      <x:c r="V6" s="61" t="inlineStr">
        <x:is>
          <x:t xml:space="preserve">Sueldo costo empresa min</x:t>
        </x:is>
      </x:c>
      <x:c r="W6" s="258" t="n">
        <x:f>1100000*1.2/22/9/60</x:f>
        <x:v>111.11111111111111</x:v>
      </x:c>
      <x:c r="Y6" s="6" t="n">
        <x:f>Z6/25.4</x:f>
        <x:v>39.37007874015748</x:v>
      </x:c>
      <x:c r="Z6" s="6" t="n">
        <x:v>1000</x:v>
      </x:c>
      <x:c r="AA6" s="6" t="inlineStr">
        <x:is>
          <x:t xml:space="preserve">EPDM</x:t>
        </x:is>
      </x:c>
      <x:c r="AB6" s="15" t="n"/>
      <x:c r="AC6" s="15" t="n"/>
      <x:c r="AE6" s="89" t="inlineStr">
        <x:is>
          <x:t xml:space="preserve">TRIANGLE</x:t>
        </x:is>
      </x:c>
      <x:c r="AF6" s="89" t="inlineStr">
        <x:is>
          <x:t xml:space="preserve">DUR900001002</x:t>
        </x:is>
      </x:c>
      <x:c r="AG6" s="89" t="inlineStr">
        <x:is>
          <x:t xml:space="preserve">DURLON 9000 1/16</x:t>
        </x:is>
      </x:c>
      <x:c r="AH6" s="89" t="n">
        <x:f>VLOOKUP(AF6,Hoja7!A:F,6,0)</x:f>
        <x:v>38</x:v>
      </x:c>
      <x:c r="AI6" s="256" t="n">
        <x:f>VLOOKUP(AF6,'MAYOR AUX G'!A:K,11,0)</x:f>
        <x:v>357535.29863269</x:v>
      </x:c>
      <x:c r="AJ6" s="89" t="n">
        <x:v>1524</x:v>
      </x:c>
      <x:c r="AK6" s="89" t="n">
        <x:v>1524</x:v>
      </x:c>
      <x:c r="AM6" s="253" t="n"/>
      <x:c r="AO6" s="257" t="n"/>
    </x:row>
    <x:row r="7" s="117" customFormat="1" ht="15.75" customHeight="1">
      <x:c r="A7" s="68" t="str">
        <x:f>CONCATENATE(B7,H7," ",C7)</x:f>
        <x:v>FF150 2"</x:v>
      </x:c>
      <x:c r="B7" s="32" t="inlineStr">
        <x:is>
          <x:t xml:space="preserve">FF</x:t>
        </x:is>
      </x:c>
      <x:c r="C7" s="54" t="inlineStr">
        <x:is>
          <x:t xml:space="preserve">2"</x:t>
        </x:is>
      </x:c>
      <x:c r="D7" s="54" t="n">
        <x:v>150</x:v>
      </x:c>
      <x:c r="E7" s="57" t="n">
        <x:v>61.9</x:v>
      </x:c>
      <x:c r="F7" s="54" t="n">
        <x:v>4</x:v>
      </x:c>
      <x:c r="G7" s="55" t="n">
        <x:f>(3/4)*25.4</x:f>
        <x:v>19.049999999999997</x:v>
      </x:c>
      <x:c r="H7" s="55" t="n">
        <x:v>150</x:v>
      </x:c>
      <x:c r="I7" s="65" t="n">
        <x:f>(D7+E7+(G7*F7))*PI()</x:f>
        <x:v>905.0928434992195</x:v>
      </x:c>
      <x:c r="J7" s="66" t="n">
        <x:f>I7/$W$4</x:f>
        <x:v>9.050928434992194</x:v>
      </x:c>
      <x:c r="K7" s="250" t="n">
        <x:f>$W$6*J7</x:f>
        <x:v>1005.6587149991327</x:v>
      </x:c>
      <x:c r="L7" s="250" t="n">
        <x:f>J7*$W$5</x:f>
        <x:v>5617.609581985154</x:v>
      </x:c>
      <x:c r="M7" s="38" t="n"/>
      <x:c r="N7" s="39" t="n"/>
      <x:c r="O7" s="39" t="n"/>
      <x:c r="P7" s="39" t="n"/>
      <x:c r="Q7" s="40" t="n"/>
      <x:c r="R7" s="152" t="n">
        <x:v>430</x:v>
      </x:c>
      <x:c r="U7" s="17" t="n"/>
      <x:c r="V7" s="17" t="n"/>
      <x:c r="W7" s="17" t="n"/>
      <x:c r="Y7" s="6" t="n">
        <x:f>Z7/25.4</x:f>
        <x:v>39.37007874015748</x:v>
      </x:c>
      <x:c r="Z7" s="6" t="n">
        <x:v>1000</x:v>
      </x:c>
      <x:c r="AA7" s="6" t="inlineStr">
        <x:is>
          <x:t xml:space="preserve">EPDM</x:t>
        </x:is>
      </x:c>
      <x:c r="AB7" s="15" t="n"/>
      <x:c r="AC7" s="15" t="n"/>
      <x:c r="AE7" s="89" t="inlineStr">
        <x:is>
          <x:t xml:space="preserve">TRIANGLE</x:t>
        </x:is>
      </x:c>
      <x:c r="AF7" s="89" t="inlineStr">
        <x:is>
          <x:t xml:space="preserve">DUR900001003</x:t>
        </x:is>
      </x:c>
      <x:c r="AG7" s="89" t="inlineStr">
        <x:is>
          <x:t xml:space="preserve">DURLON 9000 3/32</x:t>
        </x:is>
      </x:c>
      <x:c r="AH7" s="89" t="n">
        <x:v>0</x:v>
      </x:c>
      <x:c r="AI7" s="256" t="n">
        <x:v>0</x:v>
      </x:c>
      <x:c r="AJ7" s="89" t="n">
        <x:v>1524</x:v>
      </x:c>
      <x:c r="AK7" s="89" t="n">
        <x:v>1524</x:v>
      </x:c>
      <x:c r="AO7" s="257" t="n"/>
    </x:row>
    <x:row r="8" s="117" customFormat="1" ht="15.75" customHeight="1">
      <x:c r="A8" s="68" t="str">
        <x:f>CONCATENATE(B8,H8," ",C8)</x:f>
        <x:v>FF150 2-1/2"</x:v>
      </x:c>
      <x:c r="B8" s="32" t="inlineStr">
        <x:is>
          <x:t xml:space="preserve">FF</x:t>
        </x:is>
      </x:c>
      <x:c r="C8" s="54" t="inlineStr">
        <x:is>
          <x:t xml:space="preserve">2-1/2"</x:t>
        </x:is>
      </x:c>
      <x:c r="D8" s="54" t="n">
        <x:v>180</x:v>
      </x:c>
      <x:c r="E8" s="57" t="n">
        <x:v>74.59999999999999</x:v>
      </x:c>
      <x:c r="F8" s="54" t="n">
        <x:v>4</x:v>
      </x:c>
      <x:c r="G8" s="55" t="n">
        <x:f>(3/4)*25.4</x:f>
        <x:v>19.049999999999997</x:v>
      </x:c>
      <x:c r="H8" s="55" t="n">
        <x:v>150</x:v>
      </x:c>
      <x:c r="I8" s="65" t="n">
        <x:f>(D8+E8+(G8*F8))*PI()</x:f>
        <x:v>1039.2388498075034</x:v>
      </x:c>
      <x:c r="J8" s="66" t="n">
        <x:f>I8/$W$4</x:f>
        <x:v>10.392388498075034</x:v>
      </x:c>
      <x:c r="K8" s="250" t="n">
        <x:f>$W$6*J8</x:f>
        <x:v>1154.7098331194481</x:v>
      </x:c>
      <x:c r="L8" s="250" t="n">
        <x:f>J8*$W$5</x:f>
        <x:v>6450.209127805238</x:v>
      </x:c>
      <x:c r="M8" s="41" t="n"/>
      <x:c r="N8" s="35" t="n"/>
      <x:c r="O8" s="35" t="n"/>
      <x:c r="P8" s="35" t="n"/>
      <x:c r="Q8" s="42" t="n"/>
      <x:c r="R8" s="152" t="inlineStr">
        <x:is>
          <x:t xml:space="preserve">55-55</x:t>
        </x:is>
      </x:c>
      <x:c r="U8" s="17" t="n"/>
      <x:c r="V8" s="17" t="n"/>
      <x:c r="W8" s="17" t="n"/>
      <x:c r="AE8" s="89" t="inlineStr">
        <x:is>
          <x:t xml:space="preserve">TRIANGLE</x:t>
        </x:is>
      </x:c>
      <x:c r="AF8" s="89" t="inlineStr">
        <x:is>
          <x:t xml:space="preserve">DUR900001004</x:t>
        </x:is>
      </x:c>
      <x:c r="AG8" s="89" t="inlineStr">
        <x:is>
          <x:t xml:space="preserve">DURLON 9000 1/32</x:t>
        </x:is>
      </x:c>
      <x:c r="AH8" s="89" t="n">
        <x:v>0</x:v>
      </x:c>
      <x:c r="AI8" s="256" t="n">
        <x:f>VLOOKUP(AF10,'MAYOR AUX G'!A:K,8,0)</x:f>
        <x:v>0</x:v>
      </x:c>
      <x:c r="AJ8" s="89" t="n">
        <x:v>1524</x:v>
      </x:c>
      <x:c r="AK8" s="89" t="n">
        <x:v>1524</x:v>
      </x:c>
      <x:c r="AO8" s="257" t="n"/>
    </x:row>
    <x:row r="9" s="117" customFormat="1" ht="15.75" customHeight="1">
      <x:c r="A9" s="68" t="str">
        <x:f>CONCATENATE(B9,H9," ",C9)</x:f>
        <x:v>FF150 3"</x:v>
      </x:c>
      <x:c r="B9" s="32" t="inlineStr">
        <x:is>
          <x:t xml:space="preserve">FF</x:t>
        </x:is>
      </x:c>
      <x:c r="C9" s="54" t="inlineStr">
        <x:is>
          <x:t xml:space="preserve">3"</x:t>
        </x:is>
      </x:c>
      <x:c r="D9" s="54" t="n">
        <x:v>190</x:v>
      </x:c>
      <x:c r="E9" s="57" t="n">
        <x:v>90.7</x:v>
      </x:c>
      <x:c r="F9" s="54" t="n">
        <x:v>4</x:v>
      </x:c>
      <x:c r="G9" s="55" t="n">
        <x:f>(3/4)*25.4</x:f>
        <x:v>19.049999999999997</x:v>
      </x:c>
      <x:c r="H9" s="55" t="n">
        <x:v>150</x:v>
      </x:c>
      <x:c r="I9" s="65" t="n">
        <x:f>(D9+E9+(G9*F9))*PI()</x:f>
        <x:v>1121.2344180661971</x:v>
      </x:c>
      <x:c r="J9" s="66" t="n">
        <x:f>I9/$W$4</x:f>
        <x:v>11.21234418066197</x:v>
      </x:c>
      <x:c r="K9" s="250" t="n">
        <x:f>$W$6*J9</x:f>
        <x:v>1245.8160200735524</x:v>
      </x:c>
      <x:c r="L9" s="250" t="n">
        <x:f>J9*$W$5</x:f>
        <x:v>6959.1282881308625</x:v>
      </x:c>
      <x:c r="M9" s="41" t="n"/>
      <x:c r="N9" s="35" t="n"/>
      <x:c r="O9" s="35" t="n"/>
      <x:c r="P9" s="35" t="n"/>
      <x:c r="Q9" s="42" t="n"/>
      <x:c r="R9" t="n">
        <x:v>2100</x:v>
      </x:c>
      <x:c r="U9" s="17" t="n"/>
      <x:c r="V9" s="17" t="n"/>
      <x:c r="W9" s="17" t="n"/>
      <x:c r="AE9" s="146" t="inlineStr">
        <x:is>
          <x:t xml:space="preserve">TRIANGLE</x:t>
        </x:is>
      </x:c>
      <x:c r="AF9" s="146" t="inlineStr">
        <x:is>
          <x:t xml:space="preserve">DUR900001005</x:t>
        </x:is>
      </x:c>
      <x:c r="AG9" s="146" t="inlineStr">
        <x:is>
          <x:t xml:space="preserve">DURLON 9007 1/8</x:t>
        </x:is>
      </x:c>
      <x:c r="AH9" s="146" t="n">
        <x:f>VLOOKUP(AF9,Hoja7!A:F,6,0)</x:f>
        <x:v>98</x:v>
      </x:c>
      <x:c r="AI9" s="259" t="n">
        <x:f>VLOOKUP(AF9,'MAYOR AUX G'!A:K,11,0)</x:f>
        <x:v>509355.19426505</x:v>
      </x:c>
      <x:c r="AJ9" s="146" t="n">
        <x:v>1524</x:v>
      </x:c>
      <x:c r="AK9" s="146" t="n">
        <x:v>1524</x:v>
      </x:c>
      <x:c r="AM9" s="260" t="n"/>
      <x:c r="AO9" s="257" t="n"/>
    </x:row>
    <x:row r="10" s="117" customFormat="1" ht="15.75" customHeight="1">
      <x:c r="A10" s="68" t="str">
        <x:f>CONCATENATE(B10,H10," ",C10)</x:f>
        <x:v>FF150 3-1/2"</x:v>
      </x:c>
      <x:c r="B10" s="32" t="inlineStr">
        <x:is>
          <x:t xml:space="preserve">FF</x:t>
        </x:is>
      </x:c>
      <x:c r="C10" s="54" t="inlineStr">
        <x:is>
          <x:t xml:space="preserve">3-1/2"</x:t>
        </x:is>
      </x:c>
      <x:c r="D10" s="54" t="n">
        <x:v>215</x:v>
      </x:c>
      <x:c r="E10" s="57" t="n">
        <x:v>103.4</x:v>
      </x:c>
      <x:c r="F10" s="54" t="n">
        <x:v>8</x:v>
      </x:c>
      <x:c r="G10" s="55" t="n">
        <x:f>(3/4)*25.4</x:f>
        <x:v>19.049999999999997</x:v>
      </x:c>
      <x:c r="H10" s="55" t="n">
        <x:v>150</x:v>
      </x:c>
      <x:c r="I10" s="65" t="n">
        <x:f>(D10+E10+(G10*F10))*PI()</x:f>
        <x:v>1479.0618213100745</x:v>
      </x:c>
      <x:c r="J10" s="66" t="n">
        <x:f>I10/$W$4</x:f>
        <x:v>14.790618213100744</x:v>
      </x:c>
      <x:c r="K10" s="250" t="n">
        <x:f>$W$6*J10</x:f>
        <x:v>1643.4020236778606</x:v>
      </x:c>
      <x:c r="L10" s="250" t="n">
        <x:f>J10*$W$5</x:f>
        <x:v>9180.043704264528</x:v>
      </x:c>
      <x:c r="M10" s="41" t="n"/>
      <x:c r="N10" s="35" t="n"/>
      <x:c r="O10" s="35" t="n"/>
      <x:c r="P10" s="35" t="n"/>
      <x:c r="Q10" s="42" t="n"/>
      <x:c r="AE10" s="88" t="inlineStr">
        <x:is>
          <x:t xml:space="preserve">CHINA</x:t>
        </x:is>
      </x:c>
      <x:c r="AF10" s="88" t="inlineStr">
        <x:is>
          <x:t xml:space="preserve">LONPAQ001001</x:t>
        </x:is>
      </x:c>
      <x:c r="AG10" s="88" t="inlineStr">
        <x:is>
          <x:t xml:space="preserve">PTFE EXP 1/8</x:t>
        </x:is>
      </x:c>
      <x:c r="AH10" s="88" t="n">
        <x:f>VLOOKUP(AF10,Hoja7!A:F,6,0)</x:f>
        <x:v>78</x:v>
      </x:c>
      <x:c r="AI10" s="261" t="n">
        <x:f>VLOOKUP(AF10,'MAYOR AUX G'!A:K,11,0)</x:f>
        <x:v>172404.79512761</x:v>
      </x:c>
      <x:c r="AJ10" s="88" t="n">
        <x:v>1524</x:v>
      </x:c>
      <x:c r="AK10" s="88" t="n">
        <x:v>1524</x:v>
      </x:c>
      <x:c r="AM10" s="260" t="n"/>
      <x:c r="AO10" s="257" t="n"/>
    </x:row>
    <x:row r="11" s="117" customFormat="1" ht="15.75" customHeight="1">
      <x:c r="A11" s="68" t="str">
        <x:f>CONCATENATE(B11,H11," ",C11)</x:f>
        <x:v>FF150 4"</x:v>
      </x:c>
      <x:c r="B11" s="32" t="inlineStr">
        <x:is>
          <x:t xml:space="preserve">FF</x:t>
        </x:is>
      </x:c>
      <x:c r="C11" s="54" t="inlineStr">
        <x:is>
          <x:t xml:space="preserve">4"</x:t>
        </x:is>
      </x:c>
      <x:c r="D11" s="54" t="n">
        <x:v>230</x:v>
      </x:c>
      <x:c r="E11" s="57" t="n">
        <x:v>116.1</x:v>
      </x:c>
      <x:c r="F11" s="54" t="n">
        <x:v>8</x:v>
      </x:c>
      <x:c r="G11" s="55" t="n">
        <x:f>(3/4)*25.4</x:f>
        <x:v>19.049999999999997</x:v>
      </x:c>
      <x:c r="H11" s="55" t="n">
        <x:v>150</x:v>
      </x:c>
      <x:c r="I11" s="65" t="n">
        <x:f>(D11+E11+(G11*F11))*PI()</x:f>
        <x:v>1566.083937814512</x:v>
      </x:c>
      <x:c r="J11" s="66" t="n">
        <x:f>I11/$W$4</x:f>
        <x:v>15.66083937814512</x:v>
      </x:c>
      <x:c r="K11" s="250" t="n">
        <x:f>$W$6*J11</x:f>
        <x:v>1740.0932642383466</x:v>
      </x:c>
      <x:c r="L11" s="250" t="n">
        <x:f>J11*$W$5</x:f>
        <x:v>9720.160974035403</x:v>
      </x:c>
      <x:c r="M11" s="41" t="n"/>
      <x:c r="N11" s="35" t="n"/>
      <x:c r="O11" s="35" t="n"/>
      <x:c r="P11" s="35" t="n"/>
      <x:c r="Q11" s="42" t="n"/>
      <x:c r="U11" s="87" t="n"/>
      <x:c r="V11" s="87" t="n"/>
      <x:c r="AE11" s="88" t="inlineStr">
        <x:is>
          <x:t xml:space="preserve">CHINA</x:t>
        </x:is>
      </x:c>
      <x:c r="AF11" s="88" t="inlineStr">
        <x:is>
          <x:t xml:space="preserve">LONPAQ001010</x:t>
        </x:is>
      </x:c>
      <x:c r="AG11" s="88" t="inlineStr">
        <x:is>
          <x:t xml:space="preserve">PTFE EXP 1/16</x:t>
        </x:is>
      </x:c>
      <x:c r="AH11" s="88" t="n">
        <x:f>VLOOKUP(AF11,Hoja7!A:F,6,0)</x:f>
        <x:v>17</x:v>
      </x:c>
      <x:c r="AI11" s="261" t="n">
        <x:f>VLOOKUP(AF11,'MAYOR AUX G'!A:K,11,0)</x:f>
        <x:v>128930</x:v>
      </x:c>
      <x:c r="AJ11" s="88" t="n">
        <x:v>1524</x:v>
      </x:c>
      <x:c r="AK11" s="88" t="n">
        <x:v>1524</x:v>
      </x:c>
    </x:row>
    <x:row r="12" s="117" customFormat="1" ht="15.75" customHeight="1">
      <x:c r="A12" s="68" t="str">
        <x:f>CONCATENATE(B12,H12," ",C12)</x:f>
        <x:v>FF150 5"</x:v>
      </x:c>
      <x:c r="B12" s="32" t="inlineStr">
        <x:is>
          <x:t xml:space="preserve">FF</x:t>
        </x:is>
      </x:c>
      <x:c r="C12" s="54" t="inlineStr">
        <x:is>
          <x:t xml:space="preserve">5"</x:t>
        </x:is>
      </x:c>
      <x:c r="D12" s="54" t="n">
        <x:v>255</x:v>
      </x:c>
      <x:c r="E12" s="57" t="n">
        <x:v>143.8</x:v>
      </x:c>
      <x:c r="F12" s="54" t="n">
        <x:v>8</x:v>
      </x:c>
      <x:c r="G12" s="55" t="n">
        <x:f>(7/8)*25.4</x:f>
        <x:v>22.224999999999998</x:v>
      </x:c>
      <x:c r="H12" s="55" t="n">
        <x:v>150</x:v>
      </x:c>
      <x:c r="I12" s="65" t="n">
        <x:f>(D12+E12+(G12*F12))*PI()</x:f>
        <x:v>1811.4423240598749</x:v>
      </x:c>
      <x:c r="J12" s="66" t="n">
        <x:f>I12/$W$4</x:f>
        <x:v>18.11442324059875</x:v>
      </x:c>
      <x:c r="K12" s="250" t="n">
        <x:f>$W$6*J12</x:f>
        <x:v>2012.713693399861</x:v>
      </x:c>
      <x:c r="L12" s="250" t="n">
        <x:f>J12*$W$5</x:f>
        <x:v>11243.018691331623</x:v>
      </x:c>
      <x:c r="M12" s="41" t="n"/>
      <x:c r="N12" s="35" t="n"/>
      <x:c r="O12" s="35" t="n"/>
      <x:c r="P12" s="35" t="n"/>
      <x:c r="Q12" s="42" t="n"/>
      <x:c r="U12" s="87" t="n"/>
      <x:c r="V12" s="87" t="n"/>
      <x:c r="AC12" s="95" t="n"/>
      <x:c r="AD12" s="30" t="n"/>
      <x:c r="AE12" s="119" t="inlineStr">
        <x:is>
          <x:t xml:space="preserve">CHINA</x:t>
        </x:is>
      </x:c>
      <x:c r="AF12" s="119" t="inlineStr">
        <x:is>
          <x:t xml:space="preserve">LONPAQ001011</x:t>
        </x:is>
      </x:c>
      <x:c r="AG12" s="119" t="inlineStr">
        <x:is>
          <x:t xml:space="preserve">PTFE EXP 1/4</x:t>
        </x:is>
      </x:c>
      <x:c r="AH12" s="88" t="n">
        <x:f>VLOOKUP(AF12,Hoja7!A:F,6,0)</x:f>
        <x:v>4</x:v>
      </x:c>
      <x:c r="AI12" s="261" t="n">
        <x:f>VLOOKUP(AF12,'MAYOR AUX G'!A:K,11,0)</x:f>
        <x:v>414514</x:v>
      </x:c>
      <x:c r="AJ12" s="88" t="n">
        <x:v>1524</x:v>
      </x:c>
      <x:c r="AK12" s="88" t="n">
        <x:v>1524</x:v>
      </x:c>
    </x:row>
    <x:row r="13" s="117" customFormat="1" ht="15.75" customHeight="1">
      <x:c r="A13" s="68" t="str">
        <x:f>CONCATENATE(B13,H13," ",C13)</x:f>
        <x:v>FF150 6"</x:v>
      </x:c>
      <x:c r="B13" s="32" t="inlineStr">
        <x:is>
          <x:t xml:space="preserve">FF</x:t>
        </x:is>
      </x:c>
      <x:c r="C13" s="54" t="inlineStr">
        <x:is>
          <x:t xml:space="preserve">6"</x:t>
        </x:is>
      </x:c>
      <x:c r="D13" s="54" t="n">
        <x:v>280</x:v>
      </x:c>
      <x:c r="E13" s="57" t="n">
        <x:v>170.7</x:v>
      </x:c>
      <x:c r="F13" s="54" t="n">
        <x:v>8</x:v>
      </x:c>
      <x:c r="G13" s="55" t="n">
        <x:f>(7/8)*25.4</x:f>
        <x:v>22.224999999999998</x:v>
      </x:c>
      <x:c r="H13" s="55" t="n">
        <x:v>150</x:v>
      </x:c>
      <x:c r="I13" s="65" t="n">
        <x:f>(D13+E13+(G13*F13))*PI()</x:f>
        <x:v>1974.490982781185</x:v>
      </x:c>
      <x:c r="J13" s="66" t="n">
        <x:f>I13/$W$4</x:f>
        <x:v>19.74490982781185</x:v>
      </x:c>
      <x:c r="K13" s="250" t="n">
        <x:f>$W$6*J13</x:f>
        <x:v>2193.878869756872</x:v>
      </x:c>
      <x:c r="L13" s="250" t="n">
        <x:f>J13*$W$5</x:f>
        <x:v>12255.007366461887</x:v>
      </x:c>
      <x:c r="M13" s="41" t="n"/>
      <x:c r="N13" s="35" t="n"/>
      <x:c r="O13" s="35" t="n"/>
      <x:c r="P13" s="35" t="n"/>
      <x:c r="Q13" s="42" t="n"/>
      <x:c r="U13" s="87" t="n"/>
      <x:c r="V13" s="87" t="n"/>
      <x:c r="AE13" s="1" t="inlineStr">
        <x:is>
          <x:t xml:space="preserve">CHINA</x:t>
        </x:is>
      </x:c>
      <x:c r="AF13" s="1" t="inlineStr">
        <x:is>
          <x:t xml:space="preserve">PDTSEF001027</x:t>
        </x:is>
      </x:c>
      <x:c r="AG13" s="1" t="inlineStr">
        <x:is>
          <x:t xml:space="preserve">CAUCHO EPDM ESPESOR 1/8” (3.2MM) ANCHO 1MT</x:t>
        </x:is>
      </x:c>
      <x:c r="AH13" s="88" t="n">
        <x:f>VLOOKUP(AF13,Hoja7!A:F,6,0)</x:f>
        <x:v>103</x:v>
      </x:c>
      <x:c r="AI13" s="261" t="n">
        <x:f>VLOOKUP(AF13,'MAYOR AUX G'!A:K,11,0)</x:f>
        <x:v>11028.62424824</x:v>
      </x:c>
      <x:c r="AJ13" s="12" t="n">
        <x:v>1000</x:v>
      </x:c>
      <x:c r="AK13" s="12" t="n">
        <x:v>1000</x:v>
      </x:c>
      <x:c r="AQ13" s="143" t="n">
        <x:v>713097</x:v>
      </x:c>
      <x:c r="AR13" s="262" t="n">
        <x:v>14975037</x:v>
      </x:c>
    </x:row>
    <x:row r="14" s="117" customFormat="1" ht="15.75" customHeight="1">
      <x:c r="A14" s="68" t="str">
        <x:f>CONCATENATE(B14,H14," ",C14)</x:f>
        <x:v>FF150 8"</x:v>
      </x:c>
      <x:c r="B14" s="32" t="inlineStr">
        <x:is>
          <x:t xml:space="preserve">FF</x:t>
        </x:is>
      </x:c>
      <x:c r="C14" s="54" t="inlineStr">
        <x:is>
          <x:t xml:space="preserve">8"</x:t>
        </x:is>
      </x:c>
      <x:c r="D14" s="54" t="n">
        <x:v>345</x:v>
      </x:c>
      <x:c r="E14" s="57" t="n">
        <x:v>221.5</x:v>
      </x:c>
      <x:c r="F14" s="54" t="n">
        <x:v>8</x:v>
      </x:c>
      <x:c r="G14" s="55" t="n">
        <x:f>(7/8)*25.4</x:f>
        <x:v>22.224999999999998</x:v>
      </x:c>
      <x:c r="H14" s="55" t="n">
        <x:v>150</x:v>
      </x:c>
      <x:c r="I14" s="65" t="n">
        <x:f>(D14+E14+(G14*F14))*PI()</x:f>
        <x:v>2338.287412066883</x:v>
      </x:c>
      <x:c r="J14" s="66" t="n">
        <x:f>I14/$W$4</x:f>
        <x:v>23.38287412066883</x:v>
      </x:c>
      <x:c r="K14" s="250" t="n">
        <x:f>$W$6*J14</x:f>
        <x:v>2598.097124518759</x:v>
      </x:c>
      <x:c r="L14" s="250" t="n">
        <x:f>J14*$W$5</x:f>
        <x:v>14512.970537561787</x:v>
      </x:c>
      <x:c r="M14" s="41" t="n"/>
      <x:c r="N14" s="35" t="n"/>
      <x:c r="O14" s="35" t="n"/>
      <x:c r="P14" s="35" t="n"/>
      <x:c r="Q14" s="42" t="n"/>
      <x:c r="U14" s="87" t="n"/>
      <x:c r="V14" s="87" t="n"/>
      <x:c r="AB14" s="1" t="str">
        <x:f>CONCATENATE(AC14,"-",AD14)</x:f>
        <x:v>430-"3/8"</x:v>
      </x:c>
      <x:c r="AC14" s="120" t="n">
        <x:v>430</x:v>
      </x:c>
      <x:c r="AD14" s="121" t="inlineStr">
        <x:is>
          <x:t xml:space="preserve">"3/8"</x:t>
        </x:is>
      </x:c>
      <x:c r="AE14" s="87" t="inlineStr">
        <x:is>
          <x:t xml:space="preserve">CHINA</x:t>
        </x:is>
      </x:c>
      <x:c r="AF14" s="87" t="inlineStr">
        <x:is>
          <x:t xml:space="preserve">EMPTRE430001</x:t>
        </x:is>
      </x:c>
      <x:c r="AG14" s="87" t="inlineStr">
        <x:is>
          <x:t xml:space="preserve">EMPAQUETADURAS TRENZADAS ESTILO 430 3/8 SECCION</x:t>
        </x:is>
      </x:c>
      <x:c r="AH14" s="87" t="n">
        <x:f>VLOOKUP(AF14,Hoja7!A:F,6,0)</x:f>
        <x:v>61</x:v>
      </x:c>
      <x:c r="AI14" s="263" t="n">
        <x:f>VLOOKUP(AF14,'MAYOR AUX G'!A:K,11,0)</x:f>
        <x:v>22090.03626785</x:v>
      </x:c>
      <x:c r="AJ14" s="87" t="n"/>
      <x:c r="AK14" s="87" t="n"/>
      <x:c r="AR14" s="264" t="n">
        <x:v>581680</x:v>
      </x:c>
    </x:row>
    <x:row r="15" s="117" customFormat="1" ht="15.75" customHeight="1">
      <x:c r="A15" s="68" t="str">
        <x:f>CONCATENATE(B15,H15," ",C15)</x:f>
        <x:v>FF150 10"</x:v>
      </x:c>
      <x:c r="B15" s="32" t="inlineStr">
        <x:is>
          <x:t xml:space="preserve">FF</x:t>
        </x:is>
      </x:c>
      <x:c r="C15" s="54" t="inlineStr">
        <x:is>
          <x:t xml:space="preserve">10"</x:t>
        </x:is>
      </x:c>
      <x:c r="D15" s="54" t="n">
        <x:v>405</x:v>
      </x:c>
      <x:c r="E15" s="57" t="n">
        <x:v>276.2</x:v>
      </x:c>
      <x:c r="F15" s="54" t="n">
        <x:v>12</x:v>
      </x:c>
      <x:c r="G15" s="55" t="n">
        <x:v>25.4</x:v>
      </x:c>
      <x:c r="H15" s="55" t="n">
        <x:v>150</x:v>
      </x:c>
      <x:c r="I15" s="65" t="n">
        <x:f>(D15+E15+(G15*F15))*PI()</x:f>
        <x:v>3097.610356439536</x:v>
      </x:c>
      <x:c r="J15" s="66" t="n">
        <x:f>I15/$W$4</x:f>
        <x:v>30.976103564395363</x:v>
      </x:c>
      <x:c r="K15" s="250" t="n">
        <x:f>$W$6*J15</x:f>
        <x:v>3441.789284932818</x:v>
      </x:c>
      <x:c r="L15" s="250" t="n">
        <x:f>J15*$W$5</x:f>
        <x:v>19225.83494563472</x:v>
      </x:c>
      <x:c r="M15" s="41" t="n"/>
      <x:c r="N15" s="35" t="n"/>
      <x:c r="O15" s="35" t="n"/>
      <x:c r="P15" s="35" t="n"/>
      <x:c r="Q15" s="42" t="n"/>
      <x:c r="U15" s="87" t="n"/>
      <x:c r="V15" s="87" t="n"/>
      <x:c r="AB15" s="1" t="str">
        <x:f>CONCATENATE(AC15,"-",AD15)</x:f>
        <x:v>430-"5/8"</x:v>
      </x:c>
      <x:c r="AC15" s="120" t="n">
        <x:v>430</x:v>
      </x:c>
      <x:c r="AD15" s="109" t="inlineStr">
        <x:is>
          <x:t xml:space="preserve">"5/8"</x:t>
        </x:is>
      </x:c>
      <x:c r="AE15" s="87" t="inlineStr">
        <x:is>
          <x:t xml:space="preserve">CHINA</x:t>
        </x:is>
      </x:c>
      <x:c r="AF15" s="87" t="inlineStr">
        <x:is>
          <x:t xml:space="preserve">EMPTRE430003</x:t>
        </x:is>
      </x:c>
      <x:c r="AG15" s="87" t="inlineStr">
        <x:is>
          <x:t xml:space="preserve">EMPAQUETADURAS TRENZADAS ESTILO 430 DE 5/8 SECCION</x:t>
        </x:is>
      </x:c>
      <x:c r="AH15" s="87" t="n">
        <x:f>VLOOKUP(AF15,Hoja7!A:F,6,0)</x:f>
        <x:v>153</x:v>
      </x:c>
      <x:c r="AI15" s="263" t="n">
        <x:f>VLOOKUP(AF15,'MAYOR AUX G'!A:K,11,0)</x:f>
        <x:v>20142</x:v>
      </x:c>
      <x:c r="AJ15" s="87" t="n"/>
      <x:c r="AK15" s="87" t="n"/>
    </x:row>
    <x:row r="16" s="117" customFormat="1" ht="15.75" customHeight="1">
      <x:c r="A16" s="68" t="str">
        <x:f>CONCATENATE(B16,H16," ",C16)</x:f>
        <x:v>FF150 12"</x:v>
      </x:c>
      <x:c r="B16" s="32" t="inlineStr">
        <x:is>
          <x:t xml:space="preserve">FF</x:t>
        </x:is>
      </x:c>
      <x:c r="C16" s="54" t="inlineStr">
        <x:is>
          <x:t xml:space="preserve">12"</x:t>
        </x:is>
      </x:c>
      <x:c r="D16" s="54" t="n">
        <x:v>485</x:v>
      </x:c>
      <x:c r="E16" s="57" t="n">
        <x:v>327</x:v>
      </x:c>
      <x:c r="F16" s="54" t="n">
        <x:v>12</x:v>
      </x:c>
      <x:c r="G16" s="55" t="n">
        <x:v>25.4</x:v>
      </x:c>
      <x:c r="H16" s="55" t="n">
        <x:v>150</x:v>
      </x:c>
      <x:c r="I16" s="65" t="n">
        <x:f>(D16+E16+(G16*F16))*PI()</x:f>
        <x:v>3508.530675529081</x:v>
      </x:c>
      <x:c r="J16" s="66" t="n">
        <x:f>I16/$W$4</x:f>
        <x:v>35.08530675529081</x:v>
      </x:c>
      <x:c r="K16" s="250" t="n">
        <x:f>$W$6*J16</x:f>
        <x:v>3898.3674172545343</x:v>
      </x:c>
      <x:c r="L16" s="250" t="n">
        <x:f>J16*$W$5</x:f>
        <x:v>21776.28039278383</x:v>
      </x:c>
      <x:c r="M16" s="41" t="n"/>
      <x:c r="N16" s="35" t="n"/>
      <x:c r="O16" s="35" t="n"/>
      <x:c r="P16" s="35" t="n"/>
      <x:c r="Q16" s="42" t="n"/>
      <x:c r="U16" s="87" t="n"/>
      <x:c r="V16" s="87" t="n"/>
      <x:c r="AB16" s="1" t="str">
        <x:f>CONCATENATE(AC16,"-",AD16)</x:f>
        <x:v>430-"1/2"</x:v>
      </x:c>
      <x:c r="AC16" s="120" t="n">
        <x:v>430</x:v>
      </x:c>
      <x:c r="AD16" s="109" t="inlineStr">
        <x:is>
          <x:t xml:space="preserve">"1/2"</x:t>
        </x:is>
      </x:c>
      <x:c r="AE16" s="87" t="inlineStr">
        <x:is>
          <x:t xml:space="preserve">CHINA</x:t>
        </x:is>
      </x:c>
      <x:c r="AF16" s="87" t="inlineStr">
        <x:is>
          <x:t xml:space="preserve">EMPTRE430004</x:t>
        </x:is>
      </x:c>
      <x:c r="AG16" s="87" t="inlineStr">
        <x:is>
          <x:t xml:space="preserve">EMPAQUETADURAS TRENZADAS ESTILO 430 1/2 SECCION</x:t>
        </x:is>
      </x:c>
      <x:c r="AH16" s="87" t="n">
        <x:f>VLOOKUP(AF16,Hoja7!A:F,6,0)</x:f>
        <x:v>77</x:v>
      </x:c>
      <x:c r="AI16" s="263" t="n">
        <x:f>VLOOKUP(AF16,'MAYOR AUX G'!A:K,11,0)</x:f>
        <x:v>20491</x:v>
      </x:c>
      <x:c r="AJ16" s="87" t="n"/>
      <x:c r="AK16" s="87" t="n"/>
    </x:row>
    <x:row r="17" s="117" customFormat="1" ht="15.75" customHeight="1">
      <x:c r="A17" s="68" t="str">
        <x:f>CONCATENATE(B17,H17," ",C17)</x:f>
        <x:v>FF150 14"</x:v>
      </x:c>
      <x:c r="B17" s="32" t="inlineStr">
        <x:is>
          <x:t xml:space="preserve">FF</x:t>
        </x:is>
      </x:c>
      <x:c r="C17" s="54" t="inlineStr">
        <x:is>
          <x:t xml:space="preserve">14"</x:t>
        </x:is>
      </x:c>
      <x:c r="D17" s="54" t="n">
        <x:v>535</x:v>
      </x:c>
      <x:c r="E17" s="57" t="n">
        <x:v>359.2</x:v>
      </x:c>
      <x:c r="F17" s="54" t="n">
        <x:v>12</x:v>
      </x:c>
      <x:c r="G17" s="55" t="n">
        <x:f>(1+(1/8))*25.4</x:f>
        <x:v>28.575</x:v>
      </x:c>
      <x:c r="H17" s="55" t="n">
        <x:v>150</x:v>
      </x:c>
      <x:c r="I17" s="65" t="n">
        <x:f>(D17+E17+(G17*F17))*PI()</x:f>
        <x:v>3886.4642717559327</x:v>
      </x:c>
      <x:c r="J17" s="66" t="n">
        <x:f>I17/$W$4</x:f>
        <x:v>38.86464271755933</x:v>
      </x:c>
      <x:c r="K17" s="250" t="n">
        <x:f>$W$6*J17</x:f>
        <x:v>4318.29363528437</x:v>
      </x:c>
      <x:c r="L17" s="250" t="n">
        <x:f>J17*$W$5</x:f>
        <x:v>24121.98824669849</x:v>
      </x:c>
      <x:c r="M17" s="41" t="n"/>
      <x:c r="N17" s="35" t="n"/>
      <x:c r="O17" s="35" t="n"/>
      <x:c r="P17" s="35" t="n"/>
      <x:c r="Q17" s="42" t="n"/>
      <x:c r="U17" s="87" t="n"/>
      <x:c r="V17" s="87" t="n"/>
      <x:c r="AB17" s="1" t="str">
        <x:f>CONCATENATE(AC17,"-",AD17)</x:f>
        <x:v>430-"7/8"</x:v>
      </x:c>
      <x:c r="AC17" s="120" t="n">
        <x:v>430</x:v>
      </x:c>
      <x:c r="AD17" s="109" t="inlineStr">
        <x:is>
          <x:t xml:space="preserve">"7/8"</x:t>
        </x:is>
      </x:c>
      <x:c r="AE17" s="87" t="inlineStr">
        <x:is>
          <x:t xml:space="preserve">CHINA</x:t>
        </x:is>
      </x:c>
      <x:c r="AF17" s="87" t="inlineStr">
        <x:is>
          <x:t xml:space="preserve">EMPTRE430005</x:t>
        </x:is>
      </x:c>
      <x:c r="AG17" s="87" t="inlineStr">
        <x:is>
          <x:t xml:space="preserve">EMPAQUETADURAS TRENZADAS ESTILO 430 7/8 SECCION</x:t>
        </x:is>
      </x:c>
      <x:c r="AH17" s="87" t="n">
        <x:f>VLOOKUP(AF17,Hoja7!A:F,6,0)</x:f>
        <x:v>46</x:v>
      </x:c>
      <x:c r="AI17" s="263" t="n">
        <x:f>VLOOKUP(AF17,'MAYOR AUX G'!A:K,11,0)</x:f>
        <x:v>20491</x:v>
      </x:c>
      <x:c r="AJ17" s="87" t="n"/>
      <x:c r="AK17" s="87" t="n"/>
    </x:row>
    <x:row r="18" s="117" customFormat="1" ht="15.75" customHeight="1">
      <x:c r="A18" s="68" t="str">
        <x:f>CONCATENATE(B18,H18," ",C18)</x:f>
        <x:v>FF150 16"</x:v>
      </x:c>
      <x:c r="B18" s="32" t="inlineStr">
        <x:is>
          <x:t xml:space="preserve">FF</x:t>
        </x:is>
      </x:c>
      <x:c r="C18" s="54" t="inlineStr">
        <x:is>
          <x:t xml:space="preserve">16"</x:t>
        </x:is>
      </x:c>
      <x:c r="D18" s="54" t="n">
        <x:v>595</x:v>
      </x:c>
      <x:c r="E18" s="57" t="n">
        <x:v>410.5</x:v>
      </x:c>
      <x:c r="F18" s="54" t="n">
        <x:v>16</x:v>
      </x:c>
      <x:c r="G18" s="55" t="n">
        <x:f>(1+(1/8))*25.4</x:f>
        <x:v>28.575</x:v>
      </x:c>
      <x:c r="H18" s="55" t="n">
        <x:v>150</x:v>
      </x:c>
      <x:c r="I18" s="65" t="n">
        <x:f>(D18+E18+(G18*F18))*PI()</x:f>
        <x:v>4595.20757440579</x:v>
      </x:c>
      <x:c r="J18" s="66" t="n">
        <x:f>I18/$W$4</x:f>
        <x:v>45.9520757440579</x:v>
      </x:c>
      <x:c r="K18" s="250" t="n">
        <x:f>$W$6*J18</x:f>
        <x:v>5105.786193784212</x:v>
      </x:c>
      <x:c r="L18" s="250" t="n">
        <x:f>J18*$W$5</x:f>
        <x:v>28520.9216784786</x:v>
      </x:c>
      <x:c r="M18" s="41" t="n"/>
      <x:c r="N18" s="35" t="n"/>
      <x:c r="O18" s="35" t="n"/>
      <x:c r="P18" s="35" t="n"/>
      <x:c r="Q18" s="42" t="n"/>
      <x:c r="AB18" s="1" t="str">
        <x:f>CONCATENATE(AC18,"-",AD18)</x:f>
        <x:v>430-"3/4"</x:v>
      </x:c>
      <x:c r="AC18" s="120" t="n">
        <x:v>430</x:v>
      </x:c>
      <x:c r="AD18" s="109" t="inlineStr">
        <x:is>
          <x:t xml:space="preserve">"3/4"</x:t>
        </x:is>
      </x:c>
      <x:c r="AE18" s="87" t="inlineStr">
        <x:is>
          <x:t xml:space="preserve">CHINA</x:t>
        </x:is>
      </x:c>
      <x:c r="AF18" s="87" t="inlineStr">
        <x:is>
          <x:t xml:space="preserve">EMPTRE430006</x:t>
        </x:is>
      </x:c>
      <x:c r="AG18" s="87" t="inlineStr">
        <x:is>
          <x:t xml:space="preserve">EMPAQUETADURAS TRENZADAS ESTILO 430 3/4 SECCION</x:t>
        </x:is>
      </x:c>
      <x:c r="AH18" s="87" t="n">
        <x:f>VLOOKUP(AF18,Hoja7!A:F,6,0)</x:f>
        <x:v>68</x:v>
      </x:c>
      <x:c r="AI18" s="263" t="n">
        <x:f>VLOOKUP(AF18,'MAYOR AUX G'!A:K,11,0)</x:f>
        <x:v>21282.2</x:v>
      </x:c>
      <x:c r="AJ18" s="87" t="n"/>
      <x:c r="AK18" s="87" t="n"/>
    </x:row>
    <x:row r="19" s="117" customFormat="1" ht="15.75" customHeight="1">
      <x:c r="A19" s="68" t="str">
        <x:f>CONCATENATE(B19,H19," ",C19)</x:f>
        <x:v>FF150 18"</x:v>
      </x:c>
      <x:c r="B19" s="32" t="inlineStr">
        <x:is>
          <x:t xml:space="preserve">FF</x:t>
        </x:is>
      </x:c>
      <x:c r="C19" s="54" t="inlineStr">
        <x:is>
          <x:t xml:space="preserve">18"</x:t>
        </x:is>
      </x:c>
      <x:c r="D19" s="54" t="n">
        <x:v>635</x:v>
      </x:c>
      <x:c r="E19" s="57" t="n">
        <x:v>461.8</x:v>
      </x:c>
      <x:c r="F19" s="54" t="n">
        <x:v>16</x:v>
      </x:c>
      <x:c r="G19" s="55" t="n">
        <x:f>(1+(1/4))*25.4</x:f>
        <x:v>31.75</x:v>
      </x:c>
      <x:c r="H19" s="55" t="n">
        <x:v>150</x:v>
      </x:c>
      <x:c r="I19" s="65" t="n">
        <x:f>(D19+E19+(G19*F19))*PI()</x:f>
        <x:v>5041.6278904809</x:v>
      </x:c>
      <x:c r="J19" s="66" t="n">
        <x:f>I19/$W$4</x:f>
        <x:v>50.416278904809</x:v>
      </x:c>
      <x:c r="K19" s="250" t="n">
        <x:f>$W$6*J19</x:f>
        <x:v>5601.808767201</x:v>
      </x:c>
      <x:c r="L19" s="250" t="n">
        <x:f>J19*$W$5</x:f>
        <x:v>31291.703773584784</x:v>
      </x:c>
      <x:c r="M19" s="41" t="n"/>
      <x:c r="N19" s="35" t="n"/>
      <x:c r="O19" s="35" t="n"/>
      <x:c r="P19" s="35" t="n"/>
      <x:c r="Q19" s="42" t="n"/>
      <x:c r="AB19" s="1" t="str">
        <x:f>CONCATENATE(AC19,"-",AD19)</x:f>
        <x:v>430-"1"</x:v>
      </x:c>
      <x:c r="AC19" s="120" t="n">
        <x:v>430</x:v>
      </x:c>
      <x:c r="AD19" s="109" t="inlineStr">
        <x:is>
          <x:t xml:space="preserve">"1"</x:t>
        </x:is>
      </x:c>
      <x:c r="AE19" s="87" t="inlineStr">
        <x:is>
          <x:t xml:space="preserve">CHINA</x:t>
        </x:is>
      </x:c>
      <x:c r="AF19" s="87" t="inlineStr">
        <x:is>
          <x:t xml:space="preserve">EMPTRE430007</x:t>
        </x:is>
      </x:c>
      <x:c r="AG19" s="87" t="inlineStr">
        <x:is>
          <x:t xml:space="preserve">EMPAQUETADURAS TRENZADAS ESTILO 430  DE 1 SECCION</x:t>
        </x:is>
      </x:c>
      <x:c r="AH19" s="87" t="n">
        <x:f>VLOOKUP(AF19,Hoja7!A:F,6,0)</x:f>
        <x:v>46</x:v>
      </x:c>
      <x:c r="AI19" s="263" t="n">
        <x:f>VLOOKUP(AF19,'MAYOR AUX G'!A:K,11,0)</x:f>
        <x:v>27903.65217391</x:v>
      </x:c>
      <x:c r="AJ19" s="87" t="n"/>
      <x:c r="AK19" s="87" t="n"/>
    </x:row>
    <x:row r="20" s="117" customFormat="1" ht="15.75" customHeight="1">
      <x:c r="A20" s="68" t="str">
        <x:f>CONCATENATE(B20,H20," ",C20)</x:f>
        <x:v>FF150 20"</x:v>
      </x:c>
      <x:c r="B20" s="32" t="inlineStr">
        <x:is>
          <x:t xml:space="preserve">FF</x:t>
        </x:is>
      </x:c>
      <x:c r="C20" s="54" t="inlineStr">
        <x:is>
          <x:t xml:space="preserve">20"</x:t>
        </x:is>
      </x:c>
      <x:c r="D20" s="54" t="n">
        <x:v>700</x:v>
      </x:c>
      <x:c r="E20" s="57" t="n">
        <x:v>513.1</x:v>
      </x:c>
      <x:c r="F20" s="54" t="n">
        <x:v>20</x:v>
      </x:c>
      <x:c r="G20" s="55" t="n">
        <x:f>(1+(1/4))*25.4</x:f>
        <x:v>31.75</x:v>
      </x:c>
      <x:c r="H20" s="55" t="n">
        <x:v>150</x:v>
      </x:c>
      <x:c r="I20" s="65" t="n">
        <x:f>(D20+E20+(G20*F20))*PI()</x:f>
        <x:v>5805.977383099296</x:v>
      </x:c>
      <x:c r="J20" s="66" t="n">
        <x:f>I20/$W$4</x:f>
        <x:v>58.05977383099296</x:v>
      </x:c>
      <x:c r="K20" s="250" t="n">
        <x:f>$W$6*J20</x:f>
        <x:v>6451.08598122144</x:v>
      </x:c>
      <x:c r="L20" s="250" t="n">
        <x:f>J20*$W$5</x:f>
        <x:v>36035.76629110296</x:v>
      </x:c>
      <x:c r="M20" s="41" t="n"/>
      <x:c r="N20" s="35" t="n"/>
      <x:c r="O20" s="35" t="n"/>
      <x:c r="P20" s="35" t="n"/>
      <x:c r="Q20" s="42" t="n"/>
      <x:c r="AB20" s="1" t="str">
        <x:f>CONCATENATE(AC20,"-",AD20)</x:f>
        <x:v>430-"5/16"</x:v>
      </x:c>
      <x:c r="AC20" s="120" t="n">
        <x:v>430</x:v>
      </x:c>
      <x:c r="AD20" s="109" t="inlineStr">
        <x:is>
          <x:t xml:space="preserve">"5/16"</x:t>
        </x:is>
      </x:c>
      <x:c r="AE20" s="87" t="inlineStr">
        <x:is>
          <x:t xml:space="preserve">CHINA</x:t>
        </x:is>
      </x:c>
      <x:c r="AF20" s="87" t="inlineStr">
        <x:is>
          <x:t xml:space="preserve">EMPTRE430011</x:t>
        </x:is>
      </x:c>
      <x:c r="AG20" s="87" t="inlineStr">
        <x:is>
          <x:t xml:space="preserve">EMPAQUETADURAS TRENZADAS ESTILO 430 5/16 PLG SECCION CUADRADA</x:t>
        </x:is>
      </x:c>
      <x:c r="AH20" s="87" t="n">
        <x:f>VLOOKUP(AF20,Hoja7!A:F,6,0)</x:f>
        <x:v>17</x:v>
      </x:c>
      <x:c r="AI20" s="263" t="n">
        <x:f>VLOOKUP(AF20,'MAYOR AUX G'!A:K,11,0)</x:f>
        <x:v>22246.35294118</x:v>
      </x:c>
      <x:c r="AJ20" s="87" t="n"/>
      <x:c r="AK20" s="87" t="n"/>
    </x:row>
    <x:row r="21" s="117" customFormat="1" ht="15.75" customHeight="1">
      <x:c r="A21" s="68" t="str">
        <x:f>CONCATENATE(B21,H21," ",C21)</x:f>
        <x:v>FF150 22"</x:v>
      </x:c>
      <x:c r="B21" s="32" t="inlineStr">
        <x:is>
          <x:t xml:space="preserve">FF</x:t>
        </x:is>
      </x:c>
      <x:c r="C21" s="54" t="inlineStr">
        <x:is>
          <x:t xml:space="preserve">22"</x:t>
        </x:is>
      </x:c>
      <x:c r="D21" s="54" t="n">
        <x:v>750</x:v>
      </x:c>
      <x:c r="E21" s="57" t="n">
        <x:v>564.4</x:v>
      </x:c>
      <x:c r="F21" s="54" t="n">
        <x:v>20</x:v>
      </x:c>
      <x:c r="G21" s="55" t="n">
        <x:f>(1+(3/8))*25.4</x:f>
        <x:v>34.925</x:v>
      </x:c>
      <x:c r="H21" s="55" t="n">
        <x:v>150</x:v>
      </x:c>
      <x:c r="I21" s="65" t="n">
        <x:f>(D21+E21+(G21*F21))*PI()</x:f>
        <x:v>6323.711852410895</x:v>
      </x:c>
      <x:c r="J21" s="66" t="n">
        <x:f>I21/$W$4</x:f>
        <x:v>63.23711852410894</x:v>
      </x:c>
      <x:c r="K21" s="250" t="n">
        <x:f>$W$6*J21</x:f>
        <x:v>7026.346502678772</x:v>
      </x:c>
      <x:c r="L21" s="250" t="n">
        <x:f>J21*$W$5</x:f>
        <x:v>39249.17156396362</x:v>
      </x:c>
      <x:c r="M21" s="41" t="n"/>
      <x:c r="N21" s="35" t="n"/>
      <x:c r="O21" s="35" t="n"/>
      <x:c r="P21" s="35" t="n"/>
      <x:c r="Q21" s="42" t="n"/>
      <x:c r="AB21" s="1" t="str">
        <x:f>CONCATENATE(AC21,"-",AD21)</x:f>
        <x:v>55-55-"3/8"</x:v>
      </x:c>
      <x:c r="AC21" s="120" t="inlineStr">
        <x:is>
          <x:t xml:space="preserve">55-55</x:t>
        </x:is>
      </x:c>
      <x:c r="AD21" s="121" t="inlineStr">
        <x:is>
          <x:t xml:space="preserve">"3/8"</x:t>
        </x:is>
      </x:c>
      <x:c r="AE21" s="105" t="inlineStr">
        <x:is>
          <x:t xml:space="preserve">CHINA</x:t>
        </x:is>
      </x:c>
      <x:c r="AF21" s="105" t="inlineStr">
        <x:is>
          <x:t xml:space="preserve">EMPTRE555002</x:t>
        </x:is>
      </x:c>
      <x:c r="AG21" s="105" t="inlineStr">
        <x:is>
          <x:t xml:space="preserve">EMPAQUETADURAS TRENZADAS ESTILO 55-55 DE 3/8 SECCION</x:t>
        </x:is>
      </x:c>
      <x:c r="AH21" s="105" t="n">
        <x:f>VLOOKUP(AF21,Hoja7!A:F,6,0)</x:f>
        <x:v>89</x:v>
      </x:c>
      <x:c r="AI21" s="265" t="n">
        <x:f>VLOOKUP(AF21,'MAYOR AUX G'!A:K,11,0)</x:f>
        <x:v>10721</x:v>
      </x:c>
      <x:c r="AJ21" s="105" t="n"/>
      <x:c r="AK21" s="105" t="n"/>
    </x:row>
    <x:row r="22" s="117" customFormat="1" ht="15.75" customHeight="1">
      <x:c r="A22" s="68" t="str">
        <x:f>CONCATENATE(B22,H22," ",C22)</x:f>
        <x:v>FF150 24"</x:v>
      </x:c>
      <x:c r="B22" s="32" t="inlineStr">
        <x:is>
          <x:t xml:space="preserve">FF</x:t>
        </x:is>
      </x:c>
      <x:c r="C22" s="54" t="inlineStr">
        <x:is>
          <x:t xml:space="preserve">24"</x:t>
        </x:is>
      </x:c>
      <x:c r="D22" s="54" t="n">
        <x:v>815</x:v>
      </x:c>
      <x:c r="E22" s="57" t="n">
        <x:v>616</x:v>
      </x:c>
      <x:c r="F22" s="54" t="n">
        <x:v>20</x:v>
      </x:c>
      <x:c r="G22" s="55" t="n">
        <x:f>(1+(3/8))*25.4</x:f>
        <x:v>34.925</x:v>
      </x:c>
      <x:c r="H22" s="55" t="n">
        <x:v>150</x:v>
      </x:c>
      <x:c r="I22" s="65" t="n">
        <x:f>(D22+E22+(G22*F22))*PI()</x:f>
        <x:v>6690.021555819464</x:v>
      </x:c>
      <x:c r="J22" s="66" t="n">
        <x:f>I22/$W$4</x:f>
        <x:v>66.90021555819465</x:v>
      </x:c>
      <x:c r="K22" s="250" t="n">
        <x:f>$W$6*J22</x:f>
        <x:v>7433.35728424385</x:v>
      </x:c>
      <x:c r="L22" s="250" t="n">
        <x:f>J22*$W$5</x:f>
        <x:v>41522.73378978614</x:v>
      </x:c>
      <x:c r="M22" s="41" t="n"/>
      <x:c r="N22" s="35" t="n"/>
      <x:c r="O22" s="35" t="n"/>
      <x:c r="P22" s="35" t="n"/>
      <x:c r="Q22" s="42" t="n"/>
      <x:c r="AB22" s="1" t="str">
        <x:f>CONCATENATE(AC22,"-",AD22)</x:f>
        <x:v>55-55-"1/2"</x:v>
      </x:c>
      <x:c r="AC22" s="120" t="inlineStr">
        <x:is>
          <x:t xml:space="preserve">55-55</x:t>
        </x:is>
      </x:c>
      <x:c r="AD22" s="109" t="inlineStr">
        <x:is>
          <x:t xml:space="preserve">"1/2"</x:t>
        </x:is>
      </x:c>
      <x:c r="AE22" s="105" t="inlineStr">
        <x:is>
          <x:t xml:space="preserve">CHINA</x:t>
        </x:is>
      </x:c>
      <x:c r="AF22" s="105" t="inlineStr">
        <x:is>
          <x:t xml:space="preserve">EMPTRE555003</x:t>
        </x:is>
      </x:c>
      <x:c r="AG22" s="105" t="inlineStr">
        <x:is>
          <x:t xml:space="preserve">EMPAQUETADURAS TRENZADAS ESTILO 55-55 DE 1/2 SECCION</x:t>
        </x:is>
      </x:c>
      <x:c r="AH22" s="105" t="n">
        <x:f>VLOOKUP(AF22,Hoja7!A:F,6,0)</x:f>
        <x:v>37</x:v>
      </x:c>
      <x:c r="AI22" s="265" t="n">
        <x:f>VLOOKUP(AF22,'MAYOR AUX G'!A:K,11,0)</x:f>
        <x:v>10720.97568866</x:v>
      </x:c>
      <x:c r="AJ22" s="105" t="n"/>
      <x:c r="AK22" s="105" t="n"/>
    </x:row>
    <x:row r="23" s="117" customFormat="1" ht="15.75" customHeight="1">
      <x:c r="A23" s="68" t="str">
        <x:f>CONCATENATE(B23,H23," ",C23)</x:f>
        <x:v>FF150 32"</x:v>
      </x:c>
      <x:c r="B23" s="32" t="inlineStr">
        <x:is>
          <x:t xml:space="preserve">FF</x:t>
        </x:is>
      </x:c>
      <x:c r="C23" s="54" t="inlineStr">
        <x:is>
          <x:t xml:space="preserve">32"</x:t>
        </x:is>
      </x:c>
      <x:c r="D23" s="54" t="n">
        <x:v>1060</x:v>
      </x:c>
      <x:c r="E23" s="57" t="n">
        <x:v>772</x:v>
      </x:c>
      <x:c r="F23" s="54" t="n">
        <x:v>28</x:v>
      </x:c>
      <x:c r="G23" s="55" t="n">
        <x:v>42</x:v>
      </x:c>
      <x:c r="H23" s="55" t="n">
        <x:v>150</x:v>
      </x:c>
      <x:c r="I23" s="65" t="n">
        <x:f>(D23+E23+(G23*F23))*PI()</x:f>
        <x:v>9449.910701998098</x:v>
      </x:c>
      <x:c r="J23" s="66" t="n">
        <x:f>I23/$W$4</x:f>
        <x:v>94.49910701998098</x:v>
      </x:c>
      <x:c r="K23" s="250" t="n">
        <x:f>$W$6*J23</x:f>
        <x:v>10499.900779997888</x:v>
      </x:c>
      <x:c r="L23" s="250" t="n">
        <x:f>J23*$W$5</x:f>
        <x:v>58652.44575706819</x:v>
      </x:c>
      <x:c r="M23" s="41" t="n"/>
      <x:c r="N23" s="35" t="n"/>
      <x:c r="O23" s="35" t="n"/>
      <x:c r="P23" s="35" t="n"/>
      <x:c r="Q23" s="42" t="n"/>
      <x:c r="AB23" s="1" t="str">
        <x:f>CONCATENATE(AC23,"-",AD23)</x:f>
        <x:v>55-55-"3/4"</x:v>
      </x:c>
      <x:c r="AC23" s="120" t="inlineStr">
        <x:is>
          <x:t xml:space="preserve">55-55</x:t>
        </x:is>
      </x:c>
      <x:c r="AD23" s="109" t="inlineStr">
        <x:is>
          <x:t xml:space="preserve">"3/4"</x:t>
        </x:is>
      </x:c>
      <x:c r="AE23" s="105" t="inlineStr">
        <x:is>
          <x:t xml:space="preserve">CHINA</x:t>
        </x:is>
      </x:c>
      <x:c r="AF23" s="105" t="inlineStr">
        <x:is>
          <x:t xml:space="preserve">EMPTRE555004</x:t>
        </x:is>
      </x:c>
      <x:c r="AG23" s="105" t="inlineStr">
        <x:is>
          <x:t xml:space="preserve">EMPAQUETADURAS TRENZADAS ESTILO 55-55 3/4 SECCION</x:t>
        </x:is>
      </x:c>
      <x:c r="AH23" s="105" t="n">
        <x:f>VLOOKUP(AF23,Hoja7!A:F,6,0)</x:f>
        <x:v>222</x:v>
      </x:c>
      <x:c r="AI23" s="266" t="n">
        <x:f>VLOOKUP(AF23,'MAYOR AUX G'!A:K,11,0)</x:f>
        <x:v>10750.01694981</x:v>
      </x:c>
      <x:c r="AJ23" s="105" t="n"/>
      <x:c r="AK23" s="105" t="n"/>
    </x:row>
    <x:row r="24" s="117" customFormat="1" ht="15.75" customHeight="1">
      <x:c r="A24" s="68" t="str">
        <x:f>CONCATENATE(B24,H24," ",C24)</x:f>
        <x:v>FF150 42"</x:v>
      </x:c>
      <x:c r="B24" s="32" t="inlineStr">
        <x:is>
          <x:t xml:space="preserve">FF</x:t>
        </x:is>
      </x:c>
      <x:c r="C24" s="54" t="inlineStr">
        <x:is>
          <x:t xml:space="preserve">42"</x:t>
        </x:is>
      </x:c>
      <x:c r="D24" s="54" t="n">
        <x:v>1346</x:v>
      </x:c>
      <x:c r="E24" s="57" t="n">
        <x:v>1073</x:v>
      </x:c>
      <x:c r="F24" s="54" t="n">
        <x:v>36</x:v>
      </x:c>
      <x:c r="G24" s="55" t="n">
        <x:v>41</x:v>
      </x:c>
      <x:c r="H24" s="55" t="n">
        <x:v>150</x:v>
      </x:c>
      <x:c r="I24" s="65" t="n">
        <x:f>(D24+E24+(G24*F24))*PI()</x:f>
        <x:v>12236.503385732245</x:v>
      </x:c>
      <x:c r="J24" s="66" t="n">
        <x:f>I24/$W$4</x:f>
        <x:v>122.36503385732244</x:v>
      </x:c>
      <x:c r="K24" s="250" t="n">
        <x:f>$W$6*J24</x:f>
        <x:v>13596.114873035827</x:v>
      </x:c>
      <x:c r="L24" s="250" t="n">
        <x:f>J24*$W$5</x:f>
        <x:v>75947.89768077813</x:v>
      </x:c>
      <x:c r="M24" s="41" t="n"/>
      <x:c r="N24" s="35" t="n"/>
      <x:c r="O24" s="35" t="n"/>
      <x:c r="P24" s="35" t="n"/>
      <x:c r="Q24" s="42" t="n"/>
      <x:c r="AB24" s="1" t="str">
        <x:f>CONCATENATE(AC24,"-",AD24)</x:f>
        <x:v>55-55-"5/8"</x:v>
      </x:c>
      <x:c r="AC24" s="120" t="inlineStr">
        <x:is>
          <x:t xml:space="preserve">55-55</x:t>
        </x:is>
      </x:c>
      <x:c r="AD24" s="109" t="inlineStr">
        <x:is>
          <x:t xml:space="preserve">"5/8"</x:t>
        </x:is>
      </x:c>
      <x:c r="AE24" s="105" t="inlineStr">
        <x:is>
          <x:t xml:space="preserve">CHINA</x:t>
        </x:is>
      </x:c>
      <x:c r="AF24" s="105" t="inlineStr">
        <x:is>
          <x:t xml:space="preserve">EMPTRE555005</x:t>
        </x:is>
      </x:c>
      <x:c r="AG24" s="105" t="inlineStr">
        <x:is>
          <x:t xml:space="preserve">EMPAQUETADURAS TRENZADAS ESTILO 55-55 5/8 SECCION</x:t>
        </x:is>
      </x:c>
      <x:c r="AH24" s="206" t="n">
        <x:f>VLOOKUP(AF24,Hoja7!A:F,6,0)</x:f>
        <x:v>173</x:v>
      </x:c>
      <x:c r="AI24" s="267" t="n">
        <x:f>VLOOKUP(AF24,'MAYOR AUX G'!A:K,11,0)</x:f>
        <x:v>11523.99523729</x:v>
      </x:c>
      <x:c r="AJ24" s="207" t="n"/>
      <x:c r="AK24" s="105" t="n"/>
    </x:row>
    <x:row r="25" s="117" customFormat="1" ht="15.75" customHeight="1">
      <x:c r="A25" s="68" t="str">
        <x:f>CONCATENATE(B25,H25," ",C25)</x:f>
        <x:v>FF300 1/2"</x:v>
      </x:c>
      <x:c r="B25" s="32" t="inlineStr">
        <x:is>
          <x:t xml:space="preserve">FF</x:t>
        </x:is>
      </x:c>
      <x:c r="C25" s="54" t="inlineStr">
        <x:is>
          <x:t xml:space="preserve">1/2"</x:t>
        </x:is>
      </x:c>
      <x:c r="D25" s="54" t="n">
        <x:v>95</x:v>
      </x:c>
      <x:c r="E25" s="57" t="n">
        <x:v>22.2</x:v>
      </x:c>
      <x:c r="F25" s="54" t="n">
        <x:v>4</x:v>
      </x:c>
      <x:c r="G25" s="55" t="n">
        <x:f>(5/8)*25.4</x:f>
        <x:v>15.875</x:v>
      </x:c>
      <x:c r="H25" s="55" t="n">
        <x:v>300</x:v>
      </x:c>
      <x:c r="I25" s="65" t="n">
        <x:f>(D25+E25+(G25*F25))*PI()</x:f>
        <x:v>567.6857925036755</x:v>
      </x:c>
      <x:c r="J25" s="66" t="n">
        <x:f>I25/$W$4</x:f>
        <x:v>5.676857925036756</x:v>
      </x:c>
      <x:c r="K25" s="250" t="n">
        <x:f>$W$6*J25</x:f>
        <x:v>630.7619916707506</x:v>
      </x:c>
      <x:c r="L25" s="250" t="n">
        <x:f>J25*$W$5</x:f>
        <x:v>3523.436485472813</x:v>
      </x:c>
      <x:c r="M25" s="41" t="n"/>
      <x:c r="N25" s="35" t="n"/>
      <x:c r="O25" s="35" t="n"/>
      <x:c r="P25" s="35" t="n"/>
      <x:c r="Q25" s="42" t="n"/>
      <x:c r="AB25" s="1" t="str">
        <x:f>CONCATENATE(AC25,"-",AD25)</x:f>
        <x:v>55-55-"1"</x:v>
      </x:c>
      <x:c r="AC25" s="120" t="inlineStr">
        <x:is>
          <x:t xml:space="preserve">55-55</x:t>
        </x:is>
      </x:c>
      <x:c r="AD25" s="109" t="inlineStr">
        <x:is>
          <x:t xml:space="preserve">"1"</x:t>
        </x:is>
      </x:c>
      <x:c r="AE25" s="105" t="inlineStr">
        <x:is>
          <x:t xml:space="preserve">CHINA</x:t>
        </x:is>
      </x:c>
      <x:c r="AF25" s="105" t="inlineStr">
        <x:is>
          <x:t xml:space="preserve">EMPTRE555006</x:t>
        </x:is>
      </x:c>
      <x:c r="AG25" s="105" t="inlineStr">
        <x:is>
          <x:t xml:space="preserve">EMPAQUETADURAS TRENZADAS 55-55 DE 1 SECCION</x:t>
        </x:is>
      </x:c>
      <x:c r="AH25" s="105" t="n">
        <x:f>VLOOKUP(AF25,Hoja7!A:F,6,0)</x:f>
        <x:v>250</x:v>
      </x:c>
      <x:c r="AI25" s="268" t="n">
        <x:f>VLOOKUP(AF25,'MAYOR AUX G'!A:K,11,0)</x:f>
        <x:v>11734.40129801</x:v>
      </x:c>
      <x:c r="AJ25" s="105" t="n"/>
      <x:c r="AK25" s="105" t="n"/>
    </x:row>
    <x:row r="26" s="117" customFormat="1" ht="15.75" customHeight="1">
      <x:c r="A26" s="68" t="str">
        <x:f>CONCATENATE(B26,H26," ",C26)</x:f>
        <x:v>FF300 3/4"</x:v>
      </x:c>
      <x:c r="B26" s="32" t="inlineStr">
        <x:is>
          <x:t xml:space="preserve">FF</x:t>
        </x:is>
      </x:c>
      <x:c r="C26" s="54" t="inlineStr">
        <x:is>
          <x:t xml:space="preserve">3/4"</x:t>
        </x:is>
      </x:c>
      <x:c r="D26" s="54" t="n">
        <x:v>115</x:v>
      </x:c>
      <x:c r="E26" s="57" t="n">
        <x:v>27.7</x:v>
      </x:c>
      <x:c r="F26" s="54" t="n">
        <x:v>4</x:v>
      </x:c>
      <x:c r="G26" s="55" t="n">
        <x:f>(3/4)*25.4</x:f>
        <x:v>19.049999999999997</x:v>
      </x:c>
      <x:c r="H26" s="55" t="n">
        <x:v>300</x:v>
      </x:c>
      <x:c r="I26" s="65" t="n">
        <x:f>(D26+E26+(G26*F26))*PI()</x:f>
        <x:v>687.6946318708057</x:v>
      </x:c>
      <x:c r="J26" s="66" t="n">
        <x:f>I26/$W$4</x:f>
        <x:v>6.876946318708057</x:v>
      </x:c>
      <x:c r="K26" s="250" t="n">
        <x:f>$W$6*J26</x:f>
        <x:v>764.1051465231175</x:v>
      </x:c>
      <x:c r="L26" s="250" t="n">
        <x:f>J26*$W$5</x:f>
        <x:v>4268.291348478134</x:v>
      </x:c>
      <x:c r="M26" s="41" t="n"/>
      <x:c r="N26" s="35" t="n"/>
      <x:c r="O26" s="35" t="n"/>
      <x:c r="P26" s="35" t="n"/>
      <x:c r="Q26" s="42" t="n"/>
      <x:c r="AB26" s="1" t="str">
        <x:f>CONCATENATE(AC26,"-",AD26)</x:f>
        <x:v>55-55-"1/4"</x:v>
      </x:c>
      <x:c r="AC26" s="120" t="inlineStr">
        <x:is>
          <x:t xml:space="preserve">55-55</x:t>
        </x:is>
      </x:c>
      <x:c r="AD26" s="109" t="inlineStr">
        <x:is>
          <x:t xml:space="preserve">"1/4"</x:t>
        </x:is>
      </x:c>
      <x:c r="AE26" s="105" t="inlineStr">
        <x:is>
          <x:t xml:space="preserve">CHINA</x:t>
        </x:is>
      </x:c>
      <x:c r="AF26" s="105" t="inlineStr">
        <x:is>
          <x:t xml:space="preserve">EMPTRE555009</x:t>
        </x:is>
      </x:c>
      <x:c r="AG26" s="105" t="inlineStr">
        <x:is>
          <x:t xml:space="preserve">EMPAQUETADURA TRENZADAS ESTILO 55-55 1/4 PLG SECCION</x:t>
        </x:is>
      </x:c>
      <x:c r="AH26" s="206" t="n">
        <x:f>VLOOKUP(AF26,Hoja7!A:F,6,0)</x:f>
        <x:v>12</x:v>
      </x:c>
      <x:c r="AI26" s="267" t="n">
        <x:f>VLOOKUP(AF26,'MAYOR AUX G'!A:K,11,0)</x:f>
        <x:v>11674.10756419</x:v>
      </x:c>
      <x:c r="AJ26" s="207" t="n"/>
      <x:c r="AK26" s="105" t="n"/>
    </x:row>
    <x:row r="27" s="117" customFormat="1" ht="15.75" customHeight="1">
      <x:c r="A27" s="68" t="str">
        <x:f>CONCATENATE(B27,H27," ",C27)</x:f>
        <x:v>FF300 1"</x:v>
      </x:c>
      <x:c r="B27" s="32" t="inlineStr">
        <x:is>
          <x:t xml:space="preserve">FF</x:t>
        </x:is>
      </x:c>
      <x:c r="C27" s="54" t="inlineStr">
        <x:is>
          <x:t xml:space="preserve">1"</x:t>
        </x:is>
      </x:c>
      <x:c r="D27" s="54" t="n">
        <x:v>125</x:v>
      </x:c>
      <x:c r="E27" s="57" t="n">
        <x:v>34.5</x:v>
      </x:c>
      <x:c r="F27" s="54" t="n">
        <x:v>4</x:v>
      </x:c>
      <x:c r="G27" s="55" t="n">
        <x:f>(3/4)*25.4</x:f>
        <x:v>19.049999999999997</x:v>
      </x:c>
      <x:c r="H27" s="55" t="n">
        <x:v>300</x:v>
      </x:c>
      <x:c r="I27" s="65" t="n">
        <x:f>(D27+E27+(G27*F27))*PI()</x:f>
        <x:v>740.4733884511141</x:v>
      </x:c>
      <x:c r="J27" s="66" t="n">
        <x:f>I27/$W$4</x:f>
        <x:v>7.404733884511142</x:v>
      </x:c>
      <x:c r="K27" s="250" t="n">
        <x:f>$W$6*J27</x:f>
        <x:v>822.7482093901269</x:v>
      </x:c>
      <x:c r="L27" s="250" t="n">
        <x:f>J27*$W$5</x:f>
        <x:v>4595.871497653248</x:v>
      </x:c>
      <x:c r="M27" s="41" t="n"/>
      <x:c r="N27" s="35" t="n"/>
      <x:c r="O27" s="35" t="n"/>
      <x:c r="P27" s="35" t="n"/>
      <x:c r="Q27" s="42" t="n"/>
      <x:c r="AB27" s="1" t="str">
        <x:f>CONCATENATE(AC27,"-",AD27)</x:f>
        <x:v>2100-"1"</x:v>
      </x:c>
      <x:c r="AC27" s="12" t="n">
        <x:v>2100</x:v>
      </x:c>
      <x:c r="AD27" s="109" t="inlineStr">
        <x:is>
          <x:t xml:space="preserve">"1"</x:t>
        </x:is>
      </x:c>
      <x:c r="AE27" s="191" t="inlineStr">
        <x:is>
          <x:t xml:space="preserve">CHINA</x:t>
        </x:is>
      </x:c>
      <x:c r="AF27" s="191" t="inlineStr">
        <x:is>
          <x:t xml:space="preserve">EMPTRE210001</x:t>
        </x:is>
      </x:c>
      <x:c r="AG27" s="191" t="inlineStr">
        <x:is>
          <x:t xml:space="preserve">EMPAQUETADURAS TRENZADAS ESTILO 2100 DE 1 SECCION</x:t>
        </x:is>
      </x:c>
      <x:c r="AH27" s="204" t="n">
        <x:f>VLOOKUP(AF27,Hoja7!A:F,6,0)</x:f>
        <x:v>74</x:v>
      </x:c>
      <x:c r="AI27" s="269" t="n">
        <x:f>VLOOKUP(AF27,'MAYOR AUX G'!A:K,11,0)</x:f>
        <x:v>43377.005478</x:v>
      </x:c>
      <x:c r="AJ27" s="205" t="n"/>
      <x:c r="AK27" s="96" t="n"/>
    </x:row>
    <x:row r="28" s="117" customFormat="1" ht="15.75" customHeight="1">
      <x:c r="A28" s="68" t="str">
        <x:f>CONCATENATE(B28,H28," ",C28)</x:f>
        <x:v>FF300 1-1/4"</x:v>
      </x:c>
      <x:c r="B28" s="32" t="inlineStr">
        <x:is>
          <x:t xml:space="preserve">FF</x:t>
        </x:is>
      </x:c>
      <x:c r="C28" s="54" t="inlineStr">
        <x:is>
          <x:t xml:space="preserve">1-1/4"</x:t>
        </x:is>
      </x:c>
      <x:c r="D28" s="54" t="n">
        <x:v>135</x:v>
      </x:c>
      <x:c r="E28" s="57" t="n">
        <x:v>43.2</x:v>
      </x:c>
      <x:c r="F28" s="54" t="n">
        <x:v>4</x:v>
      </x:c>
      <x:c r="G28" s="55" t="n">
        <x:f>(3/4)*25.4</x:f>
        <x:v>19.049999999999997</x:v>
      </x:c>
      <x:c r="H28" s="55" t="n">
        <x:v>300</x:v>
      </x:c>
      <x:c r="I28" s="65" t="n">
        <x:f>(D28+E28+(G28*F28))*PI()</x:f>
        <x:v>799.2211710732433</x:v>
      </x:c>
      <x:c r="J28" s="66" t="n">
        <x:f>I28/$W$4</x:f>
        <x:v>7.992211710732433</x:v>
      </x:c>
      <x:c r="K28" s="250" t="n">
        <x:f>$W$6*J28</x:f>
        <x:v>888.0235234147148</x:v>
      </x:c>
      <x:c r="L28" s="250" t="n">
        <x:f>J28*$W$5</x:f>
        <x:v>4960.499401794596</x:v>
      </x:c>
      <x:c r="M28" s="41" t="n"/>
      <x:c r="N28" s="35" t="n"/>
      <x:c r="O28" s="35" t="n"/>
      <x:c r="P28" s="35" t="n"/>
      <x:c r="Q28" s="42" t="n"/>
      <x:c r="AB28" s="1" t="str">
        <x:f>CONCATENATE(AC28,"-",AD28)</x:f>
        <x:v>2100-"3/4"</x:v>
      </x:c>
      <x:c r="AC28" s="12" t="n">
        <x:v>2100</x:v>
      </x:c>
      <x:c r="AD28" s="109" t="inlineStr">
        <x:is>
          <x:t xml:space="preserve">"3/4"</x:t>
        </x:is>
      </x:c>
      <x:c r="AE28" s="191" t="inlineStr">
        <x:is>
          <x:t xml:space="preserve">CHINA</x:t>
        </x:is>
      </x:c>
      <x:c r="AF28" s="191" t="inlineStr">
        <x:is>
          <x:t xml:space="preserve">EMPTRE210002</x:t>
        </x:is>
      </x:c>
      <x:c r="AG28" s="191" t="inlineStr">
        <x:is>
          <x:t xml:space="preserve">EMPAQUETADURAS TRENZADAS ESTILO 2100 DE 3/4 SECCION</x:t>
        </x:is>
      </x:c>
      <x:c r="AH28" s="204" t="n">
        <x:f>VLOOKUP(AF28,Hoja7!A:F,6,0)</x:f>
        <x:v>28</x:v>
      </x:c>
      <x:c r="AI28" s="269" t="n">
        <x:f>VLOOKUP(AF28,'MAYOR AUX G'!A:K,11,0)</x:f>
        <x:v>41194.92019403</x:v>
      </x:c>
      <x:c r="AJ28" s="205" t="n"/>
    </x:row>
    <x:row r="29" s="117" customFormat="1" ht="15.75" customHeight="1">
      <x:c r="A29" s="68" t="str">
        <x:f>CONCATENATE(B29,H29," ",C29)</x:f>
        <x:v>FF300 1-1/2"</x:v>
      </x:c>
      <x:c r="B29" s="32" t="inlineStr">
        <x:is>
          <x:t xml:space="preserve">FF</x:t>
        </x:is>
      </x:c>
      <x:c r="C29" s="54" t="inlineStr">
        <x:is>
          <x:t xml:space="preserve">1-1/2"</x:t>
        </x:is>
      </x:c>
      <x:c r="D29" s="54" t="n">
        <x:v>155</x:v>
      </x:c>
      <x:c r="E29" s="57" t="n">
        <x:v>49.5</x:v>
      </x:c>
      <x:c r="F29" s="54" t="n">
        <x:v>4</x:v>
      </x:c>
      <x:c r="G29" s="55" t="n">
        <x:f>(7/8)*25.4</x:f>
        <x:v>22.224999999999998</x:v>
      </x:c>
      <x:c r="H29" s="55" t="n">
        <x:v>300</x:v>
      </x:c>
      <x:c r="I29" s="65" t="n">
        <x:f>(D29+E29+(G29*F29))*PI()</x:f>
        <x:v>921.7432845632452</x:v>
      </x:c>
      <x:c r="J29" s="66" t="n">
        <x:f>I29/$W$4</x:f>
        <x:v>9.217432845632452</x:v>
      </x:c>
      <x:c r="K29" s="250" t="n">
        <x:f>$W$6*J29</x:f>
        <x:v>1024.1592050702725</x:v>
      </x:c>
      <x:c r="L29" s="250" t="n">
        <x:f>J29*$W$5</x:f>
        <x:v>5720.953319522541</x:v>
      </x:c>
      <x:c r="M29" s="41" t="n"/>
      <x:c r="N29" s="35" t="n"/>
      <x:c r="O29" s="35" t="n"/>
      <x:c r="P29" s="35" t="n"/>
      <x:c r="Q29" s="42" t="n"/>
      <x:c r="AB29" s="1" t="str">
        <x:f>CONCATENATE(AC29,"-",AD29)</x:f>
        <x:v>2100-"5/8"</x:v>
      </x:c>
      <x:c r="AC29" s="12" t="n">
        <x:v>2100</x:v>
      </x:c>
      <x:c r="AD29" s="109" t="inlineStr">
        <x:is>
          <x:t xml:space="preserve">"5/8"</x:t>
        </x:is>
      </x:c>
      <x:c r="AE29" s="191" t="inlineStr">
        <x:is>
          <x:t xml:space="preserve">CHINA</x:t>
        </x:is>
      </x:c>
      <x:c r="AF29" s="191" t="inlineStr">
        <x:is>
          <x:t xml:space="preserve">EMPTRE210003</x:t>
        </x:is>
      </x:c>
      <x:c r="AG29" s="191" t="inlineStr">
        <x:is>
          <x:t xml:space="preserve">EMPAQUETADURAS TRENZADAS ESTILO 2100 DE 5/8 SECCION</x:t>
        </x:is>
      </x:c>
      <x:c r="AH29" s="204" t="n">
        <x:f>VLOOKUP(AF29,Hoja7!A:F,6,0)</x:f>
        <x:v>21</x:v>
      </x:c>
      <x:c r="AI29" s="269" t="n">
        <x:f>VLOOKUP(AF29,'MAYOR AUX G'!A:K,11,0)</x:f>
        <x:v>28548</x:v>
      </x:c>
      <x:c r="AJ29" s="205" t="n"/>
    </x:row>
    <x:row r="30" s="117" customFormat="1" ht="15.75" customHeight="1">
      <x:c r="A30" s="68" t="str">
        <x:f>CONCATENATE(B30,H30," ",C30)</x:f>
        <x:v>FF300 2"</x:v>
      </x:c>
      <x:c r="B30" s="32" t="inlineStr">
        <x:is>
          <x:t xml:space="preserve">FF</x:t>
        </x:is>
      </x:c>
      <x:c r="C30" s="54" t="inlineStr">
        <x:is>
          <x:t xml:space="preserve">2"</x:t>
        </x:is>
      </x:c>
      <x:c r="D30" s="54" t="n">
        <x:v>165</x:v>
      </x:c>
      <x:c r="E30" s="57" t="n">
        <x:v>61.9</x:v>
      </x:c>
      <x:c r="F30" s="54" t="n">
        <x:v>8</x:v>
      </x:c>
      <x:c r="G30" s="55" t="n">
        <x:f>(3/4)*25.4</x:f>
        <x:v>19.049999999999997</x:v>
      </x:c>
      <x:c r="H30" s="55" t="n">
        <x:v>300</x:v>
      </x:c>
      <x:c r="I30" s="65" t="n">
        <x:f>(D30+E30+(G30*F30))*PI()</x:f>
        <x:v>1191.6060935066084</x:v>
      </x:c>
      <x:c r="J30" s="66" t="n">
        <x:f>I30/$W$4</x:f>
        <x:v>11.916060935066085</x:v>
      </x:c>
      <x:c r="K30" s="250" t="n">
        <x:f>$W$6*J30</x:f>
        <x:v>1324.0067705628983</x:v>
      </x:c>
      <x:c r="L30" s="250" t="n">
        <x:f>J30*$W$5</x:f>
        <x:v>7395.90182036435</x:v>
      </x:c>
      <x:c r="M30" s="43" t="n"/>
      <x:c r="N30" s="44" t="n"/>
      <x:c r="O30" s="44" t="n"/>
      <x:c r="P30" s="44" t="n"/>
      <x:c r="Q30" s="45" t="n"/>
      <x:c r="AB30" s="1" t="str">
        <x:f>CONCATENATE(AC30,"-",AD30)</x:f>
        <x:v>RETORTA-"TIPO"</x:v>
      </x:c>
      <x:c r="AC30" s="1" t="inlineStr">
        <x:is>
          <x:t xml:space="preserve">RETORTA</x:t>
        </x:is>
      </x:c>
      <x:c r="AD30" s="152" t="inlineStr">
        <x:is>
          <x:t xml:space="preserve">"TIPO"</x:t>
        </x:is>
      </x:c>
      <x:c r="AE30" s="95" t="n"/>
      <x:c r="AF30" t="inlineStr">
        <x:is>
          <x:t xml:space="preserve">PDTSEF001034</x:t>
        </x:is>
      </x:c>
      <x:c r="AG30" t="inlineStr">
        <x:is>
          <x:t xml:space="preserve">EMPAQUETADURA PUERTA DE RETORTA C/ALMA DE SILICONA N° PARTE ET30JC1900 COD 107296</x:t>
        </x:is>
      </x:c>
      <x:c r="AH30" s="95" t="n">
        <x:v>160</x:v>
      </x:c>
      <x:c r="AI30" s="270" t="n">
        <x:v>69600</x:v>
      </x:c>
      <x:c r="AJ30" s="202" t="n"/>
    </x:row>
    <x:row r="31" s="117" customFormat="1" ht="15.75" customHeight="1">
      <x:c r="A31" s="68" t="str">
        <x:f>CONCATENATE(B31,H31," ",C31)</x:f>
        <x:v>FF300 2-1/2"</x:v>
      </x:c>
      <x:c r="B31" s="32" t="inlineStr">
        <x:is>
          <x:t xml:space="preserve">FF</x:t>
        </x:is>
      </x:c>
      <x:c r="C31" s="54" t="inlineStr">
        <x:is>
          <x:t xml:space="preserve">2-1/2"</x:t>
        </x:is>
      </x:c>
      <x:c r="D31" s="54" t="n">
        <x:v>190</x:v>
      </x:c>
      <x:c r="E31" s="57" t="n">
        <x:v>74.59999999999999</x:v>
      </x:c>
      <x:c r="F31" s="54" t="n">
        <x:v>8</x:v>
      </x:c>
      <x:c r="G31" s="55" t="n">
        <x:f>(7/8)*25.4</x:f>
        <x:v>22.224999999999998</x:v>
      </x:c>
      <x:c r="H31" s="55" t="n">
        <x:v>300</x:v>
      </x:c>
      <x:c r="I31" s="65" t="n">
        <x:f>(D31+E31+(G31*F31))*PI()</x:f>
        <x:v>1389.8405899481245</x:v>
      </x:c>
      <x:c r="J31" s="66" t="n">
        <x:f>I31/$W$4</x:f>
        <x:v>13.898405899481245</x:v>
      </x:c>
      <x:c r="K31" s="250" t="n">
        <x:f>$W$6*J31</x:f>
        <x:v>1544.2673221645828</x:v>
      </x:c>
      <x:c r="L31" s="250" t="n">
        <x:f>J31*$W$5</x:f>
        <x:v>8626.27726161136</x:v>
      </x:c>
      <x:c r="M31" s="41" t="n"/>
      <x:c r="N31" s="35" t="n"/>
      <x:c r="O31" s="35" t="n"/>
      <x:c r="P31" s="35" t="n"/>
      <x:c r="Q31" s="42" t="n"/>
      <x:c r="AF31" s="193" t="inlineStr">
        <x:is>
          <x:t xml:space="preserve">DUR902001001</x:t>
        </x:is>
      </x:c>
      <x:c r="AG31" s="193" t="inlineStr">
        <x:is>
          <x:t xml:space="preserve">PLA DE DURLON9002 1/8 X60X60</x:t>
        </x:is>
      </x:c>
      <x:c r="AH31" s="204" t="n"/>
      <x:c r="AI31" s="269" t="n">
        <x:v>466477</x:v>
      </x:c>
      <x:c r="AJ31" s="205" t="n"/>
      <x:c r="AK31" s="191" t="n"/>
      <x:c r="AL31" s="191" t="n"/>
      <x:c r="AM31" s="193" t="e">
        <x:f>Tabla2[[#This Row],[Costo Unitario]]*Tabla2[[#This Row],[Factor]]</x:f>
        <x:v>#VALUE!</x:v>
      </x:c>
      <x:c r="AN31" s="191" t="n"/>
      <x:c r="AO31" s="271" t="e">
        <x:f>Tabla2[[#This Row],[P $Venta]]*Tabla2[[#This Row],[Planchas]]</x:f>
        <x:v>#VALUE!</x:v>
      </x:c>
    </x:row>
    <x:row r="32" s="117" customFormat="1" ht="15.75" customHeight="1">
      <x:c r="A32" s="68" t="str">
        <x:f>CONCATENATE(B32,H32," ",C32)</x:f>
        <x:v>FF300 3"</x:v>
      </x:c>
      <x:c r="B32" s="32" t="inlineStr">
        <x:is>
          <x:t xml:space="preserve">FF</x:t>
        </x:is>
      </x:c>
      <x:c r="C32" s="54" t="inlineStr">
        <x:is>
          <x:t xml:space="preserve">3"</x:t>
        </x:is>
      </x:c>
      <x:c r="D32" s="54" t="n">
        <x:v>210</x:v>
      </x:c>
      <x:c r="E32" s="57" t="n">
        <x:v>90.7</x:v>
      </x:c>
      <x:c r="F32" s="54" t="n">
        <x:v>8</x:v>
      </x:c>
      <x:c r="G32" s="55" t="n">
        <x:f>(7/8)*25.4</x:f>
        <x:v>22.224999999999998</x:v>
      </x:c>
      <x:c r="H32" s="55" t="n">
        <x:v>300</x:v>
      </x:c>
      <x:c r="I32" s="65" t="n">
        <x:f>(D32+E32+(G32*F32))*PI()</x:f>
        <x:v>1503.252084742716</x:v>
      </x:c>
      <x:c r="J32" s="66" t="n">
        <x:f>I32/$W$4</x:f>
        <x:v>15.032520847427161</x:v>
      </x:c>
      <x:c r="K32" s="250" t="n">
        <x:f>$W$6*J32</x:f>
        <x:v>1670.2800941585735</x:v>
      </x:c>
      <x:c r="L32" s="250" t="n">
        <x:f>J32*$W$5</x:f>
        <x:v>9330.184605969791</x:v>
      </x:c>
      <x:c r="M32" s="41" t="n"/>
      <x:c r="N32" s="35" t="n"/>
      <x:c r="O32" s="35" t="n"/>
      <x:c r="P32" s="35" t="n"/>
      <x:c r="Q32" s="42" t="n"/>
    </x:row>
    <x:row r="33" s="117" customFormat="1" ht="15.75" customHeight="1">
      <x:c r="A33" s="68" t="str">
        <x:f>CONCATENATE(B33,H33," ",C33)</x:f>
        <x:v>FF300 3-1/2"</x:v>
      </x:c>
      <x:c r="B33" s="32" t="inlineStr">
        <x:is>
          <x:t xml:space="preserve">FF</x:t>
        </x:is>
      </x:c>
      <x:c r="C33" s="54" t="inlineStr">
        <x:is>
          <x:t xml:space="preserve">3-1/2"</x:t>
        </x:is>
      </x:c>
      <x:c r="D33" s="54" t="n">
        <x:v>230</x:v>
      </x:c>
      <x:c r="E33" s="57" t="n">
        <x:v>103.4</x:v>
      </x:c>
      <x:c r="F33" s="54" t="n">
        <x:v>8</x:v>
      </x:c>
      <x:c r="G33" s="55" t="n">
        <x:f>(7/8)*25.4</x:f>
        <x:v>22.224999999999998</x:v>
      </x:c>
      <x:c r="H33" s="55" t="n">
        <x:v>300</x:v>
      </x:c>
      <x:c r="I33" s="65" t="n">
        <x:f>(D33+E33+(G33*F33))*PI()</x:f>
        <x:v>1605.982164515102</x:v>
      </x:c>
      <x:c r="J33" s="66" t="n">
        <x:f>I33/$W$4</x:f>
        <x:v>16.059821645151022</x:v>
      </x:c>
      <x:c r="K33" s="250" t="n">
        <x:f>$W$6*J33</x:f>
        <x:v>1784.4246272390026</x:v>
      </x:c>
      <x:c r="L33" s="250" t="n">
        <x:f>J33*$W$5</x:f>
        <x:v>9967.795967757067</x:v>
      </x:c>
      <x:c r="M33" s="41" t="n"/>
      <x:c r="N33" s="35" t="n"/>
      <x:c r="O33" s="35" t="n"/>
      <x:c r="P33" s="35" t="n"/>
      <x:c r="Q33" s="42" t="n"/>
    </x:row>
    <x:row r="34" s="117" customFormat="1" ht="15.75" customHeight="1">
      <x:c r="A34" s="68" t="str">
        <x:f>CONCATENATE(B34,H34," ",C34)</x:f>
        <x:v>FF300 4"</x:v>
      </x:c>
      <x:c r="B34" s="32" t="inlineStr">
        <x:is>
          <x:t xml:space="preserve">FF</x:t>
        </x:is>
      </x:c>
      <x:c r="C34" s="54" t="inlineStr">
        <x:is>
          <x:t xml:space="preserve">4"</x:t>
        </x:is>
      </x:c>
      <x:c r="D34" s="54" t="n">
        <x:v>255</x:v>
      </x:c>
      <x:c r="E34" s="57" t="n">
        <x:v>116.1</x:v>
      </x:c>
      <x:c r="F34" s="54" t="n">
        <x:v>8</x:v>
      </x:c>
      <x:c r="G34" s="55" t="n">
        <x:f>(7/8)*25.4</x:f>
        <x:v>22.224999999999998</x:v>
      </x:c>
      <x:c r="H34" s="55" t="n">
        <x:v>300</x:v>
      </x:c>
      <x:c r="I34" s="65" t="n">
        <x:f>(D34+E34+(G34*F34))*PI()</x:f>
        <x:v>1724.4202075554374</x:v>
      </x:c>
      <x:c r="J34" s="66" t="n">
        <x:f>I34/$W$4</x:f>
        <x:v>17.244202075554373</x:v>
      </x:c>
      <x:c r="K34" s="250" t="n">
        <x:f>$W$6*J34</x:f>
        <x:v>1916.0224528393749</x:v>
      </x:c>
      <x:c r="L34" s="250" t="n">
        <x:f>J34*$W$5</x:f>
        <x:v>10702.901421560748</x:v>
      </x:c>
      <x:c r="M34" s="41" t="n"/>
      <x:c r="N34" s="35" t="n"/>
      <x:c r="O34" s="35" t="n"/>
      <x:c r="P34" s="35" t="n"/>
      <x:c r="Q34" s="42" t="n"/>
    </x:row>
    <x:row r="35" s="117" customFormat="1" ht="15.75" customHeight="1">
      <x:c r="A35" s="68" t="str">
        <x:f>CONCATENATE(B35,H35," ",C35)</x:f>
        <x:v>FF300 5"</x:v>
      </x:c>
      <x:c r="B35" s="32" t="inlineStr">
        <x:is>
          <x:t xml:space="preserve">FF</x:t>
        </x:is>
      </x:c>
      <x:c r="C35" s="54" t="inlineStr">
        <x:is>
          <x:t xml:space="preserve">5"</x:t>
        </x:is>
      </x:c>
      <x:c r="D35" s="54" t="n">
        <x:v>280</x:v>
      </x:c>
      <x:c r="E35" s="57" t="n">
        <x:v>143.8</x:v>
      </x:c>
      <x:c r="F35" s="54" t="n">
        <x:v>8</x:v>
      </x:c>
      <x:c r="G35" s="55" t="n">
        <x:f>(7/8)*25.4</x:f>
        <x:v>22.224999999999998</x:v>
      </x:c>
      <x:c r="H35" s="55" t="n">
        <x:v>300</x:v>
      </x:c>
      <x:c r="I35" s="65" t="n">
        <x:f>(D35+E35+(G35*F35))*PI()</x:f>
        <x:v>1889.9821403996195</x:v>
      </x:c>
      <x:c r="J35" s="66" t="n">
        <x:f>I35/$W$4</x:f>
        <x:v>18.899821403996196</x:v>
      </x:c>
      <x:c r="K35" s="250" t="n">
        <x:f>$W$6*J35</x:f>
        <x:v>2099.980155999577</x:v>
      </x:c>
      <x:c r="L35" s="250" t="n">
        <x:f>J35*$W$5</x:f>
        <x:v>11730.489151413638</x:v>
      </x:c>
      <x:c r="M35" s="41" t="n"/>
      <x:c r="N35" s="35" t="n"/>
      <x:c r="O35" s="35" t="n"/>
      <x:c r="P35" s="35" t="n"/>
      <x:c r="Q35" s="42" t="n"/>
      <x:c r="AI35" s="248" t="n">
        <x:v>896121</x:v>
      </x:c>
      <x:c r="AJ35" s="179" t="n">
        <x:v>1524</x:v>
      </x:c>
      <x:c r="AK35" s="179" t="n">
        <x:v>1524</x:v>
      </x:c>
      <x:c r="AL35" s="182" t="n">
        <x:f>AM35/AI35</x:f>
        <x:v>1.4227989300552046</x:v>
      </x:c>
      <x:c r="AM35" s="253" t="n">
        <x:v>1275000</x:v>
      </x:c>
    </x:row>
    <x:row r="36" s="117" customFormat="1" ht="15.75" customHeight="1">
      <x:c r="A36" s="68" t="str">
        <x:f>CONCATENATE(B36,H36," ",C36)</x:f>
        <x:v>FF300 6"</x:v>
      </x:c>
      <x:c r="B36" s="32" t="inlineStr">
        <x:is>
          <x:t xml:space="preserve">FF</x:t>
        </x:is>
      </x:c>
      <x:c r="C36" s="54" t="inlineStr">
        <x:is>
          <x:t xml:space="preserve">6"</x:t>
        </x:is>
      </x:c>
      <x:c r="D36" s="54" t="n">
        <x:v>320</x:v>
      </x:c>
      <x:c r="E36" s="57" t="n">
        <x:v>170.7</x:v>
      </x:c>
      <x:c r="F36" s="54" t="n">
        <x:v>12</x:v>
      </x:c>
      <x:c r="G36" s="55" t="n">
        <x:f>(7/8)*25.4</x:f>
        <x:v>22.224999999999998</x:v>
      </x:c>
      <x:c r="H36" s="55" t="n">
        <x:v>300</x:v>
      </x:c>
      <x:c r="I36" s="65" t="n">
        <x:f>(D36+E36+(G36*F36))*PI()</x:f>
        <x:v>2379.4422758289093</x:v>
      </x:c>
      <x:c r="J36" s="66" t="n">
        <x:f>I36/$W$4</x:f>
        <x:v>23.79442275828909</x:v>
      </x:c>
      <x:c r="K36" s="250" t="n">
        <x:f>$W$6*J36</x:f>
        <x:v>2643.82475092101</x:v>
      </x:c>
      <x:c r="L36" s="250" t="n">
        <x:f>J36*$W$5</x:f>
        <x:v>14768.405058644761</x:v>
      </x:c>
      <x:c r="M36" s="41" t="n"/>
      <x:c r="N36" s="35" t="n"/>
      <x:c r="O36" s="35" t="n"/>
      <x:c r="P36" s="35" t="n"/>
      <x:c r="Q36" s="42" t="n"/>
    </x:row>
    <x:row r="37" s="117" customFormat="1" ht="15.75" customHeight="1">
      <x:c r="A37" s="68" t="str">
        <x:f>CONCATENATE(B37,H37," ",C37)</x:f>
        <x:v>FF300 8"</x:v>
      </x:c>
      <x:c r="B37" s="32" t="inlineStr">
        <x:is>
          <x:t xml:space="preserve">FF</x:t>
        </x:is>
      </x:c>
      <x:c r="C37" s="54" t="inlineStr">
        <x:is>
          <x:t xml:space="preserve">8"</x:t>
        </x:is>
      </x:c>
      <x:c r="D37" s="54" t="n">
        <x:v>380</x:v>
      </x:c>
      <x:c r="E37" s="57" t="n">
        <x:v>221.5</x:v>
      </x:c>
      <x:c r="F37" s="54" t="n">
        <x:v>12</x:v>
      </x:c>
      <x:c r="G37" s="55" t="n">
        <x:v>25.4</x:v>
      </x:c>
      <x:c r="H37" s="55" t="n">
        <x:v>300</x:v>
      </x:c>
      <x:c r="I37" s="65" t="n">
        <x:f>(D37+E37+(G37*F37))*PI()</x:f>
        <x:v>2847.2254219484294</x:v>
      </x:c>
      <x:c r="J37" s="66" t="n">
        <x:f>I37/$W$4</x:f>
        <x:v>28.472254219484295</x:v>
      </x:c>
      <x:c r="K37" s="250" t="n">
        <x:f>$W$6*J37</x:f>
        <x:v>3163.583802164922</x:v>
      </x:c>
      <x:c r="L37" s="250" t="n">
        <x:f>J37*$W$5</x:f>
        <x:v>17671.77911889325</x:v>
      </x:c>
      <x:c r="M37" s="41" t="n"/>
      <x:c r="N37" s="35" t="n"/>
      <x:c r="O37" s="35" t="n"/>
      <x:c r="P37" s="35" t="n"/>
      <x:c r="Q37" s="42" t="n"/>
    </x:row>
    <x:row r="38" s="117" customFormat="1" ht="15.75" customHeight="1">
      <x:c r="A38" s="68" t="str">
        <x:f>CONCATENATE(B38,H38," ",C38)</x:f>
        <x:v>FF300 10"</x:v>
      </x:c>
      <x:c r="B38" s="32" t="inlineStr">
        <x:is>
          <x:t xml:space="preserve">FF</x:t>
        </x:is>
      </x:c>
      <x:c r="C38" s="54" t="inlineStr">
        <x:is>
          <x:t xml:space="preserve">10"</x:t>
        </x:is>
      </x:c>
      <x:c r="D38" s="54" t="n">
        <x:v>445</x:v>
      </x:c>
      <x:c r="E38" s="57" t="n">
        <x:v>276.2</x:v>
      </x:c>
      <x:c r="F38" s="54" t="n">
        <x:v>16</x:v>
      </x:c>
      <x:c r="G38" s="55" t="n">
        <x:f>(1+(1/8))*25.4</x:f>
        <x:v>28.575</x:v>
      </x:c>
      <x:c r="H38" s="55" t="n">
        <x:v>300</x:v>
      </x:c>
      <x:c r="I38" s="65" t="n">
        <x:f>(D38+E38+(G38*F38))*PI()</x:f>
        <x:v>3702.0527829902126</x:v>
      </x:c>
      <x:c r="J38" s="66" t="n">
        <x:f>I38/$W$4</x:f>
        <x:v>37.02052782990213</x:v>
      </x:c>
      <x:c r="K38" s="250" t="n">
        <x:f>$W$6*J38</x:f>
        <x:v>4113.391981100237</x:v>
      </x:c>
      <x:c r="L38" s="250" t="n">
        <x:f>J38*$W$5</x:f>
        <x:v>22977.40760642592</x:v>
      </x:c>
      <x:c r="M38" s="41" t="n"/>
      <x:c r="N38" s="35" t="n"/>
      <x:c r="O38" s="35" t="n"/>
      <x:c r="P38" s="35" t="n"/>
      <x:c r="Q38" s="42" t="n"/>
      <x:c r="AI38" s="248" t="n">
        <x:v>852911</x:v>
      </x:c>
      <x:c r="AJ38" s="179" t="n">
        <x:v>1524</x:v>
      </x:c>
      <x:c r="AK38" s="179" t="n">
        <x:v>1524</x:v>
      </x:c>
      <x:c r="AL38" s="182" t="n">
        <x:f>AM38/AI38</x:f>
        <x:v>1.4948804740471162</x:v>
      </x:c>
      <x:c r="AM38" s="253" t="n">
        <x:v>1275000</x:v>
      </x:c>
      <x:c r="AN38" t="n">
        <x:v>6</x:v>
      </x:c>
      <x:c r="AO38" s="257" t="n">
        <x:f>AM38*AN38</x:f>
        <x:v>7650000</x:v>
      </x:c>
    </x:row>
    <x:row r="39" s="117" customFormat="1" ht="15.75" customHeight="1">
      <x:c r="A39" s="68" t="str">
        <x:f>CONCATENATE(B39,H39," ",C39)</x:f>
        <x:v>FF300 12"</x:v>
      </x:c>
      <x:c r="B39" s="32" t="inlineStr">
        <x:is>
          <x:t xml:space="preserve">FF</x:t>
        </x:is>
      </x:c>
      <x:c r="C39" s="54" t="inlineStr">
        <x:is>
          <x:t xml:space="preserve">12"</x:t>
        </x:is>
      </x:c>
      <x:c r="D39" s="54" t="n">
        <x:v>520</x:v>
      </x:c>
      <x:c r="E39" s="57" t="n">
        <x:v>327</x:v>
      </x:c>
      <x:c r="F39" s="54" t="n">
        <x:v>16</x:v>
      </x:c>
      <x:c r="G39" s="55" t="n">
        <x:f>(1+(1/4))*25.4</x:f>
        <x:v>31.75</x:v>
      </x:c>
      <x:c r="H39" s="55" t="n">
        <x:v>300</x:v>
      </x:c>
      <x:c r="I39" s="65" t="n">
        <x:f>(D39+E39+(G39*F39))*PI()</x:f>
        <x:v>4256.85804561417</x:v>
      </x:c>
      <x:c r="J39" s="66" t="n">
        <x:f>I39/$W$4</x:f>
        <x:v>42.568580456141696</x:v>
      </x:c>
      <x:c r="K39" s="250" t="n">
        <x:f>$W$6*J39</x:f>
        <x:v>4729.842272904633</x:v>
      </x:c>
      <x:c r="L39" s="250" t="n">
        <x:f>J39*$W$5</x:f>
        <x:v>26420.89893644528</x:v>
      </x:c>
      <x:c r="M39" s="41" t="n"/>
      <x:c r="N39" s="35" t="n"/>
      <x:c r="O39" s="35" t="n"/>
      <x:c r="P39" s="35" t="n"/>
      <x:c r="Q39" s="42" t="n"/>
      <x:c r="AE39" s="179" t="inlineStr">
        <x:is>
          <x:t xml:space="preserve">TRIANGLE</x:t>
        </x:is>
      </x:c>
      <x:c r="AF39" s="179" t="inlineStr">
        <x:is>
          <x:t xml:space="preserve">DUR900001001</x:t>
        </x:is>
      </x:c>
      <x:c r="AG39" s="179" t="inlineStr">
        <x:is>
          <x:t xml:space="preserve">DURLON 9000 1/8</x:t>
        </x:is>
      </x:c>
      <x:c r="AH39" s="179" t="n">
        <x:v>2</x:v>
      </x:c>
      <x:c r="AI39" s="272" t="n">
        <x:v>950000</x:v>
      </x:c>
      <x:c r="AJ39" s="179" t="n">
        <x:v>1524</x:v>
      </x:c>
      <x:c r="AK39" s="179" t="n">
        <x:v>1524</x:v>
      </x:c>
      <x:c r="AL39" s="273" t="n">
        <x:f>AM39/AI39</x:f>
        <x:v>1.3421052631578947</x:v>
      </x:c>
      <x:c r="AM39" s="253" t="n">
        <x:v>1275000</x:v>
      </x:c>
      <x:c r="AN39" t="n">
        <x:v>6</x:v>
      </x:c>
      <x:c r="AO39" s="257" t="n">
        <x:f>AM39*AN39</x:f>
        <x:v>7650000</x:v>
      </x:c>
    </x:row>
    <x:row r="40" s="117" customFormat="1" ht="15.75" customHeight="1">
      <x:c r="A40" s="68" t="str">
        <x:f>CONCATENATE(B40,H40," ",C40)</x:f>
        <x:v>FF300 14"</x:v>
      </x:c>
      <x:c r="B40" s="32" t="inlineStr">
        <x:is>
          <x:t xml:space="preserve">FF</x:t>
        </x:is>
      </x:c>
      <x:c r="C40" s="54" t="inlineStr">
        <x:is>
          <x:t xml:space="preserve">14"</x:t>
        </x:is>
      </x:c>
      <x:c r="D40" s="54" t="n">
        <x:v>585</x:v>
      </x:c>
      <x:c r="E40" s="57" t="n">
        <x:v>359.2</x:v>
      </x:c>
      <x:c r="F40" s="54" t="n">
        <x:v>20</x:v>
      </x:c>
      <x:c r="G40" s="55" t="n">
        <x:f>(1+(1/4))*25.4</x:f>
        <x:v>31.75</x:v>
      </x:c>
      <x:c r="H40" s="55" t="n">
        <x:v>300</x:v>
      </x:c>
      <x:c r="I40" s="65" t="n">
        <x:f>(D40+E40+(G40*F40))*PI()</x:f>
        <x:v>4961.203118549001</x:v>
      </x:c>
      <x:c r="J40" s="66" t="n">
        <x:f>I40/$W$4</x:f>
        <x:v>49.61203118549001</x:v>
      </x:c>
      <x:c r="K40" s="250" t="n">
        <x:f>$W$6*J40</x:f>
        <x:v>5512.44790949889</x:v>
      </x:c>
      <x:c r="L40" s="250" t="n">
        <x:f>J40*$W$5</x:f>
        <x:v>30792.534022460797</x:v>
      </x:c>
      <x:c r="M40" s="41" t="n"/>
      <x:c r="N40" s="35" t="n"/>
      <x:c r="O40" s="35" t="n"/>
      <x:c r="P40" s="35" t="n"/>
      <x:c r="Q40" s="42" t="n"/>
      <x:c r="AM40" s="257" t="n">
        <x:f>AM39-AM5</x:f>
        <x:v>-105677.5503686457</x:v>
      </x:c>
    </x:row>
    <x:row r="41" s="117" customFormat="1" ht="15.75" customHeight="1">
      <x:c r="A41" s="68" t="str">
        <x:f>CONCATENATE(B41,H41," ",C41)</x:f>
        <x:v>FF300 16"</x:v>
      </x:c>
      <x:c r="B41" s="32" t="inlineStr">
        <x:is>
          <x:t xml:space="preserve">FF</x:t>
        </x:is>
      </x:c>
      <x:c r="C41" s="54" t="inlineStr">
        <x:is>
          <x:t xml:space="preserve">16"</x:t>
        </x:is>
      </x:c>
      <x:c r="D41" s="54" t="n">
        <x:v>650</x:v>
      </x:c>
      <x:c r="E41" s="57" t="n">
        <x:v>410.5</x:v>
      </x:c>
      <x:c r="F41" s="54" t="n">
        <x:v>20</x:v>
      </x:c>
      <x:c r="G41" s="55" t="n">
        <x:f>(1+(3/8))*25.4</x:f>
        <x:v>34.925</x:v>
      </x:c>
      <x:c r="H41" s="55" t="n">
        <x:v>300</x:v>
      </x:c>
      <x:c r="I41" s="65" t="n">
        <x:f>(D41+E41+(G41*F41))*PI()</x:f>
        <x:v>5526.061477664446</x:v>
      </x:c>
      <x:c r="J41" s="66" t="n">
        <x:f>I41/$W$4</x:f>
        <x:v>55.26061477664446</x:v>
      </x:c>
      <x:c r="K41" s="250" t="n">
        <x:f>$W$6*J41</x:f>
        <x:v>6140.068308516051</x:v>
      </x:c>
      <x:c r="L41" s="250" t="n">
        <x:f>J41*$W$5</x:f>
        <x:v>34298.42157137066</x:v>
      </x:c>
      <x:c r="M41" s="41" t="n"/>
      <x:c r="N41" s="35" t="n"/>
      <x:c r="O41" s="35" t="n"/>
      <x:c r="P41" s="35" t="n"/>
      <x:c r="Q41" s="42" t="n"/>
      <x:c r="AI41" s="256" t="n"/>
    </x:row>
    <x:row r="42" s="117" customFormat="1" ht="15.75" customHeight="1">
      <x:c r="A42" s="68" t="str">
        <x:f>CONCATENATE(B42,H42," ",C42)</x:f>
        <x:v>FF300 18"</x:v>
      </x:c>
      <x:c r="B42" s="32" t="inlineStr">
        <x:is>
          <x:t xml:space="preserve">FF</x:t>
        </x:is>
      </x:c>
      <x:c r="C42" s="54" t="inlineStr">
        <x:is>
          <x:t xml:space="preserve">18"</x:t>
        </x:is>
      </x:c>
      <x:c r="D42" s="54" t="n">
        <x:v>710</x:v>
      </x:c>
      <x:c r="E42" s="57" t="n">
        <x:v>461.8</x:v>
      </x:c>
      <x:c r="F42" s="54" t="n">
        <x:v>24</x:v>
      </x:c>
      <x:c r="G42" s="55" t="n">
        <x:f>(1+(3/8))*25.4</x:f>
        <x:v>34.925</x:v>
      </x:c>
      <x:c r="H42" s="55" t="n">
        <x:v>300</x:v>
      </x:c>
      <x:c r="I42" s="65" t="n">
        <x:f>(D42+E42+(G42*F42))*PI()</x:f>
        <x:v>6314.601233715484</x:v>
      </x:c>
      <x:c r="J42" s="66" t="n">
        <x:f>I42/$W$4</x:f>
        <x:v>63.14601233715484</x:v>
      </x:c>
      <x:c r="K42" s="250" t="n">
        <x:f>$W$6*J42</x:f>
        <x:v>7016.223593017205</x:v>
      </x:c>
      <x:c r="L42" s="250" t="n">
        <x:f>J42*$W$5</x:f>
        <x:v>39192.6249905941</x:v>
      </x:c>
      <x:c r="M42" s="41" t="n"/>
      <x:c r="N42" s="35" t="n"/>
      <x:c r="O42" s="35" t="n"/>
      <x:c r="P42" s="35" t="n"/>
      <x:c r="Q42" s="42" t="n"/>
    </x:row>
    <x:row r="43" s="117" customFormat="1" ht="15.75" customHeight="1">
      <x:c r="A43" s="68" t="str">
        <x:f>CONCATENATE(B43,H43," ",C43)</x:f>
        <x:v>FF300 20"</x:v>
      </x:c>
      <x:c r="B43" s="32" t="inlineStr">
        <x:is>
          <x:t xml:space="preserve">FF</x:t>
        </x:is>
      </x:c>
      <x:c r="C43" s="54" t="inlineStr">
        <x:is>
          <x:t xml:space="preserve">20"</x:t>
        </x:is>
      </x:c>
      <x:c r="D43" s="54" t="n">
        <x:v>775</x:v>
      </x:c>
      <x:c r="E43" s="57" t="n">
        <x:v>513.1</x:v>
      </x:c>
      <x:c r="F43" s="54" t="n">
        <x:v>24</x:v>
      </x:c>
      <x:c r="G43" s="55" t="n">
        <x:f>(1+(3/8))*25.4</x:f>
        <x:v>34.925</x:v>
      </x:c>
      <x:c r="H43" s="55" t="n">
        <x:v>300</x:v>
      </x:c>
      <x:c r="I43" s="65" t="n">
        <x:f>(D43+E43+(G43*F43))*PI()</x:f>
        <x:v>6679.968459327976</x:v>
      </x:c>
      <x:c r="J43" s="66" t="n">
        <x:f>I43/$W$4</x:f>
        <x:v>66.79968459327976</x:v>
      </x:c>
      <x:c r="K43" s="250" t="n">
        <x:f>$W$6*J43</x:f>
        <x:v>7422.187177031085</x:v>
      </x:c>
      <x:c r="L43" s="250" t="n">
        <x:f>J43*$W$5</x:f>
        <x:v>41460.33757089564</x:v>
      </x:c>
      <x:c r="M43" s="41" t="n"/>
      <x:c r="N43" s="35" t="n"/>
      <x:c r="O43" s="35" t="n"/>
      <x:c r="P43" s="35" t="n"/>
      <x:c r="Q43" s="42" t="n"/>
    </x:row>
    <x:row r="44" s="117" customFormat="1" ht="15.75" customHeight="1">
      <x:c r="A44" s="68" t="str">
        <x:f>CONCATENATE(B44,H44," ",C44)</x:f>
        <x:v>FF300 22"</x:v>
      </x:c>
      <x:c r="B44" s="32" t="inlineStr">
        <x:is>
          <x:t xml:space="preserve">FF</x:t>
        </x:is>
      </x:c>
      <x:c r="C44" s="54" t="inlineStr">
        <x:is>
          <x:t xml:space="preserve">22"</x:t>
        </x:is>
      </x:c>
      <x:c r="D44" s="54" t="n">
        <x:v>840</x:v>
      </x:c>
      <x:c r="E44" s="57" t="n">
        <x:v>564.4</x:v>
      </x:c>
      <x:c r="F44" s="54" t="n">
        <x:v>24</x:v>
      </x:c>
      <x:c r="G44" s="55" t="n">
        <x:f>(1+(5/8))*25.4</x:f>
        <x:v>41.275</x:v>
      </x:c>
      <x:c r="H44" s="55" t="n">
        <x:v>300</x:v>
      </x:c>
      <x:c r="I44" s="65" t="n">
        <x:f>(D44+E44+(G44*F44))*PI()</x:f>
        <x:v>7524.114405347555</x:v>
      </x:c>
      <x:c r="J44" s="66" t="n">
        <x:f>I44/$W$4</x:f>
        <x:v>75.24114405347555</x:v>
      </x:c>
      <x:c r="K44" s="250" t="n">
        <x:f>$W$6*J44</x:f>
        <x:v>8360.12711705284</x:v>
      </x:c>
      <x:c r="L44" s="250" t="n">
        <x:f>J44*$W$5</x:f>
        <x:v>46699.67007585715</x:v>
      </x:c>
      <x:c r="M44" s="41" t="n"/>
      <x:c r="N44" s="35" t="n"/>
      <x:c r="O44" s="35" t="n"/>
      <x:c r="P44" s="35" t="n"/>
      <x:c r="Q44" s="42" t="n"/>
    </x:row>
    <x:row r="45" s="117" customFormat="1" ht="15.75" customHeight="1">
      <x:c r="A45" s="68" t="str">
        <x:f>CONCATENATE(B45,H45," ",C45)</x:f>
        <x:v>FF300 24"</x:v>
      </x:c>
      <x:c r="B45" s="32" t="inlineStr">
        <x:is>
          <x:t xml:space="preserve">FF</x:t>
        </x:is>
      </x:c>
      <x:c r="C45" s="54" t="inlineStr">
        <x:is>
          <x:t xml:space="preserve">24"</x:t>
        </x:is>
      </x:c>
      <x:c r="D45" s="54" t="n">
        <x:v>915</x:v>
      </x:c>
      <x:c r="E45" s="57" t="n">
        <x:v>616</x:v>
      </x:c>
      <x:c r="F45" s="54" t="n">
        <x:v>24</x:v>
      </x:c>
      <x:c r="G45" s="55" t="n">
        <x:f>(1+(5/8))*25.4</x:f>
        <x:v>41.275</x:v>
      </x:c>
      <x:c r="H45" s="55" t="n">
        <x:v>300</x:v>
      </x:c>
      <x:c r="I45" s="65" t="n">
        <x:f>(D45+E45+(G45*F45))*PI()</x:f>
        <x:v>7921.840035292022</x:v>
      </x:c>
      <x:c r="J45" s="66" t="n">
        <x:f>I45/$W$4</x:f>
        <x:v>79.21840035292021</x:v>
      </x:c>
      <x:c r="K45" s="250" t="n">
        <x:f>$W$6*J45</x:f>
        <x:v>8802.0444836578</x:v>
      </x:c>
      <x:c r="L45" s="250" t="n">
        <x:f>J45*$W$5</x:f>
        <x:v>49168.220485712474</x:v>
      </x:c>
      <x:c r="M45" s="41" t="n"/>
      <x:c r="N45" s="35" t="n"/>
      <x:c r="O45" s="35" t="n"/>
      <x:c r="P45" s="35" t="n"/>
      <x:c r="Q45" s="42" t="n"/>
    </x:row>
    <x:row r="46" s="117" customFormat="1" ht="15.75" customHeight="1">
      <x:c r="A46" s="68" t="str">
        <x:f>CONCATENATE(B46,H46," ",C46)</x:f>
        <x:v>RF300 1/2"</x:v>
      </x:c>
      <x:c r="B46" s="32" t="inlineStr">
        <x:is>
          <x:t xml:space="preserve">RF</x:t>
        </x:is>
      </x:c>
      <x:c r="C46" s="54" t="inlineStr">
        <x:is>
          <x:t xml:space="preserve">1/2"</x:t>
        </x:is>
      </x:c>
      <x:c r="D46" s="54" t="n">
        <x:v>34.9</x:v>
      </x:c>
      <x:c r="E46" s="54" t="n">
        <x:v>22.2</x:v>
      </x:c>
      <x:c r="F46" s="54" t="n">
        <x:v>4</x:v>
      </x:c>
      <x:c r="G46" s="55" t="n">
        <x:v>0</x:v>
      </x:c>
      <x:c r="H46" s="55" t="n">
        <x:v>300</x:v>
      </x:c>
      <x:c r="I46" s="65" t="n">
        <x:f>(D46+E46+(G46*F46))*PI()</x:f>
        <x:v>179.38494051997716</x:v>
      </x:c>
      <x:c r="J46" s="66" t="n">
        <x:f>I46/$W$4</x:f>
        <x:v>1.7938494051997715</x:v>
      </x:c>
      <x:c r="K46" s="250" t="n">
        <x:f>$W$6*J46</x:f>
        <x:v>199.3166005777524</x:v>
      </x:c>
      <x:c r="L46" s="250" t="n">
        <x:f>J46*$W$5</x:f>
        <x:v>1113.382530827325</x:v>
      </x:c>
      <x:c r="M46" s="43" t="n"/>
      <x:c r="N46" s="44" t="n"/>
      <x:c r="O46" s="44" t="n"/>
      <x:c r="P46" s="44" t="n"/>
      <x:c r="Q46" s="45" t="n"/>
    </x:row>
    <x:row r="47" s="117" customFormat="1" ht="15.75" customHeight="1">
      <x:c r="A47" s="68" t="str">
        <x:f>CONCATENATE(B47,H47," ",C47)</x:f>
        <x:v>RF300 3/4"</x:v>
      </x:c>
      <x:c r="B47" s="32" t="inlineStr">
        <x:is>
          <x:t xml:space="preserve">RF</x:t>
        </x:is>
      </x:c>
      <x:c r="C47" s="54" t="inlineStr">
        <x:is>
          <x:t xml:space="preserve">3/4"</x:t>
        </x:is>
      </x:c>
      <x:c r="D47" s="54" t="n">
        <x:v>42.9</x:v>
      </x:c>
      <x:c r="E47" s="54" t="n">
        <x:v>27.7</x:v>
      </x:c>
      <x:c r="F47" s="54" t="n">
        <x:v>4</x:v>
      </x:c>
      <x:c r="G47" s="55" t="n">
        <x:v>0</x:v>
      </x:c>
      <x:c r="H47" s="55" t="n">
        <x:v>300</x:v>
      </x:c>
      <x:c r="I47" s="65" t="n">
        <x:f>(D47+E47+(G47*F47))*PI()</x:f>
        <x:v>221.79644134343937</x:v>
      </x:c>
      <x:c r="J47" s="66" t="n">
        <x:f>I47/$W$4</x:f>
        <x:v>2.2179644134343937</x:v>
      </x:c>
      <x:c r="K47" s="250" t="n">
        <x:f>$W$6*J47</x:f>
        <x:v>246.4404903815993</x:v>
      </x:c>
      <x:c r="L47" s="250" t="n">
        <x:f>J47*$W$5</x:f>
        <x:v>1376.6165792716135</x:v>
      </x:c>
      <x:c r="M47" s="43" t="n"/>
      <x:c r="N47" s="47" t="n"/>
      <x:c r="O47" s="45" t="n"/>
    </x:row>
    <x:row r="48" s="117" customFormat="1" ht="15" customHeight="1">
      <x:c r="A48" s="68" t="str">
        <x:f>CONCATENATE(B48,H48," ",C48)</x:f>
        <x:v>RF300 1"</x:v>
      </x:c>
      <x:c r="B48" s="32" t="inlineStr">
        <x:is>
          <x:t xml:space="preserve">RF</x:t>
        </x:is>
      </x:c>
      <x:c r="C48" s="54" t="inlineStr">
        <x:is>
          <x:t xml:space="preserve">1"</x:t>
        </x:is>
      </x:c>
      <x:c r="D48" s="54" t="n">
        <x:v>50.8</x:v>
      </x:c>
      <x:c r="E48" s="54" t="n">
        <x:v>34.5</x:v>
      </x:c>
      <x:c r="F48" s="54" t="n">
        <x:v>4</x:v>
      </x:c>
      <x:c r="G48" s="55" t="n">
        <x:v>0</x:v>
      </x:c>
      <x:c r="H48" s="55" t="n">
        <x:v>300</x:v>
      </x:c>
      <x:c r="I48" s="65" t="n">
        <x:f>(D48+E48+(G48*F48))*PI()</x:f>
        <x:v>267.9778533512093</x:v>
      </x:c>
      <x:c r="J48" s="66" t="n">
        <x:f>I48/$W$4</x:f>
        <x:v>2.6797785335120934</x:v>
      </x:c>
      <x:c r="K48" s="250" t="n">
        <x:f>$W$6*J48</x:f>
        <x:v>297.7531703902326</x:v>
      </x:c>
      <x:c r="L48" s="250" t="n">
        <x:f>J48*$W$5</x:f>
        <x:v>1663.2492097998393</x:v>
      </x:c>
    </x:row>
    <x:row r="49" s="117" customFormat="1" ht="15" customHeight="1">
      <x:c r="A49" s="68" t="str">
        <x:f>CONCATENATE(B49,H49," ",C49)</x:f>
        <x:v>RF300 1-1/4"</x:v>
      </x:c>
      <x:c r="B49" s="32" t="inlineStr">
        <x:is>
          <x:t xml:space="preserve">RF</x:t>
        </x:is>
      </x:c>
      <x:c r="C49" s="54" t="inlineStr">
        <x:is>
          <x:t xml:space="preserve">1-1/4"</x:t>
        </x:is>
      </x:c>
      <x:c r="D49" s="54" t="n">
        <x:v>63.5</x:v>
      </x:c>
      <x:c r="E49" s="54" t="n">
        <x:v>43.2</x:v>
      </x:c>
      <x:c r="F49" s="54" t="n">
        <x:v>4</x:v>
      </x:c>
      <x:c r="G49" s="55" t="n">
        <x:v>0</x:v>
      </x:c>
      <x:c r="H49" s="55" t="n">
        <x:v>300</x:v>
      </x:c>
      <x:c r="I49" s="65" t="n">
        <x:f>(D49+E49+(G49*F49))*PI()</x:f>
        <x:v>335.20793613803096</x:v>
      </x:c>
      <x:c r="J49" s="66" t="n">
        <x:f>I49/$W$4</x:f>
        <x:v>3.3520793613803095</x:v>
      </x:c>
      <x:c r="K49" s="250" t="n">
        <x:f>$W$6*J49</x:f>
        <x:v>372.45326237558993</x:v>
      </x:c>
      <x:c r="L49" s="250" t="n">
        <x:f>J49*$W$5</x:f>
        <x:v>2080.5239236300454</x:v>
      </x:c>
    </x:row>
    <x:row r="50" s="117" customFormat="1" ht="15" customHeight="1">
      <x:c r="A50" s="68" t="str">
        <x:f>CONCATENATE(B50,H50," ",C50)</x:f>
        <x:v>RF300 1/1/2"</x:v>
      </x:c>
      <x:c r="B50" s="32" t="inlineStr">
        <x:is>
          <x:t xml:space="preserve">RF</x:t>
        </x:is>
      </x:c>
      <x:c r="C50" s="54" t="inlineStr">
        <x:is>
          <x:t xml:space="preserve">1/1/2"</x:t>
        </x:is>
      </x:c>
      <x:c r="D50" s="54" t="n">
        <x:v>73</x:v>
      </x:c>
      <x:c r="E50" s="54" t="n">
        <x:v>49.5</x:v>
      </x:c>
      <x:c r="F50" s="54" t="n">
        <x:v>4</x:v>
      </x:c>
      <x:c r="G50" s="55" t="n">
        <x:v>0</x:v>
      </x:c>
      <x:c r="H50" s="55" t="n">
        <x:v>300</x:v>
      </x:c>
      <x:c r="I50" s="65" t="n">
        <x:f>(D50+E50+(G50*F50))*PI()</x:f>
        <x:v>384.84510006474966</x:v>
      </x:c>
      <x:c r="J50" s="66" t="n">
        <x:f>I50/$W$4</x:f>
        <x:v>3.8484510006474966</x:v>
      </x:c>
      <x:c r="K50" s="250" t="n">
        <x:f>$W$6*J50</x:f>
        <x:v>427.60566673861075</x:v>
      </x:c>
      <x:c r="L50" s="250" t="n">
        <x:f>J50*$W$5</x:f>
        <x:v>2388.6052544018794</x:v>
      </x:c>
    </x:row>
    <x:row r="51" s="117" customFormat="1" ht="15" customHeight="1">
      <x:c r="A51" s="68" t="str">
        <x:f>CONCATENATE(B51,H51," ",C51)</x:f>
        <x:v>RF300 2"</x:v>
      </x:c>
      <x:c r="B51" s="32" t="inlineStr">
        <x:is>
          <x:t xml:space="preserve">RF</x:t>
        </x:is>
      </x:c>
      <x:c r="C51" s="54" t="inlineStr">
        <x:is>
          <x:t xml:space="preserve">2"</x:t>
        </x:is>
      </x:c>
      <x:c r="D51" s="54" t="n">
        <x:v>92.09999999999999</x:v>
      </x:c>
      <x:c r="E51" s="54" t="n">
        <x:v>61.9</x:v>
      </x:c>
      <x:c r="F51" s="54" t="n">
        <x:v>8</x:v>
      </x:c>
      <x:c r="G51" s="55" t="n">
        <x:v>0</x:v>
      </x:c>
      <x:c r="H51" s="55" t="n">
        <x:v>300</x:v>
      </x:c>
      <x:c r="I51" s="65" t="n">
        <x:f>(D51+E51+(G51*F51))*PI()</x:f>
        <x:v>483.80526865282815</x:v>
      </x:c>
      <x:c r="J51" s="66" t="n">
        <x:f>I51/$W$4</x:f>
        <x:v>4.838052686528282</x:v>
      </x:c>
      <x:c r="K51" s="250" t="n">
        <x:f>$W$6*J51</x:f>
        <x:v>537.5614096142535</x:v>
      </x:c>
      <x:c r="L51" s="250" t="n">
        <x:f>J51*$W$5</x:f>
        <x:v>3002.81803410522</x:v>
      </x:c>
    </x:row>
    <x:row r="52" s="117" customFormat="1" ht="15" customHeight="1">
      <x:c r="A52" s="68" t="str">
        <x:f>CONCATENATE(B52,H52," ",C52)</x:f>
        <x:v>RF300 2-1/2"</x:v>
      </x:c>
      <x:c r="B52" s="32" t="inlineStr">
        <x:is>
          <x:t xml:space="preserve">RF</x:t>
        </x:is>
      </x:c>
      <x:c r="C52" s="54" t="inlineStr">
        <x:is>
          <x:t xml:space="preserve">2-1/2"</x:t>
        </x:is>
      </x:c>
      <x:c r="D52" s="54" t="n">
        <x:v>104.8</x:v>
      </x:c>
      <x:c r="E52" s="54" t="n">
        <x:v>74.59999999999999</x:v>
      </x:c>
      <x:c r="F52" s="54" t="n">
        <x:v>8</x:v>
      </x:c>
      <x:c r="G52" s="55" t="n">
        <x:v>0</x:v>
      </x:c>
      <x:c r="H52" s="55" t="n">
        <x:v>300</x:v>
      </x:c>
      <x:c r="I52" s="65" t="n">
        <x:f>(D52+E52+(G52*F52))*PI()</x:f>
        <x:v>563.6017220540089</x:v>
      </x:c>
      <x:c r="J52" s="66" t="n">
        <x:f>I52/$W$4</x:f>
        <x:v>5.636017220540088</x:v>
      </x:c>
      <x:c r="K52" s="250" t="n">
        <x:f>$W$6*J52</x:f>
        <x:v>626.2241356155654</x:v>
      </x:c>
      <x:c r="L52" s="250" t="n">
        <x:f>J52*$W$5</x:f>
        <x:v>3498.088021548548</x:v>
      </x:c>
    </x:row>
    <x:row r="53" s="117" customFormat="1" ht="15" customHeight="1">
      <x:c r="A53" s="68" t="str">
        <x:f>CONCATENATE(B53,H53," ",C53)</x:f>
        <x:v>RF300 3"</x:v>
      </x:c>
      <x:c r="B53" s="32" t="inlineStr">
        <x:is>
          <x:t xml:space="preserve">RF</x:t>
        </x:is>
      </x:c>
      <x:c r="C53" s="54" t="inlineStr">
        <x:is>
          <x:t xml:space="preserve">3"</x:t>
        </x:is>
      </x:c>
      <x:c r="D53" s="54" t="n">
        <x:v>127</x:v>
      </x:c>
      <x:c r="E53" s="54" t="n">
        <x:v>90.7</x:v>
      </x:c>
      <x:c r="F53" s="54" t="n">
        <x:v>8</x:v>
      </x:c>
      <x:c r="G53" s="55" t="n">
        <x:v>0</x:v>
      </x:c>
      <x:c r="H53" s="55" t="n">
        <x:v>300</x:v>
      </x:c>
      <x:c r="I53" s="65" t="n">
        <x:f>(D53+E53+(G53*F53))*PI()</x:f>
        <x:v>683.924720686498</x:v>
      </x:c>
      <x:c r="J53" s="66" t="n">
        <x:f>I53/$W$4</x:f>
        <x:v>6.83924720686498</x:v>
      </x:c>
      <x:c r="K53" s="250" t="n">
        <x:f>$W$6*J53</x:f>
        <x:v>759.916356318331</x:v>
      </x:c>
      <x:c r="L53" s="250" t="n">
        <x:f>J53*$W$5</x:f>
        <x:v>4244.892766394197</x:v>
      </x:c>
    </x:row>
    <x:row r="54" s="117" customFormat="1" ht="15" customHeight="1">
      <x:c r="A54" s="68" t="str">
        <x:f>CONCATENATE(B54,H54," ",C54)</x:f>
        <x:v>RF300 3-1/2"</x:v>
      </x:c>
      <x:c r="B54" s="32" t="inlineStr">
        <x:is>
          <x:t xml:space="preserve">RF</x:t>
        </x:is>
      </x:c>
      <x:c r="C54" s="54" t="inlineStr">
        <x:is>
          <x:t xml:space="preserve">3-1/2"</x:t>
        </x:is>
      </x:c>
      <x:c r="D54" s="54" t="n">
        <x:v>139.7</x:v>
      </x:c>
      <x:c r="E54" s="54" t="n">
        <x:v>103.4</x:v>
      </x:c>
      <x:c r="F54" s="54" t="n">
        <x:v>8</x:v>
      </x:c>
      <x:c r="G54" s="55" t="n">
        <x:v>0</x:v>
      </x:c>
      <x:c r="H54" s="55" t="n">
        <x:v>300</x:v>
      </x:c>
      <x:c r="I54" s="65" t="n">
        <x:f>(D54+E54+(G54*F54))*PI()</x:f>
        <x:v>763.7211740876787</x:v>
      </x:c>
      <x:c r="J54" s="66" t="n">
        <x:f>I54/$W$4</x:f>
        <x:v>7.637211740876787</x:v>
      </x:c>
      <x:c r="K54" s="250" t="n">
        <x:f>$W$6*J54</x:f>
        <x:v>848.579082319643</x:v>
      </x:c>
      <x:c r="L54" s="250" t="n">
        <x:f>J54*$W$5</x:f>
        <x:v>4740.162753837526</x:v>
      </x:c>
    </x:row>
    <x:row r="55" s="117" customFormat="1" ht="15" customHeight="1">
      <x:c r="A55" s="68" t="str">
        <x:f>CONCATENATE(B55,H55," ",C55)</x:f>
        <x:v>RF300 4"</x:v>
      </x:c>
      <x:c r="B55" s="32" t="inlineStr">
        <x:is>
          <x:t xml:space="preserve">RF</x:t>
        </x:is>
      </x:c>
      <x:c r="C55" s="54" t="inlineStr">
        <x:is>
          <x:t xml:space="preserve">4"</x:t>
        </x:is>
      </x:c>
      <x:c r="D55" s="54" t="n">
        <x:v>157.2</x:v>
      </x:c>
      <x:c r="E55" s="54" t="n">
        <x:v>116.1</x:v>
      </x:c>
      <x:c r="F55" s="54" t="n">
        <x:v>8</x:v>
      </x:c>
      <x:c r="G55" s="55" t="n">
        <x:v>0</x:v>
      </x:c>
      <x:c r="H55" s="55" t="n">
        <x:v>300</x:v>
      </x:c>
      <x:c r="I55" s="65" t="n">
        <x:f>(D55+E55+(G55*F55))*PI()</x:f>
        <x:v>858.5972722260904</x:v>
      </x:c>
      <x:c r="J55" s="66" t="n">
        <x:f>I55/$W$4</x:f>
        <x:v>8.585972722260903</x:v>
      </x:c>
      <x:c r="K55" s="250" t="n">
        <x:f>$W$6*J55</x:f>
        <x:v>953.9969691401004</x:v>
      </x:c>
      <x:c r="L55" s="250" t="n">
        <x:f>J55*$W$5</x:f>
        <x:v>5329.027069616601</x:v>
      </x:c>
    </x:row>
    <x:row r="56" s="117" customFormat="1" ht="15" customHeight="1">
      <x:c r="A56" s="68" t="str">
        <x:f>CONCATENATE(B56,H56," ",C56)</x:f>
        <x:v>RF300 5"</x:v>
      </x:c>
      <x:c r="B56" s="32" t="inlineStr">
        <x:is>
          <x:t xml:space="preserve">RF</x:t>
        </x:is>
      </x:c>
      <x:c r="C56" s="54" t="inlineStr">
        <x:is>
          <x:t xml:space="preserve">5"</x:t>
        </x:is>
      </x:c>
      <x:c r="D56" s="54" t="n">
        <x:v>185.7</x:v>
      </x:c>
      <x:c r="E56" s="54" t="n">
        <x:v>143.8</x:v>
      </x:c>
      <x:c r="F56" s="54" t="n">
        <x:v>8</x:v>
      </x:c>
      <x:c r="G56" s="55" t="n">
        <x:v>0</x:v>
      </x:c>
      <x:c r="H56" s="55" t="n">
        <x:v>300</x:v>
      </x:c>
      <x:c r="I56" s="65" t="n">
        <x:f>(D56+E56+(G56*F56))*PI()</x:f>
        <x:v>1035.1547793578368</x:v>
      </x:c>
      <x:c r="J56" s="66" t="n">
        <x:f>I56/$W$4</x:f>
        <x:v>10.351547793578368</x:v>
      </x:c>
      <x:c r="K56" s="250" t="n">
        <x:f>$W$6*J56</x:f>
        <x:v>1150.171977064263</x:v>
      </x:c>
      <x:c r="L56" s="250" t="n">
        <x:f>J56*$W$5</x:f>
        <x:v>6424.860663880973</x:v>
      </x:c>
    </x:row>
    <x:row r="57" s="117" customFormat="1" ht="15" customHeight="1">
      <x:c r="A57" s="68" t="str">
        <x:f>CONCATENATE(B57,H57," ",C57)</x:f>
        <x:v>RF300 6"</x:v>
      </x:c>
      <x:c r="B57" s="32" t="inlineStr">
        <x:is>
          <x:t xml:space="preserve">RF</x:t>
        </x:is>
      </x:c>
      <x:c r="C57" s="54" t="inlineStr">
        <x:is>
          <x:t xml:space="preserve">6"</x:t>
        </x:is>
      </x:c>
      <x:c r="D57" s="54" t="n">
        <x:v>215.9</x:v>
      </x:c>
      <x:c r="E57" s="54" t="n">
        <x:v>170.7</x:v>
      </x:c>
      <x:c r="F57" s="54" t="n">
        <x:v>12</x:v>
      </x:c>
      <x:c r="G57" s="55" t="n">
        <x:v>0</x:v>
      </x:c>
      <x:c r="H57" s="55" t="n">
        <x:v>300</x:v>
      </x:c>
      <x:c r="I57" s="65" t="n">
        <x:f>(D57+E57+(G57*F57))*PI()</x:f>
        <x:v>1214.5397198778142</x:v>
      </x:c>
      <x:c r="J57" s="66" t="n">
        <x:f>I57/$W$4</x:f>
        <x:v>12.145397198778142</x:v>
      </x:c>
      <x:c r="K57" s="250" t="n">
        <x:f>$W$6*J57</x:f>
        <x:v>1349.4885776420158</x:v>
      </x:c>
      <x:c r="L57" s="250" t="n">
        <x:f>J57*$W$5</x:f>
        <x:v>7538.2431947083</x:v>
      </x:c>
    </x:row>
    <x:row r="58" s="117" customFormat="1" ht="15" customHeight="1">
      <x:c r="A58" s="68" t="str">
        <x:f>CONCATENATE(B58,H58," ",C58)</x:f>
        <x:v>RF300 8"</x:v>
      </x:c>
      <x:c r="B58" s="32" t="inlineStr">
        <x:is>
          <x:t xml:space="preserve">RF</x:t>
        </x:is>
      </x:c>
      <x:c r="C58" s="54" t="inlineStr">
        <x:is>
          <x:t xml:space="preserve">8"</x:t>
        </x:is>
      </x:c>
      <x:c r="D58" s="54" t="n">
        <x:v>269.9</x:v>
      </x:c>
      <x:c r="E58" s="54" t="n">
        <x:v>221.5</x:v>
      </x:c>
      <x:c r="F58" s="54" t="n">
        <x:v>12</x:v>
      </x:c>
      <x:c r="G58" s="55" t="n">
        <x:v>0</x:v>
      </x:c>
      <x:c r="H58" s="55" t="n">
        <x:v>300</x:v>
      </x:c>
      <x:c r="I58" s="65" t="n">
        <x:f>(D58+E58+(G58*F58))*PI()</x:f>
        <x:v>1543.7786299740242</x:v>
      </x:c>
      <x:c r="J58" s="66" t="n">
        <x:f>I58/$W$4</x:f>
        <x:v>15.437786299740242</x:v>
      </x:c>
      <x:c r="K58" s="250" t="n">
        <x:f>$W$6*J58</x:f>
        <x:v>1715.309588860027</x:v>
      </x:c>
      <x:c r="L58" s="250" t="n">
        <x:f>J58*$W$5</x:f>
        <x:v>9581.719363372109</x:v>
      </x:c>
    </x:row>
    <x:row r="59" s="117" customFormat="1" ht="15" customHeight="1">
      <x:c r="A59" s="68" t="str">
        <x:f>CONCATENATE(B59,H59," ",C59)</x:f>
        <x:v>RF300 10"</x:v>
      </x:c>
      <x:c r="B59" s="32" t="inlineStr">
        <x:is>
          <x:t xml:space="preserve">RF</x:t>
        </x:is>
      </x:c>
      <x:c r="C59" s="54" t="inlineStr">
        <x:is>
          <x:t xml:space="preserve">10"</x:t>
        </x:is>
      </x:c>
      <x:c r="D59" s="54" t="n">
        <x:v>323.8</x:v>
      </x:c>
      <x:c r="E59" s="54" t="n">
        <x:v>276.2</x:v>
      </x:c>
      <x:c r="F59" s="54" t="n">
        <x:v>16</x:v>
      </x:c>
      <x:c r="G59" s="55" t="n">
        <x:v>0</x:v>
      </x:c>
      <x:c r="H59" s="55" t="n">
        <x:v>300</x:v>
      </x:c>
      <x:c r="I59" s="65" t="n">
        <x:f>(D59+E59+(G59*F59))*PI()</x:f>
        <x:v>1884.9555921538758</x:v>
      </x:c>
      <x:c r="J59" s="66" t="n">
        <x:f>I59/$W$4</x:f>
        <x:v>18.84955592153876</x:v>
      </x:c>
      <x:c r="K59" s="250" t="n">
        <x:f>$W$6*J59</x:f>
        <x:v>2094.3951023931954</x:v>
      </x:c>
      <x:c r="L59" s="250" t="n">
        <x:f>J59*$W$5</x:f>
        <x:v>11699.291041968389</x:v>
      </x:c>
    </x:row>
    <x:row r="60" s="117" customFormat="1" ht="15" customHeight="1">
      <x:c r="A60" s="68" t="str">
        <x:f>CONCATENATE(B60,H60," ",C60)</x:f>
        <x:v>RF300 12"</x:v>
      </x:c>
      <x:c r="B60" s="32" t="inlineStr">
        <x:is>
          <x:t xml:space="preserve">RF</x:t>
        </x:is>
      </x:c>
      <x:c r="C60" s="54" t="inlineStr">
        <x:is>
          <x:t xml:space="preserve">12"</x:t>
        </x:is>
      </x:c>
      <x:c r="D60" s="54" t="n">
        <x:v>381</x:v>
      </x:c>
      <x:c r="E60" s="54" t="n">
        <x:v>327</x:v>
      </x:c>
      <x:c r="F60" s="54" t="n">
        <x:v>16</x:v>
      </x:c>
      <x:c r="G60" s="55" t="n">
        <x:v>0</x:v>
      </x:c>
      <x:c r="H60" s="55" t="n">
        <x:v>300</x:v>
      </x:c>
      <x:c r="I60" s="65" t="n">
        <x:f>(D60+E60+(G60*F60))*PI()</x:f>
        <x:v>2224.2475987415737</x:v>
      </x:c>
      <x:c r="J60" s="66" t="n">
        <x:f>I60/$W$4</x:f>
        <x:v>22.242475987415737</x:v>
      </x:c>
      <x:c r="K60" s="250" t="n">
        <x:f>$W$6*J60</x:f>
        <x:v>2471.3862208239707</x:v>
      </x:c>
      <x:c r="L60" s="250" t="n">
        <x:f>J60*$W$5</x:f>
        <x:v>13805.1634295227</x:v>
      </x:c>
    </x:row>
    <x:row r="61" s="117" customFormat="1" ht="15" customHeight="1">
      <x:c r="A61" s="68" t="str">
        <x:f>CONCATENATE(B61,H61," ",C61)</x:f>
        <x:v>RF300 14"</x:v>
      </x:c>
      <x:c r="B61" s="32" t="inlineStr">
        <x:is>
          <x:t xml:space="preserve">RF</x:t>
        </x:is>
      </x:c>
      <x:c r="C61" s="54" t="inlineStr">
        <x:is>
          <x:t xml:space="preserve">14"</x:t>
        </x:is>
      </x:c>
      <x:c r="D61" s="54" t="n">
        <x:v>412.8</x:v>
      </x:c>
      <x:c r="E61" s="54" t="n">
        <x:v>359.2</x:v>
      </x:c>
      <x:c r="F61" s="54" t="n">
        <x:v>20</x:v>
      </x:c>
      <x:c r="G61" s="55" t="n">
        <x:v>0</x:v>
      </x:c>
      <x:c r="H61" s="55" t="n">
        <x:v>300</x:v>
      </x:c>
      <x:c r="I61" s="65" t="n">
        <x:f>(D61+E61+(G61*F61))*PI()</x:f>
        <x:v>2425.3095285713202</x:v>
      </x:c>
      <x:c r="J61" s="66" t="n">
        <x:f>I61/$W$4</x:f>
        <x:v>24.2530952857132</x:v>
      </x:c>
      <x:c r="K61" s="250" t="n">
        <x:f>$W$6*J61</x:f>
        <x:v>2694.7883650792446</x:v>
      </x:c>
      <x:c r="L61" s="250" t="n">
        <x:f>J61*$W$5</x:f>
        <x:v>15053.087807332658</x:v>
      </x:c>
    </x:row>
    <x:row r="62" s="117" customFormat="1" ht="15" customHeight="1">
      <x:c r="A62" s="68" t="str">
        <x:f>CONCATENATE(B62,H62," ",C62)</x:f>
        <x:v>RF300 16"</x:v>
      </x:c>
      <x:c r="B62" s="32" t="inlineStr">
        <x:is>
          <x:t xml:space="preserve">RF</x:t>
        </x:is>
      </x:c>
      <x:c r="C62" s="54" t="inlineStr">
        <x:is>
          <x:t xml:space="preserve">16"</x:t>
        </x:is>
      </x:c>
      <x:c r="D62" s="54" t="n">
        <x:v>469.9</x:v>
      </x:c>
      <x:c r="E62" s="54" t="n">
        <x:v>410.5</x:v>
      </x:c>
      <x:c r="F62" s="54" t="n">
        <x:v>20</x:v>
      </x:c>
      <x:c r="G62" s="55" t="n">
        <x:v>0</x:v>
      </x:c>
      <x:c r="H62" s="55" t="n">
        <x:v>300</x:v>
      </x:c>
      <x:c r="I62" s="65" t="n">
        <x:f>(D62+E62+(G62*F62))*PI()</x:f>
        <x:v>2765.858172220454</x:v>
      </x:c>
      <x:c r="J62" s="66" t="n">
        <x:f>I62/$W$4</x:f>
        <x:v>27.65858172220454</x:v>
      </x:c>
      <x:c r="K62" s="250" t="n">
        <x:f>$W$6*J62</x:f>
        <x:v>3073.175746911616</x:v>
      </x:c>
      <x:c r="L62" s="250" t="n">
        <x:f>J62*$W$5</x:f>
        <x:v>17166.759722248284</x:v>
      </x:c>
    </x:row>
    <x:row r="63" s="117" customFormat="1" ht="15" customHeight="1">
      <x:c r="A63" s="68" t="str">
        <x:f>CONCATENATE(B63,H63," ",C63)</x:f>
        <x:v>RF300 18"</x:v>
      </x:c>
      <x:c r="B63" s="32" t="inlineStr">
        <x:is>
          <x:t xml:space="preserve">RF</x:t>
        </x:is>
      </x:c>
      <x:c r="C63" s="54" t="inlineStr">
        <x:is>
          <x:t xml:space="preserve">18"</x:t>
        </x:is>
      </x:c>
      <x:c r="D63" s="54" t="n">
        <x:v>533.4</x:v>
      </x:c>
      <x:c r="E63" s="54" t="n">
        <x:v>461.8</x:v>
      </x:c>
      <x:c r="F63" s="54" t="n">
        <x:v>24</x:v>
      </x:c>
      <x:c r="G63" s="55" t="n">
        <x:v>0</x:v>
      </x:c>
      <x:c r="H63" s="55" t="n">
        <x:v>300</x:v>
      </x:c>
      <x:c r="I63" s="65" t="n">
        <x:f>(D63+E63+(G63*F63))*PI()</x:f>
        <x:v>3126.513008852562</x:v>
      </x:c>
      <x:c r="J63" s="66" t="n">
        <x:f>I63/$W$4</x:f>
        <x:v>31.26513008852562</x:v>
      </x:c>
      <x:c r="K63" s="250" t="n">
        <x:f>$W$6*J63</x:f>
        <x:v>3473.9033431695134</x:v>
      </x:c>
      <x:c r="L63" s="250" t="n">
        <x:f>J63*$W$5</x:f>
        <x:v>19405.2240749449</x:v>
      </x:c>
    </x:row>
    <x:row r="64" s="117" customFormat="1" ht="15" customHeight="1">
      <x:c r="A64" s="68" t="str">
        <x:f>CONCATENATE(B64,H64," ",C64)</x:f>
        <x:v>RF300 20"</x:v>
      </x:c>
      <x:c r="B64" s="32" t="inlineStr">
        <x:is>
          <x:t xml:space="preserve">RF</x:t>
        </x:is>
      </x:c>
      <x:c r="C64" s="54" t="inlineStr">
        <x:is>
          <x:t xml:space="preserve">20"</x:t>
        </x:is>
      </x:c>
      <x:c r="D64" s="54" t="n">
        <x:v>584.2</x:v>
      </x:c>
      <x:c r="E64" s="54" t="n">
        <x:v>513.1</x:v>
      </x:c>
      <x:c r="F64" s="54" t="n">
        <x:v>24</x:v>
      </x:c>
      <x:c r="G64" s="55" t="n">
        <x:v>0</x:v>
      </x:c>
      <x:c r="H64" s="55" t="n">
        <x:v>300</x:v>
      </x:c>
      <x:c r="I64" s="65" t="n">
        <x:f>(D64+E64+(G64*F64))*PI()</x:f>
        <x:v>3447.2696187840806</x:v>
      </x:c>
      <x:c r="J64" s="66" t="n">
        <x:f>I64/$W$4</x:f>
        <x:v>34.4726961878408</x:v>
      </x:c>
      <x:c r="K64" s="250" t="n">
        <x:f>$W$6*J64</x:f>
        <x:v>3830.299576426756</x:v>
      </x:c>
      <x:c r="L64" s="250" t="n">
        <x:f>J64*$W$5</x:f>
        <x:v>21396.053433919857</x:v>
      </x:c>
    </x:row>
    <x:row r="65" s="117" customFormat="1" ht="15" customHeight="1">
      <x:c r="A65" s="68" t="str">
        <x:f>CONCATENATE(B65,H65," ",C65)</x:f>
        <x:v>RF300 22"</x:v>
      </x:c>
      <x:c r="B65" s="32" t="inlineStr">
        <x:is>
          <x:t xml:space="preserve">RF</x:t>
        </x:is>
      </x:c>
      <x:c r="C65" s="54" t="inlineStr">
        <x:is>
          <x:t xml:space="preserve">22"</x:t>
        </x:is>
      </x:c>
      <x:c r="D65" s="54" t="n">
        <x:v>641.4</x:v>
      </x:c>
      <x:c r="E65" s="54" t="n">
        <x:v>564.4</x:v>
      </x:c>
      <x:c r="F65" s="54" t="n">
        <x:v>24</x:v>
      </x:c>
      <x:c r="G65" s="55" t="n">
        <x:v>0</x:v>
      </x:c>
      <x:c r="H65" s="55" t="n">
        <x:v>300</x:v>
      </x:c>
      <x:c r="I65" s="65" t="n">
        <x:f>(D65+E65+(G65*F65))*PI()</x:f>
        <x:v>3788.132421698572</x:v>
      </x:c>
      <x:c r="J65" s="66" t="n">
        <x:f>I65/$W$4</x:f>
        <x:v>37.881324216985725</x:v>
      </x:c>
      <x:c r="K65" s="250" t="n">
        <x:f>$W$6*J65</x:f>
        <x:v>4209.036024109525</x:v>
      </x:c>
      <x:c r="L65" s="250" t="n">
        <x:f>J65*$W$5</x:f>
        <x:v>23511.675230675806</x:v>
      </x:c>
    </x:row>
    <x:row r="66" s="117" customFormat="1" ht="15.75" customHeight="1">
      <x:c r="A66" s="68" t="str">
        <x:f>CONCATENATE(B66,H66," ",C66)</x:f>
        <x:v>RF300 24"</x:v>
      </x:c>
      <x:c r="B66" s="32" t="inlineStr">
        <x:is>
          <x:t xml:space="preserve">RF</x:t>
        </x:is>
      </x:c>
      <x:c r="C66" s="54" t="inlineStr">
        <x:is>
          <x:t xml:space="preserve">24"</x:t>
        </x:is>
      </x:c>
      <x:c r="D66" s="54" t="n">
        <x:v>692.2</x:v>
      </x:c>
      <x:c r="E66" s="54" t="n">
        <x:v>616</x:v>
      </x:c>
      <x:c r="F66" s="54" t="n">
        <x:v>24</x:v>
      </x:c>
      <x:c r="G66" s="55" t="n">
        <x:v>0</x:v>
      </x:c>
      <x:c r="H66" s="55" t="n">
        <x:v>300</x:v>
      </x:c>
      <x:c r="I66" s="65" t="n">
        <x:f>(D66+E66+(G66*F66))*PI()</x:f>
        <x:v>4109.831509426168</x:v>
      </x:c>
      <x:c r="J66" s="66" t="n">
        <x:f>I66/$W$4</x:f>
        <x:v>41.09831509426168</x:v>
      </x:c>
      <x:c r="K66" s="250" t="n">
        <x:f>$W$6*J66</x:f>
        <x:v>4566.479454917964</x:v>
      </x:c>
      <x:c r="L66" s="250" t="n">
        <x:f>J66*$W$5</x:f>
        <x:v>25508.354235171748</x:v>
      </x:c>
    </x:row>
    <x:row r="67" s="117" customFormat="1" ht="15.75" customHeight="1">
      <x:c r="A67" s="68" t="str">
        <x:f>CONCATENATE(B67,H67," ",C67)</x:f>
        <x:v>RF150 1/2"</x:v>
      </x:c>
      <x:c r="B67" s="32" t="inlineStr">
        <x:is>
          <x:t xml:space="preserve">RF</x:t>
        </x:is>
      </x:c>
      <x:c r="C67" s="54" t="inlineStr">
        <x:is>
          <x:t xml:space="preserve">1/2"</x:t>
        </x:is>
      </x:c>
      <x:c r="D67" s="54" t="n">
        <x:v>34.9</x:v>
      </x:c>
      <x:c r="E67" s="54" t="n">
        <x:v>22.2</x:v>
      </x:c>
      <x:c r="F67" s="54" t="n">
        <x:v>4</x:v>
      </x:c>
      <x:c r="G67" s="55" t="n">
        <x:v>0</x:v>
      </x:c>
      <x:c r="H67" s="55" t="n">
        <x:v>150</x:v>
      </x:c>
      <x:c r="I67" s="65" t="n">
        <x:f>(D67+E67+(G67*F67))*PI()</x:f>
        <x:v>179.38494051997716</x:v>
      </x:c>
      <x:c r="J67" s="66" t="n">
        <x:f>I67/$W$4</x:f>
        <x:v>1.7938494051997715</x:v>
      </x:c>
      <x:c r="K67" s="250" t="n">
        <x:f>$W$6*J67</x:f>
        <x:v>199.3166005777524</x:v>
      </x:c>
      <x:c r="L67" s="250" t="n">
        <x:f>J67*$W$5</x:f>
        <x:v>1113.382530827325</x:v>
      </x:c>
      <x:c r="N67" s="50" t="n"/>
      <x:c r="O67" s="39" t="n"/>
      <x:c r="P67" s="39" t="n"/>
      <x:c r="Q67" s="39" t="n"/>
      <x:c r="R67" s="112" t="n"/>
    </x:row>
    <x:row r="68" s="117" customFormat="1" ht="15.75" customHeight="1">
      <x:c r="A68" s="68" t="str">
        <x:f>CONCATENATE(B68,H68," ",C68)</x:f>
        <x:v>RF150 3/4"</x:v>
      </x:c>
      <x:c r="B68" s="32" t="inlineStr">
        <x:is>
          <x:t xml:space="preserve">RF</x:t>
        </x:is>
      </x:c>
      <x:c r="C68" s="54" t="inlineStr">
        <x:is>
          <x:t xml:space="preserve">3/4"</x:t>
        </x:is>
      </x:c>
      <x:c r="D68" s="54" t="n">
        <x:v>42.9</x:v>
      </x:c>
      <x:c r="E68" s="54" t="n">
        <x:v>27.7</x:v>
      </x:c>
      <x:c r="F68" s="54" t="n">
        <x:v>4</x:v>
      </x:c>
      <x:c r="G68" s="55" t="n">
        <x:v>0</x:v>
      </x:c>
      <x:c r="H68" s="55" t="n">
        <x:v>150</x:v>
      </x:c>
      <x:c r="I68" s="65" t="n">
        <x:f>(D68+E68+(G68*F68))*PI()</x:f>
        <x:v>221.79644134343937</x:v>
      </x:c>
      <x:c r="J68" s="66" t="n">
        <x:f>I68/$W$4</x:f>
        <x:v>2.2179644134343937</x:v>
      </x:c>
      <x:c r="K68" s="250" t="n">
        <x:f>$W$6*J68</x:f>
        <x:v>246.4404903815993</x:v>
      </x:c>
      <x:c r="L68" s="250" t="n">
        <x:f>J68*$W$5</x:f>
        <x:v>1376.6165792716135</x:v>
      </x:c>
      <x:c r="N68" s="24" t="n"/>
      <x:c r="O68" s="25" t="n"/>
      <x:c r="P68" s="25" t="n"/>
      <x:c r="Q68" s="25" t="n"/>
      <x:c r="R68" s="113" t="n"/>
    </x:row>
    <x:row r="69" s="117" customFormat="1" ht="15.75" customHeight="1">
      <x:c r="A69" s="68" t="str">
        <x:f>CONCATENATE(B69,H69," ",C69)</x:f>
        <x:v>RF150 1"</x:v>
      </x:c>
      <x:c r="B69" s="32" t="inlineStr">
        <x:is>
          <x:t xml:space="preserve">RF</x:t>
        </x:is>
      </x:c>
      <x:c r="C69" s="54" t="inlineStr">
        <x:is>
          <x:t xml:space="preserve">1"</x:t>
        </x:is>
      </x:c>
      <x:c r="D69" s="54" t="n">
        <x:v>50.8</x:v>
      </x:c>
      <x:c r="E69" s="54" t="n">
        <x:v>34.5</x:v>
      </x:c>
      <x:c r="F69" s="54" t="n">
        <x:v>4</x:v>
      </x:c>
      <x:c r="G69" s="55" t="n">
        <x:v>0</x:v>
      </x:c>
      <x:c r="H69" s="55" t="n">
        <x:v>150</x:v>
      </x:c>
      <x:c r="I69" s="65" t="n">
        <x:f>(D69+E69+(G69*F69))*PI()</x:f>
        <x:v>267.9778533512093</x:v>
      </x:c>
      <x:c r="J69" s="66" t="n">
        <x:f>I69/$W$4</x:f>
        <x:v>2.6797785335120934</x:v>
      </x:c>
      <x:c r="K69" s="250" t="n">
        <x:f>$W$6*J69</x:f>
        <x:v>297.7531703902326</x:v>
      </x:c>
      <x:c r="L69" s="250" t="n">
        <x:f>J69*$W$5</x:f>
        <x:v>1663.2492097998393</x:v>
      </x:c>
      <x:c r="N69" s="26" t="n"/>
      <x:c r="O69" s="22" t="n"/>
      <x:c r="P69" s="22" t="n"/>
      <x:c r="Q69" s="22" t="n"/>
      <x:c r="R69" s="114" t="n"/>
    </x:row>
    <x:row r="70" s="117" customFormat="1" ht="15.75" customHeight="1">
      <x:c r="A70" s="68" t="str">
        <x:f>CONCATENATE(B70,H70," ",C70)</x:f>
        <x:v>RF150 1-1/4"</x:v>
      </x:c>
      <x:c r="B70" s="32" t="inlineStr">
        <x:is>
          <x:t xml:space="preserve">RF</x:t>
        </x:is>
      </x:c>
      <x:c r="C70" s="54" t="inlineStr">
        <x:is>
          <x:t xml:space="preserve">1-1/4"</x:t>
        </x:is>
      </x:c>
      <x:c r="D70" s="54" t="n">
        <x:v>63.5</x:v>
      </x:c>
      <x:c r="E70" s="54" t="n">
        <x:v>43.2</x:v>
      </x:c>
      <x:c r="F70" s="54" t="n">
        <x:v>4</x:v>
      </x:c>
      <x:c r="G70" s="55" t="n">
        <x:v>0</x:v>
      </x:c>
      <x:c r="H70" s="55" t="n">
        <x:v>150</x:v>
      </x:c>
      <x:c r="I70" s="65" t="n">
        <x:f>(D70+E70+(G70*F70))*PI()</x:f>
        <x:v>335.20793613803096</x:v>
      </x:c>
      <x:c r="J70" s="66" t="n">
        <x:f>I70/$W$4</x:f>
        <x:v>3.3520793613803095</x:v>
      </x:c>
      <x:c r="K70" s="250" t="n">
        <x:f>$W$6*J70</x:f>
        <x:v>372.45326237558993</x:v>
      </x:c>
      <x:c r="L70" s="250" t="n">
        <x:f>J70*$W$5</x:f>
        <x:v>2080.5239236300454</x:v>
      </x:c>
      <x:c r="N70" s="26" t="n"/>
      <x:c r="O70" s="22" t="n"/>
      <x:c r="P70" s="22" t="n"/>
      <x:c r="Q70" s="22" t="n"/>
      <x:c r="R70" s="114" t="n"/>
    </x:row>
    <x:row r="71" s="117" customFormat="1" ht="15.75" customHeight="1">
      <x:c r="A71" s="68" t="str">
        <x:f>CONCATENATE(B71,H71," ",C71)</x:f>
        <x:v>RF150 1-1/2"</x:v>
      </x:c>
      <x:c r="B71" s="32" t="inlineStr">
        <x:is>
          <x:t xml:space="preserve">RF</x:t>
        </x:is>
      </x:c>
      <x:c r="C71" s="54" t="inlineStr">
        <x:is>
          <x:t xml:space="preserve">1-1/2"</x:t>
        </x:is>
      </x:c>
      <x:c r="D71" s="54" t="n">
        <x:v>73</x:v>
      </x:c>
      <x:c r="E71" s="54" t="n">
        <x:v>49.5</x:v>
      </x:c>
      <x:c r="F71" s="54" t="n">
        <x:v>4</x:v>
      </x:c>
      <x:c r="G71" s="55" t="n">
        <x:v>0</x:v>
      </x:c>
      <x:c r="H71" s="55" t="n">
        <x:v>150</x:v>
      </x:c>
      <x:c r="I71" s="65" t="n">
        <x:f>(D71+E71+(G71*F71))*PI()</x:f>
        <x:v>384.84510006474966</x:v>
      </x:c>
      <x:c r="J71" s="66" t="n">
        <x:f>I71/$W$4</x:f>
        <x:v>3.8484510006474966</x:v>
      </x:c>
      <x:c r="K71" s="250" t="n">
        <x:f>$W$6*J71</x:f>
        <x:v>427.60566673861075</x:v>
      </x:c>
      <x:c r="L71" s="250" t="n">
        <x:f>J71*$W$5</x:f>
        <x:v>2388.6052544018794</x:v>
      </x:c>
      <x:c r="N71" s="26" t="n"/>
      <x:c r="O71" s="22" t="n"/>
      <x:c r="P71" s="22" t="n"/>
      <x:c r="Q71" s="22" t="n"/>
      <x:c r="R71" s="114" t="n"/>
    </x:row>
    <x:row r="72" s="117" customFormat="1" ht="15.75" customHeight="1">
      <x:c r="A72" s="68" t="str">
        <x:f>CONCATENATE(B72,H72," ",C72)</x:f>
        <x:v>RF150 2"</x:v>
      </x:c>
      <x:c r="B72" s="32" t="inlineStr">
        <x:is>
          <x:t xml:space="preserve">RF</x:t>
        </x:is>
      </x:c>
      <x:c r="C72" s="54" t="inlineStr">
        <x:is>
          <x:t xml:space="preserve">2"</x:t>
        </x:is>
      </x:c>
      <x:c r="D72" s="54" t="n">
        <x:v>92.09999999999999</x:v>
      </x:c>
      <x:c r="E72" s="54" t="n">
        <x:v>61.9</x:v>
      </x:c>
      <x:c r="F72" s="54" t="n">
        <x:v>4</x:v>
      </x:c>
      <x:c r="G72" s="55" t="n">
        <x:v>0</x:v>
      </x:c>
      <x:c r="H72" s="55" t="n">
        <x:v>150</x:v>
      </x:c>
      <x:c r="I72" s="65" t="n">
        <x:f>(D72+E72+(G72*F72))*PI()</x:f>
        <x:v>483.80526865282815</x:v>
      </x:c>
      <x:c r="J72" s="66" t="n">
        <x:f>I72/$W$4</x:f>
        <x:v>4.838052686528282</x:v>
      </x:c>
      <x:c r="K72" s="250" t="n">
        <x:f>$W$6*J72</x:f>
        <x:v>537.5614096142535</x:v>
      </x:c>
      <x:c r="L72" s="250" t="n">
        <x:f>J72*$W$5</x:f>
        <x:v>3002.81803410522</x:v>
      </x:c>
      <x:c r="N72" s="26" t="n"/>
      <x:c r="O72" s="22" t="n"/>
      <x:c r="P72" s="22" t="n"/>
      <x:c r="Q72" s="22" t="n"/>
      <x:c r="R72" s="114" t="n"/>
    </x:row>
    <x:row r="73" s="117" customFormat="1" ht="15.75" customHeight="1">
      <x:c r="A73" s="68" t="str">
        <x:f>CONCATENATE(B73,H73," ",C73)</x:f>
        <x:v>RF150 2-1/2"</x:v>
      </x:c>
      <x:c r="B73" s="32" t="inlineStr">
        <x:is>
          <x:t xml:space="preserve">RF</x:t>
        </x:is>
      </x:c>
      <x:c r="C73" s="54" t="inlineStr">
        <x:is>
          <x:t xml:space="preserve">2-1/2"</x:t>
        </x:is>
      </x:c>
      <x:c r="D73" s="54" t="n">
        <x:v>104.8</x:v>
      </x:c>
      <x:c r="E73" s="54" t="n">
        <x:v>74.59999999999999</x:v>
      </x:c>
      <x:c r="F73" s="54" t="n">
        <x:v>4</x:v>
      </x:c>
      <x:c r="G73" s="55" t="n">
        <x:v>0</x:v>
      </x:c>
      <x:c r="H73" s="55" t="n">
        <x:v>150</x:v>
      </x:c>
      <x:c r="I73" s="65" t="n">
        <x:f>(D73+E73+(G73*F73))*PI()</x:f>
        <x:v>563.6017220540089</x:v>
      </x:c>
      <x:c r="J73" s="66" t="n">
        <x:f>I73/$W$4</x:f>
        <x:v>5.636017220540088</x:v>
      </x:c>
      <x:c r="K73" s="250" t="n">
        <x:f>$W$6*J73</x:f>
        <x:v>626.2241356155654</x:v>
      </x:c>
      <x:c r="L73" s="250" t="n">
        <x:f>J73*$W$5</x:f>
        <x:v>3498.088021548548</x:v>
      </x:c>
      <x:c r="N73" s="26" t="n"/>
      <x:c r="O73" s="22" t="n"/>
      <x:c r="P73" s="22" t="n"/>
      <x:c r="Q73" s="22" t="n"/>
      <x:c r="R73" s="114" t="n"/>
    </x:row>
    <x:row r="74" s="117" customFormat="1" ht="15.75" customHeight="1">
      <x:c r="A74" s="68" t="str">
        <x:f>CONCATENATE(B74,H74," ",C74)</x:f>
        <x:v>RF150 3"</x:v>
      </x:c>
      <x:c r="B74" s="32" t="inlineStr">
        <x:is>
          <x:t xml:space="preserve">RF</x:t>
        </x:is>
      </x:c>
      <x:c r="C74" s="54" t="inlineStr">
        <x:is>
          <x:t xml:space="preserve">3"</x:t>
        </x:is>
      </x:c>
      <x:c r="D74" s="54" t="n">
        <x:v>127</x:v>
      </x:c>
      <x:c r="E74" s="54" t="n">
        <x:v>90.7</x:v>
      </x:c>
      <x:c r="F74" s="54" t="n">
        <x:v>4</x:v>
      </x:c>
      <x:c r="G74" s="55" t="n">
        <x:v>0</x:v>
      </x:c>
      <x:c r="H74" s="55" t="n">
        <x:v>150</x:v>
      </x:c>
      <x:c r="I74" s="65" t="n">
        <x:f>(D74+E74+(G74*F74))*PI()</x:f>
        <x:v>683.924720686498</x:v>
      </x:c>
      <x:c r="J74" s="66" t="n">
        <x:f>I74/$W$4</x:f>
        <x:v>6.83924720686498</x:v>
      </x:c>
      <x:c r="K74" s="250" t="n">
        <x:f>$W$6*J74</x:f>
        <x:v>759.916356318331</x:v>
      </x:c>
      <x:c r="L74" s="250" t="n">
        <x:f>J74*$W$5</x:f>
        <x:v>4244.892766394197</x:v>
      </x:c>
      <x:c r="N74" s="26" t="n"/>
      <x:c r="O74" s="22" t="n"/>
      <x:c r="P74" s="22" t="n"/>
      <x:c r="Q74" s="22" t="n"/>
      <x:c r="R74" s="114" t="n"/>
    </x:row>
    <x:row r="75" s="117" customFormat="1" ht="15.75" customHeight="1">
      <x:c r="A75" s="68" t="str">
        <x:f>CONCATENATE(B75,H75," ",C75)</x:f>
        <x:v>RF150 3-1/2"</x:v>
      </x:c>
      <x:c r="B75" s="32" t="inlineStr">
        <x:is>
          <x:t xml:space="preserve">RF</x:t>
        </x:is>
      </x:c>
      <x:c r="C75" s="54" t="inlineStr">
        <x:is>
          <x:t xml:space="preserve">3-1/2"</x:t>
        </x:is>
      </x:c>
      <x:c r="D75" s="54" t="n">
        <x:v>139.7</x:v>
      </x:c>
      <x:c r="E75" s="54" t="n">
        <x:v>103.4</x:v>
      </x:c>
      <x:c r="F75" s="54" t="n">
        <x:v>8</x:v>
      </x:c>
      <x:c r="G75" s="55" t="n">
        <x:v>0</x:v>
      </x:c>
      <x:c r="H75" s="55" t="n">
        <x:v>150</x:v>
      </x:c>
      <x:c r="I75" s="65" t="n">
        <x:f>(D75+E75+(G75*F75))*PI()</x:f>
        <x:v>763.7211740876787</x:v>
      </x:c>
      <x:c r="J75" s="66" t="n">
        <x:f>I75/$W$4</x:f>
        <x:v>7.637211740876787</x:v>
      </x:c>
      <x:c r="K75" s="250" t="n">
        <x:f>$W$6*J75</x:f>
        <x:v>848.579082319643</x:v>
      </x:c>
      <x:c r="L75" s="250" t="n">
        <x:f>J75*$W$5</x:f>
        <x:v>4740.162753837526</x:v>
      </x:c>
      <x:c r="N75" s="26" t="n"/>
      <x:c r="O75" s="22" t="n"/>
      <x:c r="P75" s="22" t="n"/>
      <x:c r="Q75" s="22" t="n"/>
      <x:c r="R75" s="114" t="n"/>
    </x:row>
    <x:row r="76" s="117" customFormat="1" ht="15.75" customHeight="1">
      <x:c r="A76" s="68" t="str">
        <x:f>CONCATENATE(B76,H76," ",C76)</x:f>
        <x:v>RF150 4"</x:v>
      </x:c>
      <x:c r="B76" s="32" t="inlineStr">
        <x:is>
          <x:t xml:space="preserve">RF</x:t>
        </x:is>
      </x:c>
      <x:c r="C76" s="54" t="inlineStr">
        <x:is>
          <x:t xml:space="preserve">4"</x:t>
        </x:is>
      </x:c>
      <x:c r="D76" s="54" t="n">
        <x:v>157.2</x:v>
      </x:c>
      <x:c r="E76" s="54" t="n">
        <x:v>116.1</x:v>
      </x:c>
      <x:c r="F76" s="54" t="n">
        <x:v>8</x:v>
      </x:c>
      <x:c r="G76" s="55" t="n">
        <x:v>0</x:v>
      </x:c>
      <x:c r="H76" s="55" t="n">
        <x:v>150</x:v>
      </x:c>
      <x:c r="I76" s="65" t="n">
        <x:f>(D76+E76+(G76*F76))*PI()</x:f>
        <x:v>858.5972722260904</x:v>
      </x:c>
      <x:c r="J76" s="66" t="n">
        <x:f>I76/$W$4</x:f>
        <x:v>8.585972722260903</x:v>
      </x:c>
      <x:c r="K76" s="250" t="n">
        <x:f>$W$6*J76</x:f>
        <x:v>953.9969691401004</x:v>
      </x:c>
      <x:c r="L76" s="250" t="n">
        <x:f>J76*$W$5</x:f>
        <x:v>5329.027069616601</x:v>
      </x:c>
      <x:c r="N76" s="26" t="n"/>
      <x:c r="O76" s="22" t="n"/>
      <x:c r="P76" s="22" t="n"/>
      <x:c r="Q76" s="22" t="n"/>
      <x:c r="R76" s="114" t="n"/>
    </x:row>
    <x:row r="77" s="117" customFormat="1" ht="15.75" customHeight="1">
      <x:c r="A77" s="68" t="str">
        <x:f>CONCATENATE(B77,H77," ",C77)</x:f>
        <x:v>RF150 5"</x:v>
      </x:c>
      <x:c r="B77" s="32" t="inlineStr">
        <x:is>
          <x:t xml:space="preserve">RF</x:t>
        </x:is>
      </x:c>
      <x:c r="C77" s="54" t="inlineStr">
        <x:is>
          <x:t xml:space="preserve">5"</x:t>
        </x:is>
      </x:c>
      <x:c r="D77" s="54" t="n">
        <x:v>185.7</x:v>
      </x:c>
      <x:c r="E77" s="54" t="n">
        <x:v>143.8</x:v>
      </x:c>
      <x:c r="F77" s="54" t="n">
        <x:v>8</x:v>
      </x:c>
      <x:c r="G77" s="55" t="n">
        <x:v>0</x:v>
      </x:c>
      <x:c r="H77" s="55" t="n">
        <x:v>150</x:v>
      </x:c>
      <x:c r="I77" s="65" t="n">
        <x:f>(D77+E77+(G77*F77))*PI()</x:f>
        <x:v>1035.1547793578368</x:v>
      </x:c>
      <x:c r="J77" s="66" t="n">
        <x:f>I77/$W$4</x:f>
        <x:v>10.351547793578368</x:v>
      </x:c>
      <x:c r="K77" s="250" t="n">
        <x:f>$W$6*J77</x:f>
        <x:v>1150.171977064263</x:v>
      </x:c>
      <x:c r="L77" s="250" t="n">
        <x:f>J77*$W$5</x:f>
        <x:v>6424.860663880973</x:v>
      </x:c>
      <x:c r="N77" s="26" t="n"/>
      <x:c r="O77" s="22" t="n"/>
      <x:c r="P77" s="22" t="n"/>
      <x:c r="Q77" s="22" t="n"/>
      <x:c r="R77" s="114" t="n"/>
    </x:row>
    <x:row r="78" s="117" customFormat="1" ht="15.75" customHeight="1">
      <x:c r="A78" s="68" t="str">
        <x:f>CONCATENATE(B78,H78," ",C78)</x:f>
        <x:v>RF150 6"</x:v>
      </x:c>
      <x:c r="B78" s="32" t="inlineStr">
        <x:is>
          <x:t xml:space="preserve">RF</x:t>
        </x:is>
      </x:c>
      <x:c r="C78" s="54" t="inlineStr">
        <x:is>
          <x:t xml:space="preserve">6"</x:t>
        </x:is>
      </x:c>
      <x:c r="D78" s="54" t="n">
        <x:v>215.9</x:v>
      </x:c>
      <x:c r="E78" s="54" t="n">
        <x:v>170.7</x:v>
      </x:c>
      <x:c r="F78" s="54" t="n">
        <x:v>8</x:v>
      </x:c>
      <x:c r="G78" s="55" t="n">
        <x:v>0</x:v>
      </x:c>
      <x:c r="H78" s="55" t="n">
        <x:v>150</x:v>
      </x:c>
      <x:c r="I78" s="65" t="n">
        <x:f>(D78+E78+(G78*F78))*PI()</x:f>
        <x:v>1214.5397198778142</x:v>
      </x:c>
      <x:c r="J78" s="66" t="n">
        <x:f>I78/$W$4</x:f>
        <x:v>12.145397198778142</x:v>
      </x:c>
      <x:c r="K78" s="250" t="n">
        <x:f>$W$6*J78</x:f>
        <x:v>1349.4885776420158</x:v>
      </x:c>
      <x:c r="L78" s="250" t="n">
        <x:f>J78*$W$5</x:f>
        <x:v>7538.2431947083</x:v>
      </x:c>
      <x:c r="N78" s="26" t="n"/>
      <x:c r="O78" s="22" t="n"/>
      <x:c r="P78" s="22" t="n"/>
      <x:c r="Q78" s="22" t="n"/>
      <x:c r="R78" s="114" t="n"/>
    </x:row>
    <x:row r="79" s="117" customFormat="1" ht="15.75" customHeight="1">
      <x:c r="A79" s="68" t="str">
        <x:f>CONCATENATE(B79,H79," ",C79)</x:f>
        <x:v>RF150 8"</x:v>
      </x:c>
      <x:c r="B79" s="32" t="inlineStr">
        <x:is>
          <x:t xml:space="preserve">RF</x:t>
        </x:is>
      </x:c>
      <x:c r="C79" s="54" t="inlineStr">
        <x:is>
          <x:t xml:space="preserve">8"</x:t>
        </x:is>
      </x:c>
      <x:c r="D79" s="54" t="n">
        <x:v>269.9</x:v>
      </x:c>
      <x:c r="E79" s="54" t="n">
        <x:v>221.5</x:v>
      </x:c>
      <x:c r="F79" s="54" t="n">
        <x:v>8</x:v>
      </x:c>
      <x:c r="G79" s="55" t="n">
        <x:v>0</x:v>
      </x:c>
      <x:c r="H79" s="55" t="n">
        <x:v>150</x:v>
      </x:c>
      <x:c r="I79" s="65" t="n">
        <x:f>(D79+E79+(G79*F79))*PI()</x:f>
        <x:v>1543.7786299740242</x:v>
      </x:c>
      <x:c r="J79" s="66" t="n">
        <x:f>I79/$W$4</x:f>
        <x:v>15.437786299740242</x:v>
      </x:c>
      <x:c r="K79" s="250" t="n">
        <x:f>$W$6*J79</x:f>
        <x:v>1715.309588860027</x:v>
      </x:c>
      <x:c r="L79" s="250" t="n">
        <x:f>J79*$W$5</x:f>
        <x:v>9581.719363372109</x:v>
      </x:c>
      <x:c r="N79" s="26" t="n"/>
      <x:c r="O79" s="22" t="n"/>
      <x:c r="P79" s="22" t="n"/>
      <x:c r="Q79" s="22" t="n"/>
      <x:c r="R79" s="114" t="n"/>
    </x:row>
    <x:row r="80" s="117" customFormat="1" ht="15.75" customHeight="1">
      <x:c r="A80" s="68" t="str">
        <x:f>CONCATENATE(B80,H80," ",C80)</x:f>
        <x:v>RF150 10"</x:v>
      </x:c>
      <x:c r="B80" s="32" t="inlineStr">
        <x:is>
          <x:t xml:space="preserve">RF</x:t>
        </x:is>
      </x:c>
      <x:c r="C80" s="54" t="inlineStr">
        <x:is>
          <x:t xml:space="preserve">10"</x:t>
        </x:is>
      </x:c>
      <x:c r="D80" s="54" t="n">
        <x:v>323.8</x:v>
      </x:c>
      <x:c r="E80" s="54" t="n">
        <x:v>276.2</x:v>
      </x:c>
      <x:c r="F80" s="54" t="n">
        <x:v>12</x:v>
      </x:c>
      <x:c r="G80" s="55" t="n">
        <x:v>0</x:v>
      </x:c>
      <x:c r="H80" s="55" t="n">
        <x:v>150</x:v>
      </x:c>
      <x:c r="I80" s="65" t="n">
        <x:f>(D80+E80+(G80*F80))*PI()</x:f>
        <x:v>1884.9555921538758</x:v>
      </x:c>
      <x:c r="J80" s="66" t="n">
        <x:f>I80/$W$4</x:f>
        <x:v>18.84955592153876</x:v>
      </x:c>
      <x:c r="K80" s="250" t="n">
        <x:f>$W$6*J80</x:f>
        <x:v>2094.3951023931954</x:v>
      </x:c>
      <x:c r="L80" s="250" t="n">
        <x:f>J80*$W$5</x:f>
        <x:v>11699.291041968389</x:v>
      </x:c>
      <x:c r="N80" s="26" t="n"/>
      <x:c r="O80" s="22" t="n"/>
      <x:c r="P80" s="22" t="n"/>
      <x:c r="Q80" s="22" t="n"/>
      <x:c r="R80" s="114" t="n"/>
    </x:row>
    <x:row r="81" s="117" customFormat="1" ht="15.75" customHeight="1">
      <x:c r="A81" s="68" t="str">
        <x:f>CONCATENATE(B81,H81," ",C81)</x:f>
        <x:v>RF150 12"</x:v>
      </x:c>
      <x:c r="B81" s="32" t="inlineStr">
        <x:is>
          <x:t xml:space="preserve">RF</x:t>
        </x:is>
      </x:c>
      <x:c r="C81" s="54" t="inlineStr">
        <x:is>
          <x:t xml:space="preserve">12"</x:t>
        </x:is>
      </x:c>
      <x:c r="D81" s="54" t="n">
        <x:v>381</x:v>
      </x:c>
      <x:c r="E81" s="54" t="n">
        <x:v>327</x:v>
      </x:c>
      <x:c r="F81" s="54" t="n">
        <x:v>12</x:v>
      </x:c>
      <x:c r="G81" s="55" t="n">
        <x:v>0</x:v>
      </x:c>
      <x:c r="H81" s="55" t="n">
        <x:v>150</x:v>
      </x:c>
      <x:c r="I81" s="65" t="n">
        <x:f>(D81+E81+(G81*F81))*PI()</x:f>
        <x:v>2224.2475987415737</x:v>
      </x:c>
      <x:c r="J81" s="66" t="n">
        <x:f>I81/$W$4</x:f>
        <x:v>22.242475987415737</x:v>
      </x:c>
      <x:c r="K81" s="250" t="n">
        <x:f>$W$6*J81</x:f>
        <x:v>2471.3862208239707</x:v>
      </x:c>
      <x:c r="L81" s="250" t="n">
        <x:f>J81*$W$5</x:f>
        <x:v>13805.1634295227</x:v>
      </x:c>
      <x:c r="N81" s="26" t="n"/>
      <x:c r="O81" s="22" t="n"/>
      <x:c r="P81" s="22" t="n"/>
      <x:c r="Q81" s="22" t="n"/>
      <x:c r="R81" s="114" t="n"/>
    </x:row>
    <x:row r="82" s="117" customFormat="1" ht="15.75" customHeight="1">
      <x:c r="A82" s="68" t="str">
        <x:f>CONCATENATE(B82,H82," ",C82)</x:f>
        <x:v>RF150 14"</x:v>
      </x:c>
      <x:c r="B82" s="32" t="inlineStr">
        <x:is>
          <x:t xml:space="preserve">RF</x:t>
        </x:is>
      </x:c>
      <x:c r="C82" s="54" t="inlineStr">
        <x:is>
          <x:t xml:space="preserve">14"</x:t>
        </x:is>
      </x:c>
      <x:c r="D82" s="54" t="n">
        <x:v>412.8</x:v>
      </x:c>
      <x:c r="E82" s="54" t="n">
        <x:v>359.2</x:v>
      </x:c>
      <x:c r="F82" s="54" t="n">
        <x:v>12</x:v>
      </x:c>
      <x:c r="G82" s="55" t="n">
        <x:v>0</x:v>
      </x:c>
      <x:c r="H82" s="55" t="n">
        <x:v>150</x:v>
      </x:c>
      <x:c r="I82" s="65" t="n">
        <x:f>(D82+E82+(G82*F82))*PI()</x:f>
        <x:v>2425.3095285713202</x:v>
      </x:c>
      <x:c r="J82" s="66" t="n">
        <x:f>I82/$W$4</x:f>
        <x:v>24.2530952857132</x:v>
      </x:c>
      <x:c r="K82" s="250" t="n">
        <x:f>$W$6*J82</x:f>
        <x:v>2694.7883650792446</x:v>
      </x:c>
      <x:c r="L82" s="250" t="n">
        <x:f>J82*$W$5</x:f>
        <x:v>15053.087807332658</x:v>
      </x:c>
      <x:c r="N82" s="26" t="n"/>
      <x:c r="O82" s="22" t="n"/>
      <x:c r="P82" s="22" t="n"/>
      <x:c r="Q82" s="22" t="n"/>
      <x:c r="R82" s="114" t="n"/>
    </x:row>
    <x:row r="83" s="117" customFormat="1" ht="15.75" customHeight="1">
      <x:c r="A83" s="68" t="str">
        <x:f>CONCATENATE(B83,H83," ",C83)</x:f>
        <x:v>RF150 16"</x:v>
      </x:c>
      <x:c r="B83" s="32" t="inlineStr">
        <x:is>
          <x:t xml:space="preserve">RF</x:t>
        </x:is>
      </x:c>
      <x:c r="C83" s="54" t="inlineStr">
        <x:is>
          <x:t xml:space="preserve">16"</x:t>
        </x:is>
      </x:c>
      <x:c r="D83" s="54" t="n">
        <x:v>469.9</x:v>
      </x:c>
      <x:c r="E83" s="54" t="n">
        <x:v>410.5</x:v>
      </x:c>
      <x:c r="F83" s="54" t="n">
        <x:v>16</x:v>
      </x:c>
      <x:c r="G83" s="55" t="n">
        <x:v>0</x:v>
      </x:c>
      <x:c r="H83" s="55" t="n">
        <x:v>150</x:v>
      </x:c>
      <x:c r="I83" s="65" t="n">
        <x:f>(D83+E83+(G83*F83))*PI()</x:f>
        <x:v>2765.858172220454</x:v>
      </x:c>
      <x:c r="J83" s="66" t="n">
        <x:f>I83/$W$4</x:f>
        <x:v>27.65858172220454</x:v>
      </x:c>
      <x:c r="K83" s="250" t="n">
        <x:f>$W$6*J83</x:f>
        <x:v>3073.175746911616</x:v>
      </x:c>
      <x:c r="L83" s="250" t="n">
        <x:f>J83*$W$5</x:f>
        <x:v>17166.759722248284</x:v>
      </x:c>
      <x:c r="N83" s="26" t="n"/>
      <x:c r="O83" s="22" t="n"/>
      <x:c r="P83" s="22" t="n"/>
      <x:c r="Q83" s="22" t="n"/>
      <x:c r="R83" s="114" t="n"/>
    </x:row>
    <x:row r="84" s="117" customFormat="1" ht="15.75" customHeight="1">
      <x:c r="A84" s="68" t="str">
        <x:f>CONCATENATE(B84,H84," ",C84)</x:f>
        <x:v>RF150 18"</x:v>
      </x:c>
      <x:c r="B84" s="32" t="inlineStr">
        <x:is>
          <x:t xml:space="preserve">RF</x:t>
        </x:is>
      </x:c>
      <x:c r="C84" s="54" t="inlineStr">
        <x:is>
          <x:t xml:space="preserve">18"</x:t>
        </x:is>
      </x:c>
      <x:c r="D84" s="54" t="n">
        <x:v>533.4</x:v>
      </x:c>
      <x:c r="E84" s="54" t="n">
        <x:v>461.8</x:v>
      </x:c>
      <x:c r="F84" s="54" t="n">
        <x:v>16</x:v>
      </x:c>
      <x:c r="G84" s="55" t="n">
        <x:v>0</x:v>
      </x:c>
      <x:c r="H84" s="55" t="n">
        <x:v>150</x:v>
      </x:c>
      <x:c r="I84" s="65" t="n">
        <x:f>(D84+E84+(G84*F84))*PI()</x:f>
        <x:v>3126.513008852562</x:v>
      </x:c>
      <x:c r="J84" s="66" t="n">
        <x:f>I84/$W$4</x:f>
        <x:v>31.26513008852562</x:v>
      </x:c>
      <x:c r="K84" s="250" t="n">
        <x:f>$W$6*J84</x:f>
        <x:v>3473.9033431695134</x:v>
      </x:c>
      <x:c r="L84" s="250" t="n">
        <x:f>J84*$W$5</x:f>
        <x:v>19405.2240749449</x:v>
      </x:c>
      <x:c r="N84" s="26" t="n"/>
      <x:c r="O84" s="22" t="n"/>
      <x:c r="P84" s="22" t="n"/>
      <x:c r="Q84" s="22" t="n"/>
      <x:c r="R84" s="114" t="n"/>
    </x:row>
    <x:row r="85" s="117" customFormat="1" ht="15.75" customHeight="1">
      <x:c r="A85" s="68" t="str">
        <x:f>CONCATENATE(B85,H85," ",C85)</x:f>
        <x:v>RF150 20"</x:v>
      </x:c>
      <x:c r="B85" s="32" t="inlineStr">
        <x:is>
          <x:t xml:space="preserve">RF</x:t>
        </x:is>
      </x:c>
      <x:c r="C85" s="54" t="inlineStr">
        <x:is>
          <x:t xml:space="preserve">20"</x:t>
        </x:is>
      </x:c>
      <x:c r="D85" s="54" t="n">
        <x:v>584.2</x:v>
      </x:c>
      <x:c r="E85" s="54" t="n">
        <x:v>513.1</x:v>
      </x:c>
      <x:c r="F85" s="54" t="n">
        <x:v>20</x:v>
      </x:c>
      <x:c r="G85" s="55" t="n">
        <x:v>0</x:v>
      </x:c>
      <x:c r="H85" s="55" t="n">
        <x:v>150</x:v>
      </x:c>
      <x:c r="I85" s="65" t="n">
        <x:f>(D85+E85+(G85*F85))*PI()</x:f>
        <x:v>3447.2696187840806</x:v>
      </x:c>
      <x:c r="J85" s="66" t="n">
        <x:f>I85/$W$4</x:f>
        <x:v>34.4726961878408</x:v>
      </x:c>
      <x:c r="K85" s="250" t="n">
        <x:f>$W$6*J85</x:f>
        <x:v>3830.299576426756</x:v>
      </x:c>
      <x:c r="L85" s="250" t="n">
        <x:f>J85*$W$5</x:f>
        <x:v>21396.053433919857</x:v>
      </x:c>
      <x:c r="N85" s="26" t="n"/>
      <x:c r="O85" s="22" t="n"/>
      <x:c r="P85" s="22" t="n"/>
      <x:c r="Q85" s="22" t="n"/>
      <x:c r="R85" s="114" t="n"/>
    </x:row>
    <x:row r="86" s="117" customFormat="1" ht="15.75" customHeight="1">
      <x:c r="A86" s="68" t="str">
        <x:f>CONCATENATE(B86,H86," ",C86)</x:f>
        <x:v>RF150 22"</x:v>
      </x:c>
      <x:c r="B86" s="32" t="inlineStr">
        <x:is>
          <x:t xml:space="preserve">RF</x:t>
        </x:is>
      </x:c>
      <x:c r="C86" s="54" t="inlineStr">
        <x:is>
          <x:t xml:space="preserve">22"</x:t>
        </x:is>
      </x:c>
      <x:c r="D86" s="54" t="n">
        <x:v>641.4</x:v>
      </x:c>
      <x:c r="E86" s="54" t="n">
        <x:v>564.4</x:v>
      </x:c>
      <x:c r="F86" s="54" t="n">
        <x:v>20</x:v>
      </x:c>
      <x:c r="G86" s="55" t="n">
        <x:v>0</x:v>
      </x:c>
      <x:c r="H86" s="55" t="n">
        <x:v>150</x:v>
      </x:c>
      <x:c r="I86" s="65" t="n">
        <x:f>(D86+E86+(G86*F86))*PI()</x:f>
        <x:v>3788.132421698572</x:v>
      </x:c>
      <x:c r="J86" s="66" t="n">
        <x:f>I86/$W$4</x:f>
        <x:v>37.881324216985725</x:v>
      </x:c>
      <x:c r="K86" s="250" t="n">
        <x:f>$W$6*J86</x:f>
        <x:v>4209.036024109525</x:v>
      </x:c>
      <x:c r="L86" s="250" t="n">
        <x:f>J86*$W$5</x:f>
        <x:v>23511.675230675806</x:v>
      </x:c>
      <x:c r="N86" s="26" t="n"/>
      <x:c r="O86" s="22" t="n"/>
      <x:c r="P86" s="22" t="n"/>
      <x:c r="Q86" s="22" t="n"/>
      <x:c r="R86" s="114" t="n"/>
    </x:row>
    <x:row r="87" s="117" customFormat="1" ht="15.75" customHeight="1">
      <x:c r="A87" s="68" t="str">
        <x:f>CONCATENATE(B87,H87," ",C87)</x:f>
        <x:v>RF150 24"</x:v>
      </x:c>
      <x:c r="B87" s="32" t="inlineStr">
        <x:is>
          <x:t xml:space="preserve">RF</x:t>
        </x:is>
      </x:c>
      <x:c r="C87" s="54" t="inlineStr">
        <x:is>
          <x:t xml:space="preserve">24"</x:t>
        </x:is>
      </x:c>
      <x:c r="D87" s="54" t="n">
        <x:v>692.2</x:v>
      </x:c>
      <x:c r="E87" s="54" t="n">
        <x:v>616</x:v>
      </x:c>
      <x:c r="F87" s="54" t="n">
        <x:v>20</x:v>
      </x:c>
      <x:c r="G87" s="55" t="n">
        <x:v>0</x:v>
      </x:c>
      <x:c r="H87" s="55" t="n">
        <x:v>150</x:v>
      </x:c>
      <x:c r="I87" s="65" t="n">
        <x:f>(D87+E87+(G87*F87))*PI()</x:f>
        <x:v>4109.831509426168</x:v>
      </x:c>
      <x:c r="J87" s="66" t="n">
        <x:f>I87/$W$4</x:f>
        <x:v>41.09831509426168</x:v>
      </x:c>
      <x:c r="K87" s="250" t="n">
        <x:f>$W$6*J87</x:f>
        <x:v>4566.479454917964</x:v>
      </x:c>
      <x:c r="L87" s="250" t="n">
        <x:f>J87*$W$5</x:f>
        <x:v>25508.354235171748</x:v>
      </x:c>
      <x:c r="N87" s="26" t="n"/>
      <x:c r="O87" s="22" t="n"/>
      <x:c r="P87" s="22" t="n"/>
      <x:c r="Q87" s="22" t="n"/>
      <x:c r="R87" s="114" t="n"/>
    </x:row>
    <x:row r="88" s="117" customFormat="1" ht="15.75" customHeight="1">
      <x:c r="A88" s="68" t="str">
        <x:f>CONCATENATE(B88,H88," ",C88)</x:f>
        <x:v>FF150 28"</x:v>
      </x:c>
      <x:c r="B88" s="32" t="inlineStr">
        <x:is>
          <x:t xml:space="preserve">FF</x:t>
        </x:is>
      </x:c>
      <x:c r="C88" s="54" t="inlineStr">
        <x:is>
          <x:t xml:space="preserve">28"</x:t>
        </x:is>
      </x:c>
      <x:c r="D88" s="54" t="n">
        <x:v>927</x:v>
      </x:c>
      <x:c r="E88" s="57" t="n">
        <x:v>712</x:v>
      </x:c>
      <x:c r="F88" s="54" t="n">
        <x:v>28</x:v>
      </x:c>
      <x:c r="G88" s="55" t="n">
        <x:f>(1+(3/8))*25.4</x:f>
        <x:v>34.925</x:v>
      </x:c>
      <x:c r="H88" s="55" t="n">
        <x:v>150</x:v>
      </x:c>
      <x:c r="I88" s="65" t="n">
        <x:f>(D88+E88+(G88*F88))*PI()</x:f>
        <x:v>8221.233815179128</x:v>
      </x:c>
      <x:c r="J88" s="66" t="n">
        <x:f>I88/$W$4</x:f>
        <x:v>82.21233815179129</x:v>
      </x:c>
      <x:c r="K88" s="250" t="n">
        <x:f>$W$6*J88</x:f>
        <x:v>9134.704239087921</x:v>
      </x:c>
      <x:c r="L88" s="250" t="n">
        <x:f>J88*$W$5</x:f>
        <x:v>51026.45787954512</x:v>
      </x:c>
      <x:c r="N88" s="27" t="n"/>
      <x:c r="O88" s="23" t="n"/>
      <x:c r="P88" s="23" t="n"/>
      <x:c r="Q88" s="23" t="n"/>
      <x:c r="R88" s="115" t="n"/>
    </x:row>
    <x:row r="89" s="117" customFormat="1" ht="15" customHeight="1">
      <x:c r="N89" s="28" t="n"/>
      <x:c r="O89" s="29" t="n"/>
      <x:c r="P89" s="29" t="n"/>
      <x:c r="Q89" s="29" t="n"/>
      <x:c r="R89" s="116" t="n"/>
    </x:row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</x:sheetData>
  <x:pageMargins left="0.7" right="0.7" top="0.75" bottom="0.75" header="0.3" footer="0.3"/>
  <x:drawing xmlns:r="http://schemas.openxmlformats.org/officeDocument/2006/relationships" r:id="R9229c04dfc3d4d25"/>
</x:worksheet>
</file>

<file path=xl/worksheets/sheet4.xml><?xml version="1.0" encoding="utf-8"?>
<x:worksheet xmlns:x="http://schemas.openxmlformats.org/spreadsheetml/2006/main">
  <x:sheetFormatPr baseColWidth="10" defaultRowHeight="14.25"/>
  <x:cols>
    <x:col min="2" max="2" width="14.875" style="117" customWidth="1"/>
    <x:col min="3" max="3" width="15" style="117" customWidth="1"/>
    <x:col min="4" max="4" width="46.5" style="117" customWidth="1"/>
    <x:col min="5" max="5" width="11.5" style="117" customWidth="1"/>
    <x:col min="6" max="6" width="13.375" style="117" customWidth="1"/>
    <x:col min="7" max="8" width="11.5" style="117" customWidth="1"/>
    <x:col min="9" max="9" width="11.5" style="1" customWidth="1"/>
    <x:col min="10" max="10" width="11.5" style="117" customWidth="1"/>
    <x:col min="12" max="12" width="12.5" style="117" customWidth="1"/>
    <x:col min="17" max="17" width="12.5" style="117" customWidth="1"/>
  </x:cols>
  <x:sheetData>
    <x:row r="4" s="117" customFormat="1" ht="15" customHeight="1">
      <x:c r="B4" s="159" t="inlineStr">
        <x:is>
          <x:t xml:space="preserve">Proveedor</x:t>
        </x:is>
      </x:c>
      <x:c r="C4" s="159" t="inlineStr">
        <x:is>
          <x:t xml:space="preserve">codigo</x:t>
        </x:is>
      </x:c>
      <x:c r="D4" s="159" t="inlineStr">
        <x:is>
          <x:t xml:space="preserve">Plancha</x:t>
        </x:is>
      </x:c>
      <x:c r="E4" s="159" t="inlineStr">
        <x:is>
          <x:t xml:space="preserve">Inventario</x:t>
        </x:is>
      </x:c>
      <x:c r="F4" s="159" t="inlineStr">
        <x:is>
          <x:t xml:space="preserve">Costo Unitario</x:t>
        </x:is>
      </x:c>
      <x:c r="G4" s="159" t="inlineStr">
        <x:is>
          <x:t xml:space="preserve">L</x:t>
        </x:is>
      </x:c>
      <x:c r="H4" s="159" t="inlineStr">
        <x:is>
          <x:t xml:space="preserve">W</x:t>
        </x:is>
      </x:c>
      <x:c r="I4" s="13" t="inlineStr">
        <x:is>
          <x:t xml:space="preserve">Factor</x:t>
        </x:is>
      </x:c>
      <x:c r="J4" s="159" t="inlineStr">
        <x:is>
          <x:t xml:space="preserve">P $Venta</x:t>
        </x:is>
      </x:c>
      <x:c r="K4" s="13" t="inlineStr">
        <x:is>
          <x:t xml:space="preserve">Planchas</x:t>
        </x:is>
      </x:c>
      <x:c r="L4" s="159" t="inlineStr">
        <x:is>
          <x:t xml:space="preserve">Total</x:t>
        </x:is>
      </x:c>
    </x:row>
    <x:row r="5" s="117" customFormat="1" ht="15" customHeight="1">
      <x:c r="B5" s="160" t="inlineStr">
        <x:is>
          <x:t xml:space="preserve">TRIANGLE</x:t>
        </x:is>
      </x:c>
      <x:c r="C5" s="160" t="inlineStr">
        <x:is>
          <x:t xml:space="preserve">DUR790001001</x:t>
        </x:is>
      </x:c>
      <x:c r="D5" s="160" t="inlineStr">
        <x:is>
          <x:t xml:space="preserve">DURLON 7900 1/8</x:t>
        </x:is>
      </x:c>
      <x:c r="E5" s="164" t="n">
        <x:v>83</x:v>
      </x:c>
      <x:c r="F5" s="274" t="n">
        <x:f>LISTADO!AI2</x:f>
        <x:v>133083.30290534</x:v>
      </x:c>
      <x:c r="G5" s="164" t="n">
        <x:v>1524</x:v>
      </x:c>
      <x:c r="H5" s="164" t="n">
        <x:v>1600</x:v>
      </x:c>
      <x:c r="I5" s="164" t="n">
        <x:v>2</x:v>
      </x:c>
      <x:c r="J5" s="275" t="n">
        <x:f>Tabla2[[#This Row],[Costo Unitario]]*Tabla2[[#This Row],[Factor]]</x:f>
        <x:v>266166.60581068</x:v>
      </x:c>
      <x:c r="K5" s="164" t="n">
        <x:v>5</x:v>
      </x:c>
      <x:c r="L5" s="276" t="n">
        <x:f>Tabla2[[#This Row],[P $Venta]]*Tabla2[[#This Row],[Planchas]]</x:f>
        <x:v>1330833.0290534</x:v>
      </x:c>
    </x:row>
    <x:row r="6" s="117" customFormat="1" ht="15" customHeight="1">
      <x:c r="B6" s="193" t="inlineStr">
        <x:is>
          <x:t xml:space="preserve">TRIANGLE</x:t>
        </x:is>
      </x:c>
      <x:c r="C6" s="193" t="inlineStr">
        <x:is>
          <x:t xml:space="preserve">DUR790001002</x:t>
        </x:is>
      </x:c>
      <x:c r="D6" s="193" t="inlineStr">
        <x:is>
          <x:t xml:space="preserve">DURLON 7900 1/16</x:t>
        </x:is>
      </x:c>
      <x:c r="E6" s="191" t="n">
        <x:v>8</x:v>
      </x:c>
      <x:c r="F6" s="277" t="n">
        <x:f>LISTADO!AI3</x:f>
        <x:v>58253.17847308</x:v>
      </x:c>
      <x:c r="G6" s="191" t="n">
        <x:v>1524</x:v>
      </x:c>
      <x:c r="H6" s="191" t="n">
        <x:v>1600</x:v>
      </x:c>
      <x:c r="I6" s="191" t="n">
        <x:v>1.5</x:v>
      </x:c>
      <x:c r="J6" s="278" t="n">
        <x:f>Tabla2[[#This Row],[Costo Unitario]]*Tabla2[[#This Row],[Factor]]</x:f>
        <x:v>87379.76770962</x:v>
      </x:c>
      <x:c r="K6" s="191" t="n"/>
      <x:c r="L6" s="271" t="e">
        <x:f>Tabla2[[#This Row],[P $Venta]]*Tabla2[[#This Row],[Planchas]]</x:f>
        <x:v>#VALUE!</x:v>
      </x:c>
      <x:c r="O6" s="12" t="inlineStr">
        <x:is>
          <x:t xml:space="preserve">factor</x:t>
        </x:is>
      </x:c>
      <x:c r="P6" s="12" t="inlineStr">
        <x:is>
          <x:t xml:space="preserve">c/u</x:t>
        </x:is>
      </x:c>
      <x:c r="Q6" s="12" t="n">
        <x:v>30</x:v>
      </x:c>
    </x:row>
    <x:row r="7" s="117" customFormat="1" ht="15" customHeight="1">
      <x:c r="B7" s="160" t="inlineStr">
        <x:is>
          <x:t xml:space="preserve">TRIANGLE</x:t>
        </x:is>
      </x:c>
      <x:c r="C7" s="160" t="inlineStr">
        <x:is>
          <x:t xml:space="preserve">DUR850001001</x:t>
        </x:is>
      </x:c>
      <x:c r="D7" s="160" t="inlineStr">
        <x:is>
          <x:t xml:space="preserve">DURLON 8500 1/8</x:t>
        </x:is>
      </x:c>
      <x:c r="E7" s="164" t="n">
        <x:v>1</x:v>
      </x:c>
      <x:c r="F7" s="274" t="n">
        <x:f>LISTADO!AI4</x:f>
        <x:v>92842</x:v>
      </x:c>
      <x:c r="G7" s="164" t="n">
        <x:v>1524</x:v>
      </x:c>
      <x:c r="H7" s="164" t="n">
        <x:v>1600</x:v>
      </x:c>
      <x:c r="I7" s="164" t="n"/>
      <x:c r="J7" s="275" t="e">
        <x:f>Tabla2[[#This Row],[Costo Unitario]]*Tabla2[[#This Row],[Factor]]</x:f>
        <x:v>#VALUE!</x:v>
      </x:c>
      <x:c r="K7" s="164" t="n"/>
      <x:c r="L7" s="276" t="e">
        <x:f>Tabla2[[#This Row],[P $Venta]]*Tabla2[[#This Row],[Planchas]]</x:f>
        <x:v>#VALUE!</x:v>
      </x:c>
      <x:c r="O7" s="12" t="n">
        <x:v>1.5</x:v>
      </x:c>
      <x:c r="P7" s="279" t="n">
        <x:f>$F$8*O7</x:f>
        <x:v>1586195.630952375</x:v>
      </x:c>
      <x:c r="Q7" s="279" t="n">
        <x:f>P7*$Q$6</x:f>
        <x:v>47585868.928571254</x:v>
      </x:c>
    </x:row>
    <x:row r="8" s="117" customFormat="1" ht="15" customHeight="1">
      <x:c r="A8" t="n">
        <x:v>2026</x:v>
      </x:c>
      <x:c r="B8" s="193" t="inlineStr">
        <x:is>
          <x:t xml:space="preserve">TRIANGLE</x:t>
        </x:is>
      </x:c>
      <x:c r="C8" s="193" t="inlineStr">
        <x:is>
          <x:t xml:space="preserve">DUR900001001</x:t>
        </x:is>
      </x:c>
      <x:c r="D8" s="193" t="inlineStr">
        <x:is>
          <x:t xml:space="preserve">DURLON 9000 1/8</x:t>
        </x:is>
      </x:c>
      <x:c r="E8" s="191" t="n">
        <x:v>100</x:v>
      </x:c>
      <x:c r="F8" s="280" t="n">
        <x:f>LISTADO!AI5</x:f>
        <x:v>1057463.75396825</x:v>
      </x:c>
      <x:c r="G8" s="191" t="n">
        <x:v>1524</x:v>
      </x:c>
      <x:c r="H8" s="191" t="n">
        <x:v>1524</x:v>
      </x:c>
      <x:c r="I8" s="191" t="n">
        <x:v>1.5</x:v>
      </x:c>
      <x:c r="J8" s="278" t="n">
        <x:f>Tabla2[[#This Row],[Costo Unitario]]*Tabla2[[#This Row],[Factor]]</x:f>
        <x:v>1586195.630952375</x:v>
      </x:c>
      <x:c r="K8" s="191" t="n">
        <x:v>30</x:v>
      </x:c>
      <x:c r="L8" s="271" t="n">
        <x:f>Tabla2[[#This Row],[P $Venta]]*Tabla2[[#This Row],[Planchas]]</x:f>
        <x:v>47585868.928571254</x:v>
      </x:c>
      <x:c r="O8" s="12" t="n">
        <x:v>1.6</x:v>
      </x:c>
      <x:c r="P8" s="279" t="n">
        <x:f>$F$8*O8</x:f>
        <x:v>1691942.0063492001</x:v>
      </x:c>
      <x:c r="Q8" s="279" t="n">
        <x:f>P8*$Q$6</x:f>
        <x:v>50758260.19047601</x:v>
      </x:c>
    </x:row>
    <x:row r="9" s="117" customFormat="1" ht="15" customHeight="1">
      <x:c r="B9" s="160" t="inlineStr">
        <x:is>
          <x:t xml:space="preserve">TRIANGLE</x:t>
        </x:is>
      </x:c>
      <x:c r="C9" s="160" t="inlineStr">
        <x:is>
          <x:t xml:space="preserve">DUR900001002</x:t>
        </x:is>
      </x:c>
      <x:c r="D9" s="160" t="inlineStr">
        <x:is>
          <x:t xml:space="preserve">DURLON 9000 1/16</x:t>
        </x:is>
      </x:c>
      <x:c r="E9" s="164" t="n">
        <x:v>38</x:v>
      </x:c>
      <x:c r="F9" s="274" t="n">
        <x:f>LISTADO!AI6</x:f>
        <x:v>357535.29863269</x:v>
      </x:c>
      <x:c r="G9" s="164" t="n">
        <x:v>1524</x:v>
      </x:c>
      <x:c r="H9" s="164" t="n">
        <x:v>1524</x:v>
      </x:c>
      <x:c r="I9" s="177" t="n">
        <x:v>3.51</x:v>
      </x:c>
      <x:c r="J9" s="275" t="n">
        <x:f>Tabla2[[#This Row],[Costo Unitario]]*Tabla2[[#This Row],[Factor]]</x:f>
        <x:v>1254948.8982007417</x:v>
      </x:c>
      <x:c r="K9" s="170" t="n">
        <x:v>1</x:v>
      </x:c>
      <x:c r="L9" s="275" t="n">
        <x:f>Tabla2[[#This Row],[P $Venta]]*Tabla2[[#This Row],[Planchas]]</x:f>
        <x:v>1254948.8982007417</x:v>
      </x:c>
      <x:c r="O9" s="191" t="n">
        <x:v>1.7</x:v>
      </x:c>
      <x:c r="P9" s="281" t="n">
        <x:f>$F$8*O9</x:f>
        <x:v>1797688.381746025</x:v>
      </x:c>
      <x:c r="Q9" s="281" t="n">
        <x:f>P9*$Q$6</x:f>
        <x:v>53930651.452380754</x:v>
      </x:c>
    </x:row>
    <x:row r="10" s="117" customFormat="1" ht="15" customHeight="1">
      <x:c r="B10" s="193" t="inlineStr">
        <x:is>
          <x:t xml:space="preserve">TRIANGLE</x:t>
        </x:is>
      </x:c>
      <x:c r="C10" s="193" t="inlineStr">
        <x:is>
          <x:t xml:space="preserve">DUR900001003</x:t>
        </x:is>
      </x:c>
      <x:c r="D10" s="193" t="inlineStr">
        <x:is>
          <x:t xml:space="preserve">DURLON 9000 3/32</x:t>
        </x:is>
      </x:c>
      <x:c r="E10" s="191" t="n">
        <x:v>0</x:v>
      </x:c>
      <x:c r="F10" s="277" t="n">
        <x:f>LISTADO!AI7</x:f>
        <x:v>0</x:v>
      </x:c>
      <x:c r="G10" s="191" t="n">
        <x:v>1524</x:v>
      </x:c>
      <x:c r="H10" s="191" t="n">
        <x:v>1524</x:v>
      </x:c>
      <x:c r="I10" s="191" t="n"/>
      <x:c r="J10" s="278" t="e">
        <x:f>Tabla2[[#This Row],[Costo Unitario]]*Tabla2[[#This Row],[Factor]]</x:f>
        <x:v>#VALUE!</x:v>
      </x:c>
      <x:c r="K10" s="191" t="n"/>
      <x:c r="L10" s="271" t="e">
        <x:f>Tabla2[[#This Row],[P $Venta]]*Tabla2[[#This Row],[Planchas]]</x:f>
        <x:v>#VALUE!</x:v>
      </x:c>
      <x:c r="O10" s="191" t="n">
        <x:v>1.8</x:v>
      </x:c>
      <x:c r="P10" s="281" t="n">
        <x:f>$F$8*O10</x:f>
        <x:v>1903434.75714285</x:v>
      </x:c>
      <x:c r="Q10" s="281" t="n">
        <x:f>P10*$Q$6</x:f>
        <x:v>57103042.7142855</x:v>
      </x:c>
    </x:row>
    <x:row r="11" s="117" customFormat="1" ht="15" customHeight="1">
      <x:c r="B11" s="160" t="inlineStr">
        <x:is>
          <x:t xml:space="preserve">TRIANGLE</x:t>
        </x:is>
      </x:c>
      <x:c r="C11" s="160" t="inlineStr">
        <x:is>
          <x:t xml:space="preserve">DUR900001004</x:t>
        </x:is>
      </x:c>
      <x:c r="D11" s="160" t="inlineStr">
        <x:is>
          <x:t xml:space="preserve">DURLON 9000 1/32</x:t>
        </x:is>
      </x:c>
      <x:c r="E11" s="164" t="n">
        <x:v>0</x:v>
      </x:c>
      <x:c r="F11" s="274" t="n">
        <x:f>LISTADO!AI8</x:f>
        <x:v>0</x:v>
      </x:c>
      <x:c r="G11" s="164" t="n">
        <x:v>1524</x:v>
      </x:c>
      <x:c r="H11" s="164" t="n">
        <x:v>1524</x:v>
      </x:c>
      <x:c r="I11" s="164" t="n"/>
      <x:c r="J11" s="275" t="e">
        <x:f>Tabla2[[#This Row],[Costo Unitario]]*Tabla2[[#This Row],[Factor]]</x:f>
        <x:v>#VALUE!</x:v>
      </x:c>
      <x:c r="K11" s="164" t="n"/>
      <x:c r="L11" s="276" t="e">
        <x:f>Tabla2[[#This Row],[P $Venta]]*Tabla2[[#This Row],[Planchas]]</x:f>
        <x:v>#VALUE!</x:v>
      </x:c>
    </x:row>
    <x:row r="12" s="117" customFormat="1" ht="15" customHeight="1">
      <x:c r="B12" s="193" t="inlineStr">
        <x:is>
          <x:t xml:space="preserve">TRIANGLE</x:t>
        </x:is>
      </x:c>
      <x:c r="C12" s="193" t="inlineStr">
        <x:is>
          <x:t xml:space="preserve">DUR900001005</x:t>
        </x:is>
      </x:c>
      <x:c r="D12" s="193" t="inlineStr">
        <x:is>
          <x:t xml:space="preserve">DURLON 9007 1/8</x:t>
        </x:is>
      </x:c>
      <x:c r="E12" s="191" t="n">
        <x:v>98</x:v>
      </x:c>
      <x:c r="F12" s="277" t="n">
        <x:f>LISTADO!AI9</x:f>
        <x:v>509355.19426505</x:v>
      </x:c>
      <x:c r="G12" s="191" t="n">
        <x:v>1524</x:v>
      </x:c>
      <x:c r="H12" s="191" t="n">
        <x:v>1524</x:v>
      </x:c>
      <x:c r="I12" s="191" t="n"/>
      <x:c r="J12" s="278" t="e">
        <x:f>Tabla2[[#This Row],[Costo Unitario]]*Tabla2[[#This Row],[Factor]]</x:f>
        <x:v>#VALUE!</x:v>
      </x:c>
      <x:c r="K12" s="191" t="n"/>
      <x:c r="L12" s="271" t="e">
        <x:f>Tabla2[[#This Row],[P $Venta]]*Tabla2[[#This Row],[Planchas]]</x:f>
        <x:v>#VALUE!</x:v>
      </x:c>
    </x:row>
    <x:row r="13" s="117" customFormat="1" ht="15" customHeight="1">
      <x:c r="B13" s="160" t="inlineStr">
        <x:is>
          <x:t xml:space="preserve">CHINA</x:t>
        </x:is>
      </x:c>
      <x:c r="C13" s="160" t="inlineStr">
        <x:is>
          <x:t xml:space="preserve">LONPAQ001001</x:t>
        </x:is>
      </x:c>
      <x:c r="D13" s="160" t="inlineStr">
        <x:is>
          <x:t xml:space="preserve">PTFE EXP 1/8</x:t>
        </x:is>
      </x:c>
      <x:c r="E13" s="164" t="n">
        <x:v>78</x:v>
      </x:c>
      <x:c r="F13" s="274" t="n">
        <x:f>LISTADO!AI10</x:f>
        <x:v>172404.79512761</x:v>
      </x:c>
      <x:c r="G13" s="164" t="n">
        <x:v>1524</x:v>
      </x:c>
      <x:c r="H13" s="164" t="n">
        <x:v>1524</x:v>
      </x:c>
      <x:c r="I13" s="164" t="n">
        <x:v>4.92</x:v>
      </x:c>
      <x:c r="J13" s="275" t="n">
        <x:f>Tabla2[[#This Row],[Costo Unitario]]*Tabla2[[#This Row],[Factor]]</x:f>
        <x:v>848231.5920278413</x:v>
      </x:c>
      <x:c r="K13" s="164" t="n">
        <x:v>2</x:v>
      </x:c>
      <x:c r="L13" s="276" t="n">
        <x:f>Tabla2[[#This Row],[P $Venta]]*Tabla2[[#This Row],[Planchas]]</x:f>
        <x:v>1696463.1840556825</x:v>
      </x:c>
    </x:row>
    <x:row r="14" s="117" customFormat="1" ht="15" customHeight="1">
      <x:c r="B14" s="193" t="inlineStr">
        <x:is>
          <x:t xml:space="preserve">CHINA</x:t>
        </x:is>
      </x:c>
      <x:c r="C14" s="193" t="inlineStr">
        <x:is>
          <x:t xml:space="preserve">LONPAQ001010</x:t>
        </x:is>
      </x:c>
      <x:c r="D14" s="193" t="inlineStr">
        <x:is>
          <x:t xml:space="preserve">PTFE EXP 1/16</x:t>
        </x:is>
      </x:c>
      <x:c r="E14" s="191" t="n">
        <x:v>17</x:v>
      </x:c>
      <x:c r="F14" s="277" t="n">
        <x:f>LISTADO!AI11</x:f>
        <x:v>128930</x:v>
      </x:c>
      <x:c r="G14" s="191" t="n">
        <x:v>1524</x:v>
      </x:c>
      <x:c r="H14" s="191" t="n">
        <x:v>1524</x:v>
      </x:c>
      <x:c r="I14" s="191" t="n"/>
      <x:c r="J14" s="278" t="e">
        <x:f>Tabla2[[#This Row],[Costo Unitario]]*Tabla2[[#This Row],[Factor]]</x:f>
        <x:v>#VALUE!</x:v>
      </x:c>
      <x:c r="K14" s="191" t="n"/>
      <x:c r="L14" s="271" t="e">
        <x:f>Tabla2[[#This Row],[P $Venta]]*Tabla2[[#This Row],[Planchas]]</x:f>
        <x:v>#VALUE!</x:v>
      </x:c>
    </x:row>
    <x:row r="15" s="117" customFormat="1" ht="15" customHeight="1">
      <x:c r="B15" s="160" t="inlineStr">
        <x:is>
          <x:t xml:space="preserve">CHINA</x:t>
        </x:is>
      </x:c>
      <x:c r="C15" s="160" t="inlineStr">
        <x:is>
          <x:t xml:space="preserve">LONPAQ001011</x:t>
        </x:is>
      </x:c>
      <x:c r="D15" s="160" t="inlineStr">
        <x:is>
          <x:t xml:space="preserve">PTFE EXP 1/4</x:t>
        </x:is>
      </x:c>
      <x:c r="E15" s="164" t="n">
        <x:v>4</x:v>
      </x:c>
      <x:c r="F15" s="274" t="n">
        <x:f>LISTADO!AI12</x:f>
        <x:v>414514</x:v>
      </x:c>
      <x:c r="G15" s="164" t="n">
        <x:v>1524</x:v>
      </x:c>
      <x:c r="H15" s="164" t="n">
        <x:v>1524</x:v>
      </x:c>
      <x:c r="I15" s="164" t="n"/>
      <x:c r="J15" s="275" t="e">
        <x:f>Tabla2[[#This Row],[Costo Unitario]]*Tabla2[[#This Row],[Factor]]</x:f>
        <x:v>#VALUE!</x:v>
      </x:c>
      <x:c r="K15" s="164" t="n"/>
      <x:c r="L15" s="276" t="e">
        <x:f>Tabla2[[#This Row],[P $Venta]]*Tabla2[[#This Row],[Planchas]]</x:f>
        <x:v>#VALUE!</x:v>
      </x:c>
    </x:row>
    <x:row r="16" s="117" customFormat="1" ht="15" customHeight="1">
      <x:c r="B16" s="163" t="inlineStr">
        <x:is>
          <x:t xml:space="preserve">CHINA</x:t>
        </x:is>
      </x:c>
      <x:c r="C16" s="163" t="inlineStr">
        <x:is>
          <x:t xml:space="preserve">PDTSEF001027</x:t>
        </x:is>
      </x:c>
      <x:c r="D16" s="163" t="inlineStr">
        <x:is>
          <x:t xml:space="preserve">CAUCHO EPDM ESPESOR 1/8” (3.2MM) ANCHO 1MT</x:t>
        </x:is>
      </x:c>
      <x:c r="E16" s="165" t="n">
        <x:v>103</x:v>
      </x:c>
      <x:c r="F16" s="282" t="n">
        <x:f>LISTADO!AI13</x:f>
        <x:v>11028.62424824</x:v>
      </x:c>
      <x:c r="G16" s="165" t="n">
        <x:v>1000</x:v>
      </x:c>
      <x:c r="H16" s="165" t="n">
        <x:v>1000</x:v>
      </x:c>
      <x:c r="I16" s="165" t="n"/>
      <x:c r="J16" s="278" t="e">
        <x:f>Tabla2[[#This Row],[Costo Unitario]]*Tabla2[[#This Row],[Factor]]</x:f>
        <x:v>#VALUE!</x:v>
      </x:c>
      <x:c r="K16" s="165" t="n"/>
      <x:c r="L16" s="283" t="e">
        <x:f>Tabla2[[#This Row],[P $Venta]]*Tabla2[[#This Row],[Planchas]]</x:f>
        <x:v>#VALUE!</x:v>
      </x:c>
    </x:row>
    <x:row r="17" s="117" customFormat="1" ht="15" customHeight="1">
      <x:c r="B17" s="162" t="inlineStr">
        <x:is>
          <x:t xml:space="preserve">NACIONAL</x:t>
        </x:is>
      </x:c>
      <x:c r="C17" s="160" t="inlineStr">
        <x:is>
          <x:t xml:space="preserve">EMPGENPLA001</x:t>
        </x:is>
      </x:c>
      <x:c r="D17" s="160" t="inlineStr">
        <x:is>
          <x:t xml:space="preserve">PLANCHA VITON ROLLO 1000MM X 3MM</x:t>
        </x:is>
      </x:c>
      <x:c r="E17" s="164" t="n">
        <x:v>17</x:v>
      </x:c>
      <x:c r="F17" s="274" t="n">
        <x:v>160875</x:v>
      </x:c>
      <x:c r="G17" s="164" t="n">
        <x:v>1000</x:v>
      </x:c>
      <x:c r="H17" s="164" t="n">
        <x:v>1000</x:v>
      </x:c>
      <x:c r="I17" s="177" t="n">
        <x:v>4.94173</x:v>
      </x:c>
      <x:c r="J17" s="275" t="n">
        <x:f>Tabla2[[#This Row],[Costo Unitario]]*Tabla2[[#This Row],[Factor]]</x:f>
        <x:v>795000.81375</x:v>
      </x:c>
      <x:c r="K17" s="177" t="n">
        <x:v>2</x:v>
      </x:c>
      <x:c r="L17" s="284" t="n">
        <x:f>Tabla2[[#This Row],[P $Venta]]*Tabla2[[#This Row],[Planchas]]</x:f>
        <x:v>1590001.6275</x:v>
      </x:c>
    </x:row>
    <x:row r="18" s="117" customFormat="1" ht="15" customHeight="1">
      <x:c r="B18" s="175" t="n"/>
      <x:c r="C18" s="8" t="inlineStr">
        <x:is>
          <x:t xml:space="preserve">EMPGENPLA003</x:t>
        </x:is>
      </x:c>
      <x:c r="D18" s="8" t="inlineStr">
        <x:is>
          <x:t xml:space="preserve">PLANCHA VITON ROLLO 1000MM X 6.5MM (1/4)</x:t>
        </x:is>
      </x:c>
      <x:c r="E18" s="191" t="n"/>
      <x:c r="F18" s="277" t="n">
        <x:v>360000</x:v>
      </x:c>
      <x:c r="G18" s="191" t="n">
        <x:v>1000</x:v>
      </x:c>
      <x:c r="H18" s="191" t="n">
        <x:v>1000</x:v>
      </x:c>
      <x:c r="I18" s="191" t="n">
        <x:v>2.20834</x:v>
      </x:c>
      <x:c r="J18" s="278" t="n">
        <x:f>Tabla2[[#This Row],[Costo Unitario]]*Tabla2[[#This Row],[Factor]]</x:f>
        <x:v>795002.4</x:v>
      </x:c>
      <x:c r="K18" s="191" t="n">
        <x:v>2</x:v>
      </x:c>
      <x:c r="L18" s="271" t="n">
        <x:f>Tabla2[[#This Row],[P $Venta]]*Tabla2[[#This Row],[Planchas]]</x:f>
        <x:v>1590004.8</x:v>
      </x:c>
    </x:row>
    <x:row r="19" s="117" customFormat="1" ht="15" customHeight="1">
      <x:c r="B19" s="160" t="inlineStr">
        <x:is>
          <x:t xml:space="preserve">TRIANGLE</x:t>
        </x:is>
      </x:c>
      <x:c r="C19" s="194" t="inlineStr">
        <x:is>
          <x:t xml:space="preserve">DUR902001001</x:t>
        </x:is>
      </x:c>
      <x:c r="D19" s="194" t="inlineStr">
        <x:is>
          <x:t xml:space="preserve">PLA DE DURLON9002 1/8 X60X60</x:t>
        </x:is>
      </x:c>
      <x:c r="E19" s="195" t="n"/>
      <x:c r="F19" s="285" t="n">
        <x:f>LISTADO!AI31</x:f>
        <x:v>466477</x:v>
      </x:c>
      <x:c r="G19" s="164" t="n">
        <x:v>1524</x:v>
      </x:c>
      <x:c r="H19" s="164" t="n">
        <x:v>1524</x:v>
      </x:c>
      <x:c r="I19" s="195" t="n">
        <x:v>1</x:v>
      </x:c>
      <x:c r="J19" s="275" t="n">
        <x:f>Tabla2[[#This Row],[Costo Unitario]]*Tabla2[[#This Row],[Factor]]</x:f>
        <x:v>466477</x:v>
      </x:c>
      <x:c r="K19" s="195" t="n"/>
      <x:c r="L19" s="286" t="e">
        <x:f>Tabla2[[#This Row],[P $Venta]]*Tabla2[[#This Row],[Planchas]]</x:f>
        <x:v>#VALUE!</x:v>
      </x:c>
    </x:row>
    <x:row r="20" s="117" customFormat="1" ht="15" customHeight="1">
      <x:c r="B20" s="163" t="inlineStr">
        <x:is>
          <x:t xml:space="preserve">TRIANGLE</x:t>
        </x:is>
      </x:c>
      <x:c r="C20" s="163" t="inlineStr">
        <x:is>
          <x:t xml:space="preserve">DUR902001001</x:t>
        </x:is>
      </x:c>
      <x:c r="D20" s="163" t="inlineStr">
        <x:is>
          <x:t xml:space="preserve">PLA DE DURLON9002 1/8 X60X60</x:t>
        </x:is>
      </x:c>
      <x:c r="E20" s="165" t="n"/>
      <x:c r="F20" s="282" t="n">
        <x:v>1057464</x:v>
      </x:c>
      <x:c r="G20" s="165" t="n">
        <x:v>1524</x:v>
      </x:c>
      <x:c r="H20" s="165" t="n">
        <x:v>1524</x:v>
      </x:c>
      <x:c r="I20" s="165" t="n">
        <x:v>1.5</x:v>
      </x:c>
      <x:c r="J20" s="287" t="n">
        <x:f>Tabla2[[#This Row],[Costo Unitario]]*Tabla2[[#This Row],[Factor]]</x:f>
        <x:v>1586196</x:v>
      </x:c>
      <x:c r="K20" s="165" t="n"/>
      <x:c r="L20" s="283" t="e">
        <x:f>Tabla2[[#This Row],[P $Venta]]*Tabla2[[#This Row],[Planchas]]</x:f>
        <x:v>#VALUE!</x:v>
      </x:c>
    </x:row>
    <x:row r="22">
      <x:c r="K22" t="n">
        <x:v>0</x:v>
      </x:c>
    </x:row>
    <x:row r="23">
      <x:c r="J23" s="253" t="n">
        <x:v>1300000</x:v>
      </x:c>
    </x:row>
    <x:row r="24">
      <x:c r="J24" s="257" t="n">
        <x:f>J8-J23</x:f>
        <x:v>286195.630952375</x:v>
      </x:c>
    </x:row>
    <x:row r="26">
      <x:c r="H26" t="n">
        <x:v>1.7</x:v>
      </x:c>
      <x:c r="I26" s="288" t="n">
        <x:f>F8*H26</x:f>
        <x:v>1797688.381746025</x:v>
      </x:c>
      <x:c r="J26" s="253" t="n">
        <x:f>J8*5%</x:f>
        <x:v>79309.78154761875</x:v>
      </x:c>
    </x:row>
    <x:row r="27">
      <x:c r="H27" t="n">
        <x:v>1.65</x:v>
      </x:c>
      <x:c r="I27" s="288" t="n">
        <x:f>$F$8*H27</x:f>
        <x:v>1744815.1940476124</x:v>
      </x:c>
      <x:c r="J27" s="257" t="n">
        <x:f>J8-J26</x:f>
        <x:v>1506885.8494047562</x:v>
      </x:c>
    </x:row>
  </x:sheetData>
  <x:pageMargins left="0.7" right="0.7" top="0.75" bottom="0.75" header="0.3" footer="0.3"/>
  <x:drawing xmlns:r="http://schemas.openxmlformats.org/officeDocument/2006/relationships" r:id="Rb6e2878eb3244999"/>
  <x:tableParts count="1">
    <x:tablePart xmlns:r="http://schemas.openxmlformats.org/officeDocument/2006/relationships" r:id="R2ec0f1e7c7024a9e"/>
  </x:tableParts>
</x:worksheet>
</file>

<file path=xl/worksheets/sheet5.xml><?xml version="1.0" encoding="utf-8"?>
<x:worksheet xmlns:x="http://schemas.openxmlformats.org/spreadsheetml/2006/main">
  <x:sheetFormatPr baseColWidth="10" defaultRowHeight="14.25"/>
  <x:cols>
    <x:col min="1" max="1" width="17.375" style="117" customWidth="1"/>
    <x:col min="2" max="2" width="66.5" style="117" customWidth="1"/>
    <x:col min="9" max="10" width="11.25" style="117" customWidth="1"/>
    <x:col min="11" max="11" width="13.5" style="117" customWidth="1"/>
  </x:cols>
  <x:sheetData>
    <x:row r="1">
      <x:c r="A1" s="184" t="inlineStr">
        <x:is>
          <x:t xml:space="preserve">Periodo del</x:t>
        </x:is>
      </x:c>
      <x:c r="B1" s="184" t="inlineStr">
        <x:is>
          <x:t xml:space="preserve">01/12/2025 al 23/12/2025</x:t>
        </x:is>
      </x:c>
      <x:c r="C1" s="184" t="n"/>
      <x:c r="D1" s="184" t="n"/>
      <x:c r="E1" s="184" t="n"/>
      <x:c r="F1" s="184" t="n"/>
      <x:c r="G1" s="184" t="n"/>
      <x:c r="H1" s="184" t="n"/>
      <x:c r="I1" s="184" t="n"/>
      <x:c r="J1" s="184" t="n"/>
      <x:c r="K1" s="184" t="n"/>
    </x:row>
    <x:row r="2">
      <x:c r="A2" s="184" t="inlineStr">
        <x:is>
          <x:t xml:space="preserve">Código</x:t>
        </x:is>
      </x:c>
      <x:c r="B2" s="184" t="inlineStr">
        <x:is>
          <x:t xml:space="preserve">Descripción</x:t>
        </x:is>
      </x:c>
      <x:c r="C2" s="184" t="inlineStr">
        <x:is>
          <x:t xml:space="preserve">Saldo Anterior</x:t>
        </x:is>
      </x:c>
      <x:c r="D2" s="184" t="inlineStr">
        <x:is>
          <x:t xml:space="preserve">Entrada</x:t>
        </x:is>
      </x:c>
      <x:c r="E2" s="184" t="inlineStr">
        <x:is>
          <x:t xml:space="preserve">Salida</x:t>
        </x:is>
      </x:c>
      <x:c r="F2" s="184" t="inlineStr">
        <x:is>
          <x:t xml:space="preserve">Saldo</x:t>
        </x:is>
      </x:c>
      <x:c r="G2" s="184" t="inlineStr">
        <x:is>
          <x:t xml:space="preserve">SaldoAnterior</x:t>
        </x:is>
      </x:c>
      <x:c r="H2" s="193" t="inlineStr">
        <x:is>
          <x:t xml:space="preserve">Entrada</x:t>
        </x:is>
      </x:c>
      <x:c r="I2" s="185" t="inlineStr">
        <x:is>
          <x:t xml:space="preserve">Salida</x:t>
        </x:is>
      </x:c>
      <x:c r="J2" s="185" t="inlineStr">
        <x:is>
          <x:t xml:space="preserve">Saldo</x:t>
        </x:is>
      </x:c>
      <x:c r="K2" s="185" t="inlineStr">
        <x:is>
          <x:t xml:space="preserve">Costo Unitario</x:t>
        </x:is>
      </x:c>
    </x:row>
    <x:row r="3" s="117" customFormat="1" hidden="1">
      <x:c r="A3" s="184" t="inlineStr">
        <x:is>
          <x:t xml:space="preserve">'111222333444</x:t>
        </x:is>
      </x:c>
      <x:c r="B3" s="184" t="inlineStr">
        <x:is>
          <x:t xml:space="preserve">ARTICULO</x:t>
        </x:is>
      </x:c>
      <x:c r="C3" s="184" t="n">
        <x:v>0</x:v>
      </x:c>
      <x:c r="D3" s="184" t="n">
        <x:v>0</x:v>
      </x:c>
      <x:c r="E3" s="184" t="n">
        <x:v>0</x:v>
      </x:c>
      <x:c r="F3" s="184" t="n">
        <x:v>0</x:v>
      </x:c>
      <x:c r="G3" s="184" t="n">
        <x:v>0</x:v>
      </x:c>
      <x:c r="H3" s="193" t="n">
        <x:v>0</x:v>
      </x:c>
      <x:c r="I3" s="185" t="n">
        <x:v>0</x:v>
      </x:c>
      <x:c r="J3" s="185" t="n">
        <x:v>0</x:v>
      </x:c>
      <x:c r="K3" s="289" t="n">
        <x:v>10000</x:v>
      </x:c>
    </x:row>
    <x:row r="4" s="117" customFormat="1" hidden="1">
      <x:c r="A4" s="184" t="inlineStr">
        <x:is>
          <x:t xml:space="preserve">ACFMAQ001001</x:t>
        </x:is>
      </x:c>
      <x:c r="B4" s="184" t="inlineStr">
        <x:is>
          <x:t xml:space="preserve">MODULO DE GRANALLADO FB32-ROBOT - COLECTOR DE POLVO CON PANEL ELECTRICO SERIE 846 C/CABLES 100</x:t>
        </x:is>
      </x:c>
      <x:c r="C4" s="184" t="n">
        <x:v>0</x:v>
      </x:c>
      <x:c r="D4" s="184" t="n">
        <x:v>0</x:v>
      </x:c>
      <x:c r="E4" s="184" t="n">
        <x:v>0</x:v>
      </x:c>
      <x:c r="F4" s="184" t="n">
        <x:v>0</x:v>
      </x:c>
      <x:c r="G4" s="184" t="n">
        <x:v>0</x:v>
      </x:c>
      <x:c r="H4" s="193" t="n">
        <x:v>0</x:v>
      </x:c>
      <x:c r="I4" s="185" t="n">
        <x:v>0</x:v>
      </x:c>
      <x:c r="J4" s="185" t="n">
        <x:v>0</x:v>
      </x:c>
      <x:c r="K4" s="289" t="n">
        <x:v>0</x:v>
      </x:c>
    </x:row>
    <x:row r="5" s="117" customFormat="1" hidden="1">
      <x:c r="A5" s="184" t="inlineStr">
        <x:is>
          <x:t xml:space="preserve">BACFIBTAP003</x:t>
        </x:is>
      </x:c>
      <x:c r="B5" s="184" t="inlineStr">
        <x:is>
          <x:t xml:space="preserve">BACKING TAPE 3/4" X 1/16 TCHK X 100FT ROLL -</x:t>
        </x:is>
      </x:c>
      <x:c r="C5" s="184" t="n">
        <x:v>0</x:v>
      </x:c>
      <x:c r="D5" s="184" t="n">
        <x:v>0</x:v>
      </x:c>
      <x:c r="E5" s="184" t="n">
        <x:v>0</x:v>
      </x:c>
      <x:c r="F5" s="184" t="n">
        <x:v>0</x:v>
      </x:c>
      <x:c r="G5" s="184" t="n">
        <x:v>0</x:v>
      </x:c>
      <x:c r="H5" s="193" t="n">
        <x:v>0</x:v>
      </x:c>
      <x:c r="I5" s="185" t="n">
        <x:v>0</x:v>
      </x:c>
      <x:c r="J5" s="185" t="n">
        <x:v>0</x:v>
      </x:c>
      <x:c r="K5" s="289" t="n">
        <x:v>0</x:v>
      </x:c>
    </x:row>
    <x:row r="6" s="117" customFormat="1" hidden="1">
      <x:c r="A6" s="184" t="inlineStr">
        <x:is>
          <x:t xml:space="preserve">BACFIBTAP004</x:t>
        </x:is>
      </x:c>
      <x:c r="B6" s="184" t="inlineStr">
        <x:is>
          <x:t xml:space="preserve">BACKING TAPE 1" X 1/16 TCHK X 100FT ROLL -</x:t>
        </x:is>
      </x:c>
      <x:c r="C6" s="184" t="n">
        <x:v>0</x:v>
      </x:c>
      <x:c r="D6" s="184" t="n">
        <x:v>0</x:v>
      </x:c>
      <x:c r="E6" s="184" t="n">
        <x:v>0</x:v>
      </x:c>
      <x:c r="F6" s="184" t="n">
        <x:v>0</x:v>
      </x:c>
      <x:c r="G6" s="184" t="n">
        <x:v>0</x:v>
      </x:c>
      <x:c r="H6" s="193" t="n">
        <x:v>0</x:v>
      </x:c>
      <x:c r="I6" s="185" t="n">
        <x:v>0</x:v>
      </x:c>
      <x:c r="J6" s="185" t="n">
        <x:v>0</x:v>
      </x:c>
      <x:c r="K6" s="289" t="n">
        <x:v>0</x:v>
      </x:c>
    </x:row>
    <x:row r="7" s="117" customFormat="1" hidden="1">
      <x:c r="A7" s="184" t="inlineStr">
        <x:is>
          <x:t xml:space="preserve">BACFIBTAP005</x:t>
        </x:is>
      </x:c>
      <x:c r="B7" s="184" t="inlineStr">
        <x:is>
          <x:t xml:space="preserve">BACKING TAPE 1-1/2" X 1/16 TCHK X 100FT ROLL -</x:t>
        </x:is>
      </x:c>
      <x:c r="C7" s="184" t="n">
        <x:v>0</x:v>
      </x:c>
      <x:c r="D7" s="184" t="n">
        <x:v>0</x:v>
      </x:c>
      <x:c r="E7" s="184" t="n">
        <x:v>0</x:v>
      </x:c>
      <x:c r="F7" s="184" t="n">
        <x:v>0</x:v>
      </x:c>
      <x:c r="G7" s="184" t="n">
        <x:v>0</x:v>
      </x:c>
      <x:c r="H7" s="193" t="n">
        <x:v>0</x:v>
      </x:c>
      <x:c r="I7" s="185" t="n">
        <x:v>0</x:v>
      </x:c>
      <x:c r="J7" s="185" t="n">
        <x:v>0</x:v>
      </x:c>
      <x:c r="K7" s="289" t="n">
        <x:v>0</x:v>
      </x:c>
    </x:row>
    <x:row r="8" s="117" customFormat="1" hidden="1">
      <x:c r="A8" s="184" t="inlineStr">
        <x:is>
          <x:t xml:space="preserve">BACFIBTAP006</x:t>
        </x:is>
      </x:c>
      <x:c r="B8" s="184" t="inlineStr">
        <x:is>
          <x:t xml:space="preserve">BACKING TAPE 2" X 1/16 TCHK X 100FT ROLL -</x:t>
        </x:is>
      </x:c>
      <x:c r="C8" s="184" t="n">
        <x:v>1139</x:v>
      </x:c>
      <x:c r="D8" s="184" t="n">
        <x:v>0</x:v>
      </x:c>
      <x:c r="E8" s="184" t="n">
        <x:v>7</x:v>
      </x:c>
      <x:c r="F8" s="184" t="n">
        <x:v>1132</x:v>
      </x:c>
      <x:c r="G8" s="184" t="n">
        <x:v>21808482</x:v>
      </x:c>
      <x:c r="H8" s="193" t="n">
        <x:v>0</x:v>
      </x:c>
      <x:c r="I8" s="185" t="n">
        <x:v>134029</x:v>
      </x:c>
      <x:c r="J8" s="185" t="n">
        <x:v>21674453</x:v>
      </x:c>
      <x:c r="K8" s="289" t="n">
        <x:v>19147.03704998</x:v>
      </x:c>
    </x:row>
    <x:row r="9" s="117" customFormat="1" hidden="1">
      <x:c r="A9" s="184" t="inlineStr">
        <x:is>
          <x:t xml:space="preserve">BACFIBTAP007</x:t>
        </x:is>
      </x:c>
      <x:c r="B9" s="184" t="inlineStr">
        <x:is>
          <x:t xml:space="preserve">BACKING TAPE 2-1/2" X 1/16 TCHK X 100FT ROLL -</x:t>
        </x:is>
      </x:c>
      <x:c r="C9" s="184" t="n">
        <x:v>0</x:v>
      </x:c>
      <x:c r="D9" s="184" t="n">
        <x:v>0</x:v>
      </x:c>
      <x:c r="E9" s="184" t="n">
        <x:v>0</x:v>
      </x:c>
      <x:c r="F9" s="184" t="n">
        <x:v>0</x:v>
      </x:c>
      <x:c r="G9" s="184" t="n">
        <x:v>0</x:v>
      </x:c>
      <x:c r="H9" s="193" t="n">
        <x:v>0</x:v>
      </x:c>
      <x:c r="I9" s="185" t="n">
        <x:v>0</x:v>
      </x:c>
      <x:c r="J9" s="185" t="n">
        <x:v>0</x:v>
      </x:c>
      <x:c r="K9" s="289" t="n">
        <x:v>0</x:v>
      </x:c>
    </x:row>
    <x:row r="10" s="117" customFormat="1" hidden="1">
      <x:c r="A10" s="184" t="inlineStr">
        <x:is>
          <x:t xml:space="preserve">BACFIBTAP008</x:t>
        </x:is>
      </x:c>
      <x:c r="B10" s="184" t="inlineStr">
        <x:is>
          <x:t xml:space="preserve">BACKING TAPE 3" X 1/16 TCHK X 100FT ROLL -</x:t>
        </x:is>
      </x:c>
      <x:c r="C10" s="184" t="n">
        <x:v>0</x:v>
      </x:c>
      <x:c r="D10" s="184" t="n">
        <x:v>0</x:v>
      </x:c>
      <x:c r="E10" s="184" t="n">
        <x:v>0</x:v>
      </x:c>
      <x:c r="F10" s="184" t="n">
        <x:v>0</x:v>
      </x:c>
      <x:c r="G10" s="184" t="n">
        <x:v>0</x:v>
      </x:c>
      <x:c r="H10" s="193" t="n">
        <x:v>0</x:v>
      </x:c>
      <x:c r="I10" s="185" t="n">
        <x:v>0</x:v>
      </x:c>
      <x:c r="J10" s="185" t="n">
        <x:v>0</x:v>
      </x:c>
      <x:c r="K10" s="289" t="n">
        <x:v>0</x:v>
      </x:c>
    </x:row>
    <x:row r="11" s="117" customFormat="1" hidden="1">
      <x:c r="A11" s="184" t="inlineStr">
        <x:is>
          <x:t xml:space="preserve">BACFIBTAP009</x:t>
        </x:is>
      </x:c>
      <x:c r="B11" s="184" t="inlineStr">
        <x:is>
          <x:t xml:space="preserve">BACKING TAPE 3-1/2" X 1/16 TCHK X 100FT ROLL -</x:t>
        </x:is>
      </x:c>
      <x:c r="C11" s="184" t="n">
        <x:v>0</x:v>
      </x:c>
      <x:c r="D11" s="184" t="n">
        <x:v>0</x:v>
      </x:c>
      <x:c r="E11" s="184" t="n">
        <x:v>0</x:v>
      </x:c>
      <x:c r="F11" s="184" t="n">
        <x:v>0</x:v>
      </x:c>
      <x:c r="G11" s="184" t="n">
        <x:v>0</x:v>
      </x:c>
      <x:c r="H11" s="193" t="n">
        <x:v>0</x:v>
      </x:c>
      <x:c r="I11" s="185" t="n">
        <x:v>0</x:v>
      </x:c>
      <x:c r="J11" s="185" t="n">
        <x:v>0</x:v>
      </x:c>
      <x:c r="K11" s="289" t="n">
        <x:v>0</x:v>
      </x:c>
    </x:row>
    <x:row r="12" s="117" customFormat="1" hidden="1">
      <x:c r="A12" s="184" t="inlineStr">
        <x:is>
          <x:t xml:space="preserve">BACFIBTAP010</x:t>
        </x:is>
      </x:c>
      <x:c r="B12" s="184" t="inlineStr">
        <x:is>
          <x:t xml:space="preserve">BACKING TAPE 4" X 1/16 TCHK X 100FT ROLL -</x:t>
        </x:is>
      </x:c>
      <x:c r="C12" s="184" t="n">
        <x:v>0</x:v>
      </x:c>
      <x:c r="D12" s="184" t="n">
        <x:v>0</x:v>
      </x:c>
      <x:c r="E12" s="184" t="n">
        <x:v>0</x:v>
      </x:c>
      <x:c r="F12" s="184" t="n">
        <x:v>0</x:v>
      </x:c>
      <x:c r="G12" s="184" t="n">
        <x:v>0</x:v>
      </x:c>
      <x:c r="H12" s="193" t="n">
        <x:v>0</x:v>
      </x:c>
      <x:c r="I12" s="185" t="n">
        <x:v>0</x:v>
      </x:c>
      <x:c r="J12" s="185" t="n">
        <x:v>0</x:v>
      </x:c>
      <x:c r="K12" s="289" t="n">
        <x:v>11500</x:v>
      </x:c>
    </x:row>
    <x:row r="13" s="117" customFormat="1" hidden="1">
      <x:c r="A13" s="184" t="inlineStr">
        <x:is>
          <x:t xml:space="preserve">BARTEFFIV001</x:t>
        </x:is>
      </x:c>
      <x:c r="B13" s="184" t="inlineStr">
        <x:is>
          <x:t xml:space="preserve">BARRA DE PTFA FIBRA DE VIDRIO 85 MM X 305 MM ( 4,3 KG C/U)</x:t>
        </x:is>
      </x:c>
      <x:c r="C13" s="184" t="n">
        <x:v>0</x:v>
      </x:c>
      <x:c r="D13" s="184" t="n">
        <x:v>0</x:v>
      </x:c>
      <x:c r="E13" s="184" t="n">
        <x:v>0</x:v>
      </x:c>
      <x:c r="F13" s="184" t="n">
        <x:v>0</x:v>
      </x:c>
      <x:c r="G13" s="184" t="n">
        <x:v>0</x:v>
      </x:c>
      <x:c r="H13" s="193" t="n">
        <x:v>0</x:v>
      </x:c>
      <x:c r="I13" s="185" t="n">
        <x:v>0</x:v>
      </x:c>
      <x:c r="J13" s="185" t="n">
        <x:v>0</x:v>
      </x:c>
      <x:c r="K13" s="289" t="n">
        <x:v>78475</x:v>
      </x:c>
    </x:row>
    <x:row r="14" s="117" customFormat="1" hidden="1">
      <x:c r="A14" s="184" t="inlineStr">
        <x:is>
          <x:t xml:space="preserve">BARTEFFIV002</x:t>
        </x:is>
      </x:c>
      <x:c r="B14" s="184" t="inlineStr">
        <x:is>
          <x:t xml:space="preserve">BOCINA PTFA FIBRA DE VIDRIO 80MMX50MMX305MM (3 KG C/U)</x:t>
        </x:is>
      </x:c>
      <x:c r="C14" s="184" t="n">
        <x:v>0</x:v>
      </x:c>
      <x:c r="D14" s="184" t="n">
        <x:v>0</x:v>
      </x:c>
      <x:c r="E14" s="184" t="n">
        <x:v>0</x:v>
      </x:c>
      <x:c r="F14" s="184" t="n">
        <x:v>0</x:v>
      </x:c>
      <x:c r="G14" s="184" t="n">
        <x:v>0</x:v>
      </x:c>
      <x:c r="H14" s="193" t="n">
        <x:v>0</x:v>
      </x:c>
      <x:c r="I14" s="185" t="n">
        <x:v>0</x:v>
      </x:c>
      <x:c r="J14" s="185" t="n">
        <x:v>0</x:v>
      </x:c>
      <x:c r="K14" s="289" t="n">
        <x:v>0</x:v>
      </x:c>
    </x:row>
    <x:row r="15" s="117" customFormat="1" hidden="1">
      <x:c r="A15" s="184" t="inlineStr">
        <x:is>
          <x:t xml:space="preserve">BARTEFFIV003</x:t>
        </x:is>
      </x:c>
      <x:c r="B15" s="184" t="inlineStr">
        <x:is>
          <x:t xml:space="preserve">BOCINA PTFA FIBRA DE VIDRIO 120MMX50MMX305MM (8.2 KG C/U)</x:t>
        </x:is>
      </x:c>
      <x:c r="C15" s="184" t="n">
        <x:v>0</x:v>
      </x:c>
      <x:c r="D15" s="184" t="n">
        <x:v>0</x:v>
      </x:c>
      <x:c r="E15" s="184" t="n">
        <x:v>0</x:v>
      </x:c>
      <x:c r="F15" s="184" t="n">
        <x:v>0</x:v>
      </x:c>
      <x:c r="G15" s="184" t="n">
        <x:v>0</x:v>
      </x:c>
      <x:c r="H15" s="193" t="n">
        <x:v>0</x:v>
      </x:c>
      <x:c r="I15" s="185" t="n">
        <x:v>0</x:v>
      </x:c>
      <x:c r="J15" s="185" t="n">
        <x:v>0</x:v>
      </x:c>
      <x:c r="K15" s="289" t="n">
        <x:v>149650</x:v>
      </x:c>
    </x:row>
    <x:row r="16" s="117" customFormat="1" hidden="1">
      <x:c r="A16" s="184" t="inlineStr">
        <x:is>
          <x:t xml:space="preserve">BARTEFFIV004</x:t>
        </x:is>
      </x:c>
      <x:c r="B16" s="184" t="inlineStr">
        <x:is>
          <x:t xml:space="preserve">BOCINA PTFA FIBRA DE VIDRIO 130 MMX80MMX305MM (7.4 KG C/U)</x:t>
        </x:is>
      </x:c>
      <x:c r="C16" s="184" t="n">
        <x:v>0</x:v>
      </x:c>
      <x:c r="D16" s="184" t="n">
        <x:v>0</x:v>
      </x:c>
      <x:c r="E16" s="184" t="n">
        <x:v>0</x:v>
      </x:c>
      <x:c r="F16" s="184" t="n">
        <x:v>0</x:v>
      </x:c>
      <x:c r="G16" s="184" t="n">
        <x:v>0</x:v>
      </x:c>
      <x:c r="H16" s="193" t="n">
        <x:v>0</x:v>
      </x:c>
      <x:c r="I16" s="185" t="n">
        <x:v>0</x:v>
      </x:c>
      <x:c r="J16" s="185" t="n">
        <x:v>0</x:v>
      </x:c>
      <x:c r="K16" s="289" t="n">
        <x:v>13500</x:v>
      </x:c>
    </x:row>
    <x:row r="17" s="117" customFormat="1" hidden="1">
      <x:c r="A17" s="184" t="inlineStr">
        <x:is>
          <x:t xml:space="preserve">BARTEFFIV005</x:t>
        </x:is>
      </x:c>
      <x:c r="B17" s="184" t="inlineStr">
        <x:is>
          <x:t xml:space="preserve">BOCINA PTFA FIBRA DE VIDRIO 110MMX60MMX305MM (4.88 KG C/U)</x:t>
        </x:is>
      </x:c>
      <x:c r="C17" s="184" t="n">
        <x:v>0</x:v>
      </x:c>
      <x:c r="D17" s="184" t="n">
        <x:v>0</x:v>
      </x:c>
      <x:c r="E17" s="184" t="n">
        <x:v>0</x:v>
      </x:c>
      <x:c r="F17" s="184" t="n">
        <x:v>0</x:v>
      </x:c>
      <x:c r="G17" s="184" t="n">
        <x:v>0</x:v>
      </x:c>
      <x:c r="H17" s="193" t="n">
        <x:v>0</x:v>
      </x:c>
      <x:c r="I17" s="185" t="n">
        <x:v>0</x:v>
      </x:c>
      <x:c r="J17" s="185" t="n">
        <x:v>0</x:v>
      </x:c>
      <x:c r="K17" s="289" t="n">
        <x:v>65800</x:v>
      </x:c>
    </x:row>
    <x:row r="18" s="117" customFormat="1" hidden="1">
      <x:c r="A18" s="184" t="inlineStr">
        <x:is>
          <x:t xml:space="preserve">BARTEFFIV006</x:t>
        </x:is>
      </x:c>
      <x:c r="B18" s="184" t="inlineStr">
        <x:is>
          <x:t xml:space="preserve">BARRA DE PTFA FIBRA DE VIDRIO 65 MM X 305 MM ( 3 KG C/U)</x:t>
        </x:is>
      </x:c>
      <x:c r="C18" s="184" t="n">
        <x:v>0</x:v>
      </x:c>
      <x:c r="D18" s="184" t="n">
        <x:v>0</x:v>
      </x:c>
      <x:c r="E18" s="184" t="n">
        <x:v>0</x:v>
      </x:c>
      <x:c r="F18" s="184" t="n">
        <x:v>0</x:v>
      </x:c>
      <x:c r="G18" s="184" t="n">
        <x:v>0</x:v>
      </x:c>
      <x:c r="H18" s="193" t="n">
        <x:v>0</x:v>
      </x:c>
      <x:c r="I18" s="185" t="n">
        <x:v>0</x:v>
      </x:c>
      <x:c r="J18" s="185" t="n">
        <x:v>0</x:v>
      </x:c>
      <x:c r="K18" s="289" t="n">
        <x:v>18250</x:v>
      </x:c>
    </x:row>
    <x:row r="19" s="117" customFormat="1" hidden="1">
      <x:c r="A19" s="184" t="inlineStr">
        <x:is>
          <x:t xml:space="preserve">BARTEFFIV007</x:t>
        </x:is>
      </x:c>
      <x:c r="B19" s="184" t="inlineStr">
        <x:is>
          <x:t xml:space="preserve">BOCINA PTFA FIBRA DE VIDRIO 200MM X 75 MM X 300 MM ( 19.3 KG C/U)</x:t>
        </x:is>
      </x:c>
      <x:c r="C19" s="184" t="n">
        <x:v>0</x:v>
      </x:c>
      <x:c r="D19" s="184" t="n">
        <x:v>0</x:v>
      </x:c>
      <x:c r="E19" s="184" t="n">
        <x:v>0</x:v>
      </x:c>
      <x:c r="F19" s="184" t="n">
        <x:v>0</x:v>
      </x:c>
      <x:c r="G19" s="184" t="n">
        <x:v>0</x:v>
      </x:c>
      <x:c r="H19" s="193" t="n">
        <x:v>0</x:v>
      </x:c>
      <x:c r="I19" s="185" t="n">
        <x:v>0</x:v>
      </x:c>
      <x:c r="J19" s="185" t="n">
        <x:v>0</x:v>
      </x:c>
      <x:c r="K19" s="289" t="n">
        <x:v>18500</x:v>
      </x:c>
    </x:row>
    <x:row r="20" s="117" customFormat="1" hidden="1">
      <x:c r="A20" s="184" t="inlineStr">
        <x:is>
          <x:t xml:space="preserve">BARTEFFIV008</x:t>
        </x:is>
      </x:c>
      <x:c r="B20" s="184" t="inlineStr">
        <x:is>
          <x:t xml:space="preserve">BOCINA PTFA FIBRA DE VIDRIO 200MM X 100 MM X 300 MM ( 17.2 KG C/U)</x:t>
        </x:is>
      </x:c>
      <x:c r="C20" s="184" t="n">
        <x:v>0</x:v>
      </x:c>
      <x:c r="D20" s="184" t="n">
        <x:v>0</x:v>
      </x:c>
      <x:c r="E20" s="184" t="n">
        <x:v>0</x:v>
      </x:c>
      <x:c r="F20" s="184" t="n">
        <x:v>0</x:v>
      </x:c>
      <x:c r="G20" s="184" t="n">
        <x:v>0</x:v>
      </x:c>
      <x:c r="H20" s="193" t="n">
        <x:v>0</x:v>
      </x:c>
      <x:c r="I20" s="185" t="n">
        <x:v>0</x:v>
      </x:c>
      <x:c r="J20" s="185" t="n">
        <x:v>0</x:v>
      </x:c>
      <x:c r="K20" s="289" t="n">
        <x:v>252534</x:v>
      </x:c>
    </x:row>
    <x:row r="21" s="117" customFormat="1" hidden="1">
      <x:c r="A21" s="184" t="inlineStr">
        <x:is>
          <x:t xml:space="preserve">BARTEFFIV009</x:t>
        </x:is>
      </x:c>
      <x:c r="B21" s="184" t="inlineStr">
        <x:is>
          <x:t xml:space="preserve">BOCINA PTFA FIBRA DE VIDRIO 230MM X 180 MM X 305 MM ( 15.5 KG C/U)</x:t>
        </x:is>
      </x:c>
      <x:c r="C21" s="184" t="n">
        <x:v>0</x:v>
      </x:c>
      <x:c r="D21" s="184" t="n">
        <x:v>0</x:v>
      </x:c>
      <x:c r="E21" s="184" t="n">
        <x:v>0</x:v>
      </x:c>
      <x:c r="F21" s="184" t="n">
        <x:v>0</x:v>
      </x:c>
      <x:c r="G21" s="184" t="n">
        <x:v>0</x:v>
      </x:c>
      <x:c r="H21" s="193" t="n">
        <x:v>0</x:v>
      </x:c>
      <x:c r="I21" s="185" t="n">
        <x:v>0</x:v>
      </x:c>
      <x:c r="J21" s="185" t="n">
        <x:v>0</x:v>
      </x:c>
      <x:c r="K21" s="289" t="n">
        <x:v>0</x:v>
      </x:c>
    </x:row>
    <x:row r="22" s="117" customFormat="1" hidden="1">
      <x:c r="A22" s="184" t="inlineStr">
        <x:is>
          <x:t xml:space="preserve">BARTEFFIV010</x:t>
        </x:is>
      </x:c>
      <x:c r="B22" s="184" t="inlineStr">
        <x:is>
          <x:t xml:space="preserve">BOCINA PTFA FIBRA DE VIDRIO 250MM X 200 MM X 205 MM ( 9.8 KG C/U)</x:t>
        </x:is>
      </x:c>
      <x:c r="C22" s="184" t="n">
        <x:v>0</x:v>
      </x:c>
      <x:c r="D22" s="184" t="n">
        <x:v>0</x:v>
      </x:c>
      <x:c r="E22" s="184" t="n">
        <x:v>0</x:v>
      </x:c>
      <x:c r="F22" s="184" t="n">
        <x:v>0</x:v>
      </x:c>
      <x:c r="G22" s="184" t="n">
        <x:v>1</x:v>
      </x:c>
      <x:c r="H22" s="193" t="n">
        <x:v>0</x:v>
      </x:c>
      <x:c r="I22" s="185" t="n">
        <x:v>0</x:v>
      </x:c>
      <x:c r="J22" s="185" t="n">
        <x:v>1</x:v>
      </x:c>
      <x:c r="K22" s="289" t="n">
        <x:v>17656.129032</x:v>
      </x:c>
    </x:row>
    <x:row r="23" s="117" customFormat="1" hidden="1">
      <x:c r="A23" s="184" t="inlineStr">
        <x:is>
          <x:t xml:space="preserve">BARTEFFIV011</x:t>
        </x:is>
      </x:c>
      <x:c r="B23" s="184" t="inlineStr">
        <x:is>
          <x:t xml:space="preserve">BOCINA PTFA FIBRA DE VIDRIO 250MM X 160 MM X 300 MM ( 22,8 KG C/U)</x:t>
        </x:is>
      </x:c>
      <x:c r="C23" s="184" t="n">
        <x:v>0</x:v>
      </x:c>
      <x:c r="D23" s="184" t="n">
        <x:v>0</x:v>
      </x:c>
      <x:c r="E23" s="184" t="n">
        <x:v>0</x:v>
      </x:c>
      <x:c r="F23" s="184" t="n">
        <x:v>0</x:v>
      </x:c>
      <x:c r="G23" s="184" t="n">
        <x:v>0</x:v>
      </x:c>
      <x:c r="H23" s="193" t="n">
        <x:v>0</x:v>
      </x:c>
      <x:c r="I23" s="185" t="n">
        <x:v>0</x:v>
      </x:c>
      <x:c r="J23" s="185" t="n">
        <x:v>0</x:v>
      </x:c>
      <x:c r="K23" s="289" t="n">
        <x:v>194589</x:v>
      </x:c>
    </x:row>
    <x:row r="24" s="117" customFormat="1" hidden="1">
      <x:c r="A24" s="184" t="inlineStr">
        <x:is>
          <x:t xml:space="preserve">BARTEFFIV012</x:t>
        </x:is>
      </x:c>
      <x:c r="B24" s="184" t="inlineStr">
        <x:is>
          <x:t xml:space="preserve">BOCINA PTFA FIBRA DE VIDRIO 330MM X 250 MM X 225 MM ( 19.8 KG C/U)</x:t>
        </x:is>
      </x:c>
      <x:c r="C24" s="184" t="n">
        <x:v>0</x:v>
      </x:c>
      <x:c r="D24" s="184" t="n">
        <x:v>0</x:v>
      </x:c>
      <x:c r="E24" s="184" t="n">
        <x:v>0</x:v>
      </x:c>
      <x:c r="F24" s="184" t="n">
        <x:v>0</x:v>
      </x:c>
      <x:c r="G24" s="184" t="n">
        <x:v>0</x:v>
      </x:c>
      <x:c r="H24" s="193" t="n">
        <x:v>0</x:v>
      </x:c>
      <x:c r="I24" s="185" t="n">
        <x:v>0</x:v>
      </x:c>
      <x:c r="J24" s="185" t="n">
        <x:v>0</x:v>
      </x:c>
      <x:c r="K24" s="289" t="n">
        <x:v>13500</x:v>
      </x:c>
    </x:row>
    <x:row r="25" s="117" customFormat="1" hidden="1">
      <x:c r="A25" s="184" t="inlineStr">
        <x:is>
          <x:t xml:space="preserve">BARTEFFIV013</x:t>
        </x:is>
      </x:c>
      <x:c r="B25" s="184" t="inlineStr">
        <x:is>
          <x:t xml:space="preserve">BARRA DE PTFA FIBRA DE VIDRIO 4 PLG X 210MM</x:t>
        </x:is>
      </x:c>
      <x:c r="C25" s="184" t="n">
        <x:v>0</x:v>
      </x:c>
      <x:c r="D25" s="184" t="n">
        <x:v>0</x:v>
      </x:c>
      <x:c r="E25" s="184" t="n">
        <x:v>0</x:v>
      </x:c>
      <x:c r="F25" s="184" t="n">
        <x:v>0</x:v>
      </x:c>
      <x:c r="G25" s="184" t="n">
        <x:v>0</x:v>
      </x:c>
      <x:c r="H25" s="193" t="n">
        <x:v>0</x:v>
      </x:c>
      <x:c r="I25" s="185" t="n">
        <x:v>0</x:v>
      </x:c>
      <x:c r="J25" s="185" t="n">
        <x:v>0</x:v>
      </x:c>
      <x:c r="K25" s="289" t="n">
        <x:v>0</x:v>
      </x:c>
    </x:row>
    <x:row r="26" s="117" customFormat="1" hidden="1">
      <x:c r="A26" s="184" t="inlineStr">
        <x:is>
          <x:t xml:space="preserve">BARTEFFIV014</x:t>
        </x:is>
      </x:c>
      <x:c r="B26" s="184" t="inlineStr">
        <x:is>
          <x:t xml:space="preserve">BARRA DE PTFA FIBRA DE VIDRIO 100 MM X 1000MM</x:t>
        </x:is>
      </x:c>
      <x:c r="C26" s="184" t="n">
        <x:v>0</x:v>
      </x:c>
      <x:c r="D26" s="184" t="n">
        <x:v>0</x:v>
      </x:c>
      <x:c r="E26" s="184" t="n">
        <x:v>0</x:v>
      </x:c>
      <x:c r="F26" s="184" t="n">
        <x:v>0</x:v>
      </x:c>
      <x:c r="G26" s="184" t="n">
        <x:v>0</x:v>
      </x:c>
      <x:c r="H26" s="193" t="n">
        <x:v>0</x:v>
      </x:c>
      <x:c r="I26" s="185" t="n">
        <x:v>0</x:v>
      </x:c>
      <x:c r="J26" s="185" t="n">
        <x:v>0</x:v>
      </x:c>
      <x:c r="K26" s="289" t="n">
        <x:v>0</x:v>
      </x:c>
    </x:row>
    <x:row r="27" s="117" customFormat="1" hidden="1">
      <x:c r="A27" s="184" t="inlineStr">
        <x:is>
          <x:t xml:space="preserve">BARTEFFIV016</x:t>
        </x:is>
      </x:c>
      <x:c r="B27" s="184" t="inlineStr">
        <x:is>
          <x:t xml:space="preserve">BOCINA TEFLON FIBRA DE VIDRIO 25% 270 X 180 X 300 MM  (22KG C/U) (MCS25GF10-750X7-250X12 ENFLO)</x:t>
        </x:is>
      </x:c>
      <x:c r="C27" s="184" t="n">
        <x:v>0</x:v>
      </x:c>
      <x:c r="D27" s="184" t="n">
        <x:v>0</x:v>
      </x:c>
      <x:c r="E27" s="184" t="n">
        <x:v>0</x:v>
      </x:c>
      <x:c r="F27" s="184" t="n">
        <x:v>0</x:v>
      </x:c>
      <x:c r="G27" s="184" t="n">
        <x:v>-1</x:v>
      </x:c>
      <x:c r="H27" s="193" t="n">
        <x:v>0</x:v>
      </x:c>
      <x:c r="I27" s="185" t="n">
        <x:v>0</x:v>
      </x:c>
      <x:c r="J27" s="185" t="n">
        <x:v>-1</x:v>
      </x:c>
      <x:c r="K27" s="289" t="n">
        <x:v>436804.25</x:v>
      </x:c>
    </x:row>
    <x:row r="28" s="117" customFormat="1" hidden="1">
      <x:c r="A28" s="184" t="inlineStr">
        <x:is>
          <x:t xml:space="preserve">BARTEFFIV017</x:t>
        </x:is>
      </x:c>
      <x:c r="B28" s="184" t="inlineStr">
        <x:is>
          <x:t xml:space="preserve">BOCINA TEFLON FIBRA DE VIDRIO 25% 350 X 230 X 200 MM  (26.25 KG C/U) (MCS25GF14X9-250X8 ENFLO)</x:t>
        </x:is>
      </x:c>
      <x:c r="C28" s="184" t="n">
        <x:v>0</x:v>
      </x:c>
      <x:c r="D28" s="184" t="n">
        <x:v>0</x:v>
      </x:c>
      <x:c r="E28" s="184" t="n">
        <x:v>0</x:v>
      </x:c>
      <x:c r="F28" s="184" t="n">
        <x:v>0</x:v>
      </x:c>
      <x:c r="G28" s="184" t="n">
        <x:v>0</x:v>
      </x:c>
      <x:c r="H28" s="193" t="n">
        <x:v>0</x:v>
      </x:c>
      <x:c r="I28" s="185" t="n">
        <x:v>0</x:v>
      </x:c>
      <x:c r="J28" s="185" t="n">
        <x:v>0</x:v>
      </x:c>
      <x:c r="K28" s="289" t="n">
        <x:v>457234</x:v>
      </x:c>
    </x:row>
    <x:row r="29" s="117" customFormat="1" hidden="1">
      <x:c r="A29" s="184" t="inlineStr">
        <x:is>
          <x:t xml:space="preserve">BARTEFFIV018</x:t>
        </x:is>
      </x:c>
      <x:c r="B29" s="184" t="inlineStr">
        <x:is>
          <x:t xml:space="preserve">BOCINA TEFLON FIBRA DE VIDRIO 25% 320 X 250 X 180 MM ( 19 KG) (MCS25GF12-500X9-750X6-750 ENFLO)</x:t>
        </x:is>
      </x:c>
      <x:c r="C29" s="184" t="n">
        <x:v>0</x:v>
      </x:c>
      <x:c r="D29" s="184" t="n">
        <x:v>0</x:v>
      </x:c>
      <x:c r="E29" s="184" t="n">
        <x:v>0</x:v>
      </x:c>
      <x:c r="F29" s="184" t="n">
        <x:v>0</x:v>
      </x:c>
      <x:c r="G29" s="184" t="n">
        <x:v>0</x:v>
      </x:c>
      <x:c r="H29" s="193" t="n">
        <x:v>0</x:v>
      </x:c>
      <x:c r="I29" s="185" t="n">
        <x:v>0</x:v>
      </x:c>
      <x:c r="J29" s="185" t="n">
        <x:v>0</x:v>
      </x:c>
      <x:c r="K29" s="289" t="n">
        <x:v>207500</x:v>
      </x:c>
    </x:row>
    <x:row r="30" s="117" customFormat="1" hidden="1">
      <x:c r="A30" s="184" t="inlineStr">
        <x:is>
          <x:t xml:space="preserve">BARTEFFIV019</x:t>
        </x:is>
      </x:c>
      <x:c r="B30" s="184" t="inlineStr">
        <x:is>
          <x:t xml:space="preserve">BOCINA PTFE-FIV 140 X 90 X 250 MM</x:t>
        </x:is>
      </x:c>
      <x:c r="C30" s="184" t="n">
        <x:v>0</x:v>
      </x:c>
      <x:c r="D30" s="184" t="n">
        <x:v>0</x:v>
      </x:c>
      <x:c r="E30" s="184" t="n">
        <x:v>0</x:v>
      </x:c>
      <x:c r="F30" s="184" t="n">
        <x:v>0</x:v>
      </x:c>
      <x:c r="G30" s="184" t="n">
        <x:v>0</x:v>
      </x:c>
      <x:c r="H30" s="193" t="n">
        <x:v>0</x:v>
      </x:c>
      <x:c r="I30" s="185" t="n">
        <x:v>0</x:v>
      </x:c>
      <x:c r="J30" s="185" t="n">
        <x:v>0</x:v>
      </x:c>
      <x:c r="K30" s="289" t="n">
        <x:v>109350</x:v>
      </x:c>
    </x:row>
    <x:row r="31" s="117" customFormat="1" hidden="1">
      <x:c r="A31" s="184" t="inlineStr">
        <x:is>
          <x:t xml:space="preserve">BARTEFFIV020</x:t>
        </x:is>
      </x:c>
      <x:c r="B31" s="184" t="inlineStr">
        <x:is>
          <x:t xml:space="preserve">BOCInA PTFE-FIV 90 X 40 X 300 MM</x:t>
        </x:is>
      </x:c>
      <x:c r="C31" s="184" t="n">
        <x:v>3</x:v>
      </x:c>
      <x:c r="D31" s="184" t="n">
        <x:v>0</x:v>
      </x:c>
      <x:c r="E31" s="184" t="n">
        <x:v>0</x:v>
      </x:c>
      <x:c r="F31" s="184" t="n">
        <x:v>3</x:v>
      </x:c>
      <x:c r="G31" s="184" t="n">
        <x:v>165000</x:v>
      </x:c>
      <x:c r="H31" s="193" t="n">
        <x:v>0</x:v>
      </x:c>
      <x:c r="I31" s="185" t="n">
        <x:v>0</x:v>
      </x:c>
      <x:c r="J31" s="185" t="n">
        <x:v>165000</x:v>
      </x:c>
      <x:c r="K31" s="289" t="n">
        <x:v>55000</x:v>
      </x:c>
    </x:row>
    <x:row r="32" s="117" customFormat="1" hidden="1">
      <x:c r="A32" s="184" t="inlineStr">
        <x:is>
          <x:t xml:space="preserve">BARTEFFIV021</x:t>
        </x:is>
      </x:c>
      <x:c r="B32" s="184" t="inlineStr">
        <x:is>
          <x:t xml:space="preserve">BARRA PTFE-FV 25% 85MM DIAM X 300 MM LGO ENFLO</x:t>
        </x:is>
      </x:c>
      <x:c r="C32" s="184" t="n">
        <x:v>0</x:v>
      </x:c>
      <x:c r="D32" s="184" t="n">
        <x:v>0</x:v>
      </x:c>
      <x:c r="E32" s="184" t="n">
        <x:v>0</x:v>
      </x:c>
      <x:c r="F32" s="184" t="n">
        <x:v>0</x:v>
      </x:c>
      <x:c r="G32" s="184" t="n">
        <x:v>0</x:v>
      </x:c>
      <x:c r="H32" s="193" t="n">
        <x:v>0</x:v>
      </x:c>
      <x:c r="I32" s="185" t="n">
        <x:v>0</x:v>
      </x:c>
      <x:c r="J32" s="185" t="n">
        <x:v>0</x:v>
      </x:c>
      <x:c r="K32" s="289" t="n">
        <x:v>79550</x:v>
      </x:c>
    </x:row>
    <x:row r="33" s="117" customFormat="1" hidden="1">
      <x:c r="A33" s="184" t="inlineStr">
        <x:is>
          <x:t xml:space="preserve">BARTEFFIV022</x:t>
        </x:is>
      </x:c>
      <x:c r="B33" s="184" t="inlineStr">
        <x:is>
          <x:t xml:space="preserve">BOCINA PTFE-FIV 85 X 50 X 300</x:t>
        </x:is>
      </x:c>
      <x:c r="C33" s="184" t="n">
        <x:v>0</x:v>
      </x:c>
      <x:c r="D33" s="184" t="n">
        <x:v>0</x:v>
      </x:c>
      <x:c r="E33" s="184" t="n">
        <x:v>0</x:v>
      </x:c>
      <x:c r="F33" s="184" t="n">
        <x:v>0</x:v>
      </x:c>
      <x:c r="G33" s="184" t="n">
        <x:v>0</x:v>
      </x:c>
      <x:c r="H33" s="193" t="n">
        <x:v>0</x:v>
      </x:c>
      <x:c r="I33" s="185" t="n">
        <x:v>0</x:v>
      </x:c>
      <x:c r="J33" s="185" t="n">
        <x:v>0</x:v>
      </x:c>
      <x:c r="K33" s="289" t="n">
        <x:v>55000</x:v>
      </x:c>
    </x:row>
    <x:row r="34" s="117" customFormat="1" hidden="1">
      <x:c r="A34" s="184" t="inlineStr">
        <x:is>
          <x:t xml:space="preserve">BARTEFFIV023</x:t>
        </x:is>
      </x:c>
      <x:c r="B34" s="184" t="inlineStr">
        <x:is>
          <x:t xml:space="preserve">BOCINA PTFE FV 240 X 140 X 300 (MCS25GF 10-500X4X12)</x:t>
        </x:is>
      </x:c>
      <x:c r="C34" s="184" t="n">
        <x:v>0</x:v>
      </x:c>
      <x:c r="D34" s="184" t="n">
        <x:v>0</x:v>
      </x:c>
      <x:c r="E34" s="184" t="n">
        <x:v>0</x:v>
      </x:c>
      <x:c r="F34" s="184" t="n">
        <x:v>0</x:v>
      </x:c>
      <x:c r="G34" s="184" t="n">
        <x:v>0</x:v>
      </x:c>
      <x:c r="H34" s="193" t="n">
        <x:v>0</x:v>
      </x:c>
      <x:c r="I34" s="185" t="n">
        <x:v>0</x:v>
      </x:c>
      <x:c r="J34" s="185" t="n">
        <x:v>0</x:v>
      </x:c>
      <x:c r="K34" s="289" t="n">
        <x:v>469603</x:v>
      </x:c>
    </x:row>
    <x:row r="35" s="117" customFormat="1" hidden="1">
      <x:c r="A35" s="184" t="inlineStr">
        <x:is>
          <x:t xml:space="preserve">BARTEFFIV024</x:t>
        </x:is>
      </x:c>
      <x:c r="B35" s="184" t="inlineStr">
        <x:is>
          <x:t xml:space="preserve">BOCINA PTFE-FIV 250X130X300 (MCS25GF10-500X5X12 ENFLO)</x:t>
        </x:is>
      </x:c>
      <x:c r="C35" s="184" t="n">
        <x:v>0</x:v>
      </x:c>
      <x:c r="D35" s="184" t="n">
        <x:v>0</x:v>
      </x:c>
      <x:c r="E35" s="184" t="n">
        <x:v>0</x:v>
      </x:c>
      <x:c r="F35" s="184" t="n">
        <x:v>0</x:v>
      </x:c>
      <x:c r="G35" s="184" t="n">
        <x:v>0</x:v>
      </x:c>
      <x:c r="H35" s="193" t="n">
        <x:v>0</x:v>
      </x:c>
      <x:c r="I35" s="185" t="n">
        <x:v>0</x:v>
      </x:c>
      <x:c r="J35" s="185" t="n">
        <x:v>0</x:v>
      </x:c>
      <x:c r="K35" s="289" t="n">
        <x:v>612035</x:v>
      </x:c>
    </x:row>
    <x:row r="36" s="117" customFormat="1" hidden="1">
      <x:c r="A36" s="184" t="inlineStr">
        <x:is>
          <x:t xml:space="preserve">BARTEFFIV025</x:t>
        </x:is>
      </x:c>
      <x:c r="B36" s="184" t="inlineStr">
        <x:is>
          <x:t xml:space="preserve">BOCINA PTFE-FIV 200X90X300 (MCS25GF8-500X3-500X12 ENFLO)</x:t>
        </x:is>
      </x:c>
      <x:c r="C36" s="184" t="n">
        <x:v>0</x:v>
      </x:c>
      <x:c r="D36" s="184" t="n">
        <x:v>0</x:v>
      </x:c>
      <x:c r="E36" s="184" t="n">
        <x:v>0</x:v>
      </x:c>
      <x:c r="F36" s="184" t="n">
        <x:v>0</x:v>
      </x:c>
      <x:c r="G36" s="184" t="n">
        <x:v>0</x:v>
      </x:c>
      <x:c r="H36" s="193" t="n">
        <x:v>0</x:v>
      </x:c>
      <x:c r="I36" s="185" t="n">
        <x:v>0</x:v>
      </x:c>
      <x:c r="J36" s="185" t="n">
        <x:v>0</x:v>
      </x:c>
      <x:c r="K36" s="289" t="n">
        <x:v>437024</x:v>
      </x:c>
    </x:row>
    <x:row r="37" s="117" customFormat="1" hidden="1">
      <x:c r="A37" s="184" t="inlineStr">
        <x:is>
          <x:t xml:space="preserve">BARTEFFIV026</x:t>
        </x:is>
      </x:c>
      <x:c r="B37" s="184" t="inlineStr">
        <x:is>
          <x:t xml:space="preserve">BOCINA PTFE-FIV 150X90X300 (MCS25GF6-500X3-500X12 ENFLO)</x:t>
        </x:is>
      </x:c>
      <x:c r="C37" s="184" t="n">
        <x:v>0</x:v>
      </x:c>
      <x:c r="D37" s="184" t="n">
        <x:v>0</x:v>
      </x:c>
      <x:c r="E37" s="184" t="n">
        <x:v>0</x:v>
      </x:c>
      <x:c r="F37" s="184" t="n">
        <x:v>0</x:v>
      </x:c>
      <x:c r="G37" s="184" t="n">
        <x:v>0</x:v>
      </x:c>
      <x:c r="H37" s="193" t="n">
        <x:v>0</x:v>
      </x:c>
      <x:c r="I37" s="185" t="n">
        <x:v>0</x:v>
      </x:c>
      <x:c r="J37" s="185" t="n">
        <x:v>0</x:v>
      </x:c>
      <x:c r="K37" s="289" t="n">
        <x:v>229254</x:v>
      </x:c>
    </x:row>
    <x:row r="38" s="117" customFormat="1" hidden="1">
      <x:c r="A38" s="184" t="inlineStr">
        <x:is>
          <x:t xml:space="preserve">BARTEFFIV027</x:t>
        </x:is>
      </x:c>
      <x:c r="B38" s="184" t="inlineStr">
        <x:is>
          <x:t xml:space="preserve">BOCINA PTFE/FIV  10.236 INCH OD X 7.874 INCH ID X 12 INCH LGO (MCS25GF12X6X12)</x:t>
        </x:is>
      </x:c>
      <x:c r="C38" s="184" t="n">
        <x:v>0</x:v>
      </x:c>
      <x:c r="D38" s="184" t="n">
        <x:v>0</x:v>
      </x:c>
      <x:c r="E38" s="184" t="n">
        <x:v>0</x:v>
      </x:c>
      <x:c r="F38" s="184" t="n">
        <x:v>0</x:v>
      </x:c>
      <x:c r="G38" s="184" t="n">
        <x:v>0</x:v>
      </x:c>
      <x:c r="H38" s="193" t="n">
        <x:v>0</x:v>
      </x:c>
      <x:c r="I38" s="185" t="n">
        <x:v>0</x:v>
      </x:c>
      <x:c r="J38" s="185" t="n">
        <x:v>0</x:v>
      </x:c>
      <x:c r="K38" s="289" t="n">
        <x:v>1286769</x:v>
      </x:c>
    </x:row>
    <x:row r="39" s="117" customFormat="1" hidden="1">
      <x:c r="A39" s="184" t="inlineStr">
        <x:is>
          <x:t xml:space="preserve">BARTEFFIV028</x:t>
        </x:is>
      </x:c>
      <x:c r="B39" s="184" t="inlineStr">
        <x:is>
          <x:t xml:space="preserve">BOCINA PTFE/FIV  12.992 INCH OD X  11.024 INCH ID X 8.750 INCH LGO (MCS25GF14X10-500X8-750)</x:t>
        </x:is>
      </x:c>
      <x:c r="C39" s="184" t="n">
        <x:v>0</x:v>
      </x:c>
      <x:c r="D39" s="184" t="n">
        <x:v>0</x:v>
      </x:c>
      <x:c r="E39" s="184" t="n">
        <x:v>0</x:v>
      </x:c>
      <x:c r="F39" s="184" t="n">
        <x:v>0</x:v>
      </x:c>
      <x:c r="G39" s="184" t="n">
        <x:v>0</x:v>
      </x:c>
      <x:c r="H39" s="193" t="n">
        <x:v>0</x:v>
      </x:c>
      <x:c r="I39" s="185" t="n">
        <x:v>0</x:v>
      </x:c>
      <x:c r="J39" s="185" t="n">
        <x:v>0</x:v>
      </x:c>
      <x:c r="K39" s="289" t="n">
        <x:v>630053</x:v>
      </x:c>
    </x:row>
    <x:row r="40" s="117" customFormat="1" hidden="1">
      <x:c r="A40" s="184" t="inlineStr">
        <x:is>
          <x:t xml:space="preserve">BARTEFFIV029</x:t>
        </x:is>
      </x:c>
      <x:c r="B40" s="184" t="inlineStr">
        <x:is>
          <x:t xml:space="preserve">BOCINA PTFE/FIV  10.433 INCH OD X  9.055 INCH ID X 8 INCH LGO (MCS25GF11-500X9X8)</x:t>
        </x:is>
      </x:c>
      <x:c r="C40" s="184" t="n">
        <x:v>0</x:v>
      </x:c>
      <x:c r="D40" s="184" t="n">
        <x:v>0</x:v>
      </x:c>
      <x:c r="E40" s="184" t="n">
        <x:v>0</x:v>
      </x:c>
      <x:c r="F40" s="184" t="n">
        <x:v>0</x:v>
      </x:c>
      <x:c r="G40" s="184" t="n">
        <x:v>0</x:v>
      </x:c>
      <x:c r="H40" s="193" t="n">
        <x:v>0</x:v>
      </x:c>
      <x:c r="I40" s="185" t="n">
        <x:v>0</x:v>
      </x:c>
      <x:c r="J40" s="185" t="n">
        <x:v>0</x:v>
      </x:c>
      <x:c r="K40" s="289" t="n">
        <x:v>365467</x:v>
      </x:c>
    </x:row>
    <x:row r="41" s="117" customFormat="1" hidden="1">
      <x:c r="A41" s="184" t="inlineStr">
        <x:is>
          <x:t xml:space="preserve">BARTEFFIV030</x:t>
        </x:is>
      </x:c>
      <x:c r="B41" s="184" t="inlineStr">
        <x:is>
          <x:t xml:space="preserve">BOCINA PTFE/ MMFIV OD 240 X ID 180 X 203</x:t>
        </x:is>
      </x:c>
      <x:c r="C41" s="184" t="n">
        <x:v>0</x:v>
      </x:c>
      <x:c r="D41" s="184" t="n">
        <x:v>0</x:v>
      </x:c>
      <x:c r="E41" s="184" t="n">
        <x:v>0</x:v>
      </x:c>
      <x:c r="F41" s="184" t="n">
        <x:v>0</x:v>
      </x:c>
      <x:c r="G41" s="184" t="n">
        <x:v>0</x:v>
      </x:c>
      <x:c r="H41" s="193" t="n">
        <x:v>0</x:v>
      </x:c>
      <x:c r="I41" s="185" t="n">
        <x:v>0</x:v>
      </x:c>
      <x:c r="J41" s="185" t="n">
        <x:v>0</x:v>
      </x:c>
      <x:c r="K41" s="289" t="n">
        <x:v>181071</x:v>
      </x:c>
    </x:row>
    <x:row r="42" s="117" customFormat="1" hidden="1">
      <x:c r="A42" s="184" t="inlineStr">
        <x:is>
          <x:t xml:space="preserve">BARTEFFIV031</x:t>
        </x:is>
      </x:c>
      <x:c r="B42" s="184" t="inlineStr">
        <x:is>
          <x:t xml:space="preserve">BOCINA PTFE/FIV OD 260 X ID 200 X 304 MM</x:t>
        </x:is>
      </x:c>
      <x:c r="C42" s="184" t="n">
        <x:v>0</x:v>
      </x:c>
      <x:c r="D42" s="184" t="n">
        <x:v>0</x:v>
      </x:c>
      <x:c r="E42" s="184" t="n">
        <x:v>0</x:v>
      </x:c>
      <x:c r="F42" s="184" t="n">
        <x:v>0</x:v>
      </x:c>
      <x:c r="G42" s="184" t="n">
        <x:v>0</x:v>
      </x:c>
      <x:c r="H42" s="193" t="n">
        <x:v>0</x:v>
      </x:c>
      <x:c r="I42" s="185" t="n">
        <x:v>0</x:v>
      </x:c>
      <x:c r="J42" s="185" t="n">
        <x:v>0</x:v>
      </x:c>
      <x:c r="K42" s="289" t="n">
        <x:v>302837</x:v>
      </x:c>
    </x:row>
    <x:row r="43" s="117" customFormat="1" hidden="1">
      <x:c r="A43" s="184" t="inlineStr">
        <x:is>
          <x:t xml:space="preserve">BARTEFFIV032</x:t>
        </x:is>
      </x:c>
      <x:c r="B43" s="184" t="inlineStr">
        <x:is>
          <x:t xml:space="preserve">BOCINA PTFE/FIV OD 330 X ID 280 X 222 MM</x:t>
        </x:is>
      </x:c>
      <x:c r="C43" s="184" t="n">
        <x:v>0</x:v>
      </x:c>
      <x:c r="D43" s="184" t="n">
        <x:v>0</x:v>
      </x:c>
      <x:c r="E43" s="184" t="n">
        <x:v>0</x:v>
      </x:c>
      <x:c r="F43" s="184" t="n">
        <x:v>0</x:v>
      </x:c>
      <x:c r="G43" s="184" t="n">
        <x:v>0</x:v>
      </x:c>
      <x:c r="H43" s="193" t="n">
        <x:v>0</x:v>
      </x:c>
      <x:c r="I43" s="185" t="n">
        <x:v>0</x:v>
      </x:c>
      <x:c r="J43" s="185" t="n">
        <x:v>0</x:v>
      </x:c>
      <x:c r="K43" s="289" t="n">
        <x:v>248293</x:v>
      </x:c>
    </x:row>
    <x:row r="44" s="117" customFormat="1" hidden="1">
      <x:c r="A44" s="184" t="inlineStr">
        <x:is>
          <x:t xml:space="preserve">BARTEFFIV033</x:t>
        </x:is>
      </x:c>
      <x:c r="B44" s="184" t="inlineStr">
        <x:is>
          <x:t xml:space="preserve">BOCINA PTFE/FIV OD 280 X ID 230 X 203 MM</x:t>
        </x:is>
      </x:c>
      <x:c r="C44" s="184" t="n">
        <x:v>0</x:v>
      </x:c>
      <x:c r="D44" s="184" t="n">
        <x:v>0</x:v>
      </x:c>
      <x:c r="E44" s="184" t="n">
        <x:v>0</x:v>
      </x:c>
      <x:c r="F44" s="184" t="n">
        <x:v>0</x:v>
      </x:c>
      <x:c r="G44" s="184" t="n">
        <x:v>0</x:v>
      </x:c>
      <x:c r="H44" s="193" t="n">
        <x:v>0</x:v>
      </x:c>
      <x:c r="I44" s="185" t="n">
        <x:v>0</x:v>
      </x:c>
      <x:c r="J44" s="185" t="n">
        <x:v>0</x:v>
      </x:c>
      <x:c r="K44" s="289" t="n">
        <x:v>189549</x:v>
      </x:c>
    </x:row>
    <x:row r="45" s="117" customFormat="1" hidden="1">
      <x:c r="A45" s="184" t="inlineStr">
        <x:is>
          <x:t xml:space="preserve">BARTEFFIV034</x:t>
        </x:is>
      </x:c>
      <x:c r="B45" s="184" t="inlineStr">
        <x:is>
          <x:t xml:space="preserve">BOCINA PTFE/FIV OD 260 X ID 220 X 150 MM</x:t>
        </x:is>
      </x:c>
      <x:c r="C45" s="184" t="n">
        <x:v>0</x:v>
      </x:c>
      <x:c r="D45" s="184" t="n">
        <x:v>0</x:v>
      </x:c>
      <x:c r="E45" s="184" t="n">
        <x:v>0</x:v>
      </x:c>
      <x:c r="F45" s="184" t="n">
        <x:v>0</x:v>
      </x:c>
      <x:c r="G45" s="184" t="n">
        <x:v>0</x:v>
      </x:c>
      <x:c r="H45" s="193" t="n">
        <x:v>0</x:v>
      </x:c>
      <x:c r="I45" s="185" t="n">
        <x:v>0</x:v>
      </x:c>
      <x:c r="J45" s="185" t="n">
        <x:v>0</x:v>
      </x:c>
      <x:c r="K45" s="289" t="n">
        <x:v>65240</x:v>
      </x:c>
    </x:row>
    <x:row r="46" s="117" customFormat="1" hidden="1">
      <x:c r="A46" s="184" t="inlineStr">
        <x:is>
          <x:t xml:space="preserve">BARTEFFIV035</x:t>
        </x:is>
      </x:c>
      <x:c r="B46" s="184" t="inlineStr">
        <x:is>
          <x:t xml:space="preserve">BOCINA PTFE/FIV OD 260 X ID 180 X 300 MM</x:t>
        </x:is>
      </x:c>
      <x:c r="C46" s="184" t="n">
        <x:v>0</x:v>
      </x:c>
      <x:c r="D46" s="184" t="n">
        <x:v>0</x:v>
      </x:c>
      <x:c r="E46" s="184" t="n">
        <x:v>0</x:v>
      </x:c>
      <x:c r="F46" s="184" t="n">
        <x:v>0</x:v>
      </x:c>
      <x:c r="G46" s="184" t="n">
        <x:v>0</x:v>
      </x:c>
      <x:c r="H46" s="193" t="n">
        <x:v>0</x:v>
      </x:c>
      <x:c r="I46" s="185" t="n">
        <x:v>0</x:v>
      </x:c>
      <x:c r="J46" s="185" t="n">
        <x:v>0</x:v>
      </x:c>
      <x:c r="K46" s="289" t="n">
        <x:v>186027</x:v>
      </x:c>
    </x:row>
    <x:row r="47" s="117" customFormat="1" hidden="1">
      <x:c r="A47" s="184" t="inlineStr">
        <x:is>
          <x:t xml:space="preserve">BARTEFFIV036</x:t>
        </x:is>
      </x:c>
      <x:c r="B47" s="184" t="inlineStr">
        <x:is>
          <x:t xml:space="preserve">BOCINA PTFE/FIV OD 220 X ID 100 X 300 MM</x:t>
        </x:is>
      </x:c>
      <x:c r="C47" s="184" t="n">
        <x:v>0</x:v>
      </x:c>
      <x:c r="D47" s="184" t="n">
        <x:v>0</x:v>
      </x:c>
      <x:c r="E47" s="184" t="n">
        <x:v>0</x:v>
      </x:c>
      <x:c r="F47" s="184" t="n">
        <x:v>0</x:v>
      </x:c>
      <x:c r="G47" s="184" t="n">
        <x:v>0</x:v>
      </x:c>
      <x:c r="H47" s="193" t="n">
        <x:v>0</x:v>
      </x:c>
      <x:c r="I47" s="185" t="n">
        <x:v>0</x:v>
      </x:c>
      <x:c r="J47" s="185" t="n">
        <x:v>0</x:v>
      </x:c>
      <x:c r="K47" s="289" t="n">
        <x:v>323810</x:v>
      </x:c>
    </x:row>
    <x:row r="48" s="117" customFormat="1" hidden="1">
      <x:c r="A48" s="184" t="inlineStr">
        <x:is>
          <x:t xml:space="preserve">BARTEFFIV037</x:t>
        </x:is>
      </x:c>
      <x:c r="B48" s="184" t="inlineStr">
        <x:is>
          <x:t xml:space="preserve">BOCINA PTFE/FIV OD 150 X ID 60 X 150  MM</x:t>
        </x:is>
      </x:c>
      <x:c r="C48" s="184" t="n">
        <x:v>0</x:v>
      </x:c>
      <x:c r="D48" s="184" t="n">
        <x:v>0</x:v>
      </x:c>
      <x:c r="E48" s="184" t="n">
        <x:v>0</x:v>
      </x:c>
      <x:c r="F48" s="184" t="n">
        <x:v>0</x:v>
      </x:c>
      <x:c r="G48" s="184" t="n">
        <x:v>-1</x:v>
      </x:c>
      <x:c r="H48" s="193" t="n">
        <x:v>0</x:v>
      </x:c>
      <x:c r="I48" s="185" t="n">
        <x:v>0</x:v>
      </x:c>
      <x:c r="J48" s="185" t="n">
        <x:v>-1</x:v>
      </x:c>
      <x:c r="K48" s="289" t="n">
        <x:v>62252.8</x:v>
      </x:c>
    </x:row>
    <x:row r="49" s="117" customFormat="1" hidden="1">
      <x:c r="A49" s="184" t="inlineStr">
        <x:is>
          <x:t xml:space="preserve">BARTEFFIV038</x:t>
        </x:is>
      </x:c>
      <x:c r="B49" s="184" t="inlineStr">
        <x:is>
          <x:t xml:space="preserve">BOCINA PTFE/FIV OD 130 X ID 60 X 150 MM</x:t>
        </x:is>
      </x:c>
      <x:c r="C49" s="184" t="n">
        <x:v>0</x:v>
      </x:c>
      <x:c r="D49" s="184" t="n">
        <x:v>0</x:v>
      </x:c>
      <x:c r="E49" s="184" t="n">
        <x:v>0</x:v>
      </x:c>
      <x:c r="F49" s="184" t="n">
        <x:v>0</x:v>
      </x:c>
      <x:c r="G49" s="184" t="n">
        <x:v>0</x:v>
      </x:c>
      <x:c r="H49" s="193" t="n">
        <x:v>0</x:v>
      </x:c>
      <x:c r="I49" s="185" t="n">
        <x:v>0</x:v>
      </x:c>
      <x:c r="J49" s="185" t="n">
        <x:v>0</x:v>
      </x:c>
      <x:c r="K49" s="289" t="n">
        <x:v>43866.14</x:v>
      </x:c>
    </x:row>
    <x:row r="50" s="117" customFormat="1" hidden="1">
      <x:c r="A50" s="184" t="inlineStr">
        <x:is>
          <x:t xml:space="preserve">BARTEFFIV039</x:t>
        </x:is>
      </x:c>
      <x:c r="B50" s="184" t="inlineStr">
        <x:is>
          <x:t xml:space="preserve">BOCINA PTFE/FIV OD 250 X ID 205 X 220 MM</x:t>
        </x:is>
      </x:c>
      <x:c r="C50" s="184" t="n">
        <x:v>0</x:v>
      </x:c>
      <x:c r="D50" s="184" t="n">
        <x:v>0</x:v>
      </x:c>
      <x:c r="E50" s="184" t="n">
        <x:v>0</x:v>
      </x:c>
      <x:c r="F50" s="184" t="n">
        <x:v>0</x:v>
      </x:c>
      <x:c r="G50" s="184" t="n">
        <x:v>0</x:v>
      </x:c>
      <x:c r="H50" s="193" t="n">
        <x:v>0</x:v>
      </x:c>
      <x:c r="I50" s="185" t="n">
        <x:v>0</x:v>
      </x:c>
      <x:c r="J50" s="185" t="n">
        <x:v>0</x:v>
      </x:c>
      <x:c r="K50" s="289" t="n">
        <x:v>183142</x:v>
      </x:c>
    </x:row>
    <x:row r="51" s="117" customFormat="1" hidden="1">
      <x:c r="A51" s="184" t="inlineStr">
        <x:is>
          <x:t xml:space="preserve">BARTEFFIV040</x:t>
        </x:is>
      </x:c>
      <x:c r="B51" s="184" t="inlineStr">
        <x:is>
          <x:t xml:space="preserve">BOCINA PTFE/FIV OD 330 X ID 285 X 275 MM</x:t>
        </x:is>
      </x:c>
      <x:c r="C51" s="184" t="n">
        <x:v>0</x:v>
      </x:c>
      <x:c r="D51" s="184" t="n">
        <x:v>0</x:v>
      </x:c>
      <x:c r="E51" s="184" t="n">
        <x:v>0</x:v>
      </x:c>
      <x:c r="F51" s="184" t="n">
        <x:v>0</x:v>
      </x:c>
      <x:c r="G51" s="184" t="n">
        <x:v>0</x:v>
      </x:c>
      <x:c r="H51" s="193" t="n">
        <x:v>0</x:v>
      </x:c>
      <x:c r="I51" s="185" t="n">
        <x:v>0</x:v>
      </x:c>
      <x:c r="J51" s="185" t="n">
        <x:v>0</x:v>
      </x:c>
      <x:c r="K51" s="289" t="n">
        <x:v>316138</x:v>
      </x:c>
    </x:row>
    <x:row r="52" s="117" customFormat="1" hidden="1">
      <x:c r="A52" s="184" t="inlineStr">
        <x:is>
          <x:t xml:space="preserve">BARTEFFIV041</x:t>
        </x:is>
      </x:c>
      <x:c r="B52" s="184" t="inlineStr">
        <x:is>
          <x:t xml:space="preserve">BOCINA PTFE/FIV OD 260 X ID 196 X 300 MM</x:t>
        </x:is>
      </x:c>
      <x:c r="C52" s="184" t="n">
        <x:v>0</x:v>
      </x:c>
      <x:c r="D52" s="184" t="n">
        <x:v>0</x:v>
      </x:c>
      <x:c r="E52" s="184" t="n">
        <x:v>0</x:v>
      </x:c>
      <x:c r="F52" s="184" t="n">
        <x:v>0</x:v>
      </x:c>
      <x:c r="G52" s="184" t="n">
        <x:v>0</x:v>
      </x:c>
      <x:c r="H52" s="193" t="n">
        <x:v>0</x:v>
      </x:c>
      <x:c r="I52" s="185" t="n">
        <x:v>0</x:v>
      </x:c>
      <x:c r="J52" s="185" t="n">
        <x:v>0</x:v>
      </x:c>
      <x:c r="K52" s="289" t="n">
        <x:v>167232</x:v>
      </x:c>
    </x:row>
    <x:row r="53" s="117" customFormat="1" hidden="1">
      <x:c r="A53" s="184" t="inlineStr">
        <x:is>
          <x:t xml:space="preserve">BARTEFFIV042</x:t>
        </x:is>
      </x:c>
      <x:c r="B53" s="184" t="inlineStr">
        <x:is>
          <x:t xml:space="preserve">BOCINA PTFE/FIV OD 250 X ID 230 X 220 MM</x:t>
        </x:is>
      </x:c>
      <x:c r="C53" s="184" t="n">
        <x:v>8</x:v>
      </x:c>
      <x:c r="D53" s="184" t="n">
        <x:v>0</x:v>
      </x:c>
      <x:c r="E53" s="184" t="n">
        <x:v>0</x:v>
      </x:c>
      <x:c r="F53" s="184" t="n">
        <x:v>8</x:v>
      </x:c>
      <x:c r="G53" s="184" t="n">
        <x:v>334801</x:v>
      </x:c>
      <x:c r="H53" s="193" t="n">
        <x:v>0</x:v>
      </x:c>
      <x:c r="I53" s="185" t="n">
        <x:v>0</x:v>
      </x:c>
      <x:c r="J53" s="185" t="n">
        <x:v>334801</x:v>
      </x:c>
      <x:c r="K53" s="289" t="n">
        <x:v>41850.125</x:v>
      </x:c>
    </x:row>
    <x:row r="54" s="117" customFormat="1" hidden="1">
      <x:c r="A54" s="184" t="inlineStr">
        <x:is>
          <x:t xml:space="preserve">BARTEFFIV043</x:t>
        </x:is>
      </x:c>
      <x:c r="B54" s="184" t="inlineStr">
        <x:is>
          <x:t xml:space="preserve">BOCINA PTFE/FIV OD 300 X ID 270 X 275 MM</x:t>
        </x:is>
      </x:c>
      <x:c r="C54" s="184" t="n">
        <x:v>1</x:v>
      </x:c>
      <x:c r="D54" s="184" t="n">
        <x:v>0</x:v>
      </x:c>
      <x:c r="E54" s="184" t="n">
        <x:v>0</x:v>
      </x:c>
      <x:c r="F54" s="184" t="n">
        <x:v>1</x:v>
      </x:c>
      <x:c r="G54" s="184" t="n">
        <x:v>91698</x:v>
      </x:c>
      <x:c r="H54" s="193" t="n">
        <x:v>0</x:v>
      </x:c>
      <x:c r="I54" s="185" t="n">
        <x:v>0</x:v>
      </x:c>
      <x:c r="J54" s="185" t="n">
        <x:v>91698</x:v>
      </x:c>
      <x:c r="K54" s="289" t="n">
        <x:v>91698</x:v>
      </x:c>
    </x:row>
    <x:row r="55" s="117" customFormat="1" hidden="1">
      <x:c r="A55" s="184" t="inlineStr">
        <x:is>
          <x:t xml:space="preserve">BARTEFFIV044</x:t>
        </x:is>
      </x:c>
      <x:c r="B55" s="184" t="inlineStr">
        <x:is>
          <x:t xml:space="preserve">BOCINA PTFE/FIV OD 270 X ID 240 X 290 MM</x:t>
        </x:is>
      </x:c>
      <x:c r="C55" s="184" t="n">
        <x:v>1</x:v>
      </x:c>
      <x:c r="D55" s="184" t="n">
        <x:v>0</x:v>
      </x:c>
      <x:c r="E55" s="184" t="n">
        <x:v>0</x:v>
      </x:c>
      <x:c r="F55" s="184" t="n">
        <x:v>1</x:v>
      </x:c>
      <x:c r="G55" s="184" t="n">
        <x:v>84213</x:v>
      </x:c>
      <x:c r="H55" s="193" t="n">
        <x:v>0</x:v>
      </x:c>
      <x:c r="I55" s="185" t="n">
        <x:v>0</x:v>
      </x:c>
      <x:c r="J55" s="185" t="n">
        <x:v>84213</x:v>
      </x:c>
      <x:c r="K55" s="289" t="n">
        <x:v>84213</x:v>
      </x:c>
    </x:row>
    <x:row r="56" s="117" customFormat="1" hidden="1">
      <x:c r="A56" s="184" t="inlineStr">
        <x:is>
          <x:t xml:space="preserve">BARTEFFIV045</x:t>
        </x:is>
      </x:c>
      <x:c r="B56" s="184" t="inlineStr">
        <x:is>
          <x:t xml:space="preserve">BOCINA PTFE/FIV OD 310 X ID 260 X 240 MM</x:t>
        </x:is>
      </x:c>
      <x:c r="C56" s="184" t="n">
        <x:v>3</x:v>
      </x:c>
      <x:c r="D56" s="184" t="n">
        <x:v>0</x:v>
      </x:c>
      <x:c r="E56" s="184" t="n">
        <x:v>0</x:v>
      </x:c>
      <x:c r="F56" s="184" t="n">
        <x:v>3</x:v>
      </x:c>
      <x:c r="G56" s="184" t="n">
        <x:v>374922</x:v>
      </x:c>
      <x:c r="H56" s="193" t="n">
        <x:v>0</x:v>
      </x:c>
      <x:c r="I56" s="185" t="n">
        <x:v>0</x:v>
      </x:c>
      <x:c r="J56" s="185" t="n">
        <x:v>374922</x:v>
      </x:c>
      <x:c r="K56" s="289" t="n">
        <x:v>124974</x:v>
      </x:c>
    </x:row>
    <x:row r="57" s="117" customFormat="1" hidden="1">
      <x:c r="A57" s="184" t="inlineStr">
        <x:is>
          <x:t xml:space="preserve">BARTEFFIV046</x:t>
        </x:is>
      </x:c>
      <x:c r="B57" s="184" t="inlineStr">
        <x:is>
          <x:t xml:space="preserve">BOCINA PTFE/FIV OD 250 X ID 200 X 300 MM</x:t>
        </x:is>
      </x:c>
      <x:c r="C57" s="184" t="n">
        <x:v>0</x:v>
      </x:c>
      <x:c r="D57" s="184" t="n">
        <x:v>0</x:v>
      </x:c>
      <x:c r="E57" s="184" t="n">
        <x:v>0</x:v>
      </x:c>
      <x:c r="F57" s="184" t="n">
        <x:v>0</x:v>
      </x:c>
      <x:c r="G57" s="184" t="n">
        <x:v>0</x:v>
      </x:c>
      <x:c r="H57" s="193" t="n">
        <x:v>0</x:v>
      </x:c>
      <x:c r="I57" s="185" t="n">
        <x:v>0</x:v>
      </x:c>
      <x:c r="J57" s="185" t="n">
        <x:v>0</x:v>
      </x:c>
      <x:c r="K57" s="289" t="n">
        <x:v>98444</x:v>
      </x:c>
    </x:row>
    <x:row r="58" s="117" customFormat="1" hidden="1">
      <x:c r="A58" s="184" t="inlineStr">
        <x:is>
          <x:t xml:space="preserve">BARTEFFIV047</x:t>
        </x:is>
      </x:c>
      <x:c r="B58" s="184" t="inlineStr">
        <x:is>
          <x:t xml:space="preserve">BOCINA PTFE/FIV OD 240 X ID 180 X 300 MM</x:t>
        </x:is>
      </x:c>
      <x:c r="C58" s="184" t="n">
        <x:v>7</x:v>
      </x:c>
      <x:c r="D58" s="184" t="n">
        <x:v>0</x:v>
      </x:c>
      <x:c r="E58" s="184" t="n">
        <x:v>0</x:v>
      </x:c>
      <x:c r="F58" s="184" t="n">
        <x:v>7</x:v>
      </x:c>
      <x:c r="G58" s="184" t="n">
        <x:v>826287</x:v>
      </x:c>
      <x:c r="H58" s="193" t="n">
        <x:v>0</x:v>
      </x:c>
      <x:c r="I58" s="185" t="n">
        <x:v>0</x:v>
      </x:c>
      <x:c r="J58" s="185" t="n">
        <x:v>826287</x:v>
      </x:c>
      <x:c r="K58" s="289" t="n">
        <x:v>118041</x:v>
      </x:c>
    </x:row>
    <x:row r="59" s="117" customFormat="1" hidden="1">
      <x:c r="A59" s="184" t="inlineStr">
        <x:is>
          <x:t xml:space="preserve">BARTEFFIV048</x:t>
        </x:is>
      </x:c>
      <x:c r="B59" s="184" t="inlineStr">
        <x:is>
          <x:t xml:space="preserve">BOCINA PTFE/FIV OD 200 X ID 150 X 300 MM</x:t>
        </x:is>
      </x:c>
      <x:c r="C59" s="184" t="n">
        <x:v>0</x:v>
      </x:c>
      <x:c r="D59" s="184" t="n">
        <x:v>0</x:v>
      </x:c>
      <x:c r="E59" s="184" t="n">
        <x:v>0</x:v>
      </x:c>
      <x:c r="F59" s="184" t="n">
        <x:v>0</x:v>
      </x:c>
      <x:c r="G59" s="184" t="n">
        <x:v>0</x:v>
      </x:c>
      <x:c r="H59" s="193" t="n">
        <x:v>0</x:v>
      </x:c>
      <x:c r="I59" s="185" t="n">
        <x:v>0</x:v>
      </x:c>
      <x:c r="J59" s="185" t="n">
        <x:v>0</x:v>
      </x:c>
      <x:c r="K59" s="289" t="n">
        <x:v>76572</x:v>
      </x:c>
    </x:row>
    <x:row r="60" s="117" customFormat="1" hidden="1">
      <x:c r="A60" s="184" t="inlineStr">
        <x:is>
          <x:t xml:space="preserve">BARTEFFIV049</x:t>
        </x:is>
      </x:c>
      <x:c r="B60" s="184" t="inlineStr">
        <x:is>
          <x:t xml:space="preserve">BOCINA PTFE/FIV OD 175 X ID 135 X 300 MM</x:t>
        </x:is>
      </x:c>
      <x:c r="C60" s="184" t="n">
        <x:v>0</x:v>
      </x:c>
      <x:c r="D60" s="184" t="n">
        <x:v>0</x:v>
      </x:c>
      <x:c r="E60" s="184" t="n">
        <x:v>0</x:v>
      </x:c>
      <x:c r="F60" s="184" t="n">
        <x:v>0</x:v>
      </x:c>
      <x:c r="G60" s="184" t="n">
        <x:v>0</x:v>
      </x:c>
      <x:c r="H60" s="193" t="n">
        <x:v>0</x:v>
      </x:c>
      <x:c r="I60" s="185" t="n">
        <x:v>0</x:v>
      </x:c>
      <x:c r="J60" s="185" t="n">
        <x:v>0</x:v>
      </x:c>
      <x:c r="K60" s="289" t="n">
        <x:v>62027</x:v>
      </x:c>
    </x:row>
    <x:row r="61" s="117" customFormat="1" hidden="1">
      <x:c r="A61" s="184" t="inlineStr">
        <x:is>
          <x:t xml:space="preserve">BARTEFFIV050</x:t>
        </x:is>
      </x:c>
      <x:c r="B61" s="184" t="inlineStr">
        <x:is>
          <x:t xml:space="preserve">BOCINA PTFE/FIV OD 170 X ID 125 X 300 MM</x:t>
        </x:is>
      </x:c>
      <x:c r="C61" s="184" t="n">
        <x:v>0</x:v>
      </x:c>
      <x:c r="D61" s="184" t="n">
        <x:v>0</x:v>
      </x:c>
      <x:c r="E61" s="184" t="n">
        <x:v>0</x:v>
      </x:c>
      <x:c r="F61" s="184" t="n">
        <x:v>0</x:v>
      </x:c>
      <x:c r="G61" s="184" t="n">
        <x:v>0</x:v>
      </x:c>
      <x:c r="H61" s="193" t="n">
        <x:v>0</x:v>
      </x:c>
      <x:c r="I61" s="185" t="n">
        <x:v>0</x:v>
      </x:c>
      <x:c r="J61" s="185" t="n">
        <x:v>0</x:v>
      </x:c>
      <x:c r="K61" s="289" t="n">
        <x:v>85260</x:v>
      </x:c>
    </x:row>
    <x:row r="62" s="117" customFormat="1" hidden="1">
      <x:c r="A62" s="184" t="inlineStr">
        <x:is>
          <x:t xml:space="preserve">BARTEFFIV051</x:t>
        </x:is>
      </x:c>
      <x:c r="B62" s="184" t="inlineStr">
        <x:is>
          <x:t xml:space="preserve">BOCINA PTFE/FIV OD 250 X ID 205  X 200 MM</x:t>
        </x:is>
      </x:c>
      <x:c r="C62" s="184" t="n">
        <x:v>0</x:v>
      </x:c>
      <x:c r="D62" s="184" t="n">
        <x:v>0</x:v>
      </x:c>
      <x:c r="E62" s="184" t="n">
        <x:v>0</x:v>
      </x:c>
      <x:c r="F62" s="184" t="n">
        <x:v>0</x:v>
      </x:c>
      <x:c r="G62" s="184" t="n">
        <x:v>0</x:v>
      </x:c>
      <x:c r="H62" s="193" t="n">
        <x:v>0</x:v>
      </x:c>
      <x:c r="I62" s="185" t="n">
        <x:v>0</x:v>
      </x:c>
      <x:c r="J62" s="185" t="n">
        <x:v>0</x:v>
      </x:c>
      <x:c r="K62" s="289" t="n">
        <x:v>65626</x:v>
      </x:c>
    </x:row>
    <x:row r="63" s="117" customFormat="1" hidden="1">
      <x:c r="A63" s="184" t="inlineStr">
        <x:is>
          <x:t xml:space="preserve">BARTEFFIV052</x:t>
        </x:is>
      </x:c>
      <x:c r="B63" s="184" t="inlineStr">
        <x:is>
          <x:t xml:space="preserve">BOCINA PTFE/FIV OD 260 X ID 230 X 200 MM</x:t>
        </x:is>
      </x:c>
      <x:c r="C63" s="184" t="n">
        <x:v>12</x:v>
      </x:c>
      <x:c r="D63" s="184" t="n">
        <x:v>0</x:v>
      </x:c>
      <x:c r="E63" s="184" t="n">
        <x:v>0</x:v>
      </x:c>
      <x:c r="F63" s="184" t="n">
        <x:v>12</x:v>
      </x:c>
      <x:c r="G63" s="184" t="n">
        <x:v>589795</x:v>
      </x:c>
      <x:c r="H63" s="193" t="n">
        <x:v>0</x:v>
      </x:c>
      <x:c r="I63" s="185" t="n">
        <x:v>0</x:v>
      </x:c>
      <x:c r="J63" s="185" t="n">
        <x:v>589795</x:v>
      </x:c>
      <x:c r="K63" s="289" t="n">
        <x:v>49149.58333333</x:v>
      </x:c>
    </x:row>
    <x:row r="64" s="117" customFormat="1" hidden="1">
      <x:c r="A64" s="184" t="inlineStr">
        <x:is>
          <x:t xml:space="preserve">BARTEFFIV053</x:t>
        </x:is>
      </x:c>
      <x:c r="B64" s="184" t="inlineStr">
        <x:is>
          <x:t xml:space="preserve">BOCINA PTFE/FIV OD 330 X ID 290 X 200 MM</x:t>
        </x:is>
      </x:c>
      <x:c r="C64" s="184" t="n">
        <x:v>0</x:v>
      </x:c>
      <x:c r="D64" s="184" t="n">
        <x:v>0</x:v>
      </x:c>
      <x:c r="E64" s="184" t="n">
        <x:v>0</x:v>
      </x:c>
      <x:c r="F64" s="184" t="n">
        <x:v>0</x:v>
      </x:c>
      <x:c r="G64" s="184" t="n">
        <x:v>0</x:v>
      </x:c>
      <x:c r="H64" s="193" t="n">
        <x:v>0</x:v>
      </x:c>
      <x:c r="I64" s="185" t="n">
        <x:v>0</x:v>
      </x:c>
      <x:c r="J64" s="185" t="n">
        <x:v>0</x:v>
      </x:c>
      <x:c r="K64" s="289" t="n">
        <x:v>79579</x:v>
      </x:c>
    </x:row>
    <x:row r="65" s="117" customFormat="1" hidden="1">
      <x:c r="A65" s="184" t="inlineStr">
        <x:is>
          <x:t xml:space="preserve">BARTEFFIV054</x:t>
        </x:is>
      </x:c>
      <x:c r="B65" s="184" t="inlineStr">
        <x:is>
          <x:t xml:space="preserve">BOCINA PTFE/FIV OD 250 X ID 210 X 170 MM</x:t>
        </x:is>
      </x:c>
      <x:c r="C65" s="184" t="n">
        <x:v>2</x:v>
      </x:c>
      <x:c r="D65" s="184" t="n">
        <x:v>0</x:v>
      </x:c>
      <x:c r="E65" s="184" t="n">
        <x:v>0</x:v>
      </x:c>
      <x:c r="F65" s="184" t="n">
        <x:v>2</x:v>
      </x:c>
      <x:c r="G65" s="184" t="n">
        <x:v>91256</x:v>
      </x:c>
      <x:c r="H65" s="193" t="n">
        <x:v>0</x:v>
      </x:c>
      <x:c r="I65" s="185" t="n">
        <x:v>0</x:v>
      </x:c>
      <x:c r="J65" s="185" t="n">
        <x:v>91256</x:v>
      </x:c>
      <x:c r="K65" s="289" t="n">
        <x:v>45628</x:v>
      </x:c>
    </x:row>
    <x:row r="66" s="117" customFormat="1" hidden="1">
      <x:c r="A66" s="184" t="inlineStr">
        <x:is>
          <x:t xml:space="preserve">BARTEFFIV055</x:t>
        </x:is>
      </x:c>
      <x:c r="B66" s="184" t="inlineStr">
        <x:is>
          <x:t xml:space="preserve">BOCINA PTFE/FIV OD 250 X ID 210 X 220 MM</x:t>
        </x:is>
      </x:c>
      <x:c r="C66" s="184" t="n">
        <x:v>2</x:v>
      </x:c>
      <x:c r="D66" s="184" t="n">
        <x:v>0</x:v>
      </x:c>
      <x:c r="E66" s="184" t="n">
        <x:v>0</x:v>
      </x:c>
      <x:c r="F66" s="184" t="n">
        <x:v>2</x:v>
      </x:c>
      <x:c r="G66" s="184" t="n">
        <x:v>118082</x:v>
      </x:c>
      <x:c r="H66" s="193" t="n">
        <x:v>0</x:v>
      </x:c>
      <x:c r="I66" s="185" t="n">
        <x:v>0</x:v>
      </x:c>
      <x:c r="J66" s="185" t="n">
        <x:v>118082</x:v>
      </x:c>
      <x:c r="K66" s="289" t="n">
        <x:v>59041</x:v>
      </x:c>
    </x:row>
    <x:row r="67" s="117" customFormat="1" hidden="1">
      <x:c r="A67" s="184" t="inlineStr">
        <x:is>
          <x:t xml:space="preserve">BARTEFFIV056</x:t>
        </x:is>
      </x:c>
      <x:c r="B67" s="184" t="inlineStr">
        <x:is>
          <x:t xml:space="preserve">BOCINA PTFE/FIV OD  250 X ID 190 X 300 MM</x:t>
        </x:is>
      </x:c>
      <x:c r="C67" s="184" t="n">
        <x:v>33</x:v>
      </x:c>
      <x:c r="D67" s="184" t="n">
        <x:v>0</x:v>
      </x:c>
      <x:c r="E67" s="184" t="n">
        <x:v>0</x:v>
      </x:c>
      <x:c r="F67" s="184" t="n">
        <x:v>33</x:v>
      </x:c>
      <x:c r="G67" s="184" t="n">
        <x:v>2478762</x:v>
      </x:c>
      <x:c r="H67" s="193" t="n">
        <x:v>0</x:v>
      </x:c>
      <x:c r="I67" s="185" t="n">
        <x:v>0</x:v>
      </x:c>
      <x:c r="J67" s="185" t="n">
        <x:v>2478762</x:v>
      </x:c>
      <x:c r="K67" s="289" t="n">
        <x:v>75114</x:v>
      </x:c>
    </x:row>
    <x:row r="68" s="117" customFormat="1" hidden="1">
      <x:c r="A68" s="184" t="inlineStr">
        <x:is>
          <x:t xml:space="preserve">BARTEFFIV057</x:t>
        </x:is>
      </x:c>
      <x:c r="B68" s="184" t="inlineStr">
        <x:is>
          <x:t xml:space="preserve">BOCINA PTFE/FIV OD 200 X ID 145 X 300 MM</x:t>
        </x:is>
      </x:c>
      <x:c r="C68" s="184" t="n">
        <x:v>0</x:v>
      </x:c>
      <x:c r="D68" s="184" t="n">
        <x:v>0</x:v>
      </x:c>
      <x:c r="E68" s="184" t="n">
        <x:v>0</x:v>
      </x:c>
      <x:c r="F68" s="184" t="n">
        <x:v>0</x:v>
      </x:c>
      <x:c r="G68" s="184" t="n">
        <x:v>0</x:v>
      </x:c>
      <x:c r="H68" s="193" t="n">
        <x:v>0</x:v>
      </x:c>
      <x:c r="I68" s="185" t="n">
        <x:v>0</x:v>
      </x:c>
      <x:c r="J68" s="185" t="n">
        <x:v>0</x:v>
      </x:c>
      <x:c r="K68" s="289" t="n">
        <x:v>121700</x:v>
      </x:c>
    </x:row>
    <x:row r="69" s="117" customFormat="1" hidden="1">
      <x:c r="A69" s="184" t="inlineStr">
        <x:is>
          <x:t xml:space="preserve">BARTEFFIV058</x:t>
        </x:is>
      </x:c>
      <x:c r="B69" s="184" t="inlineStr">
        <x:is>
          <x:t xml:space="preserve">BOCINA PTFE/FIV OD 140 X ID 90 X 300 MM</x:t>
        </x:is>
      </x:c>
      <x:c r="C69" s="184" t="n">
        <x:v>0</x:v>
      </x:c>
      <x:c r="D69" s="184" t="n">
        <x:v>0</x:v>
      </x:c>
      <x:c r="E69" s="184" t="n">
        <x:v>0</x:v>
      </x:c>
      <x:c r="F69" s="184" t="n">
        <x:v>0</x:v>
      </x:c>
      <x:c r="G69" s="184" t="n">
        <x:v>0</x:v>
      </x:c>
      <x:c r="H69" s="193" t="n">
        <x:v>0</x:v>
      </x:c>
      <x:c r="I69" s="185" t="n">
        <x:v>0</x:v>
      </x:c>
      <x:c r="J69" s="185" t="n">
        <x:v>0</x:v>
      </x:c>
      <x:c r="K69" s="289" t="n">
        <x:v>73750</x:v>
      </x:c>
    </x:row>
    <x:row r="70" s="117" customFormat="1" hidden="1">
      <x:c r="A70" s="184" t="inlineStr">
        <x:is>
          <x:t xml:space="preserve">BARTEFFIV059</x:t>
        </x:is>
      </x:c>
      <x:c r="B70" s="184" t="inlineStr">
        <x:is>
          <x:t xml:space="preserve">BOCINA PTFE/FIV OD 170 X ID 120 X 300 MM</x:t>
        </x:is>
      </x:c>
      <x:c r="C70" s="184" t="n">
        <x:v>0</x:v>
      </x:c>
      <x:c r="D70" s="184" t="n">
        <x:v>0</x:v>
      </x:c>
      <x:c r="E70" s="184" t="n">
        <x:v>0</x:v>
      </x:c>
      <x:c r="F70" s="184" t="n">
        <x:v>0</x:v>
      </x:c>
      <x:c r="G70" s="184" t="n">
        <x:v>0</x:v>
      </x:c>
      <x:c r="H70" s="193" t="n">
        <x:v>0</x:v>
      </x:c>
      <x:c r="I70" s="185" t="n">
        <x:v>0</x:v>
      </x:c>
      <x:c r="J70" s="185" t="n">
        <x:v>0</x:v>
      </x:c>
      <x:c r="K70" s="289" t="n">
        <x:v>94735</x:v>
      </x:c>
    </x:row>
    <x:row r="71" s="117" customFormat="1" hidden="1">
      <x:c r="A71" s="184" t="inlineStr">
        <x:is>
          <x:t xml:space="preserve">BARTEFFIV060</x:t>
        </x:is>
      </x:c>
      <x:c r="B71" s="184" t="inlineStr">
        <x:is>
          <x:t xml:space="preserve">BOCINA PTFE/FIV OD 120 X ID 70 X 300 MM</x:t>
        </x:is>
      </x:c>
      <x:c r="C71" s="184" t="n">
        <x:v>0</x:v>
      </x:c>
      <x:c r="D71" s="184" t="n">
        <x:v>0</x:v>
      </x:c>
      <x:c r="E71" s="184" t="n">
        <x:v>0</x:v>
      </x:c>
      <x:c r="F71" s="184" t="n">
        <x:v>0</x:v>
      </x:c>
      <x:c r="G71" s="184" t="n">
        <x:v>0</x:v>
      </x:c>
      <x:c r="H71" s="193" t="n">
        <x:v>0</x:v>
      </x:c>
      <x:c r="I71" s="185" t="n">
        <x:v>0</x:v>
      </x:c>
      <x:c r="J71" s="185" t="n">
        <x:v>0</x:v>
      </x:c>
      <x:c r="K71" s="289" t="n">
        <x:v>61031</x:v>
      </x:c>
    </x:row>
    <x:row r="72" s="117" customFormat="1" hidden="1">
      <x:c r="A72" s="184" t="inlineStr">
        <x:is>
          <x:t xml:space="preserve">BARTEFFIV061</x:t>
        </x:is>
      </x:c>
      <x:c r="B72" s="184" t="inlineStr">
        <x:is>
          <x:t xml:space="preserve">BOCINA PTFE/FIV OD 250 X ID 200 X 220 MM</x:t>
        </x:is>
      </x:c>
      <x:c r="C72" s="184" t="n">
        <x:v>3</x:v>
      </x:c>
      <x:c r="D72" s="184" t="n">
        <x:v>0</x:v>
      </x:c>
      <x:c r="E72" s="184" t="n">
        <x:v>0</x:v>
      </x:c>
      <x:c r="F72" s="184" t="n">
        <x:v>3</x:v>
      </x:c>
      <x:c r="G72" s="184" t="n">
        <x:v>324651</x:v>
      </x:c>
      <x:c r="H72" s="193" t="n">
        <x:v>0</x:v>
      </x:c>
      <x:c r="I72" s="185" t="n">
        <x:v>0</x:v>
      </x:c>
      <x:c r="J72" s="185" t="n">
        <x:v>324651</x:v>
      </x:c>
      <x:c r="K72" s="289" t="n">
        <x:v>108217</x:v>
      </x:c>
    </x:row>
    <x:row r="73" s="117" customFormat="1" hidden="1">
      <x:c r="A73" s="184" t="inlineStr">
        <x:is>
          <x:t xml:space="preserve">BARTEFFIV062</x:t>
        </x:is>
      </x:c>
      <x:c r="B73" s="184" t="inlineStr">
        <x:is>
          <x:t xml:space="preserve">BOCINA PTFE/FIV OD 250 X ID 200 X 170 MM</x:t>
        </x:is>
      </x:c>
      <x:c r="C73" s="184" t="n">
        <x:v>2</x:v>
      </x:c>
      <x:c r="D73" s="184" t="n">
        <x:v>0</x:v>
      </x:c>
      <x:c r="E73" s="184" t="n">
        <x:v>0</x:v>
      </x:c>
      <x:c r="F73" s="184" t="n">
        <x:v>2</x:v>
      </x:c>
      <x:c r="G73" s="184" t="n">
        <x:v>167322</x:v>
      </x:c>
      <x:c r="H73" s="193" t="n">
        <x:v>0</x:v>
      </x:c>
      <x:c r="I73" s="185" t="n">
        <x:v>0</x:v>
      </x:c>
      <x:c r="J73" s="185" t="n">
        <x:v>167322</x:v>
      </x:c>
      <x:c r="K73" s="289" t="n">
        <x:v>83661</x:v>
      </x:c>
    </x:row>
    <x:row r="74" s="117" customFormat="1" hidden="1">
      <x:c r="A74" s="184" t="inlineStr">
        <x:is>
          <x:t xml:space="preserve">BARTEFFIV063</x:t>
        </x:is>
      </x:c>
      <x:c r="B74" s="184" t="inlineStr">
        <x:is>
          <x:t xml:space="preserve">BOCINA PTFE/FIV OD 180 X ID 130 X 300MM</x:t>
        </x:is>
      </x:c>
      <x:c r="C74" s="184" t="n">
        <x:v>0</x:v>
      </x:c>
      <x:c r="D74" s="184" t="n">
        <x:v>0</x:v>
      </x:c>
      <x:c r="E74" s="184" t="n">
        <x:v>0</x:v>
      </x:c>
      <x:c r="F74" s="184" t="n">
        <x:v>0</x:v>
      </x:c>
      <x:c r="G74" s="184" t="n">
        <x:v>0</x:v>
      </x:c>
      <x:c r="H74" s="193" t="n">
        <x:v>0</x:v>
      </x:c>
      <x:c r="I74" s="185" t="n">
        <x:v>0</x:v>
      </x:c>
      <x:c r="J74" s="185" t="n">
        <x:v>0</x:v>
      </x:c>
      <x:c r="K74" s="289" t="n">
        <x:v>99539</x:v>
      </x:c>
    </x:row>
    <x:row r="75" s="117" customFormat="1" hidden="1">
      <x:c r="A75" s="184" t="inlineStr">
        <x:is>
          <x:t xml:space="preserve">BARTEFFIV064</x:t>
        </x:is>
      </x:c>
      <x:c r="B75" s="184" t="inlineStr">
        <x:is>
          <x:t xml:space="preserve">BARRA PTFE/FIV OD 70 X 1000 MM</x:t>
        </x:is>
      </x:c>
      <x:c r="C75" s="184" t="n">
        <x:v>3</x:v>
      </x:c>
      <x:c r="D75" s="184" t="n">
        <x:v>0</x:v>
      </x:c>
      <x:c r="E75" s="184" t="n">
        <x:v>0</x:v>
      </x:c>
      <x:c r="F75" s="184" t="n">
        <x:v>3</x:v>
      </x:c>
      <x:c r="G75" s="184" t="n">
        <x:v>397743</x:v>
      </x:c>
      <x:c r="H75" s="193" t="n">
        <x:v>0</x:v>
      </x:c>
      <x:c r="I75" s="185" t="n">
        <x:v>0</x:v>
      </x:c>
      <x:c r="J75" s="185" t="n">
        <x:v>397743</x:v>
      </x:c>
      <x:c r="K75" s="289" t="n">
        <x:v>132581</x:v>
      </x:c>
    </x:row>
    <x:row r="76" s="117" customFormat="1" hidden="1">
      <x:c r="A76" s="184" t="inlineStr">
        <x:is>
          <x:t xml:space="preserve">BARTEFFIV065</x:t>
        </x:is>
      </x:c>
      <x:c r="B76" s="184" t="inlineStr">
        <x:is>
          <x:t xml:space="preserve">BOCINA PTFE/FIV OD 335 X ID 245 X 233 MM</x:t>
        </x:is>
      </x:c>
      <x:c r="C76" s="184" t="n">
        <x:v>0</x:v>
      </x:c>
      <x:c r="D76" s="184" t="n">
        <x:v>0</x:v>
      </x:c>
      <x:c r="E76" s="184" t="n">
        <x:v>0</x:v>
      </x:c>
      <x:c r="F76" s="184" t="n">
        <x:v>0</x:v>
      </x:c>
      <x:c r="G76" s="184" t="n">
        <x:v>0</x:v>
      </x:c>
      <x:c r="H76" s="193" t="n">
        <x:v>0</x:v>
      </x:c>
      <x:c r="I76" s="185" t="n">
        <x:v>0</x:v>
      </x:c>
      <x:c r="J76" s="185" t="n">
        <x:v>0</x:v>
      </x:c>
      <x:c r="K76" s="289" t="n">
        <x:v>249110</x:v>
      </x:c>
    </x:row>
    <x:row r="77" s="117" customFormat="1" hidden="1">
      <x:c r="A77" s="184" t="inlineStr">
        <x:is>
          <x:t xml:space="preserve">BARTEFFIV066</x:t>
        </x:is>
      </x:c>
      <x:c r="B77" s="184" t="inlineStr">
        <x:is>
          <x:t xml:space="preserve">BOCINA PTFE/FIV OD 248 X ID 196 X 300 MM</x:t>
        </x:is>
      </x:c>
      <x:c r="C77" s="184" t="n">
        <x:v>0</x:v>
      </x:c>
      <x:c r="D77" s="184" t="n">
        <x:v>0</x:v>
      </x:c>
      <x:c r="E77" s="184" t="n">
        <x:v>0</x:v>
      </x:c>
      <x:c r="F77" s="184" t="n">
        <x:v>0</x:v>
      </x:c>
      <x:c r="G77" s="184" t="n">
        <x:v>0</x:v>
      </x:c>
      <x:c r="H77" s="193" t="n">
        <x:v>0</x:v>
      </x:c>
      <x:c r="I77" s="185" t="n">
        <x:v>0</x:v>
      </x:c>
      <x:c r="J77" s="185" t="n">
        <x:v>0</x:v>
      </x:c>
      <x:c r="K77" s="289" t="n">
        <x:v>136411</x:v>
      </x:c>
    </x:row>
    <x:row r="78" s="117" customFormat="1" hidden="1">
      <x:c r="A78" s="184" t="inlineStr">
        <x:is>
          <x:t xml:space="preserve">BARTEFFIV067</x:t>
        </x:is>
      </x:c>
      <x:c r="B78" s="184" t="inlineStr">
        <x:is>
          <x:t xml:space="preserve">BOCINA PTFE/FIV OD 140 X ID 90  X 330 MM</x:t>
        </x:is>
      </x:c>
      <x:c r="C78" s="184" t="n">
        <x:v>12</x:v>
      </x:c>
      <x:c r="D78" s="184" t="n">
        <x:v>0</x:v>
      </x:c>
      <x:c r="E78" s="184" t="n">
        <x:v>0</x:v>
      </x:c>
      <x:c r="F78" s="184" t="n">
        <x:v>12</x:v>
      </x:c>
      <x:c r="G78" s="184" t="n">
        <x:v>989064</x:v>
      </x:c>
      <x:c r="H78" s="193" t="n">
        <x:v>0</x:v>
      </x:c>
      <x:c r="I78" s="185" t="n">
        <x:v>0</x:v>
      </x:c>
      <x:c r="J78" s="185" t="n">
        <x:v>989064</x:v>
      </x:c>
      <x:c r="K78" s="289" t="n">
        <x:v>82422</x:v>
      </x:c>
    </x:row>
    <x:row r="79" s="117" customFormat="1" hidden="1">
      <x:c r="A79" s="184" t="inlineStr">
        <x:is>
          <x:t xml:space="preserve">BARTEFFIV068</x:t>
        </x:is>
      </x:c>
      <x:c r="B79" s="184" t="inlineStr">
        <x:is>
          <x:t xml:space="preserve">BARRA PTFE-FV 25%  OD 140MM DIAM X ID 90MM X 330 MM LARGO</x:t>
        </x:is>
      </x:c>
      <x:c r="C79" s="184" t="n">
        <x:v>0</x:v>
      </x:c>
      <x:c r="D79" s="184" t="n">
        <x:v>0</x:v>
      </x:c>
      <x:c r="E79" s="184" t="n">
        <x:v>0</x:v>
      </x:c>
      <x:c r="F79" s="184" t="n">
        <x:v>0</x:v>
      </x:c>
      <x:c r="G79" s="184" t="n">
        <x:v>0</x:v>
      </x:c>
      <x:c r="H79" s="193" t="n">
        <x:v>0</x:v>
      </x:c>
      <x:c r="I79" s="185" t="n">
        <x:v>0</x:v>
      </x:c>
      <x:c r="J79" s="185" t="n">
        <x:v>0</x:v>
      </x:c>
      <x:c r="K79" s="289" t="n">
        <x:v>0</x:v>
      </x:c>
    </x:row>
    <x:row r="80" s="117" customFormat="1" hidden="1">
      <x:c r="A80" s="184" t="inlineStr">
        <x:is>
          <x:t xml:space="preserve">BARTEFFIV069</x:t>
        </x:is>
      </x:c>
      <x:c r="B80" s="184" t="inlineStr">
        <x:is>
          <x:t xml:space="preserve">BARRA DE PTFA FIBRA DE VIDRIO 200 MM X ID180MMX 290MM</x:t>
        </x:is>
      </x:c>
      <x:c r="C80" s="184" t="n">
        <x:v>5</x:v>
      </x:c>
      <x:c r="D80" s="184" t="n">
        <x:v>0</x:v>
      </x:c>
      <x:c r="E80" s="184" t="n">
        <x:v>0</x:v>
      </x:c>
      <x:c r="F80" s="184" t="n">
        <x:v>5</x:v>
      </x:c>
      <x:c r="G80" s="184" t="n">
        <x:v>1286850</x:v>
      </x:c>
      <x:c r="H80" s="193" t="n">
        <x:v>0</x:v>
      </x:c>
      <x:c r="I80" s="185" t="n">
        <x:v>0</x:v>
      </x:c>
      <x:c r="J80" s="185" t="n">
        <x:v>1286850</x:v>
      </x:c>
      <x:c r="K80" s="289" t="n">
        <x:v>257370</x:v>
      </x:c>
    </x:row>
    <x:row r="81" s="117" customFormat="1" hidden="1">
      <x:c r="A81" s="184" t="inlineStr">
        <x:is>
          <x:t xml:space="preserve">BARTEFFIV070</x:t>
        </x:is>
      </x:c>
      <x:c r="B81" s="184" t="inlineStr">
        <x:is>
          <x:t xml:space="preserve">BOCINA PTFE/FIV OD 097MM X ID 64  X L290 MM</x:t>
        </x:is>
      </x:c>
      <x:c r="C81" s="184" t="n">
        <x:v>5</x:v>
      </x:c>
      <x:c r="D81" s="184" t="n">
        <x:v>0</x:v>
      </x:c>
      <x:c r="E81" s="184" t="n">
        <x:v>1</x:v>
      </x:c>
      <x:c r="F81" s="184" t="n">
        <x:v>4</x:v>
      </x:c>
      <x:c r="G81" s="184" t="n">
        <x:v>123485</x:v>
      </x:c>
      <x:c r="H81" s="193" t="n">
        <x:v>0</x:v>
      </x:c>
      <x:c r="I81" s="185" t="n">
        <x:v>24697</x:v>
      </x:c>
      <x:c r="J81" s="185" t="n">
        <x:v>98788</x:v>
      </x:c>
      <x:c r="K81" s="289" t="n">
        <x:v>24697</x:v>
      </x:c>
    </x:row>
    <x:row r="82" s="117" customFormat="1" hidden="1">
      <x:c r="A82" s="184" t="inlineStr">
        <x:is>
          <x:t xml:space="preserve">BARTEFFIV071</x:t>
        </x:is>
      </x:c>
      <x:c r="B82" s="184" t="inlineStr">
        <x:is>
          <x:t xml:space="preserve">BOCINA PTFE/FIV OD 136MM X ID 79  X L290 MM</x:t>
        </x:is>
      </x:c>
      <x:c r="C82" s="184" t="n">
        <x:v>21</x:v>
      </x:c>
      <x:c r="D82" s="184" t="n">
        <x:v>0</x:v>
      </x:c>
      <x:c r="E82" s="184" t="n">
        <x:v>1</x:v>
      </x:c>
      <x:c r="F82" s="184" t="n">
        <x:v>20</x:v>
      </x:c>
      <x:c r="G82" s="184" t="n">
        <x:v>1278963</x:v>
      </x:c>
      <x:c r="H82" s="193" t="n">
        <x:v>0</x:v>
      </x:c>
      <x:c r="I82" s="185" t="n">
        <x:v>60903</x:v>
      </x:c>
      <x:c r="J82" s="185" t="n">
        <x:v>1218060</x:v>
      </x:c>
      <x:c r="K82" s="289" t="n">
        <x:v>60903</x:v>
      </x:c>
    </x:row>
    <x:row r="83" s="117" customFormat="1" hidden="1">
      <x:c r="A83" s="184" t="inlineStr">
        <x:is>
          <x:t xml:space="preserve">BARTEFFIV072</x:t>
        </x:is>
      </x:c>
      <x:c r="B83" s="184" t="inlineStr">
        <x:is>
          <x:t xml:space="preserve">BOCINA PTFE/FIV OD 204MM X ID 109  X L290 MM</x:t>
        </x:is>
      </x:c>
      <x:c r="C83" s="184" t="n">
        <x:v>10</x:v>
      </x:c>
      <x:c r="D83" s="184" t="n">
        <x:v>0</x:v>
      </x:c>
      <x:c r="E83" s="184" t="n">
        <x:v>2</x:v>
      </x:c>
      <x:c r="F83" s="184" t="n">
        <x:v>8</x:v>
      </x:c>
      <x:c r="G83" s="184" t="n">
        <x:v>1377500</x:v>
      </x:c>
      <x:c r="H83" s="193" t="n">
        <x:v>0</x:v>
      </x:c>
      <x:c r="I83" s="185" t="n">
        <x:v>275500</x:v>
      </x:c>
      <x:c r="J83" s="185" t="n">
        <x:v>1102000</x:v>
      </x:c>
      <x:c r="K83" s="289" t="n">
        <x:v>137750</x:v>
      </x:c>
    </x:row>
    <x:row r="84" s="117" customFormat="1" hidden="1">
      <x:c r="A84" s="184" t="inlineStr">
        <x:is>
          <x:t xml:space="preserve">BARTEFFIV073</x:t>
        </x:is>
      </x:c>
      <x:c r="B84" s="184" t="inlineStr">
        <x:is>
          <x:t xml:space="preserve">BOCINA PTFE/FIV OD 253MM X ID 179  X L290 MM</x:t>
        </x:is>
      </x:c>
      <x:c r="C84" s="184" t="n">
        <x:v>12</x:v>
      </x:c>
      <x:c r="D84" s="184" t="n">
        <x:v>0</x:v>
      </x:c>
      <x:c r="E84" s="184" t="n">
        <x:v>0</x:v>
      </x:c>
      <x:c r="F84" s="184" t="n">
        <x:v>12</x:v>
      </x:c>
      <x:c r="G84" s="184" t="n">
        <x:v>1684656</x:v>
      </x:c>
      <x:c r="H84" s="193" t="n">
        <x:v>0</x:v>
      </x:c>
      <x:c r="I84" s="185" t="n">
        <x:v>0</x:v>
      </x:c>
      <x:c r="J84" s="185" t="n">
        <x:v>1684656</x:v>
      </x:c>
      <x:c r="K84" s="289" t="n">
        <x:v>140388</x:v>
      </x:c>
    </x:row>
    <x:row r="85" s="117" customFormat="1" hidden="1">
      <x:c r="A85" s="184" t="inlineStr">
        <x:is>
          <x:t xml:space="preserve">BARTEFFIV074</x:t>
        </x:is>
      </x:c>
      <x:c r="B85" s="184" t="inlineStr">
        <x:is>
          <x:t xml:space="preserve">BOCINA PTFE/FIV OD 333MM X ID 240 X L240 MM</x:t>
        </x:is>
      </x:c>
      <x:c r="C85" s="184" t="n">
        <x:v>3</x:v>
      </x:c>
      <x:c r="D85" s="184" t="n">
        <x:v>0</x:v>
      </x:c>
      <x:c r="E85" s="184" t="n">
        <x:v>0</x:v>
      </x:c>
      <x:c r="F85" s="184" t="n">
        <x:v>3</x:v>
      </x:c>
      <x:c r="G85" s="184" t="n">
        <x:v>586248</x:v>
      </x:c>
      <x:c r="H85" s="193" t="n">
        <x:v>0</x:v>
      </x:c>
      <x:c r="I85" s="185" t="n">
        <x:v>0</x:v>
      </x:c>
      <x:c r="J85" s="185" t="n">
        <x:v>586248</x:v>
      </x:c>
      <x:c r="K85" s="289" t="n">
        <x:v>195416</x:v>
      </x:c>
    </x:row>
    <x:row r="86" s="117" customFormat="1" hidden="1">
      <x:c r="A86" s="184" t="inlineStr">
        <x:is>
          <x:t xml:space="preserve">BARTEFPUR001</x:t>
        </x:is>
      </x:c>
      <x:c r="B86" s="184" t="inlineStr">
        <x:is>
          <x:t xml:space="preserve">BARRA TEFLON PURO DIAM 50 MM X 1000 MM LGO</x:t>
        </x:is>
      </x:c>
      <x:c r="C86" s="184" t="n">
        <x:v>0</x:v>
      </x:c>
      <x:c r="D86" s="184" t="n">
        <x:v>0</x:v>
      </x:c>
      <x:c r="E86" s="184" t="n">
        <x:v>0</x:v>
      </x:c>
      <x:c r="F86" s="184" t="n">
        <x:v>0</x:v>
      </x:c>
      <x:c r="G86" s="184" t="n">
        <x:v>0</x:v>
      </x:c>
      <x:c r="H86" s="193" t="n">
        <x:v>0</x:v>
      </x:c>
      <x:c r="I86" s="185" t="n">
        <x:v>0</x:v>
      </x:c>
      <x:c r="J86" s="185" t="n">
        <x:v>0</x:v>
      </x:c>
      <x:c r="K86" s="289" t="n">
        <x:v>25000</x:v>
      </x:c>
    </x:row>
    <x:row r="87" s="117" customFormat="1" hidden="1">
      <x:c r="A87" s="184" t="inlineStr">
        <x:is>
          <x:t xml:space="preserve">BARTEFPUR002</x:t>
        </x:is>
      </x:c>
      <x:c r="B87" s="184" t="inlineStr">
        <x:is>
          <x:t xml:space="preserve">BARRA TEFLON PURO DIAM 140 MM</x:t>
        </x:is>
      </x:c>
      <x:c r="C87" s="184" t="n">
        <x:v>0</x:v>
      </x:c>
      <x:c r="D87" s="184" t="n">
        <x:v>0</x:v>
      </x:c>
      <x:c r="E87" s="184" t="n">
        <x:v>0</x:v>
      </x:c>
      <x:c r="F87" s="184" t="n">
        <x:v>0</x:v>
      </x:c>
      <x:c r="G87" s="184" t="n">
        <x:v>0</x:v>
      </x:c>
      <x:c r="H87" s="193" t="n">
        <x:v>0</x:v>
      </x:c>
      <x:c r="I87" s="185" t="n">
        <x:v>0</x:v>
      </x:c>
      <x:c r="J87" s="185" t="n">
        <x:v>0</x:v>
      </x:c>
      <x:c r="K87" s="289" t="n">
        <x:v>510000</x:v>
      </x:c>
    </x:row>
    <x:row r="88" s="117" customFormat="1" hidden="1">
      <x:c r="A88" s="184" t="inlineStr">
        <x:is>
          <x:t xml:space="preserve">BARTEFPUR003</x:t>
        </x:is>
      </x:c>
      <x:c r="B88" s="184" t="inlineStr">
        <x:is>
          <x:t xml:space="preserve">BARRA TEFLON PURO DIAM 150 MM</x:t>
        </x:is>
      </x:c>
      <x:c r="C88" s="184" t="n">
        <x:v>0</x:v>
      </x:c>
      <x:c r="D88" s="184" t="n">
        <x:v>0</x:v>
      </x:c>
      <x:c r="E88" s="184" t="n">
        <x:v>0</x:v>
      </x:c>
      <x:c r="F88" s="184" t="n">
        <x:v>0</x:v>
      </x:c>
      <x:c r="G88" s="184" t="n">
        <x:v>0</x:v>
      </x:c>
      <x:c r="H88" s="193" t="n">
        <x:v>0</x:v>
      </x:c>
      <x:c r="I88" s="185" t="n">
        <x:v>0</x:v>
      </x:c>
      <x:c r="J88" s="185" t="n">
        <x:v>0</x:v>
      </x:c>
      <x:c r="K88" s="289" t="n">
        <x:v>571440</x:v>
      </x:c>
    </x:row>
    <x:row r="89" s="117" customFormat="1" hidden="1">
      <x:c r="A89" s="184" t="inlineStr">
        <x:is>
          <x:t xml:space="preserve">BARTEFPUR004</x:t>
        </x:is>
      </x:c>
      <x:c r="B89" s="184" t="inlineStr">
        <x:is>
          <x:t xml:space="preserve">BARRA TEFLON PURO 100x1000 mm c/u</x:t>
        </x:is>
      </x:c>
      <x:c r="C89" s="184" t="n">
        <x:v>0</x:v>
      </x:c>
      <x:c r="D89" s="184" t="n">
        <x:v>0</x:v>
      </x:c>
      <x:c r="E89" s="184" t="n">
        <x:v>0</x:v>
      </x:c>
      <x:c r="F89" s="184" t="n">
        <x:v>0</x:v>
      </x:c>
      <x:c r="G89" s="184" t="n">
        <x:v>0</x:v>
      </x:c>
      <x:c r="H89" s="193" t="n">
        <x:v>0</x:v>
      </x:c>
      <x:c r="I89" s="185" t="n">
        <x:v>0</x:v>
      </x:c>
      <x:c r="J89" s="185" t="n">
        <x:v>0</x:v>
      </x:c>
      <x:c r="K89" s="289" t="n">
        <x:v>360000</x:v>
      </x:c>
    </x:row>
    <x:row r="90" s="117" customFormat="1" hidden="1">
      <x:c r="A90" s="184" t="inlineStr">
        <x:is>
          <x:t xml:space="preserve">BARTEFPUR005</x:t>
        </x:is>
      </x:c>
      <x:c r="B90" s="184" t="inlineStr">
        <x:is>
          <x:t xml:space="preserve">BARRA DE TEFLON PURO DIAMETRO 200MM X 300 MM LGO</x:t>
        </x:is>
      </x:c>
      <x:c r="C90" s="184" t="n">
        <x:v>0</x:v>
      </x:c>
      <x:c r="D90" s="184" t="n">
        <x:v>0</x:v>
      </x:c>
      <x:c r="E90" s="184" t="n">
        <x:v>0</x:v>
      </x:c>
      <x:c r="F90" s="184" t="n">
        <x:v>0</x:v>
      </x:c>
      <x:c r="G90" s="184" t="n">
        <x:v>0</x:v>
      </x:c>
      <x:c r="H90" s="193" t="n">
        <x:v>0</x:v>
      </x:c>
      <x:c r="I90" s="185" t="n">
        <x:v>0</x:v>
      </x:c>
      <x:c r="J90" s="185" t="n">
        <x:v>0</x:v>
      </x:c>
      <x:c r="K90" s="289" t="n">
        <x:v>0</x:v>
      </x:c>
    </x:row>
    <x:row r="91" s="117" customFormat="1" hidden="1">
      <x:c r="A91" s="184" t="inlineStr">
        <x:is>
          <x:t xml:space="preserve">BARTEFPUR006</x:t>
        </x:is>
      </x:c>
      <x:c r="B91" s="184" t="inlineStr">
        <x:is>
          <x:t xml:space="preserve">BARRA TEFLON PURO DIAM 180 MM</x:t>
        </x:is>
      </x:c>
      <x:c r="C91" s="184" t="n">
        <x:v>0</x:v>
      </x:c>
      <x:c r="D91" s="184" t="n">
        <x:v>0</x:v>
      </x:c>
      <x:c r="E91" s="184" t="n">
        <x:v>0</x:v>
      </x:c>
      <x:c r="F91" s="184" t="n">
        <x:v>0</x:v>
      </x:c>
      <x:c r="G91" s="184" t="n">
        <x:v>0</x:v>
      </x:c>
      <x:c r="H91" s="193" t="n">
        <x:v>0</x:v>
      </x:c>
      <x:c r="I91" s="185" t="n">
        <x:v>0</x:v>
      </x:c>
      <x:c r="J91" s="185" t="n">
        <x:v>0</x:v>
      </x:c>
      <x:c r="K91" s="289" t="n">
        <x:v>805718</x:v>
      </x:c>
    </x:row>
    <x:row r="92" s="117" customFormat="1" hidden="1">
      <x:c r="A92" s="184" t="inlineStr">
        <x:is>
          <x:t xml:space="preserve">BARTEFPUR007</x:t>
        </x:is>
      </x:c>
      <x:c r="B92" s="184" t="inlineStr">
        <x:is>
          <x:t xml:space="preserve">BARRA TEFLON PURO DIAM 120 MM x 220MM</x:t>
        </x:is>
      </x:c>
      <x:c r="C92" s="184" t="n">
        <x:v>0</x:v>
      </x:c>
      <x:c r="D92" s="184" t="n">
        <x:v>0</x:v>
      </x:c>
      <x:c r="E92" s="184" t="n">
        <x:v>0</x:v>
      </x:c>
      <x:c r="F92" s="184" t="n">
        <x:v>0</x:v>
      </x:c>
      <x:c r="G92" s="184" t="n">
        <x:v>0</x:v>
      </x:c>
      <x:c r="H92" s="193" t="n">
        <x:v>0</x:v>
      </x:c>
      <x:c r="I92" s="185" t="n">
        <x:v>0</x:v>
      </x:c>
      <x:c r="J92" s="185" t="n">
        <x:v>0</x:v>
      </x:c>
      <x:c r="K92" s="289" t="n">
        <x:v>78340</x:v>
      </x:c>
    </x:row>
    <x:row r="93" s="117" customFormat="1" hidden="1">
      <x:c r="A93" s="184" t="inlineStr">
        <x:is>
          <x:t xml:space="preserve">BARTEFPUR008</x:t>
        </x:is>
      </x:c>
      <x:c r="B93" s="184" t="inlineStr">
        <x:is>
          <x:t xml:space="preserve">BARRA TEFLON PURO DIAM 130 MM x 220MM</x:t>
        </x:is>
      </x:c>
      <x:c r="C93" s="184" t="n">
        <x:v>0</x:v>
      </x:c>
      <x:c r="D93" s="184" t="n">
        <x:v>0</x:v>
      </x:c>
      <x:c r="E93" s="184" t="n">
        <x:v>0</x:v>
      </x:c>
      <x:c r="F93" s="184" t="n">
        <x:v>0</x:v>
      </x:c>
      <x:c r="G93" s="184" t="n">
        <x:v>0</x:v>
      </x:c>
      <x:c r="H93" s="193" t="n">
        <x:v>0</x:v>
      </x:c>
      <x:c r="I93" s="185" t="n">
        <x:v>0</x:v>
      </x:c>
      <x:c r="J93" s="185" t="n">
        <x:v>0</x:v>
      </x:c>
      <x:c r="K93" s="289" t="n">
        <x:v>95191</x:v>
      </x:c>
    </x:row>
    <x:row r="94" s="117" customFormat="1" hidden="1">
      <x:c r="A94" s="184" t="inlineStr">
        <x:is>
          <x:t xml:space="preserve">BOCTEFCIL001</x:t>
        </x:is>
      </x:c>
      <x:c r="B94" s="184" t="inlineStr">
        <x:is>
          <x:t xml:space="preserve">BOCINA TEFLON 10 1/4 X 5 3/4</x:t>
        </x:is>
      </x:c>
      <x:c r="C94" s="184" t="n">
        <x:v>0</x:v>
      </x:c>
      <x:c r="D94" s="184" t="n">
        <x:v>0</x:v>
      </x:c>
      <x:c r="E94" s="184" t="n">
        <x:v>0</x:v>
      </x:c>
      <x:c r="F94" s="184" t="n">
        <x:v>0</x:v>
      </x:c>
      <x:c r="G94" s="184" t="n">
        <x:v>0</x:v>
      </x:c>
      <x:c r="H94" s="193" t="n">
        <x:v>0</x:v>
      </x:c>
      <x:c r="I94" s="185" t="n">
        <x:v>0</x:v>
      </x:c>
      <x:c r="J94" s="185" t="n">
        <x:v>0</x:v>
      </x:c>
      <x:c r="K94" s="289" t="n">
        <x:v>0</x:v>
      </x:c>
    </x:row>
    <x:row r="95" s="117" customFormat="1" hidden="1">
      <x:c r="A95" s="184" t="inlineStr">
        <x:is>
          <x:t xml:space="preserve">BOCTEFCIL002</x:t>
        </x:is>
      </x:c>
      <x:c r="B95" s="184" t="inlineStr">
        <x:is>
          <x:t xml:space="preserve">BOCINA TEFLON 10 1/4 X 6 1/4</x:t>
        </x:is>
      </x:c>
      <x:c r="C95" s="184" t="n">
        <x:v>0</x:v>
      </x:c>
      <x:c r="D95" s="184" t="n">
        <x:v>0</x:v>
      </x:c>
      <x:c r="E95" s="184" t="n">
        <x:v>0</x:v>
      </x:c>
      <x:c r="F95" s="184" t="n">
        <x:v>0</x:v>
      </x:c>
      <x:c r="G95" s="184" t="n">
        <x:v>0</x:v>
      </x:c>
      <x:c r="H95" s="193" t="n">
        <x:v>0</x:v>
      </x:c>
      <x:c r="I95" s="185" t="n">
        <x:v>0</x:v>
      </x:c>
      <x:c r="J95" s="185" t="n">
        <x:v>0</x:v>
      </x:c>
      <x:c r="K95" s="289" t="n">
        <x:v>0</x:v>
      </x:c>
    </x:row>
    <x:row r="96" s="117" customFormat="1" hidden="1">
      <x:c r="A96" s="184" t="inlineStr">
        <x:is>
          <x:t xml:space="preserve">BOCTEFCIL003</x:t>
        </x:is>
      </x:c>
      <x:c r="B96" s="184" t="inlineStr">
        <x:is>
          <x:t xml:space="preserve">BOCINA TEFLON 10 1/4 X 7</x:t>
        </x:is>
      </x:c>
      <x:c r="C96" s="184" t="n">
        <x:v>0</x:v>
      </x:c>
      <x:c r="D96" s="184" t="n">
        <x:v>0</x:v>
      </x:c>
      <x:c r="E96" s="184" t="n">
        <x:v>0</x:v>
      </x:c>
      <x:c r="F96" s="184" t="n">
        <x:v>0</x:v>
      </x:c>
      <x:c r="G96" s="184" t="n">
        <x:v>0</x:v>
      </x:c>
      <x:c r="H96" s="193" t="n">
        <x:v>0</x:v>
      </x:c>
      <x:c r="I96" s="185" t="n">
        <x:v>0</x:v>
      </x:c>
      <x:c r="J96" s="185" t="n">
        <x:v>0</x:v>
      </x:c>
      <x:c r="K96" s="289" t="n">
        <x:v>0</x:v>
      </x:c>
    </x:row>
    <x:row r="97" s="117" customFormat="1" hidden="1">
      <x:c r="A97" s="184" t="inlineStr">
        <x:is>
          <x:t xml:space="preserve">BOCTEFCIL004</x:t>
        </x:is>
      </x:c>
      <x:c r="B97" s="184" t="inlineStr">
        <x:is>
          <x:t xml:space="preserve">BOCINA TEFLON 13 1/4 x 9 3/4</x:t>
        </x:is>
      </x:c>
      <x:c r="C97" s="184" t="n">
        <x:v>0</x:v>
      </x:c>
      <x:c r="D97" s="184" t="n">
        <x:v>0</x:v>
      </x:c>
      <x:c r="E97" s="184" t="n">
        <x:v>0</x:v>
      </x:c>
      <x:c r="F97" s="184" t="n">
        <x:v>0</x:v>
      </x:c>
      <x:c r="G97" s="184" t="n">
        <x:v>0</x:v>
      </x:c>
      <x:c r="H97" s="193" t="n">
        <x:v>0</x:v>
      </x:c>
      <x:c r="I97" s="185" t="n">
        <x:v>0</x:v>
      </x:c>
      <x:c r="J97" s="185" t="n">
        <x:v>0</x:v>
      </x:c>
      <x:c r="K97" s="289" t="n">
        <x:v>0</x:v>
      </x:c>
    </x:row>
    <x:row r="98" s="117" customFormat="1" hidden="1">
      <x:c r="A98" s="184" t="inlineStr">
        <x:is>
          <x:t xml:space="preserve">BOCTEFCIL005</x:t>
        </x:is>
      </x:c>
      <x:c r="B98" s="184" t="inlineStr">
        <x:is>
          <x:t xml:space="preserve">BOCINA TEFLON 3 1/2 X 1 7/8</x:t>
        </x:is>
      </x:c>
      <x:c r="C98" s="184" t="n">
        <x:v>0</x:v>
      </x:c>
      <x:c r="D98" s="184" t="n">
        <x:v>0</x:v>
      </x:c>
      <x:c r="E98" s="184" t="n">
        <x:v>0</x:v>
      </x:c>
      <x:c r="F98" s="184" t="n">
        <x:v>0</x:v>
      </x:c>
      <x:c r="G98" s="184" t="n">
        <x:v>0</x:v>
      </x:c>
      <x:c r="H98" s="193" t="n">
        <x:v>0</x:v>
      </x:c>
      <x:c r="I98" s="185" t="n">
        <x:v>0</x:v>
      </x:c>
      <x:c r="J98" s="185" t="n">
        <x:v>0</x:v>
      </x:c>
      <x:c r="K98" s="289" t="n">
        <x:v>0</x:v>
      </x:c>
    </x:row>
    <x:row r="99" s="117" customFormat="1" hidden="1">
      <x:c r="A99" s="184" t="inlineStr">
        <x:is>
          <x:t xml:space="preserve">BOCTEFCIL006</x:t>
        </x:is>
      </x:c>
      <x:c r="B99" s="184" t="inlineStr">
        <x:is>
          <x:t xml:space="preserve">BOCINA TEFLON 3 3/4 X 1 1/2</x:t>
        </x:is>
      </x:c>
      <x:c r="C99" s="184" t="n">
        <x:v>0</x:v>
      </x:c>
      <x:c r="D99" s="184" t="n">
        <x:v>0</x:v>
      </x:c>
      <x:c r="E99" s="184" t="n">
        <x:v>0</x:v>
      </x:c>
      <x:c r="F99" s="184" t="n">
        <x:v>0</x:v>
      </x:c>
      <x:c r="G99" s="184" t="n">
        <x:v>0</x:v>
      </x:c>
      <x:c r="H99" s="193" t="n">
        <x:v>0</x:v>
      </x:c>
      <x:c r="I99" s="185" t="n">
        <x:v>0</x:v>
      </x:c>
      <x:c r="J99" s="185" t="n">
        <x:v>0</x:v>
      </x:c>
      <x:c r="K99" s="289" t="n">
        <x:v>0</x:v>
      </x:c>
    </x:row>
    <x:row r="100" s="117" customFormat="1" hidden="1">
      <x:c r="A100" s="184" t="inlineStr">
        <x:is>
          <x:t xml:space="preserve">BOCTEFCIL007</x:t>
        </x:is>
      </x:c>
      <x:c r="B100" s="184" t="inlineStr">
        <x:is>
          <x:t xml:space="preserve">BOCINA TEFLON 4 3/8 X 2 1/4</x:t>
        </x:is>
      </x:c>
      <x:c r="C100" s="184" t="n">
        <x:v>0</x:v>
      </x:c>
      <x:c r="D100" s="184" t="n">
        <x:v>0</x:v>
      </x:c>
      <x:c r="E100" s="184" t="n">
        <x:v>0</x:v>
      </x:c>
      <x:c r="F100" s="184" t="n">
        <x:v>0</x:v>
      </x:c>
      <x:c r="G100" s="184" t="n">
        <x:v>0</x:v>
      </x:c>
      <x:c r="H100" s="193" t="n">
        <x:v>0</x:v>
      </x:c>
      <x:c r="I100" s="185" t="n">
        <x:v>0</x:v>
      </x:c>
      <x:c r="J100" s="185" t="n">
        <x:v>0</x:v>
      </x:c>
      <x:c r="K100" s="289" t="n">
        <x:v>0</x:v>
      </x:c>
    </x:row>
    <x:row r="101" s="117" customFormat="1" hidden="1">
      <x:c r="A101" s="184" t="inlineStr">
        <x:is>
          <x:t xml:space="preserve">BOCTEFCIL008</x:t>
        </x:is>
      </x:c>
      <x:c r="B101" s="184" t="inlineStr">
        <x:is>
          <x:t xml:space="preserve">BOCINA TEFLON 5 3/4 X 3</x:t>
        </x:is>
      </x:c>
      <x:c r="C101" s="184" t="n">
        <x:v>0</x:v>
      </x:c>
      <x:c r="D101" s="184" t="n">
        <x:v>0</x:v>
      </x:c>
      <x:c r="E101" s="184" t="n">
        <x:v>0</x:v>
      </x:c>
      <x:c r="F101" s="184" t="n">
        <x:v>0</x:v>
      </x:c>
      <x:c r="G101" s="184" t="n">
        <x:v>0</x:v>
      </x:c>
      <x:c r="H101" s="193" t="n">
        <x:v>0</x:v>
      </x:c>
      <x:c r="I101" s="185" t="n">
        <x:v>0</x:v>
      </x:c>
      <x:c r="J101" s="185" t="n">
        <x:v>0</x:v>
      </x:c>
      <x:c r="K101" s="289" t="n">
        <x:v>0</x:v>
      </x:c>
    </x:row>
    <x:row r="102" s="117" customFormat="1" hidden="1">
      <x:c r="A102" s="184" t="inlineStr">
        <x:is>
          <x:t xml:space="preserve">BOCTEFCIL009</x:t>
        </x:is>
      </x:c>
      <x:c r="B102" s="184" t="inlineStr">
        <x:is>
          <x:t xml:space="preserve">BOCINA TEFLON 7 1/4 X 4</x:t>
        </x:is>
      </x:c>
      <x:c r="C102" s="184" t="n">
        <x:v>0</x:v>
      </x:c>
      <x:c r="D102" s="184" t="n">
        <x:v>0</x:v>
      </x:c>
      <x:c r="E102" s="184" t="n">
        <x:v>0</x:v>
      </x:c>
      <x:c r="F102" s="184" t="n">
        <x:v>0</x:v>
      </x:c>
      <x:c r="G102" s="184" t="n">
        <x:v>0</x:v>
      </x:c>
      <x:c r="H102" s="193" t="n">
        <x:v>0</x:v>
      </x:c>
      <x:c r="I102" s="185" t="n">
        <x:v>0</x:v>
      </x:c>
      <x:c r="J102" s="185" t="n">
        <x:v>0</x:v>
      </x:c>
      <x:c r="K102" s="289" t="n">
        <x:v>0</x:v>
      </x:c>
    </x:row>
    <x:row r="103" s="117" customFormat="1" hidden="1">
      <x:c r="A103" s="184" t="inlineStr">
        <x:is>
          <x:t xml:space="preserve">BOCTEFCIL010</x:t>
        </x:is>
      </x:c>
      <x:c r="B103" s="184" t="inlineStr">
        <x:is>
          <x:t xml:space="preserve">BOCINA TEFLON 8 1/4 X 5 1/2</x:t>
        </x:is>
      </x:c>
      <x:c r="C103" s="184" t="n">
        <x:v>0</x:v>
      </x:c>
      <x:c r="D103" s="184" t="n">
        <x:v>0</x:v>
      </x:c>
      <x:c r="E103" s="184" t="n">
        <x:v>0</x:v>
      </x:c>
      <x:c r="F103" s="184" t="n">
        <x:v>0</x:v>
      </x:c>
      <x:c r="G103" s="184" t="n">
        <x:v>0</x:v>
      </x:c>
      <x:c r="H103" s="193" t="n">
        <x:v>0</x:v>
      </x:c>
      <x:c r="I103" s="185" t="n">
        <x:v>0</x:v>
      </x:c>
      <x:c r="J103" s="185" t="n">
        <x:v>0</x:v>
      </x:c>
      <x:c r="K103" s="289" t="n">
        <x:v>0</x:v>
      </x:c>
    </x:row>
    <x:row r="104" s="117" customFormat="1" hidden="1">
      <x:c r="A104" s="184" t="inlineStr">
        <x:is>
          <x:t xml:space="preserve">CARSILGRA001</x:t>
        </x:is>
      </x:c>
      <x:c r="B104" s="184" t="inlineStr">
        <x:is>
          <x:t xml:space="preserve">CARBURO DE SILICIO GRANO 120</x:t>
        </x:is>
      </x:c>
      <x:c r="C104" s="184" t="n">
        <x:v>0</x:v>
      </x:c>
      <x:c r="D104" s="184" t="n">
        <x:v>0</x:v>
      </x:c>
      <x:c r="E104" s="184" t="n">
        <x:v>0</x:v>
      </x:c>
      <x:c r="F104" s="184" t="n">
        <x:v>0</x:v>
      </x:c>
      <x:c r="G104" s="184" t="n">
        <x:v>0</x:v>
      </x:c>
      <x:c r="H104" s="193" t="n">
        <x:v>0</x:v>
      </x:c>
      <x:c r="I104" s="185" t="n">
        <x:v>0</x:v>
      </x:c>
      <x:c r="J104" s="185" t="n">
        <x:v>0</x:v>
      </x:c>
      <x:c r="K104" s="289" t="n">
        <x:v>0</x:v>
      </x:c>
    </x:row>
    <x:row r="105" s="117" customFormat="1" hidden="1">
      <x:c r="A105" s="184" t="inlineStr">
        <x:is>
          <x:t xml:space="preserve">CARSILGRA002</x:t>
        </x:is>
      </x:c>
      <x:c r="B105" s="184" t="inlineStr">
        <x:is>
          <x:t xml:space="preserve">CARBURO DE SILICIO GRANO 240</x:t>
        </x:is>
      </x:c>
      <x:c r="C105" s="184" t="n">
        <x:v>0</x:v>
      </x:c>
      <x:c r="D105" s="184" t="n">
        <x:v>0</x:v>
      </x:c>
      <x:c r="E105" s="184" t="n">
        <x:v>0</x:v>
      </x:c>
      <x:c r="F105" s="184" t="n">
        <x:v>0</x:v>
      </x:c>
      <x:c r="G105" s="184" t="n">
        <x:v>0</x:v>
      </x:c>
      <x:c r="H105" s="193" t="n">
        <x:v>0</x:v>
      </x:c>
      <x:c r="I105" s="185" t="n">
        <x:v>0</x:v>
      </x:c>
      <x:c r="J105" s="185" t="n">
        <x:v>0</x:v>
      </x:c>
      <x:c r="K105" s="289" t="n">
        <x:v>0</x:v>
      </x:c>
    </x:row>
    <x:row r="106" s="117" customFormat="1" hidden="1">
      <x:c r="A106" s="184" t="inlineStr">
        <x:is>
          <x:t xml:space="preserve">CARSILGRA003</x:t>
        </x:is>
      </x:c>
      <x:c r="B106" s="184" t="inlineStr">
        <x:is>
          <x:t xml:space="preserve">CARBURO DE SILICIO GRANO 220</x:t>
        </x:is>
      </x:c>
      <x:c r="C106" s="184" t="n">
        <x:v>0</x:v>
      </x:c>
      <x:c r="D106" s="184" t="n">
        <x:v>0</x:v>
      </x:c>
      <x:c r="E106" s="184" t="n">
        <x:v>0</x:v>
      </x:c>
      <x:c r="F106" s="184" t="n">
        <x:v>0</x:v>
      </x:c>
      <x:c r="G106" s="184" t="n">
        <x:v>0</x:v>
      </x:c>
      <x:c r="H106" s="193" t="n">
        <x:v>0</x:v>
      </x:c>
      <x:c r="I106" s="185" t="n">
        <x:v>0</x:v>
      </x:c>
      <x:c r="J106" s="185" t="n">
        <x:v>0</x:v>
      </x:c>
      <x:c r="K106" s="289" t="n">
        <x:v>0</x:v>
      </x:c>
    </x:row>
    <x:row r="107" s="117" customFormat="1" hidden="1">
      <x:c r="A107" s="184" t="inlineStr">
        <x:is>
          <x:t xml:space="preserve">CARSILGRA004</x:t>
        </x:is>
      </x:c>
      <x:c r="B107" s="184" t="inlineStr">
        <x:is>
          <x:t xml:space="preserve">CARBURO DE SILICIO GRANO 320</x:t>
        </x:is>
      </x:c>
      <x:c r="C107" s="184" t="n">
        <x:v>0</x:v>
      </x:c>
      <x:c r="D107" s="184" t="n">
        <x:v>0</x:v>
      </x:c>
      <x:c r="E107" s="184" t="n">
        <x:v>0</x:v>
      </x:c>
      <x:c r="F107" s="184" t="n">
        <x:v>0</x:v>
      </x:c>
      <x:c r="G107" s="184" t="n">
        <x:v>0</x:v>
      </x:c>
      <x:c r="H107" s="193" t="n">
        <x:v>0</x:v>
      </x:c>
      <x:c r="I107" s="185" t="n">
        <x:v>0</x:v>
      </x:c>
      <x:c r="J107" s="185" t="n">
        <x:v>0</x:v>
      </x:c>
      <x:c r="K107" s="289" t="n">
        <x:v>0</x:v>
      </x:c>
    </x:row>
    <x:row r="108" s="117" customFormat="1" hidden="1">
      <x:c r="A108" s="184" t="inlineStr">
        <x:is>
          <x:t xml:space="preserve">CARSILGRA005</x:t>
        </x:is>
      </x:c>
      <x:c r="B108" s="184" t="inlineStr">
        <x:is>
          <x:t xml:space="preserve">CARBURO DE SILICIO GRANO 400</x:t>
        </x:is>
      </x:c>
      <x:c r="C108" s="184" t="n">
        <x:v>0</x:v>
      </x:c>
      <x:c r="D108" s="184" t="n">
        <x:v>0</x:v>
      </x:c>
      <x:c r="E108" s="184" t="n">
        <x:v>0</x:v>
      </x:c>
      <x:c r="F108" s="184" t="n">
        <x:v>0</x:v>
      </x:c>
      <x:c r="G108" s="184" t="n">
        <x:v>0</x:v>
      </x:c>
      <x:c r="H108" s="193" t="n">
        <x:v>0</x:v>
      </x:c>
      <x:c r="I108" s="185" t="n">
        <x:v>0</x:v>
      </x:c>
      <x:c r="J108" s="185" t="n">
        <x:v>0</x:v>
      </x:c>
      <x:c r="K108" s="289" t="n">
        <x:v>0</x:v>
      </x:c>
    </x:row>
    <x:row r="109" s="117" customFormat="1" hidden="1">
      <x:c r="A109" s="184" t="inlineStr">
        <x:is>
          <x:t xml:space="preserve">CARSILGRA006</x:t>
        </x:is>
      </x:c>
      <x:c r="B109" s="184" t="inlineStr">
        <x:is>
          <x:t xml:space="preserve">CARBURO DE SILICIO GRANO 600</x:t>
        </x:is>
      </x:c>
      <x:c r="C109" s="184" t="n">
        <x:v>0</x:v>
      </x:c>
      <x:c r="D109" s="184" t="n">
        <x:v>0</x:v>
      </x:c>
      <x:c r="E109" s="184" t="n">
        <x:v>0</x:v>
      </x:c>
      <x:c r="F109" s="184" t="n">
        <x:v>0</x:v>
      </x:c>
      <x:c r="G109" s="184" t="n">
        <x:v>0</x:v>
      </x:c>
      <x:c r="H109" s="193" t="n">
        <x:v>0</x:v>
      </x:c>
      <x:c r="I109" s="185" t="n">
        <x:v>0</x:v>
      </x:c>
      <x:c r="J109" s="185" t="n">
        <x:v>0</x:v>
      </x:c>
      <x:c r="K109" s="289" t="n">
        <x:v>6767.84313725</x:v>
      </x:c>
    </x:row>
    <x:row r="110" s="117" customFormat="1" hidden="1">
      <x:c r="A110" s="184" t="inlineStr">
        <x:is>
          <x:t xml:space="preserve">CARSILGRA007</x:t>
        </x:is>
      </x:c>
      <x:c r="B110" s="184" t="inlineStr">
        <x:is>
          <x:t xml:space="preserve">CARBURO DE SILICIO GRANO 800</x:t>
        </x:is>
      </x:c>
      <x:c r="C110" s="184" t="n">
        <x:v>0</x:v>
      </x:c>
      <x:c r="D110" s="184" t="n">
        <x:v>0</x:v>
      </x:c>
      <x:c r="E110" s="184" t="n">
        <x:v>0</x:v>
      </x:c>
      <x:c r="F110" s="184" t="n">
        <x:v>0</x:v>
      </x:c>
      <x:c r="G110" s="184" t="n">
        <x:v>0</x:v>
      </x:c>
      <x:c r="H110" s="193" t="n">
        <x:v>0</x:v>
      </x:c>
      <x:c r="I110" s="185" t="n">
        <x:v>0</x:v>
      </x:c>
      <x:c r="J110" s="185" t="n">
        <x:v>0</x:v>
      </x:c>
      <x:c r="K110" s="289" t="n">
        <x:v>0</x:v>
      </x:c>
    </x:row>
    <x:row r="111" s="117" customFormat="1" hidden="1">
      <x:c r="A111" s="184" t="inlineStr">
        <x:is>
          <x:t xml:space="preserve">CARSILGRA008</x:t>
        </x:is>
      </x:c>
      <x:c r="B111" s="184" t="inlineStr">
        <x:is>
          <x:t xml:space="preserve">CARBURO DE SILICIO GRANO 1000</x:t>
        </x:is>
      </x:c>
      <x:c r="C111" s="184" t="n">
        <x:v>0</x:v>
      </x:c>
      <x:c r="D111" s="184" t="n">
        <x:v>0</x:v>
      </x:c>
      <x:c r="E111" s="184" t="n">
        <x:v>0</x:v>
      </x:c>
      <x:c r="F111" s="184" t="n">
        <x:v>0</x:v>
      </x:c>
      <x:c r="G111" s="184" t="n">
        <x:v>0</x:v>
      </x:c>
      <x:c r="H111" s="193" t="n">
        <x:v>0</x:v>
      </x:c>
      <x:c r="I111" s="185" t="n">
        <x:v>0</x:v>
      </x:c>
      <x:c r="J111" s="185" t="n">
        <x:v>0</x:v>
      </x:c>
      <x:c r="K111" s="289" t="n">
        <x:v>0</x:v>
      </x:c>
    </x:row>
    <x:row r="112" s="117" customFormat="1" hidden="1">
      <x:c r="A112" s="184" t="inlineStr">
        <x:is>
          <x:t xml:space="preserve">CARSILGRA009</x:t>
        </x:is>
      </x:c>
      <x:c r="B112" s="184" t="inlineStr">
        <x:is>
          <x:t xml:space="preserve">CARBURO DE SILICIO GRANO 1200</x:t>
        </x:is>
      </x:c>
      <x:c r="C112" s="184" t="n">
        <x:v>0</x:v>
      </x:c>
      <x:c r="D112" s="184" t="n">
        <x:v>0</x:v>
      </x:c>
      <x:c r="E112" s="184" t="n">
        <x:v>0</x:v>
      </x:c>
      <x:c r="F112" s="184" t="n">
        <x:v>0</x:v>
      </x:c>
      <x:c r="G112" s="184" t="n">
        <x:v>0</x:v>
      </x:c>
      <x:c r="H112" s="193" t="n">
        <x:v>0</x:v>
      </x:c>
      <x:c r="I112" s="185" t="n">
        <x:v>0</x:v>
      </x:c>
      <x:c r="J112" s="185" t="n">
        <x:v>0</x:v>
      </x:c>
      <x:c r="K112" s="289" t="n">
        <x:v>0</x:v>
      </x:c>
    </x:row>
    <x:row r="113" s="117" customFormat="1" hidden="1">
      <x:c r="A113" s="184" t="inlineStr">
        <x:is>
          <x:t xml:space="preserve">CER001001001</x:t>
        </x:is>
      </x:c>
      <x:c r="B113" s="184" t="inlineStr">
        <x:is>
          <x:t xml:space="preserve">CERTIFICACION DE ESTANQUES  DS43 OC.45101476122</x:t>
        </x:is>
      </x:c>
      <x:c r="C113" s="184" t="n">
        <x:v>0</x:v>
      </x:c>
      <x:c r="D113" s="184" t="n">
        <x:v>0</x:v>
      </x:c>
      <x:c r="E113" s="184" t="n">
        <x:v>0</x:v>
      </x:c>
      <x:c r="F113" s="184" t="n">
        <x:v>0</x:v>
      </x:c>
      <x:c r="G113" s="184" t="n">
        <x:v>0</x:v>
      </x:c>
      <x:c r="H113" s="193" t="n">
        <x:v>0</x:v>
      </x:c>
      <x:c r="I113" s="185" t="n">
        <x:v>0</x:v>
      </x:c>
      <x:c r="J113" s="185" t="n">
        <x:v>0</x:v>
      </x:c>
      <x:c r="K113" s="289" t="n">
        <x:v>5000000</x:v>
      </x:c>
    </x:row>
    <x:row r="114" s="117" customFormat="1" hidden="1">
      <x:c r="A114" s="184" t="inlineStr">
        <x:is>
          <x:t xml:space="preserve">COMPRADIR001</x:t>
        </x:is>
      </x:c>
      <x:c r="B114" s="184" t="inlineStr">
        <x:is>
          <x:t xml:space="preserve">DISCOS LIJA 5 PLG PS 73 GR 80 8 PERF</x:t>
        </x:is>
      </x:c>
      <x:c r="C114" s="184" t="n">
        <x:v>0</x:v>
      </x:c>
      <x:c r="D114" s="184" t="n">
        <x:v>0</x:v>
      </x:c>
      <x:c r="E114" s="184" t="n">
        <x:v>0</x:v>
      </x:c>
      <x:c r="F114" s="184" t="n">
        <x:v>0</x:v>
      </x:c>
      <x:c r="G114" s="184" t="n">
        <x:v>0</x:v>
      </x:c>
      <x:c r="H114" s="193" t="n">
        <x:v>0</x:v>
      </x:c>
      <x:c r="I114" s="185" t="n">
        <x:v>0</x:v>
      </x:c>
      <x:c r="J114" s="185" t="n">
        <x:v>0</x:v>
      </x:c>
      <x:c r="K114" s="289" t="n">
        <x:v>326</x:v>
      </x:c>
    </x:row>
    <x:row r="115" s="117" customFormat="1" hidden="1">
      <x:c r="A115" s="184" t="inlineStr">
        <x:is>
          <x:t xml:space="preserve">COMPRADIR002</x:t>
        </x:is>
      </x:c>
      <x:c r="B115" s="184" t="inlineStr">
        <x:is>
          <x:t xml:space="preserve">Disco de lija para lijadora orbital 4 1/2 grano 60</x:t>
        </x:is>
      </x:c>
      <x:c r="C115" s="184" t="n">
        <x:v>53</x:v>
      </x:c>
      <x:c r="D115" s="184" t="n">
        <x:v>0</x:v>
      </x:c>
      <x:c r="E115" s="184" t="n">
        <x:v>30</x:v>
      </x:c>
      <x:c r="F115" s="184" t="n">
        <x:v>23</x:v>
      </x:c>
      <x:c r="G115" s="184" t="n">
        <x:v>21730</x:v>
      </x:c>
      <x:c r="H115" s="193" t="n">
        <x:v>0</x:v>
      </x:c>
      <x:c r="I115" s="185" t="n">
        <x:v>12300</x:v>
      </x:c>
      <x:c r="J115" s="185" t="n">
        <x:v>9430</x:v>
      </x:c>
      <x:c r="K115" s="289" t="n">
        <x:v>410</x:v>
      </x:c>
    </x:row>
    <x:row r="116" s="117" customFormat="1" hidden="1">
      <x:c r="A116" s="184" t="inlineStr">
        <x:is>
          <x:t xml:space="preserve">COMPRADIR003</x:t>
        </x:is>
      </x:c>
      <x:c r="B116" s="184" t="inlineStr">
        <x:is>
          <x:t xml:space="preserve">Disco de lija para lijadora orbital 4 1/2 grano 80</x:t>
        </x:is>
      </x:c>
      <x:c r="C116" s="184" t="n">
        <x:v>40</x:v>
      </x:c>
      <x:c r="D116" s="184" t="n">
        <x:v>0</x:v>
      </x:c>
      <x:c r="E116" s="184" t="n">
        <x:v>20</x:v>
      </x:c>
      <x:c r="F116" s="184" t="n">
        <x:v>20</x:v>
      </x:c>
      <x:c r="G116" s="184" t="n">
        <x:v>16400</x:v>
      </x:c>
      <x:c r="H116" s="193" t="n">
        <x:v>0</x:v>
      </x:c>
      <x:c r="I116" s="185" t="n">
        <x:v>8200</x:v>
      </x:c>
      <x:c r="J116" s="185" t="n">
        <x:v>8200</x:v>
      </x:c>
      <x:c r="K116" s="289" t="n">
        <x:v>410</x:v>
      </x:c>
    </x:row>
    <x:row r="117" s="117" customFormat="1" hidden="1">
      <x:c r="A117" s="184" t="inlineStr">
        <x:is>
          <x:t xml:space="preserve">COMPRADIR004</x:t>
        </x:is>
      </x:c>
      <x:c r="B117" s="184" t="inlineStr">
        <x:is>
          <x:t xml:space="preserve">Disco de lija para lijadora orbital 4 1/2 grano 100</x:t>
        </x:is>
      </x:c>
      <x:c r="C117" s="184" t="n">
        <x:v>50</x:v>
      </x:c>
      <x:c r="D117" s="184" t="n">
        <x:v>0</x:v>
      </x:c>
      <x:c r="E117" s="184" t="n">
        <x:v>30</x:v>
      </x:c>
      <x:c r="F117" s="184" t="n">
        <x:v>20</x:v>
      </x:c>
      <x:c r="G117" s="184" t="n">
        <x:v>20500</x:v>
      </x:c>
      <x:c r="H117" s="193" t="n">
        <x:v>0</x:v>
      </x:c>
      <x:c r="I117" s="185" t="n">
        <x:v>12300</x:v>
      </x:c>
      <x:c r="J117" s="185" t="n">
        <x:v>8200</x:v>
      </x:c>
      <x:c r="K117" s="289" t="n">
        <x:v>410</x:v>
      </x:c>
    </x:row>
    <x:row r="118" s="117" customFormat="1" hidden="1">
      <x:c r="A118" s="184" t="inlineStr">
        <x:is>
          <x:t xml:space="preserve">COMPRADIR005</x:t>
        </x:is>
      </x:c>
      <x:c r="B118" s="184" t="inlineStr">
        <x:is>
          <x:t xml:space="preserve">Disco de lija para lijadora orbital 4 1/2 grano 120</x:t>
        </x:is>
      </x:c>
      <x:c r="C118" s="184" t="n">
        <x:v>50</x:v>
      </x:c>
      <x:c r="D118" s="184" t="n">
        <x:v>0</x:v>
      </x:c>
      <x:c r="E118" s="184" t="n">
        <x:v>20</x:v>
      </x:c>
      <x:c r="F118" s="184" t="n">
        <x:v>30</x:v>
      </x:c>
      <x:c r="G118" s="184" t="n">
        <x:v>20500</x:v>
      </x:c>
      <x:c r="H118" s="193" t="n">
        <x:v>0</x:v>
      </x:c>
      <x:c r="I118" s="185" t="n">
        <x:v>8200</x:v>
      </x:c>
      <x:c r="J118" s="185" t="n">
        <x:v>12300</x:v>
      </x:c>
      <x:c r="K118" s="289" t="n">
        <x:v>410</x:v>
      </x:c>
    </x:row>
    <x:row r="119" s="117" customFormat="1" hidden="1">
      <x:c r="A119" s="184" t="inlineStr">
        <x:is>
          <x:t xml:space="preserve">CPVCOD090008</x:t>
        </x:is>
      </x:c>
      <x:c r="B119" s="184" t="inlineStr">
        <x:is>
          <x:t xml:space="preserve">CODO CPVC SCH 80 90° - 8"</x:t>
        </x:is>
      </x:c>
      <x:c r="C119" s="184" t="n">
        <x:v>16</x:v>
      </x:c>
      <x:c r="D119" s="184" t="n">
        <x:v>0</x:v>
      </x:c>
      <x:c r="E119" s="184" t="n">
        <x:v>0</x:v>
      </x:c>
      <x:c r="F119" s="184" t="n">
        <x:v>16</x:v>
      </x:c>
      <x:c r="G119" s="184" t="n">
        <x:v>1860976</x:v>
      </x:c>
      <x:c r="H119" s="193" t="n">
        <x:v>0</x:v>
      </x:c>
      <x:c r="I119" s="185" t="n">
        <x:v>0</x:v>
      </x:c>
      <x:c r="J119" s="185" t="n">
        <x:v>1860976</x:v>
      </x:c>
      <x:c r="K119" s="289" t="n">
        <x:v>116311</x:v>
      </x:c>
    </x:row>
    <x:row r="120" s="117" customFormat="1" hidden="1">
      <x:c r="A120" s="184" t="inlineStr">
        <x:is>
          <x:t xml:space="preserve">CPVFLNSTN002</x:t>
        </x:is>
      </x:c>
      <x:c r="B120" s="184" t="inlineStr">
        <x:is>
          <x:t xml:space="preserve">FLANGE CPVC STONE SOC CL150 -  2"</x:t>
        </x:is>
      </x:c>
      <x:c r="C120" s="184" t="n">
        <x:v>0</x:v>
      </x:c>
      <x:c r="D120" s="184" t="n">
        <x:v>0</x:v>
      </x:c>
      <x:c r="E120" s="184" t="n">
        <x:v>0</x:v>
      </x:c>
      <x:c r="F120" s="184" t="n">
        <x:v>0</x:v>
      </x:c>
      <x:c r="G120" s="184" t="n">
        <x:v>0</x:v>
      </x:c>
      <x:c r="H120" s="193" t="n">
        <x:v>0</x:v>
      </x:c>
      <x:c r="I120" s="185" t="n">
        <x:v>0</x:v>
      </x:c>
      <x:c r="J120" s="185" t="n">
        <x:v>0</x:v>
      </x:c>
      <x:c r="K120" s="289" t="n">
        <x:v>0</x:v>
      </x:c>
    </x:row>
    <x:row r="121" s="117" customFormat="1" hidden="1">
      <x:c r="A121" s="184" t="inlineStr">
        <x:is>
          <x:t xml:space="preserve">CPVFLNSTN003</x:t>
        </x:is>
      </x:c>
      <x:c r="B121" s="184" t="inlineStr">
        <x:is>
          <x:t xml:space="preserve">FLANGE CPVC STONE SOC CL150 -  3"</x:t>
        </x:is>
      </x:c>
      <x:c r="C121" s="184" t="n">
        <x:v>230</x:v>
      </x:c>
      <x:c r="D121" s="184" t="n">
        <x:v>0</x:v>
      </x:c>
      <x:c r="E121" s="184" t="n">
        <x:v>0</x:v>
      </x:c>
      <x:c r="F121" s="184" t="n">
        <x:v>230</x:v>
      </x:c>
      <x:c r="G121" s="184" t="n">
        <x:v>3676780</x:v>
      </x:c>
      <x:c r="H121" s="193" t="n">
        <x:v>0</x:v>
      </x:c>
      <x:c r="I121" s="185" t="n">
        <x:v>0</x:v>
      </x:c>
      <x:c r="J121" s="185" t="n">
        <x:v>3676780</x:v>
      </x:c>
      <x:c r="K121" s="289" t="n">
        <x:v>15986</x:v>
      </x:c>
    </x:row>
    <x:row r="122" s="117" customFormat="1" hidden="1">
      <x:c r="A122" s="184" t="inlineStr">
        <x:is>
          <x:t xml:space="preserve">CPVFLNSTN008</x:t>
        </x:is>
      </x:c>
      <x:c r="B122" s="184" t="inlineStr">
        <x:is>
          <x:t xml:space="preserve">FLANGE CPVC STONE SOC CL150 -  8"</x:t>
        </x:is>
      </x:c>
      <x:c r="C122" s="184" t="n">
        <x:v>16</x:v>
      </x:c>
      <x:c r="D122" s="184" t="n">
        <x:v>0</x:v>
      </x:c>
      <x:c r="E122" s="184" t="n">
        <x:v>0</x:v>
      </x:c>
      <x:c r="F122" s="184" t="n">
        <x:v>16</x:v>
      </x:c>
      <x:c r="G122" s="184" t="n">
        <x:v>1771120</x:v>
      </x:c>
      <x:c r="H122" s="193" t="n">
        <x:v>0</x:v>
      </x:c>
      <x:c r="I122" s="185" t="n">
        <x:v>0</x:v>
      </x:c>
      <x:c r="J122" s="185" t="n">
        <x:v>1771120</x:v>
      </x:c>
      <x:c r="K122" s="289" t="n">
        <x:v>110695</x:v>
      </x:c>
    </x:row>
    <x:row r="123" s="117" customFormat="1" hidden="1">
      <x:c r="A123" s="184" t="inlineStr">
        <x:is>
          <x:t xml:space="preserve">CPVPLASIM4MM</x:t>
        </x:is>
      </x:c>
      <x:c r="B123" s="184" t="inlineStr">
        <x:is>
          <x:t xml:space="preserve">PLANCHA CPVC 4mm</x:t>
        </x:is>
      </x:c>
      <x:c r="C123" s="184" t="n">
        <x:v>0</x:v>
      </x:c>
      <x:c r="D123" s="184" t="n">
        <x:v>0</x:v>
      </x:c>
      <x:c r="E123" s="184" t="n">
        <x:v>0</x:v>
      </x:c>
      <x:c r="F123" s="184" t="n">
        <x:v>0</x:v>
      </x:c>
      <x:c r="G123" s="184" t="n">
        <x:v>0</x:v>
      </x:c>
      <x:c r="H123" s="193" t="n">
        <x:v>0</x:v>
      </x:c>
      <x:c r="I123" s="185" t="n">
        <x:v>0</x:v>
      </x:c>
      <x:c r="J123" s="185" t="n">
        <x:v>0</x:v>
      </x:c>
      <x:c r="K123" s="289" t="n">
        <x:v>124162.679426</x:v>
      </x:c>
    </x:row>
    <x:row r="124" s="117" customFormat="1" hidden="1">
      <x:c r="A124" s="184" t="inlineStr">
        <x:is>
          <x:t xml:space="preserve">CPVPLASIM5MM</x:t>
        </x:is>
      </x:c>
      <x:c r="B124" s="184" t="inlineStr">
        <x:is>
          <x:t xml:space="preserve">PLANCHA CPVC 5mm</x:t>
        </x:is>
      </x:c>
      <x:c r="C124" s="184" t="n">
        <x:v>13</x:v>
      </x:c>
      <x:c r="D124" s="184" t="n">
        <x:v>0</x:v>
      </x:c>
      <x:c r="E124" s="184" t="n">
        <x:v>0</x:v>
      </x:c>
      <x:c r="F124" s="184" t="n">
        <x:v>13</x:v>
      </x:c>
      <x:c r="G124" s="184" t="n">
        <x:v>1050900</x:v>
      </x:c>
      <x:c r="H124" s="193" t="n">
        <x:v>0</x:v>
      </x:c>
      <x:c r="I124" s="185" t="n">
        <x:v>0</x:v>
      </x:c>
      <x:c r="J124" s="185" t="n">
        <x:v>1050900</x:v>
      </x:c>
      <x:c r="K124" s="289" t="n">
        <x:v>80838.461538</x:v>
      </x:c>
    </x:row>
    <x:row r="125" s="117" customFormat="1" hidden="1">
      <x:c r="A125" s="184" t="inlineStr">
        <x:is>
          <x:t xml:space="preserve">CPVTUBSCH002</x:t>
        </x:is>
      </x:c>
      <x:c r="B125" s="184" t="inlineStr">
        <x:is>
          <x:t xml:space="preserve">TUBO CPVC SCH80 20FT - 2"</x:t>
        </x:is>
      </x:c>
      <x:c r="C125" s="184" t="n">
        <x:v>5</x:v>
      </x:c>
      <x:c r="D125" s="184" t="n">
        <x:v>0</x:v>
      </x:c>
      <x:c r="E125" s="184" t="n">
        <x:v>0</x:v>
      </x:c>
      <x:c r="F125" s="184" t="n">
        <x:v>5</x:v>
      </x:c>
      <x:c r="G125" s="184" t="n">
        <x:v>64614</x:v>
      </x:c>
      <x:c r="H125" s="193" t="n">
        <x:v>0</x:v>
      </x:c>
      <x:c r="I125" s="185" t="n">
        <x:v>0</x:v>
      </x:c>
      <x:c r="J125" s="185" t="n">
        <x:v>64614</x:v>
      </x:c>
      <x:c r="K125" s="289" t="n">
        <x:v>12922.84</x:v>
      </x:c>
    </x:row>
    <x:row r="126" s="117" customFormat="1" hidden="1">
      <x:c r="A126" s="184" t="inlineStr">
        <x:is>
          <x:t xml:space="preserve">CPVTUBSCH003</x:t>
        </x:is>
      </x:c>
      <x:c r="B126" s="184" t="inlineStr">
        <x:is>
          <x:t xml:space="preserve">TUBO CPVC SCH80 20FT - 3"</x:t>
        </x:is>
      </x:c>
      <x:c r="C126" s="184" t="n">
        <x:v>48</x:v>
      </x:c>
      <x:c r="D126" s="184" t="n">
        <x:v>0</x:v>
      </x:c>
      <x:c r="E126" s="184" t="n">
        <x:v>0</x:v>
      </x:c>
      <x:c r="F126" s="184" t="n">
        <x:v>48</x:v>
      </x:c>
      <x:c r="G126" s="184" t="n">
        <x:v>1159896</x:v>
      </x:c>
      <x:c r="H126" s="193" t="n">
        <x:v>0</x:v>
      </x:c>
      <x:c r="I126" s="185" t="n">
        <x:v>0</x:v>
      </x:c>
      <x:c r="J126" s="185" t="n">
        <x:v>1159896</x:v>
      </x:c>
      <x:c r="K126" s="289" t="n">
        <x:v>24164.5</x:v>
      </x:c>
    </x:row>
    <x:row r="127" s="117" customFormat="1" hidden="1">
      <x:c r="A127" s="184" t="inlineStr">
        <x:is>
          <x:t xml:space="preserve">CPVTUBSCH006</x:t>
        </x:is>
      </x:c>
      <x:c r="B127" s="184" t="inlineStr">
        <x:is>
          <x:t xml:space="preserve">TUBO CPVC 1600 (6PLG)X4500 MM</x:t>
        </x:is>
      </x:c>
      <x:c r="C127" s="184" t="n">
        <x:v>0</x:v>
      </x:c>
      <x:c r="D127" s="184" t="n">
        <x:v>0</x:v>
      </x:c>
      <x:c r="E127" s="184" t="n">
        <x:v>0</x:v>
      </x:c>
      <x:c r="F127" s="184" t="n">
        <x:v>0</x:v>
      </x:c>
      <x:c r="G127" s="184" t="n">
        <x:v>0</x:v>
      </x:c>
      <x:c r="H127" s="193" t="n">
        <x:v>0</x:v>
      </x:c>
      <x:c r="I127" s="185" t="n">
        <x:v>0</x:v>
      </x:c>
      <x:c r="J127" s="185" t="n">
        <x:v>0</x:v>
      </x:c>
      <x:c r="K127" s="289" t="n">
        <x:v>25000</x:v>
      </x:c>
    </x:row>
    <x:row r="128" s="117" customFormat="1" hidden="1">
      <x:c r="A128" s="184" t="inlineStr">
        <x:is>
          <x:t xml:space="preserve">CPVTUBSCH008</x:t>
        </x:is>
      </x:c>
      <x:c r="B128" s="184" t="inlineStr">
        <x:is>
          <x:t xml:space="preserve">TUBO CPVC SCH80 20FT - 8"</x:t>
        </x:is>
      </x:c>
      <x:c r="C128" s="184" t="n">
        <x:v>0</x:v>
      </x:c>
      <x:c r="D128" s="184" t="n">
        <x:v>0</x:v>
      </x:c>
      <x:c r="E128" s="184" t="n">
        <x:v>0</x:v>
      </x:c>
      <x:c r="F128" s="184" t="n">
        <x:v>0</x:v>
      </x:c>
      <x:c r="G128" s="184" t="n">
        <x:v>0</x:v>
      </x:c>
      <x:c r="H128" s="193" t="n">
        <x:v>0</x:v>
      </x:c>
      <x:c r="I128" s="185" t="n">
        <x:v>0</x:v>
      </x:c>
      <x:c r="J128" s="185" t="n">
        <x:v>0</x:v>
      </x:c>
      <x:c r="K128" s="289" t="n">
        <x:v>35000</x:v>
      </x:c>
    </x:row>
    <x:row r="129" s="117" customFormat="1" ht="15" hidden="1" customHeight="1">
      <x:c r="A129" s="184" t="inlineStr">
        <x:is>
          <x:t xml:space="preserve">DUR790001001</x:t>
        </x:is>
      </x:c>
      <x:c r="B129" s="187" t="inlineStr">
        <x:is>
          <x:t xml:space="preserve">PLANCHA DE DURLON 7900 1/8 PLG X 60 PLG X 63 PLG (DW30-120-126)</x:t>
        </x:is>
      </x:c>
      <x:c r="C129" s="184" t="n">
        <x:v>59</x:v>
      </x:c>
      <x:c r="D129" s="184" t="n">
        <x:v>0</x:v>
      </x:c>
      <x:c r="E129" s="184" t="n">
        <x:v>0</x:v>
      </x:c>
      <x:c r="F129" s="184" t="n">
        <x:v>59</x:v>
      </x:c>
      <x:c r="G129" s="184" t="n">
        <x:v>7851919</x:v>
      </x:c>
      <x:c r="H129" s="193" t="n">
        <x:v>0</x:v>
      </x:c>
      <x:c r="I129" s="185" t="n">
        <x:v>0</x:v>
      </x:c>
      <x:c r="J129" s="185" t="n">
        <x:v>7851919</x:v>
      </x:c>
      <x:c r="K129" s="289" t="n">
        <x:v>133083.30290534</x:v>
      </x:c>
    </x:row>
    <x:row r="130" s="117" customFormat="1" hidden="1">
      <x:c r="A130" s="184" t="inlineStr">
        <x:is>
          <x:t xml:space="preserve">DUR790001002</x:t>
        </x:is>
      </x:c>
      <x:c r="B130" s="184" t="inlineStr">
        <x:is>
          <x:t xml:space="preserve">PLA NCHA DE DURLON 7900 1/16 60X63 PLG (DW15-120-126)</x:t>
        </x:is>
      </x:c>
      <x:c r="C130" s="184" t="n">
        <x:v>8</x:v>
      </x:c>
      <x:c r="D130" s="184" t="n">
        <x:v>0</x:v>
      </x:c>
      <x:c r="E130" s="184" t="n">
        <x:v>0</x:v>
      </x:c>
      <x:c r="F130" s="184" t="n">
        <x:v>8</x:v>
      </x:c>
      <x:c r="G130" s="184" t="n">
        <x:v>466026</x:v>
      </x:c>
      <x:c r="H130" s="193" t="n">
        <x:v>0</x:v>
      </x:c>
      <x:c r="I130" s="185" t="n">
        <x:v>0</x:v>
      </x:c>
      <x:c r="J130" s="185" t="n">
        <x:v>466026</x:v>
      </x:c>
      <x:c r="K130" s="289" t="n">
        <x:v>58253.17847308</x:v>
      </x:c>
    </x:row>
    <x:row r="131" s="117" customFormat="1" hidden="1">
      <x:c r="A131" s="184" t="inlineStr">
        <x:is>
          <x:t xml:space="preserve">DUR790001003</x:t>
        </x:is>
      </x:c>
      <x:c r="B131" s="184" t="inlineStr">
        <x:is>
          <x:t xml:space="preserve">PLANCHA EMPAQUETADURA DURABLA 1850MMX3200MM X 1/8 IN ESP DURLON 7900 CODIGO 910325580 (CMPC)</x:t>
        </x:is>
      </x:c>
      <x:c r="C131" s="184" t="n">
        <x:v>0</x:v>
      </x:c>
      <x:c r="D131" s="184" t="n">
        <x:v>0</x:v>
      </x:c>
      <x:c r="E131" s="184" t="n">
        <x:v>0</x:v>
      </x:c>
      <x:c r="F131" s="184" t="n">
        <x:v>0</x:v>
      </x:c>
      <x:c r="G131" s="184" t="n">
        <x:v>0</x:v>
      </x:c>
      <x:c r="H131" s="193" t="n">
        <x:v>0</x:v>
      </x:c>
      <x:c r="I131" s="185" t="n">
        <x:v>0</x:v>
      </x:c>
      <x:c r="J131" s="185" t="n">
        <x:v>0</x:v>
      </x:c>
      <x:c r="K131" s="289" t="n">
        <x:v>294297</x:v>
      </x:c>
    </x:row>
    <x:row r="132" s="117" customFormat="1" hidden="1">
      <x:c r="A132" s="184" t="inlineStr">
        <x:is>
          <x:t xml:space="preserve">DUR790001199</x:t>
        </x:is>
      </x:c>
      <x:c r="B132" s="184" t="inlineStr">
        <x:is>
          <x:t xml:space="preserve">DESPUNTES DE DURLON 7900 1/8 PLG</x:t>
        </x:is>
      </x:c>
      <x:c r="C132" s="184" t="n">
        <x:v>0</x:v>
      </x:c>
      <x:c r="D132" s="184" t="n">
        <x:v>0</x:v>
      </x:c>
      <x:c r="E132" s="184" t="n">
        <x:v>0</x:v>
      </x:c>
      <x:c r="F132" s="184" t="n">
        <x:v>0</x:v>
      </x:c>
      <x:c r="G132" s="184" t="n">
        <x:v>0</x:v>
      </x:c>
      <x:c r="H132" s="193" t="n">
        <x:v>0</x:v>
      </x:c>
      <x:c r="I132" s="185" t="n">
        <x:v>0</x:v>
      </x:c>
      <x:c r="J132" s="185" t="n">
        <x:v>0</x:v>
      </x:c>
      <x:c r="K132" s="289" t="n">
        <x:v>2710</x:v>
      </x:c>
    </x:row>
    <x:row r="133" s="117" customFormat="1" hidden="1">
      <x:c r="A133" s="184" t="inlineStr">
        <x:is>
          <x:t xml:space="preserve">DUR830001001</x:t>
        </x:is>
      </x:c>
      <x:c r="B133" s="184" t="inlineStr">
        <x:is>
          <x:t xml:space="preserve">PLA DE DURLON 8300 1/8 60x63</x:t>
        </x:is>
      </x:c>
      <x:c r="C133" s="184" t="n">
        <x:v>8</x:v>
      </x:c>
      <x:c r="D133" s="184" t="n">
        <x:v>0</x:v>
      </x:c>
      <x:c r="E133" s="184" t="n">
        <x:v>0</x:v>
      </x:c>
      <x:c r="F133" s="184" t="n">
        <x:v>8</x:v>
      </x:c>
      <x:c r="G133" s="184" t="n">
        <x:v>913840</x:v>
      </x:c>
      <x:c r="H133" s="193" t="n">
        <x:v>0</x:v>
      </x:c>
      <x:c r="I133" s="185" t="n">
        <x:v>0</x:v>
      </x:c>
      <x:c r="J133" s="185" t="n">
        <x:v>913840</x:v>
      </x:c>
      <x:c r="K133" s="289" t="n">
        <x:v>114230</x:v>
      </x:c>
    </x:row>
    <x:row r="134" s="117" customFormat="1" hidden="1">
      <x:c r="A134" s="184" t="inlineStr">
        <x:is>
          <x:t xml:space="preserve">DUR850001001</x:t>
        </x:is>
      </x:c>
      <x:c r="B134" s="184" t="inlineStr">
        <x:is>
          <x:t xml:space="preserve">PLANCHA DE DURLON 8500 DE 1/8 PL X 60 PLG X 63 PLG</x:t>
        </x:is>
      </x:c>
      <x:c r="C134" s="184" t="n">
        <x:v>1</x:v>
      </x:c>
      <x:c r="D134" s="184" t="n">
        <x:v>0</x:v>
      </x:c>
      <x:c r="E134" s="184" t="n">
        <x:v>0</x:v>
      </x:c>
      <x:c r="F134" s="184" t="n">
        <x:v>1</x:v>
      </x:c>
      <x:c r="G134" s="184" t="n">
        <x:v>92842</x:v>
      </x:c>
      <x:c r="H134" s="193" t="n">
        <x:v>0</x:v>
      </x:c>
      <x:c r="I134" s="185" t="n">
        <x:v>0</x:v>
      </x:c>
      <x:c r="J134" s="185" t="n">
        <x:v>92842</x:v>
      </x:c>
      <x:c r="K134" s="289" t="n">
        <x:v>92842</x:v>
      </x:c>
    </x:row>
    <x:row r="135" s="117" customFormat="1" hidden="1">
      <x:c r="A135" s="184" t="inlineStr">
        <x:is>
          <x:t xml:space="preserve">DUR860001001</x:t>
        </x:is>
      </x:c>
      <x:c r="B135" s="184" t="inlineStr">
        <x:is>
          <x:t xml:space="preserve">PLA DE DURLON 8600 1/8 60X63</x:t>
        </x:is>
      </x:c>
      <x:c r="C135" s="184" t="n">
        <x:v>14</x:v>
      </x:c>
      <x:c r="D135" s="184" t="n">
        <x:v>0</x:v>
      </x:c>
      <x:c r="E135" s="184" t="n">
        <x:v>0</x:v>
      </x:c>
      <x:c r="F135" s="184" t="n">
        <x:v>14</x:v>
      </x:c>
      <x:c r="G135" s="184" t="n">
        <x:v>1095500</x:v>
      </x:c>
      <x:c r="H135" s="193" t="n">
        <x:v>0</x:v>
      </x:c>
      <x:c r="I135" s="185" t="n">
        <x:v>0</x:v>
      </x:c>
      <x:c r="J135" s="185" t="n">
        <x:v>1095500</x:v>
      </x:c>
      <x:c r="K135" s="289" t="n">
        <x:v>78250</x:v>
      </x:c>
    </x:row>
    <x:row r="136" s="117" customFormat="1" hidden="1">
      <x:c r="A136" s="184" t="inlineStr">
        <x:is>
          <x:t xml:space="preserve">DUR900001001</x:t>
        </x:is>
      </x:c>
      <x:c r="B136" s="184" t="inlineStr">
        <x:is>
          <x:t xml:space="preserve">PLA DE DURLON 9000 1/8 60x60</x:t>
        </x:is>
      </x:c>
      <x:c r="C136" s="184" t="n">
        <x:v>6</x:v>
      </x:c>
      <x:c r="D136" s="184" t="n">
        <x:v>0</x:v>
      </x:c>
      <x:c r="E136" s="184" t="n">
        <x:v>0</x:v>
      </x:c>
      <x:c r="F136" s="184" t="n">
        <x:v>6</x:v>
      </x:c>
      <x:c r="G136" s="184" t="n">
        <x:v>6344779</x:v>
      </x:c>
      <x:c r="H136" s="193" t="n">
        <x:v>0</x:v>
      </x:c>
      <x:c r="I136" s="185" t="n">
        <x:v>0</x:v>
      </x:c>
      <x:c r="J136" s="185" t="n">
        <x:v>6344779</x:v>
      </x:c>
      <x:c r="K136" s="289" t="n">
        <x:v>1057463.75396825</x:v>
      </x:c>
    </x:row>
    <x:row r="137" s="117" customFormat="1" hidden="1">
      <x:c r="A137" s="184" t="inlineStr">
        <x:is>
          <x:t xml:space="preserve">DUR900001002</x:t>
        </x:is>
      </x:c>
      <x:c r="B137" s="184" t="inlineStr">
        <x:is>
          <x:t xml:space="preserve">PLA DE DURLON 9000 1/16 X 60X60</x:t>
        </x:is>
      </x:c>
      <x:c r="C137" s="184" t="n">
        <x:v>18</x:v>
      </x:c>
      <x:c r="D137" s="184" t="n">
        <x:v>0</x:v>
      </x:c>
      <x:c r="E137" s="184" t="n">
        <x:v>0</x:v>
      </x:c>
      <x:c r="F137" s="184" t="n">
        <x:v>18</x:v>
      </x:c>
      <x:c r="G137" s="184" t="n">
        <x:v>6435635</x:v>
      </x:c>
      <x:c r="H137" s="193" t="n">
        <x:v>0</x:v>
      </x:c>
      <x:c r="I137" s="185" t="n">
        <x:v>0</x:v>
      </x:c>
      <x:c r="J137" s="185" t="n">
        <x:v>6435635</x:v>
      </x:c>
      <x:c r="K137" s="289" t="n">
        <x:v>357535.29863269</x:v>
      </x:c>
    </x:row>
    <x:row r="138" s="117" customFormat="1" hidden="1">
      <x:c r="A138" s="184" t="inlineStr">
        <x:is>
          <x:t xml:space="preserve">DUR900001003</x:t>
        </x:is>
      </x:c>
      <x:c r="B138" s="184" t="inlineStr">
        <x:is>
          <x:t xml:space="preserve">PLANCHA DE DURLON 9000 3/32 PLG X 60 PLG X 60 PLG</x:t>
        </x:is>
      </x:c>
      <x:c r="C138" s="184" t="n">
        <x:v>0</x:v>
      </x:c>
      <x:c r="D138" s="184" t="n">
        <x:v>0</x:v>
      </x:c>
      <x:c r="E138" s="184" t="n">
        <x:v>0</x:v>
      </x:c>
      <x:c r="F138" s="184" t="n">
        <x:v>0</x:v>
      </x:c>
      <x:c r="G138" s="184" t="n">
        <x:v>0</x:v>
      </x:c>
      <x:c r="H138" s="193" t="n">
        <x:v>0</x:v>
      </x:c>
      <x:c r="I138" s="185" t="n">
        <x:v>0</x:v>
      </x:c>
      <x:c r="J138" s="185" t="n">
        <x:v>0</x:v>
      </x:c>
      <x:c r="K138" s="289" t="n">
        <x:v>678386</x:v>
      </x:c>
    </x:row>
    <x:row r="139" s="117" customFormat="1" hidden="1">
      <x:c r="A139" s="184" t="inlineStr">
        <x:is>
          <x:t xml:space="preserve">DUR900001004</x:t>
        </x:is>
      </x:c>
      <x:c r="B139" s="184" t="inlineStr">
        <x:is>
          <x:t xml:space="preserve">PLANCHA DE DURLON 9000 1/32X60X60 PLG</x:t>
        </x:is>
      </x:c>
      <x:c r="C139" s="184" t="n">
        <x:v>0</x:v>
      </x:c>
      <x:c r="D139" s="184" t="n">
        <x:v>0</x:v>
      </x:c>
      <x:c r="E139" s="184" t="n">
        <x:v>0</x:v>
      </x:c>
      <x:c r="F139" s="184" t="n">
        <x:v>0</x:v>
      </x:c>
      <x:c r="G139" s="184" t="n">
        <x:v>0</x:v>
      </x:c>
      <x:c r="H139" s="193" t="n">
        <x:v>0</x:v>
      </x:c>
      <x:c r="I139" s="185" t="n">
        <x:v>0</x:v>
      </x:c>
      <x:c r="J139" s="185" t="n">
        <x:v>0</x:v>
      </x:c>
      <x:c r="K139" s="289" t="n">
        <x:v>375868</x:v>
      </x:c>
    </x:row>
    <x:row r="140" s="117" customFormat="1" hidden="1">
      <x:c r="A140" s="184" t="inlineStr">
        <x:is>
          <x:t xml:space="preserve">DUR900001005</x:t>
        </x:is>
      </x:c>
      <x:c r="B140" s="184" t="inlineStr">
        <x:is>
          <x:t xml:space="preserve">PLANCHA DURLON 9007 1/8 X 60 X 60 PLG (TA30-060-300)</x:t>
        </x:is>
      </x:c>
      <x:c r="C140" s="184" t="n">
        <x:v>69</x:v>
      </x:c>
      <x:c r="D140" s="184" t="n">
        <x:v>0</x:v>
      </x:c>
      <x:c r="E140" s="184" t="n">
        <x:v>0</x:v>
      </x:c>
      <x:c r="F140" s="184" t="n">
        <x:v>69</x:v>
      </x:c>
      <x:c r="G140" s="184" t="n">
        <x:v>35145509</x:v>
      </x:c>
      <x:c r="H140" s="193" t="n">
        <x:v>0</x:v>
      </x:c>
      <x:c r="I140" s="185" t="n">
        <x:v>0</x:v>
      </x:c>
      <x:c r="J140" s="185" t="n">
        <x:v>35145509</x:v>
      </x:c>
      <x:c r="K140" s="289" t="n">
        <x:v>509355.19426505</x:v>
      </x:c>
    </x:row>
    <x:row r="141" s="117" customFormat="1" hidden="1">
      <x:c r="A141" s="184" t="inlineStr">
        <x:is>
          <x:t xml:space="preserve">DUR900001198</x:t>
        </x:is>
      </x:c>
      <x:c r="B141" s="184" t="inlineStr">
        <x:is>
          <x:t xml:space="preserve">KIT MUESTRAS COMERCIAL DE  EMPAQUETADURAS TRIAGLE  DURLON</x:t>
        </x:is>
      </x:c>
      <x:c r="C141" s="184" t="n">
        <x:v>0</x:v>
      </x:c>
      <x:c r="D141" s="184" t="n">
        <x:v>0</x:v>
      </x:c>
      <x:c r="E141" s="184" t="n">
        <x:v>0</x:v>
      </x:c>
      <x:c r="F141" s="184" t="n">
        <x:v>0</x:v>
      </x:c>
      <x:c r="G141" s="184" t="n">
        <x:v>0</x:v>
      </x:c>
      <x:c r="H141" s="193" t="n">
        <x:v>0</x:v>
      </x:c>
      <x:c r="I141" s="185" t="n">
        <x:v>0</x:v>
      </x:c>
      <x:c r="J141" s="185" t="n">
        <x:v>0</x:v>
      </x:c>
      <x:c r="K141" s="289" t="n">
        <x:v>67680</x:v>
      </x:c>
    </x:row>
    <x:row r="142" s="117" customFormat="1" hidden="1">
      <x:c r="A142" s="184" t="inlineStr">
        <x:is>
          <x:t xml:space="preserve">DUR900001999</x:t>
        </x:is>
      </x:c>
      <x:c r="B142" s="184" t="inlineStr">
        <x:is>
          <x:t xml:space="preserve">DURLON 9000 1/8 PLG DESPUNTES X KG</x:t>
        </x:is>
      </x:c>
      <x:c r="C142" s="184" t="n">
        <x:v>12</x:v>
      </x:c>
      <x:c r="D142" s="184" t="n">
        <x:v>0</x:v>
      </x:c>
      <x:c r="E142" s="184" t="n">
        <x:v>0</x:v>
      </x:c>
      <x:c r="F142" s="184" t="n">
        <x:v>12</x:v>
      </x:c>
      <x:c r="G142" s="184" t="n">
        <x:v>250918</x:v>
      </x:c>
      <x:c r="H142" s="193" t="n">
        <x:v>0</x:v>
      </x:c>
      <x:c r="I142" s="185" t="n">
        <x:v>0</x:v>
      </x:c>
      <x:c r="J142" s="185" t="n">
        <x:v>250918</x:v>
      </x:c>
      <x:c r="K142" s="289" t="n">
        <x:v>20910</x:v>
      </x:c>
    </x:row>
    <x:row r="143">
      <x:c r="A143" s="184" t="inlineStr">
        <x:is>
          <x:t xml:space="preserve">DUR902001001</x:t>
        </x:is>
      </x:c>
      <x:c r="B143" s="184" t="inlineStr">
        <x:is>
          <x:t xml:space="preserve">PLA DE DURLON9002 1/8 X60X60</x:t>
        </x:is>
      </x:c>
      <x:c r="C143" s="184" t="n">
        <x:v>0</x:v>
      </x:c>
      <x:c r="D143" s="184" t="n">
        <x:v>0</x:v>
      </x:c>
      <x:c r="E143" s="184" t="n">
        <x:v>0</x:v>
      </x:c>
      <x:c r="F143" s="184" t="n">
        <x:v>0</x:v>
      </x:c>
      <x:c r="G143" s="184" t="n">
        <x:v>0</x:v>
      </x:c>
      <x:c r="H143" s="193" t="n">
        <x:v>0</x:v>
      </x:c>
      <x:c r="I143" s="185" t="n">
        <x:v>0</x:v>
      </x:c>
      <x:c r="J143" s="185" t="n">
        <x:v>0</x:v>
      </x:c>
      <x:c r="K143" s="289" t="n">
        <x:v>466477</x:v>
      </x:c>
      <x:c r="L143" s="190" t="n">
        <x:v>0.3</x:v>
      </x:c>
      <x:c r="M143" s="257" t="n">
        <x:f>(K143*L143)+K143</x:f>
        <x:v>606420.1</x:v>
      </x:c>
    </x:row>
    <x:row r="144">
      <x:c r="A144" s="184" t="inlineStr">
        <x:is>
          <x:t xml:space="preserve">DUR902001002</x:t>
        </x:is>
      </x:c>
      <x:c r="B144" s="184" t="inlineStr">
        <x:is>
          <x:t xml:space="preserve">PLA DE DURLON 9002 1/16 X60X60</x:t>
        </x:is>
      </x:c>
      <x:c r="C144" s="184" t="n">
        <x:v>0</x:v>
      </x:c>
      <x:c r="D144" s="184" t="n">
        <x:v>0</x:v>
      </x:c>
      <x:c r="E144" s="184" t="n">
        <x:v>0</x:v>
      </x:c>
      <x:c r="F144" s="184" t="n">
        <x:v>0</x:v>
      </x:c>
      <x:c r="G144" s="184" t="n">
        <x:v>0</x:v>
      </x:c>
      <x:c r="H144" s="193" t="n">
        <x:v>0</x:v>
      </x:c>
      <x:c r="I144" s="185" t="n">
        <x:v>0</x:v>
      </x:c>
      <x:c r="J144" s="185" t="n">
        <x:v>0</x:v>
      </x:c>
      <x:c r="K144" s="289" t="n">
        <x:v>241440</x:v>
      </x:c>
    </x:row>
    <x:row r="145" s="117" customFormat="1" hidden="1">
      <x:c r="A145" s="184" t="inlineStr">
        <x:is>
          <x:t xml:space="preserve">ECHFIT001001</x:t>
        </x:is>
      </x:c>
      <x:c r="B145" s="184" t="inlineStr">
        <x:is>
          <x:t xml:space="preserve">CODO 45GRD DIAM 2 PLG STANDAR</x:t>
        </x:is>
      </x:c>
      <x:c r="C145" s="184" t="n">
        <x:v>21</x:v>
      </x:c>
      <x:c r="D145" s="184" t="n">
        <x:v>0</x:v>
      </x:c>
      <x:c r="E145" s="184" t="n">
        <x:v>0</x:v>
      </x:c>
      <x:c r="F145" s="184" t="n">
        <x:v>21</x:v>
      </x:c>
      <x:c r="G145" s="184" t="n">
        <x:v>239083</x:v>
      </x:c>
      <x:c r="H145" s="193" t="n">
        <x:v>0</x:v>
      </x:c>
      <x:c r="I145" s="185" t="n">
        <x:v>0</x:v>
      </x:c>
      <x:c r="J145" s="185" t="n">
        <x:v>239083</x:v>
      </x:c>
      <x:c r="K145" s="289" t="n">
        <x:v>11384.931034</x:v>
      </x:c>
    </x:row>
    <x:row r="146" s="117" customFormat="1" hidden="1">
      <x:c r="A146" s="184" t="inlineStr">
        <x:is>
          <x:t xml:space="preserve">ECHFIT001002</x:t>
        </x:is>
      </x:c>
      <x:c r="B146" s="184" t="inlineStr">
        <x:is>
          <x:t xml:space="preserve">CODO 45 GRD 4 PLG DE DIMENSION ANTIESTATICA ECHEVERIA</x:t>
        </x:is>
      </x:c>
      <x:c r="C146" s="184" t="n">
        <x:v>4</x:v>
      </x:c>
      <x:c r="D146" s="184" t="n">
        <x:v>0</x:v>
      </x:c>
      <x:c r="E146" s="184" t="n">
        <x:v>0</x:v>
      </x:c>
      <x:c r="F146" s="184" t="n">
        <x:v>4</x:v>
      </x:c>
      <x:c r="G146" s="184" t="n">
        <x:v>92044</x:v>
      </x:c>
      <x:c r="H146" s="193" t="n">
        <x:v>0</x:v>
      </x:c>
      <x:c r="I146" s="185" t="n">
        <x:v>0</x:v>
      </x:c>
      <x:c r="J146" s="185" t="n">
        <x:v>92044</x:v>
      </x:c>
      <x:c r="K146" s="289" t="n">
        <x:v>23011</x:v>
      </x:c>
    </x:row>
    <x:row r="147" s="117" customFormat="1" hidden="1">
      <x:c r="A147" s="184" t="inlineStr">
        <x:is>
          <x:t xml:space="preserve">ECHFIT001003</x:t>
        </x:is>
      </x:c>
      <x:c r="B147" s="184" t="inlineStr">
        <x:is>
          <x:t xml:space="preserve">CODO 45 GRD 2PLG DE DIMENSION ANTIESTATICA ECHEVERIA</x:t>
        </x:is>
      </x:c>
      <x:c r="C147" s="184" t="n">
        <x:v>72</x:v>
      </x:c>
      <x:c r="D147" s="184" t="n">
        <x:v>0</x:v>
      </x:c>
      <x:c r="E147" s="184" t="n">
        <x:v>0</x:v>
      </x:c>
      <x:c r="F147" s="184" t="n">
        <x:v>72</x:v>
      </x:c>
      <x:c r="G147" s="184" t="n">
        <x:v>861768</x:v>
      </x:c>
      <x:c r="H147" s="193" t="n">
        <x:v>0</x:v>
      </x:c>
      <x:c r="I147" s="185" t="n">
        <x:v>0</x:v>
      </x:c>
      <x:c r="J147" s="185" t="n">
        <x:v>861768</x:v>
      </x:c>
      <x:c r="K147" s="289" t="n">
        <x:v>11969</x:v>
      </x:c>
    </x:row>
    <x:row r="148" s="117" customFormat="1" hidden="1">
      <x:c r="A148" s="184" t="inlineStr">
        <x:is>
          <x:t xml:space="preserve">ECHFIT001004</x:t>
        </x:is>
      </x:c>
      <x:c r="B148" s="184" t="inlineStr">
        <x:is>
          <x:t xml:space="preserve">CODO 45 GRD 3PLG DE DIMENSION ANTIESTATICA ECHEVERRIA</x:t>
        </x:is>
      </x:c>
      <x:c r="C148" s="184" t="n">
        <x:v>14</x:v>
      </x:c>
      <x:c r="D148" s="184" t="n">
        <x:v>0</x:v>
      </x:c>
      <x:c r="E148" s="184" t="n">
        <x:v>0</x:v>
      </x:c>
      <x:c r="F148" s="184" t="n">
        <x:v>14</x:v>
      </x:c>
      <x:c r="G148" s="184" t="n">
        <x:v>243488</x:v>
      </x:c>
      <x:c r="H148" s="193" t="n">
        <x:v>0</x:v>
      </x:c>
      <x:c r="I148" s="185" t="n">
        <x:v>0</x:v>
      </x:c>
      <x:c r="J148" s="185" t="n">
        <x:v>243488</x:v>
      </x:c>
      <x:c r="K148" s="289" t="n">
        <x:v>17392</x:v>
      </x:c>
    </x:row>
    <x:row r="149" s="117" customFormat="1" hidden="1">
      <x:c r="A149" s="184" t="inlineStr">
        <x:is>
          <x:t xml:space="preserve">ECHFIT001005</x:t>
        </x:is>
      </x:c>
      <x:c r="B149" s="184" t="inlineStr">
        <x:is>
          <x:t xml:space="preserve">CODO 45 GRD 6PLG DE DIMENSIÓN ANTIESTATICA ECHEVERRIA</x:t>
        </x:is>
      </x:c>
      <x:c r="C149" s="184" t="n">
        <x:v>8</x:v>
      </x:c>
      <x:c r="D149" s="184" t="n">
        <x:v>0</x:v>
      </x:c>
      <x:c r="E149" s="184" t="n">
        <x:v>0</x:v>
      </x:c>
      <x:c r="F149" s="184" t="n">
        <x:v>8</x:v>
      </x:c>
      <x:c r="G149" s="184" t="n">
        <x:v>407640</x:v>
      </x:c>
      <x:c r="H149" s="193" t="n">
        <x:v>0</x:v>
      </x:c>
      <x:c r="I149" s="185" t="n">
        <x:v>0</x:v>
      </x:c>
      <x:c r="J149" s="185" t="n">
        <x:v>407640</x:v>
      </x:c>
      <x:c r="K149" s="289" t="n">
        <x:v>50955</x:v>
      </x:c>
    </x:row>
    <x:row r="150" s="117" customFormat="1" hidden="1">
      <x:c r="A150" s="184" t="inlineStr">
        <x:is>
          <x:t xml:space="preserve">ECHFIT001006</x:t>
        </x:is>
      </x:c>
      <x:c r="B150" s="184" t="inlineStr">
        <x:is>
          <x:t xml:space="preserve">CODO 90 GRD 4PLG DE DIMENSIÓN STAND ECHEVERRIA</x:t>
        </x:is>
      </x:c>
      <x:c r="C150" s="184" t="n">
        <x:v>0</x:v>
      </x:c>
      <x:c r="D150" s="184" t="n">
        <x:v>0</x:v>
      </x:c>
      <x:c r="E150" s="184" t="n">
        <x:v>0</x:v>
      </x:c>
      <x:c r="F150" s="184" t="n">
        <x:v>0</x:v>
      </x:c>
      <x:c r="G150" s="184" t="n">
        <x:v>0</x:v>
      </x:c>
      <x:c r="H150" s="193" t="n">
        <x:v>0</x:v>
      </x:c>
      <x:c r="I150" s="185" t="n">
        <x:v>0</x:v>
      </x:c>
      <x:c r="J150" s="185" t="n">
        <x:v>0</x:v>
      </x:c>
      <x:c r="K150" s="289" t="n">
        <x:v>30681</x:v>
      </x:c>
    </x:row>
    <x:row r="151" s="117" customFormat="1" hidden="1">
      <x:c r="A151" s="184" t="inlineStr">
        <x:is>
          <x:t xml:space="preserve">ECHFIT001007</x:t>
        </x:is>
      </x:c>
      <x:c r="B151" s="184" t="inlineStr">
        <x:is>
          <x:t xml:space="preserve">CODO 90 GRD 6 PLG DE DIMENSIÓN STAND ECHEVERRIA</x:t>
        </x:is>
      </x:c>
      <x:c r="C151" s="184" t="n">
        <x:v>5</x:v>
      </x:c>
      <x:c r="D151" s="184" t="n">
        <x:v>0</x:v>
      </x:c>
      <x:c r="E151" s="184" t="n">
        <x:v>0</x:v>
      </x:c>
      <x:c r="F151" s="184" t="n">
        <x:v>5</x:v>
      </x:c>
      <x:c r="G151" s="184" t="n">
        <x:v>339700</x:v>
      </x:c>
      <x:c r="H151" s="193" t="n">
        <x:v>0</x:v>
      </x:c>
      <x:c r="I151" s="185" t="n">
        <x:v>0</x:v>
      </x:c>
      <x:c r="J151" s="185" t="n">
        <x:v>339700</x:v>
      </x:c>
      <x:c r="K151" s="289" t="n">
        <x:v>67940</x:v>
      </x:c>
    </x:row>
    <x:row r="152" s="117" customFormat="1" hidden="1">
      <x:c r="A152" s="184" t="inlineStr">
        <x:is>
          <x:t xml:space="preserve">ECHFIT001008</x:t>
        </x:is>
      </x:c>
      <x:c r="B152" s="184" t="inlineStr">
        <x:is>
          <x:t xml:space="preserve">CODO 90 GRD  6PLG DE DIMENSIÓN ANTIESTATICA ECHEVERRIA</x:t>
        </x:is>
      </x:c>
      <x:c r="C152" s="184" t="n">
        <x:v>8</x:v>
      </x:c>
      <x:c r="D152" s="184" t="n">
        <x:v>0</x:v>
      </x:c>
      <x:c r="E152" s="184" t="n">
        <x:v>0</x:v>
      </x:c>
      <x:c r="F152" s="184" t="n">
        <x:v>8</x:v>
      </x:c>
      <x:c r="G152" s="184" t="n">
        <x:v>543520</x:v>
      </x:c>
      <x:c r="H152" s="193" t="n">
        <x:v>0</x:v>
      </x:c>
      <x:c r="I152" s="185" t="n">
        <x:v>0</x:v>
      </x:c>
      <x:c r="J152" s="185" t="n">
        <x:v>543520</x:v>
      </x:c>
      <x:c r="K152" s="289" t="n">
        <x:v>67940</x:v>
      </x:c>
    </x:row>
    <x:row r="153" s="117" customFormat="1" hidden="1">
      <x:c r="A153" s="184" t="inlineStr">
        <x:is>
          <x:t xml:space="preserve">ECHFIT001009</x:t>
        </x:is>
      </x:c>
      <x:c r="B153" s="184" t="inlineStr">
        <x:is>
          <x:t xml:space="preserve">CODO 90 GRD 10 PLG DE DIMENSIÓN ANTIESTATICA ECHEVERRIA</x:t>
        </x:is>
      </x:c>
      <x:c r="C153" s="184" t="n">
        <x:v>12</x:v>
      </x:c>
      <x:c r="D153" s="184" t="n">
        <x:v>0</x:v>
      </x:c>
      <x:c r="E153" s="184" t="n">
        <x:v>0</x:v>
      </x:c>
      <x:c r="F153" s="184" t="n">
        <x:v>12</x:v>
      </x:c>
      <x:c r="G153" s="184" t="n">
        <x:v>1762008</x:v>
      </x:c>
      <x:c r="H153" s="193" t="n">
        <x:v>0</x:v>
      </x:c>
      <x:c r="I153" s="185" t="n">
        <x:v>0</x:v>
      </x:c>
      <x:c r="J153" s="185" t="n">
        <x:v>1762008</x:v>
      </x:c>
      <x:c r="K153" s="289" t="n">
        <x:v>146834</x:v>
      </x:c>
    </x:row>
    <x:row r="154" s="117" customFormat="1" hidden="1">
      <x:c r="A154" s="184" t="inlineStr">
        <x:is>
          <x:t xml:space="preserve">ECHFIT001010</x:t>
        </x:is>
      </x:c>
      <x:c r="B154" s="184" t="inlineStr">
        <x:is>
          <x:t xml:space="preserve">CODO 90 GRD  2PLG DE DIMENSIÓN ANTIESTATICA ECHEVERRIA</x:t>
        </x:is>
      </x:c>
      <x:c r="C154" s="184" t="n">
        <x:v>0</x:v>
      </x:c>
      <x:c r="D154" s="184" t="n">
        <x:v>0</x:v>
      </x:c>
      <x:c r="E154" s="184" t="n">
        <x:v>0</x:v>
      </x:c>
      <x:c r="F154" s="184" t="n">
        <x:v>0</x:v>
      </x:c>
      <x:c r="G154" s="184" t="n">
        <x:v>0</x:v>
      </x:c>
      <x:c r="H154" s="193" t="n">
        <x:v>0</x:v>
      </x:c>
      <x:c r="I154" s="185" t="n">
        <x:v>0</x:v>
      </x:c>
      <x:c r="J154" s="185" t="n">
        <x:v>0</x:v>
      </x:c>
      <x:c r="K154" s="289" t="n">
        <x:v>15958</x:v>
      </x:c>
    </x:row>
    <x:row r="155" s="117" customFormat="1" hidden="1">
      <x:c r="A155" s="184" t="inlineStr">
        <x:is>
          <x:t xml:space="preserve">ECHFIT001011</x:t>
        </x:is>
      </x:c>
      <x:c r="B155" s="184" t="inlineStr">
        <x:is>
          <x:t xml:space="preserve">CODO 90 GRD  3PLG DE DIMENSIÓN ANTIESTATICA ECHEVERRIA</x:t>
        </x:is>
      </x:c>
      <x:c r="C155" s="184" t="n">
        <x:v>38</x:v>
      </x:c>
      <x:c r="D155" s="184" t="n">
        <x:v>0</x:v>
      </x:c>
      <x:c r="E155" s="184" t="n">
        <x:v>0</x:v>
      </x:c>
      <x:c r="F155" s="184" t="n">
        <x:v>38</x:v>
      </x:c>
      <x:c r="G155" s="184" t="n">
        <x:v>881182</x:v>
      </x:c>
      <x:c r="H155" s="193" t="n">
        <x:v>0</x:v>
      </x:c>
      <x:c r="I155" s="185" t="n">
        <x:v>0</x:v>
      </x:c>
      <x:c r="J155" s="185" t="n">
        <x:v>881182</x:v>
      </x:c>
      <x:c r="K155" s="289" t="n">
        <x:v>23189</x:v>
      </x:c>
    </x:row>
    <x:row r="156" s="117" customFormat="1" hidden="1">
      <x:c r="A156" s="184" t="inlineStr">
        <x:is>
          <x:t xml:space="preserve">ECHFIT001012</x:t>
        </x:is>
      </x:c>
      <x:c r="B156" s="184" t="inlineStr">
        <x:is>
          <x:t xml:space="preserve">CODO 90 GRD  4PLG DE DIMENSIÓN ANTIESTATICA ECHEVERRIA</x:t>
        </x:is>
      </x:c>
      <x:c r="C156" s="184" t="n">
        <x:v>0</x:v>
      </x:c>
      <x:c r="D156" s="184" t="n">
        <x:v>0</x:v>
      </x:c>
      <x:c r="E156" s="184" t="n">
        <x:v>0</x:v>
      </x:c>
      <x:c r="F156" s="184" t="n">
        <x:v>0</x:v>
      </x:c>
      <x:c r="G156" s="184" t="n">
        <x:v>0</x:v>
      </x:c>
      <x:c r="H156" s="193" t="n">
        <x:v>0</x:v>
      </x:c>
      <x:c r="I156" s="185" t="n">
        <x:v>0</x:v>
      </x:c>
      <x:c r="J156" s="185" t="n">
        <x:v>0</x:v>
      </x:c>
      <x:c r="K156" s="289" t="n">
        <x:v>30681</x:v>
      </x:c>
    </x:row>
    <x:row r="157" s="117" customFormat="1" hidden="1">
      <x:c r="A157" s="184" t="inlineStr">
        <x:is>
          <x:t xml:space="preserve">ECHFIT001013</x:t>
        </x:is>
      </x:c>
      <x:c r="B157" s="184" t="inlineStr">
        <x:is>
          <x:t xml:space="preserve">CODO 90 GRD  8PLG DE DIMENSIÓN ANTIESTATICA ECHEVERRIA</x:t>
        </x:is>
      </x:c>
      <x:c r="C157" s="184" t="n">
        <x:v>2</x:v>
      </x:c>
      <x:c r="D157" s="184" t="n">
        <x:v>0</x:v>
      </x:c>
      <x:c r="E157" s="184" t="n">
        <x:v>0</x:v>
      </x:c>
      <x:c r="F157" s="184" t="n">
        <x:v>2</x:v>
      </x:c>
      <x:c r="G157" s="184" t="n">
        <x:v>206258</x:v>
      </x:c>
      <x:c r="H157" s="193" t="n">
        <x:v>0</x:v>
      </x:c>
      <x:c r="I157" s="185" t="n">
        <x:v>0</x:v>
      </x:c>
      <x:c r="J157" s="185" t="n">
        <x:v>206258</x:v>
      </x:c>
      <x:c r="K157" s="289" t="n">
        <x:v>103129</x:v>
      </x:c>
    </x:row>
    <x:row r="158" s="117" customFormat="1" hidden="1">
      <x:c r="A158" s="184" t="inlineStr">
        <x:is>
          <x:t xml:space="preserve">ECHFIT001014</x:t>
        </x:is>
      </x:c>
      <x:c r="B158" s="184" t="inlineStr">
        <x:is>
          <x:t xml:space="preserve">FLANG CIEGO 2 PLG DIMENSIÓN STAND ECHEVERRIA</x:t>
        </x:is>
      </x:c>
      <x:c r="C158" s="184" t="n">
        <x:v>6</x:v>
      </x:c>
      <x:c r="D158" s="184" t="n">
        <x:v>0</x:v>
      </x:c>
      <x:c r="E158" s="184" t="n">
        <x:v>0</x:v>
      </x:c>
      <x:c r="F158" s="184" t="n">
        <x:v>6</x:v>
      </x:c>
      <x:c r="G158" s="184" t="n">
        <x:v>91956</x:v>
      </x:c>
      <x:c r="H158" s="193" t="n">
        <x:v>0</x:v>
      </x:c>
      <x:c r="I158" s="185" t="n">
        <x:v>0</x:v>
      </x:c>
      <x:c r="J158" s="185" t="n">
        <x:v>91956</x:v>
      </x:c>
      <x:c r="K158" s="289" t="n">
        <x:v>15326</x:v>
      </x:c>
    </x:row>
    <x:row r="159" s="117" customFormat="1" hidden="1">
      <x:c r="A159" s="184" t="inlineStr">
        <x:is>
          <x:t xml:space="preserve">ECHFIT001015</x:t>
        </x:is>
      </x:c>
      <x:c r="B159" s="184" t="inlineStr">
        <x:is>
          <x:t xml:space="preserve">FLANG CIEGO 4 PLG DIMENSIÓN STAND ECHEVERRIA</x:t>
        </x:is>
      </x:c>
      <x:c r="C159" s="184" t="n">
        <x:v>0</x:v>
      </x:c>
      <x:c r="D159" s="184" t="n">
        <x:v>0</x:v>
      </x:c>
      <x:c r="E159" s="184" t="n">
        <x:v>0</x:v>
      </x:c>
      <x:c r="F159" s="184" t="n">
        <x:v>0</x:v>
      </x:c>
      <x:c r="G159" s="184" t="n">
        <x:v>0</x:v>
      </x:c>
      <x:c r="H159" s="193" t="n">
        <x:v>0</x:v>
      </x:c>
      <x:c r="I159" s="185" t="n">
        <x:v>0</x:v>
      </x:c>
      <x:c r="J159" s="185" t="n">
        <x:v>0</x:v>
      </x:c>
      <x:c r="K159" s="289" t="n">
        <x:v>29897</x:v>
      </x:c>
    </x:row>
    <x:row r="160" s="117" customFormat="1" hidden="1">
      <x:c r="A160" s="184" t="inlineStr">
        <x:is>
          <x:t xml:space="preserve">ECHFIT001016</x:t>
        </x:is>
      </x:c>
      <x:c r="B160" s="184" t="inlineStr">
        <x:is>
          <x:t xml:space="preserve">FLANGE CIEGO 4 PLG ANTIESTATICA ECHEVERRIA</x:t>
        </x:is>
      </x:c>
      <x:c r="C160" s="184" t="n">
        <x:v>3</x:v>
      </x:c>
      <x:c r="D160" s="184" t="n">
        <x:v>0</x:v>
      </x:c>
      <x:c r="E160" s="184" t="n">
        <x:v>0</x:v>
      </x:c>
      <x:c r="F160" s="184" t="n">
        <x:v>3</x:v>
      </x:c>
      <x:c r="G160" s="184" t="n">
        <x:v>89691</x:v>
      </x:c>
      <x:c r="H160" s="193" t="n">
        <x:v>0</x:v>
      </x:c>
      <x:c r="I160" s="185" t="n">
        <x:v>0</x:v>
      </x:c>
      <x:c r="J160" s="185" t="n">
        <x:v>89691</x:v>
      </x:c>
      <x:c r="K160" s="289" t="n">
        <x:v>29897</x:v>
      </x:c>
    </x:row>
    <x:row r="161" s="117" customFormat="1" hidden="1">
      <x:c r="A161" s="184" t="inlineStr">
        <x:is>
          <x:t xml:space="preserve">ECHFIT001017</x:t>
        </x:is>
      </x:c>
      <x:c r="B161" s="184" t="inlineStr">
        <x:is>
          <x:t xml:space="preserve">FLANG CIEGO 2 PLG DIMENSIÓN ANTIESTATICA ECHEVERRIA</x:t>
        </x:is>
      </x:c>
      <x:c r="C161" s="184" t="n">
        <x:v>38</x:v>
      </x:c>
      <x:c r="D161" s="184" t="n">
        <x:v>0</x:v>
      </x:c>
      <x:c r="E161" s="184" t="n">
        <x:v>0</x:v>
      </x:c>
      <x:c r="F161" s="184" t="n">
        <x:v>38</x:v>
      </x:c>
      <x:c r="G161" s="184" t="n">
        <x:v>582388</x:v>
      </x:c>
      <x:c r="H161" s="193" t="n">
        <x:v>0</x:v>
      </x:c>
      <x:c r="I161" s="185" t="n">
        <x:v>0</x:v>
      </x:c>
      <x:c r="J161" s="185" t="n">
        <x:v>582388</x:v>
      </x:c>
      <x:c r="K161" s="289" t="n">
        <x:v>15326</x:v>
      </x:c>
    </x:row>
    <x:row r="162" s="117" customFormat="1" hidden="1">
      <x:c r="A162" s="184" t="inlineStr">
        <x:is>
          <x:t xml:space="preserve">ECHFIT001018</x:t>
        </x:is>
      </x:c>
      <x:c r="B162" s="184" t="inlineStr">
        <x:is>
          <x:t xml:space="preserve">FLANG CIEGO 3 PLG DIMENSIÓN ANTIESTATICA ECHEVERRIA</x:t>
        </x:is>
      </x:c>
      <x:c r="C162" s="184" t="n">
        <x:v>8</x:v>
      </x:c>
      <x:c r="D162" s="184" t="n">
        <x:v>0</x:v>
      </x:c>
      <x:c r="E162" s="184" t="n">
        <x:v>0</x:v>
      </x:c>
      <x:c r="F162" s="184" t="n">
        <x:v>8</x:v>
      </x:c>
      <x:c r="G162" s="184" t="n">
        <x:v>170008</x:v>
      </x:c>
      <x:c r="H162" s="193" t="n">
        <x:v>0</x:v>
      </x:c>
      <x:c r="I162" s="185" t="n">
        <x:v>0</x:v>
      </x:c>
      <x:c r="J162" s="185" t="n">
        <x:v>170008</x:v>
      </x:c>
      <x:c r="K162" s="289" t="n">
        <x:v>21251</x:v>
      </x:c>
    </x:row>
    <x:row r="163" s="117" customFormat="1" hidden="1">
      <x:c r="A163" s="184" t="inlineStr">
        <x:is>
          <x:t xml:space="preserve">ECHFIT001019</x:t>
        </x:is>
      </x:c>
      <x:c r="B163" s="184" t="inlineStr">
        <x:is>
          <x:t xml:space="preserve">FLANG CIEGO 6PLG DIMENSIÓN ANTIESTATICA ECHEVERRIA</x:t>
        </x:is>
      </x:c>
      <x:c r="C163" s="184" t="n">
        <x:v>2</x:v>
      </x:c>
      <x:c r="D163" s="184" t="n">
        <x:v>0</x:v>
      </x:c>
      <x:c r="E163" s="184" t="n">
        <x:v>0</x:v>
      </x:c>
      <x:c r="F163" s="184" t="n">
        <x:v>2</x:v>
      </x:c>
      <x:c r="G163" s="184" t="n">
        <x:v>110694</x:v>
      </x:c>
      <x:c r="H163" s="193" t="n">
        <x:v>0</x:v>
      </x:c>
      <x:c r="I163" s="185" t="n">
        <x:v>0</x:v>
      </x:c>
      <x:c r="J163" s="185" t="n">
        <x:v>110694</x:v>
      </x:c>
      <x:c r="K163" s="289" t="n">
        <x:v>55347</x:v>
      </x:c>
    </x:row>
    <x:row r="164" s="117" customFormat="1" hidden="1">
      <x:c r="A164" s="184" t="inlineStr">
        <x:is>
          <x:t xml:space="preserve">ECHFIT001020</x:t>
        </x:is>
      </x:c>
      <x:c r="B164" s="184" t="inlineStr">
        <x:is>
          <x:t xml:space="preserve">REDU CONC 4 A 3 PLG DIMENSIÓN  STAND ECHEVERRIA</x:t>
        </x:is>
      </x:c>
      <x:c r="C164" s="184" t="n">
        <x:v>2</x:v>
      </x:c>
      <x:c r="D164" s="184" t="n">
        <x:v>0</x:v>
      </x:c>
      <x:c r="E164" s="184" t="n">
        <x:v>0</x:v>
      </x:c>
      <x:c r="F164" s="184" t="n">
        <x:v>2</x:v>
      </x:c>
      <x:c r="G164" s="184" t="n">
        <x:v>43000</x:v>
      </x:c>
      <x:c r="H164" s="193" t="n">
        <x:v>0</x:v>
      </x:c>
      <x:c r="I164" s="185" t="n">
        <x:v>0</x:v>
      </x:c>
      <x:c r="J164" s="185" t="n">
        <x:v>43000</x:v>
      </x:c>
      <x:c r="K164" s="289" t="n">
        <x:v>21500</x:v>
      </x:c>
    </x:row>
    <x:row r="165" s="117" customFormat="1" hidden="1">
      <x:c r="A165" s="184" t="inlineStr">
        <x:is>
          <x:t xml:space="preserve">ECHFIT001021</x:t>
        </x:is>
      </x:c>
      <x:c r="B165" s="184" t="inlineStr">
        <x:is>
          <x:t xml:space="preserve">REDU CONC 4 A 3 PLG DIMENSIÓN  ANTIESTATICA  ECHEVERRIA</x:t>
        </x:is>
      </x:c>
      <x:c r="C165" s="184" t="n">
        <x:v>36</x:v>
      </x:c>
      <x:c r="D165" s="184" t="n">
        <x:v>0</x:v>
      </x:c>
      <x:c r="E165" s="184" t="n">
        <x:v>0</x:v>
      </x:c>
      <x:c r="F165" s="184" t="n">
        <x:v>36</x:v>
      </x:c>
      <x:c r="G165" s="184" t="n">
        <x:v>774000</x:v>
      </x:c>
      <x:c r="H165" s="193" t="n">
        <x:v>0</x:v>
      </x:c>
      <x:c r="I165" s="185" t="n">
        <x:v>0</x:v>
      </x:c>
      <x:c r="J165" s="185" t="n">
        <x:v>774000</x:v>
      </x:c>
      <x:c r="K165" s="289" t="n">
        <x:v>21500</x:v>
      </x:c>
    </x:row>
    <x:row r="166" s="117" customFormat="1" hidden="1">
      <x:c r="A166" s="184" t="inlineStr">
        <x:is>
          <x:t xml:space="preserve">ECHFIT001022</x:t>
        </x:is>
      </x:c>
      <x:c r="B166" s="184" t="inlineStr">
        <x:is>
          <x:t xml:space="preserve">REDU CONC 8 A 3 PLG DIMENSIÓN  ANTIESTATICA  ECHEVERRIA</x:t>
        </x:is>
      </x:c>
      <x:c r="C166" s="184" t="n">
        <x:v>2</x:v>
      </x:c>
      <x:c r="D166" s="184" t="n">
        <x:v>0</x:v>
      </x:c>
      <x:c r="E166" s="184" t="n">
        <x:v>0</x:v>
      </x:c>
      <x:c r="F166" s="184" t="n">
        <x:v>2</x:v>
      </x:c>
      <x:c r="G166" s="184" t="n">
        <x:v>48760</x:v>
      </x:c>
      <x:c r="H166" s="193" t="n">
        <x:v>0</x:v>
      </x:c>
      <x:c r="I166" s="185" t="n">
        <x:v>0</x:v>
      </x:c>
      <x:c r="J166" s="185" t="n">
        <x:v>48760</x:v>
      </x:c>
      <x:c r="K166" s="289" t="n">
        <x:v>24380</x:v>
      </x:c>
    </x:row>
    <x:row r="167" s="117" customFormat="1" hidden="1">
      <x:c r="A167" s="184" t="inlineStr">
        <x:is>
          <x:t xml:space="preserve">ECHFIT001023</x:t>
        </x:is>
      </x:c>
      <x:c r="B167" s="184" t="inlineStr">
        <x:is>
          <x:t xml:space="preserve">REDU EXCE 10 A 6 PLG DIMENSIÓN  ANTIESTATICA  ECHEVERRIA</x:t>
        </x:is>
      </x:c>
      <x:c r="C167" s="184" t="n">
        <x:v>5</x:v>
      </x:c>
      <x:c r="D167" s="184" t="n">
        <x:v>0</x:v>
      </x:c>
      <x:c r="E167" s="184" t="n">
        <x:v>0</x:v>
      </x:c>
      <x:c r="F167" s="184" t="n">
        <x:v>5</x:v>
      </x:c>
      <x:c r="G167" s="184" t="n">
        <x:v>228910</x:v>
      </x:c>
      <x:c r="H167" s="193" t="n">
        <x:v>0</x:v>
      </x:c>
      <x:c r="I167" s="185" t="n">
        <x:v>0</x:v>
      </x:c>
      <x:c r="J167" s="185" t="n">
        <x:v>228910</x:v>
      </x:c>
      <x:c r="K167" s="289" t="n">
        <x:v>45782</x:v>
      </x:c>
    </x:row>
    <x:row r="168" s="117" customFormat="1" hidden="1">
      <x:c r="A168" s="184" t="inlineStr">
        <x:is>
          <x:t xml:space="preserve">ECHFIT001024</x:t>
        </x:is>
      </x:c>
      <x:c r="B168" s="184" t="inlineStr">
        <x:is>
          <x:t xml:space="preserve">REDU EXCE 10 A 8 PLG DIMENSIÓN  ANTIESTATICA  ECHEVERRIA</x:t>
        </x:is>
      </x:c>
      <x:c r="C168" s="184" t="n">
        <x:v>3</x:v>
      </x:c>
      <x:c r="D168" s="184" t="n">
        <x:v>0</x:v>
      </x:c>
      <x:c r="E168" s="184" t="n">
        <x:v>0</x:v>
      </x:c>
      <x:c r="F168" s="184" t="n">
        <x:v>3</x:v>
      </x:c>
      <x:c r="G168" s="184" t="n">
        <x:v>167868</x:v>
      </x:c>
      <x:c r="H168" s="193" t="n">
        <x:v>0</x:v>
      </x:c>
      <x:c r="I168" s="185" t="n">
        <x:v>0</x:v>
      </x:c>
      <x:c r="J168" s="185" t="n">
        <x:v>167868</x:v>
      </x:c>
      <x:c r="K168" s="289" t="n">
        <x:v>55956</x:v>
      </x:c>
    </x:row>
    <x:row r="169" s="117" customFormat="1" hidden="1">
      <x:c r="A169" s="184" t="inlineStr">
        <x:is>
          <x:t xml:space="preserve">ECHFIT001025</x:t>
        </x:is>
      </x:c>
      <x:c r="B169" s="184" t="inlineStr">
        <x:is>
          <x:t xml:space="preserve">REDU EXCE 3 A 2 PLG DIMENSIÓN  ANTIESTATICA  ECHEVERRIA</x:t>
        </x:is>
      </x:c>
      <x:c r="C169" s="184" t="n">
        <x:v>24</x:v>
      </x:c>
      <x:c r="D169" s="184" t="n">
        <x:v>0</x:v>
      </x:c>
      <x:c r="E169" s="184" t="n">
        <x:v>0</x:v>
      </x:c>
      <x:c r="F169" s="184" t="n">
        <x:v>24</x:v>
      </x:c>
      <x:c r="G169" s="184" t="n">
        <x:v>302496</x:v>
      </x:c>
      <x:c r="H169" s="193" t="n">
        <x:v>0</x:v>
      </x:c>
      <x:c r="I169" s="185" t="n">
        <x:v>0</x:v>
      </x:c>
      <x:c r="J169" s="185" t="n">
        <x:v>302496</x:v>
      </x:c>
      <x:c r="K169" s="289" t="n">
        <x:v>12604</x:v>
      </x:c>
    </x:row>
    <x:row r="170" s="117" customFormat="1" hidden="1">
      <x:c r="A170" s="184" t="inlineStr">
        <x:is>
          <x:t xml:space="preserve">ECHFIT001026</x:t>
        </x:is>
      </x:c>
      <x:c r="B170" s="184" t="inlineStr">
        <x:is>
          <x:t xml:space="preserve">REDU EXCE 6 A 4 PLG DIMENSIÓN  ANTIESTATICA  ECHEVERRIA</x:t>
        </x:is>
      </x:c>
      <x:c r="C170" s="184" t="n">
        <x:v>5</x:v>
      </x:c>
      <x:c r="D170" s="184" t="n">
        <x:v>0</x:v>
      </x:c>
      <x:c r="E170" s="184" t="n">
        <x:v>0</x:v>
      </x:c>
      <x:c r="F170" s="184" t="n">
        <x:v>5</x:v>
      </x:c>
      <x:c r="G170" s="184" t="n">
        <x:v>125165</x:v>
      </x:c>
      <x:c r="H170" s="193" t="n">
        <x:v>0</x:v>
      </x:c>
      <x:c r="I170" s="185" t="n">
        <x:v>0</x:v>
      </x:c>
      <x:c r="J170" s="185" t="n">
        <x:v>125165</x:v>
      </x:c>
      <x:c r="K170" s="289" t="n">
        <x:v>25033</x:v>
      </x:c>
    </x:row>
    <x:row r="171" s="117" customFormat="1" hidden="1">
      <x:c r="A171" s="184" t="inlineStr">
        <x:is>
          <x:t xml:space="preserve">ECHFIT001027</x:t>
        </x:is>
      </x:c>
      <x:c r="B171" s="184" t="inlineStr">
        <x:is>
          <x:t xml:space="preserve">TEE  DE 4 PLG DIMENSIÓN STAND ECHEVERRIA</x:t>
        </x:is>
      </x:c>
      <x:c r="C171" s="184" t="n">
        <x:v>0</x:v>
      </x:c>
      <x:c r="D171" s="184" t="n">
        <x:v>0</x:v>
      </x:c>
      <x:c r="E171" s="184" t="n">
        <x:v>0</x:v>
      </x:c>
      <x:c r="F171" s="184" t="n">
        <x:v>0</x:v>
      </x:c>
      <x:c r="G171" s="184" t="n">
        <x:v>0</x:v>
      </x:c>
      <x:c r="H171" s="193" t="n">
        <x:v>0</x:v>
      </x:c>
      <x:c r="I171" s="185" t="n">
        <x:v>0</x:v>
      </x:c>
      <x:c r="J171" s="185" t="n">
        <x:v>0</x:v>
      </x:c>
      <x:c r="K171" s="289" t="n">
        <x:v>101691</x:v>
      </x:c>
    </x:row>
    <x:row r="172" s="117" customFormat="1" hidden="1">
      <x:c r="A172" s="184" t="inlineStr">
        <x:is>
          <x:t xml:space="preserve">ECHFIT001028</x:t>
        </x:is>
      </x:c>
      <x:c r="B172" s="184" t="inlineStr">
        <x:is>
          <x:t xml:space="preserve">TEE  DE 6  PLG DIMENSIÓN STAND ECHEVERRIA</x:t>
        </x:is>
      </x:c>
      <x:c r="C172" s="184" t="n">
        <x:v>1</x:v>
      </x:c>
      <x:c r="D172" s="184" t="n">
        <x:v>0</x:v>
      </x:c>
      <x:c r="E172" s="184" t="n">
        <x:v>0</x:v>
      </x:c>
      <x:c r="F172" s="184" t="n">
        <x:v>1</x:v>
      </x:c>
      <x:c r="G172" s="184" t="n">
        <x:v>130143</x:v>
      </x:c>
      <x:c r="H172" s="193" t="n">
        <x:v>0</x:v>
      </x:c>
      <x:c r="I172" s="185" t="n">
        <x:v>0</x:v>
      </x:c>
      <x:c r="J172" s="185" t="n">
        <x:v>130143</x:v>
      </x:c>
      <x:c r="K172" s="289" t="n">
        <x:v>130143</x:v>
      </x:c>
    </x:row>
    <x:row r="173" s="117" customFormat="1" hidden="1">
      <x:c r="A173" s="184" t="inlineStr">
        <x:is>
          <x:t xml:space="preserve">ECHFIT001029</x:t>
        </x:is>
      </x:c>
      <x:c r="B173" s="184" t="inlineStr">
        <x:is>
          <x:t xml:space="preserve">TEE  DE 10  PLG DIMENSIÓN ANTIESTATICA ECHEVERRIA</x:t>
        </x:is>
      </x:c>
      <x:c r="C173" s="184" t="n">
        <x:v>20</x:v>
      </x:c>
      <x:c r="D173" s="184" t="n">
        <x:v>0</x:v>
      </x:c>
      <x:c r="E173" s="184" t="n">
        <x:v>0</x:v>
      </x:c>
      <x:c r="F173" s="184" t="n">
        <x:v>20</x:v>
      </x:c>
      <x:c r="G173" s="184" t="n">
        <x:v>4722780</x:v>
      </x:c>
      <x:c r="H173" s="193" t="n">
        <x:v>0</x:v>
      </x:c>
      <x:c r="I173" s="185" t="n">
        <x:v>0</x:v>
      </x:c>
      <x:c r="J173" s="185" t="n">
        <x:v>4722780</x:v>
      </x:c>
      <x:c r="K173" s="289" t="n">
        <x:v>236139</x:v>
      </x:c>
    </x:row>
    <x:row r="174" s="117" customFormat="1" hidden="1">
      <x:c r="A174" s="184" t="inlineStr">
        <x:is>
          <x:t xml:space="preserve">ECHFIT001030</x:t>
        </x:is>
      </x:c>
      <x:c r="B174" s="184" t="inlineStr">
        <x:is>
          <x:t xml:space="preserve">TEE  DE 2 PLG DIMENSIÓN ANTIESTATICA ECHEVERRIA</x:t>
        </x:is>
      </x:c>
      <x:c r="C174" s="184" t="n">
        <x:v>8</x:v>
      </x:c>
      <x:c r="D174" s="184" t="n">
        <x:v>0</x:v>
      </x:c>
      <x:c r="E174" s="184" t="n">
        <x:v>0</x:v>
      </x:c>
      <x:c r="F174" s="184" t="n">
        <x:v>8</x:v>
      </x:c>
      <x:c r="G174" s="184" t="n">
        <x:v>322696</x:v>
      </x:c>
      <x:c r="H174" s="193" t="n">
        <x:v>0</x:v>
      </x:c>
      <x:c r="I174" s="185" t="n">
        <x:v>0</x:v>
      </x:c>
      <x:c r="J174" s="185" t="n">
        <x:v>322696</x:v>
      </x:c>
      <x:c r="K174" s="289" t="n">
        <x:v>40337</x:v>
      </x:c>
    </x:row>
    <x:row r="175" s="117" customFormat="1" hidden="1">
      <x:c r="A175" s="184" t="inlineStr">
        <x:is>
          <x:t xml:space="preserve">ECHFIT001031</x:t>
        </x:is>
      </x:c>
      <x:c r="B175" s="184" t="inlineStr">
        <x:is>
          <x:t xml:space="preserve">TEE  DE 4 PLG DIMENSIÓN ANTIESTATICA ECHEVERRIA</x:t>
        </x:is>
      </x:c>
      <x:c r="C175" s="184" t="n">
        <x:v>11</x:v>
      </x:c>
      <x:c r="D175" s="184" t="n">
        <x:v>0</x:v>
      </x:c>
      <x:c r="E175" s="184" t="n">
        <x:v>0</x:v>
      </x:c>
      <x:c r="F175" s="184" t="n">
        <x:v>11</x:v>
      </x:c>
      <x:c r="G175" s="184" t="n">
        <x:v>1118601</x:v>
      </x:c>
      <x:c r="H175" s="193" t="n">
        <x:v>0</x:v>
      </x:c>
      <x:c r="I175" s="185" t="n">
        <x:v>0</x:v>
      </x:c>
      <x:c r="J175" s="185" t="n">
        <x:v>1118601</x:v>
      </x:c>
      <x:c r="K175" s="289" t="n">
        <x:v>101691</x:v>
      </x:c>
    </x:row>
    <x:row r="176" s="117" customFormat="1" hidden="1">
      <x:c r="A176" s="184" t="inlineStr">
        <x:is>
          <x:t xml:space="preserve">ECHFIT001032</x:t>
        </x:is>
      </x:c>
      <x:c r="B176" s="184" t="inlineStr">
        <x:is>
          <x:t xml:space="preserve">TEE  DE 6  PLG DIMENSIÓN ANTIESTATICA ECHEVERRIA</x:t>
        </x:is>
      </x:c>
      <x:c r="C176" s="184" t="n">
        <x:v>1</x:v>
      </x:c>
      <x:c r="D176" s="184" t="n">
        <x:v>0</x:v>
      </x:c>
      <x:c r="E176" s="184" t="n">
        <x:v>0</x:v>
      </x:c>
      <x:c r="F176" s="184" t="n">
        <x:v>1</x:v>
      </x:c>
      <x:c r="G176" s="184" t="n">
        <x:v>130143</x:v>
      </x:c>
      <x:c r="H176" s="193" t="n">
        <x:v>0</x:v>
      </x:c>
      <x:c r="I176" s="185" t="n">
        <x:v>0</x:v>
      </x:c>
      <x:c r="J176" s="185" t="n">
        <x:v>130143</x:v>
      </x:c>
      <x:c r="K176" s="289" t="n">
        <x:v>130143</x:v>
      </x:c>
    </x:row>
    <x:row r="177" s="117" customFormat="1" hidden="1">
      <x:c r="A177" s="184" t="inlineStr">
        <x:is>
          <x:t xml:space="preserve">ECHFIT001033</x:t>
        </x:is>
      </x:c>
      <x:c r="B177" s="184" t="inlineStr">
        <x:is>
          <x:t xml:space="preserve">TEE DE 8 PLG DIMENSIÓN ANTIESTATICA ECHEVERRIA</x:t>
        </x:is>
      </x:c>
      <x:c r="C177" s="184" t="n">
        <x:v>1</x:v>
      </x:c>
      <x:c r="D177" s="184" t="n">
        <x:v>0</x:v>
      </x:c>
      <x:c r="E177" s="184" t="n">
        <x:v>0</x:v>
      </x:c>
      <x:c r="F177" s="184" t="n">
        <x:v>1</x:v>
      </x:c>
      <x:c r="G177" s="184" t="n">
        <x:v>163205</x:v>
      </x:c>
      <x:c r="H177" s="193" t="n">
        <x:v>0</x:v>
      </x:c>
      <x:c r="I177" s="185" t="n">
        <x:v>0</x:v>
      </x:c>
      <x:c r="J177" s="185" t="n">
        <x:v>163205</x:v>
      </x:c>
      <x:c r="K177" s="289" t="n">
        <x:v>163205</x:v>
      </x:c>
    </x:row>
    <x:row r="178" s="117" customFormat="1" hidden="1">
      <x:c r="A178" s="184" t="inlineStr">
        <x:is>
          <x:t xml:space="preserve">ECHFIT001034</x:t>
        </x:is>
      </x:c>
      <x:c r="B178" s="184" t="inlineStr">
        <x:is>
          <x:t xml:space="preserve">TEE REDU DE 6 A 2 PLG DIMENSIÓN STAND ECHEVERRIA</x:t>
        </x:is>
      </x:c>
      <x:c r="C178" s="184" t="n">
        <x:v>4</x:v>
      </x:c>
      <x:c r="D178" s="184" t="n">
        <x:v>0</x:v>
      </x:c>
      <x:c r="E178" s="184" t="n">
        <x:v>0</x:v>
      </x:c>
      <x:c r="F178" s="184" t="n">
        <x:v>4</x:v>
      </x:c>
      <x:c r="G178" s="184" t="n">
        <x:v>364400</x:v>
      </x:c>
      <x:c r="H178" s="193" t="n">
        <x:v>0</x:v>
      </x:c>
      <x:c r="I178" s="185" t="n">
        <x:v>0</x:v>
      </x:c>
      <x:c r="J178" s="185" t="n">
        <x:v>364400</x:v>
      </x:c>
      <x:c r="K178" s="289" t="n">
        <x:v>91100</x:v>
      </x:c>
    </x:row>
    <x:row r="179" s="117" customFormat="1" hidden="1">
      <x:c r="A179" s="184" t="inlineStr">
        <x:is>
          <x:t xml:space="preserve">ECHFIT001035</x:t>
        </x:is>
      </x:c>
      <x:c r="B179" s="184" t="inlineStr">
        <x:is>
          <x:t xml:space="preserve">TEE REDU DE 6 A 4 PLG DIMENSIÓN STAND ECHEVERRIA</x:t>
        </x:is>
      </x:c>
      <x:c r="C179" s="184" t="n">
        <x:v>15</x:v>
      </x:c>
      <x:c r="D179" s="184" t="n">
        <x:v>0</x:v>
      </x:c>
      <x:c r="E179" s="184" t="n">
        <x:v>0</x:v>
      </x:c>
      <x:c r="F179" s="184" t="n">
        <x:v>15</x:v>
      </x:c>
      <x:c r="G179" s="184" t="n">
        <x:v>1561725</x:v>
      </x:c>
      <x:c r="H179" s="193" t="n">
        <x:v>0</x:v>
      </x:c>
      <x:c r="I179" s="185" t="n">
        <x:v>0</x:v>
      </x:c>
      <x:c r="J179" s="185" t="n">
        <x:v>1561725</x:v>
      </x:c>
      <x:c r="K179" s="289" t="n">
        <x:v>104115</x:v>
      </x:c>
    </x:row>
    <x:row r="180" s="117" customFormat="1" hidden="1">
      <x:c r="A180" s="184" t="inlineStr">
        <x:is>
          <x:t xml:space="preserve">ECHFIT001036</x:t>
        </x:is>
      </x:c>
      <x:c r="B180" s="184" t="inlineStr">
        <x:is>
          <x:t xml:space="preserve">TEE REDU DE 10 A 2 DIMENSION ANTIESTATICA  ECHEVERRIA</x:t>
        </x:is>
      </x:c>
      <x:c r="C180" s="184" t="n">
        <x:v>5</x:v>
      </x:c>
      <x:c r="D180" s="184" t="n">
        <x:v>0</x:v>
      </x:c>
      <x:c r="E180" s="184" t="n">
        <x:v>0</x:v>
      </x:c>
      <x:c r="F180" s="184" t="n">
        <x:v>5</x:v>
      </x:c>
      <x:c r="G180" s="184" t="n">
        <x:v>826490</x:v>
      </x:c>
      <x:c r="H180" s="193" t="n">
        <x:v>0</x:v>
      </x:c>
      <x:c r="I180" s="185" t="n">
        <x:v>0</x:v>
      </x:c>
      <x:c r="J180" s="185" t="n">
        <x:v>826490</x:v>
      </x:c>
      <x:c r="K180" s="289" t="n">
        <x:v>165298</x:v>
      </x:c>
    </x:row>
    <x:row r="181" s="117" customFormat="1" hidden="1">
      <x:c r="A181" s="184" t="inlineStr">
        <x:is>
          <x:t xml:space="preserve">ECHFIT001037</x:t>
        </x:is>
      </x:c>
      <x:c r="B181" s="184" t="inlineStr">
        <x:is>
          <x:t xml:space="preserve">TEE REDU  6 A 2 PLG C/SALIDA TIPO BOQUILLA STAND ECHEVERRIA</x:t>
        </x:is>
      </x:c>
      <x:c r="C181" s="184" t="n">
        <x:v>5</x:v>
      </x:c>
      <x:c r="D181" s="184" t="n">
        <x:v>0</x:v>
      </x:c>
      <x:c r="E181" s="184" t="n">
        <x:v>0</x:v>
      </x:c>
      <x:c r="F181" s="184" t="n">
        <x:v>5</x:v>
      </x:c>
      <x:c r="G181" s="184" t="n">
        <x:v>455500</x:v>
      </x:c>
      <x:c r="H181" s="193" t="n">
        <x:v>0</x:v>
      </x:c>
      <x:c r="I181" s="185" t="n">
        <x:v>0</x:v>
      </x:c>
      <x:c r="J181" s="185" t="n">
        <x:v>455500</x:v>
      </x:c>
      <x:c r="K181" s="289" t="n">
        <x:v>91100</x:v>
      </x:c>
    </x:row>
    <x:row r="182" s="117" customFormat="1" hidden="1">
      <x:c r="A182" s="184" t="inlineStr">
        <x:is>
          <x:t xml:space="preserve">ECHFIT001038</x:t>
        </x:is>
      </x:c>
      <x:c r="B182" s="184" t="inlineStr">
        <x:is>
          <x:t xml:space="preserve">TUBERIA DE 2 PLG DIMENSIÓN STAND  ECHEVERRIA</x:t>
        </x:is>
      </x:c>
      <x:c r="C182" s="184" t="n">
        <x:v>0</x:v>
      </x:c>
      <x:c r="D182" s="184" t="n">
        <x:v>0</x:v>
      </x:c>
      <x:c r="E182" s="184" t="n">
        <x:v>0</x:v>
      </x:c>
      <x:c r="F182" s="184" t="n">
        <x:v>0</x:v>
      </x:c>
      <x:c r="G182" s="184" t="n">
        <x:v>0</x:v>
      </x:c>
      <x:c r="H182" s="193" t="n">
        <x:v>0</x:v>
      </x:c>
      <x:c r="I182" s="185" t="n">
        <x:v>0</x:v>
      </x:c>
      <x:c r="J182" s="185" t="n">
        <x:v>0</x:v>
      </x:c>
      <x:c r="K182" s="289" t="n">
        <x:v>30371</x:v>
      </x:c>
    </x:row>
    <x:row r="183" s="117" customFormat="1" hidden="1">
      <x:c r="A183" s="184" t="inlineStr">
        <x:is>
          <x:t xml:space="preserve">ECHFIT001039</x:t>
        </x:is>
      </x:c>
      <x:c r="B183" s="184" t="inlineStr">
        <x:is>
          <x:t xml:space="preserve">TUBERIA DE 4 PLG DIMENSIÓN ANTIESTATICA  ECHEVERRIA</x:t>
        </x:is>
      </x:c>
      <x:c r="C183" s="184" t="n">
        <x:v>90</x:v>
      </x:c>
      <x:c r="D183" s="184" t="n">
        <x:v>0</x:v>
      </x:c>
      <x:c r="E183" s="184" t="n">
        <x:v>0</x:v>
      </x:c>
      <x:c r="F183" s="184" t="n">
        <x:v>90</x:v>
      </x:c>
      <x:c r="G183" s="184" t="n">
        <x:v>4837410</x:v>
      </x:c>
      <x:c r="H183" s="193" t="n">
        <x:v>0</x:v>
      </x:c>
      <x:c r="I183" s="185" t="n">
        <x:v>0</x:v>
      </x:c>
      <x:c r="J183" s="185" t="n">
        <x:v>4837410</x:v>
      </x:c>
      <x:c r="K183" s="289" t="n">
        <x:v>53749</x:v>
      </x:c>
    </x:row>
    <x:row r="184" s="117" customFormat="1" hidden="1">
      <x:c r="A184" s="184" t="inlineStr">
        <x:is>
          <x:t xml:space="preserve">ECHFIT001040</x:t>
        </x:is>
      </x:c>
      <x:c r="B184" s="184" t="inlineStr">
        <x:is>
          <x:t xml:space="preserve">TUBERIA DE 4 PLG DIMENSIÓN STAND  ECHEVERRIA</x:t>
        </x:is>
      </x:c>
      <x:c r="C184" s="184" t="n">
        <x:v>126</x:v>
      </x:c>
      <x:c r="D184" s="184" t="n">
        <x:v>0</x:v>
      </x:c>
      <x:c r="E184" s="184" t="n">
        <x:v>0</x:v>
      </x:c>
      <x:c r="F184" s="184" t="n">
        <x:v>126</x:v>
      </x:c>
      <x:c r="G184" s="184" t="n">
        <x:v>6772374</x:v>
      </x:c>
      <x:c r="H184" s="193" t="n">
        <x:v>0</x:v>
      </x:c>
      <x:c r="I184" s="185" t="n">
        <x:v>0</x:v>
      </x:c>
      <x:c r="J184" s="185" t="n">
        <x:v>6772374</x:v>
      </x:c>
      <x:c r="K184" s="289" t="n">
        <x:v>53749</x:v>
      </x:c>
    </x:row>
    <x:row r="185" s="117" customFormat="1" hidden="1">
      <x:c r="A185" s="184" t="inlineStr">
        <x:is>
          <x:t xml:space="preserve">ECHFIT001041</x:t>
        </x:is>
      </x:c>
      <x:c r="B185" s="184" t="inlineStr">
        <x:is>
          <x:t xml:space="preserve">TUBERÍA DE 6  PLG DIMENSIÓN STAND  ECHEVERRIA</x:t>
        </x:is>
      </x:c>
      <x:c r="C185" s="184" t="n">
        <x:v>24</x:v>
      </x:c>
      <x:c r="D185" s="184" t="n">
        <x:v>0</x:v>
      </x:c>
      <x:c r="E185" s="184" t="n">
        <x:v>0</x:v>
      </x:c>
      <x:c r="F185" s="184" t="n">
        <x:v>24</x:v>
      </x:c>
      <x:c r="G185" s="184" t="n">
        <x:v>1501968</x:v>
      </x:c>
      <x:c r="H185" s="193" t="n">
        <x:v>0</x:v>
      </x:c>
      <x:c r="I185" s="185" t="n">
        <x:v>0</x:v>
      </x:c>
      <x:c r="J185" s="185" t="n">
        <x:v>1501968</x:v>
      </x:c>
      <x:c r="K185" s="289" t="n">
        <x:v>62582</x:v>
      </x:c>
    </x:row>
    <x:row r="186" s="117" customFormat="1" hidden="1">
      <x:c r="A186" s="184" t="inlineStr">
        <x:is>
          <x:t xml:space="preserve">ECHFIT001042</x:t>
        </x:is>
      </x:c>
      <x:c r="B186" s="184" t="inlineStr">
        <x:is>
          <x:t xml:space="preserve">TUBERIA DE 2 PLG DIMENSIÓN ANTIESTATICA  ECHEVERRIA</x:t>
        </x:is>
      </x:c>
      <x:c r="C186" s="184" t="n">
        <x:v>24</x:v>
      </x:c>
      <x:c r="D186" s="184" t="n">
        <x:v>0</x:v>
      </x:c>
      <x:c r="E186" s="184" t="n">
        <x:v>0</x:v>
      </x:c>
      <x:c r="F186" s="184" t="n">
        <x:v>24</x:v>
      </x:c>
      <x:c r="G186" s="184" t="n">
        <x:v>728904</x:v>
      </x:c>
      <x:c r="H186" s="193" t="n">
        <x:v>0</x:v>
      </x:c>
      <x:c r="I186" s="185" t="n">
        <x:v>0</x:v>
      </x:c>
      <x:c r="J186" s="185" t="n">
        <x:v>728904</x:v>
      </x:c>
      <x:c r="K186" s="289" t="n">
        <x:v>30371</x:v>
      </x:c>
    </x:row>
    <x:row r="187" s="117" customFormat="1" hidden="1">
      <x:c r="A187" s="184" t="inlineStr">
        <x:is>
          <x:t xml:space="preserve">ECHFIT001043</x:t>
        </x:is>
      </x:c>
      <x:c r="B187" s="184" t="inlineStr">
        <x:is>
          <x:t xml:space="preserve">TUBERIA DE 3 PLG DIMENSIÓN ANTIESTATICA  ECHEVERRIA</x:t>
        </x:is>
      </x:c>
      <x:c r="C187" s="184" t="n">
        <x:v>12</x:v>
      </x:c>
      <x:c r="D187" s="184" t="n">
        <x:v>0</x:v>
      </x:c>
      <x:c r="E187" s="184" t="n">
        <x:v>0</x:v>
      </x:c>
      <x:c r="F187" s="184" t="n">
        <x:v>12</x:v>
      </x:c>
      <x:c r="G187" s="184" t="n">
        <x:v>504144</x:v>
      </x:c>
      <x:c r="H187" s="193" t="n">
        <x:v>0</x:v>
      </x:c>
      <x:c r="I187" s="185" t="n">
        <x:v>0</x:v>
      </x:c>
      <x:c r="J187" s="185" t="n">
        <x:v>504144</x:v>
      </x:c>
      <x:c r="K187" s="289" t="n">
        <x:v>42012</x:v>
      </x:c>
    </x:row>
    <x:row r="188" s="117" customFormat="1" hidden="1">
      <x:c r="A188" s="184" t="inlineStr">
        <x:is>
          <x:t xml:space="preserve">ECHFIT001044</x:t>
        </x:is>
      </x:c>
      <x:c r="B188" s="184" t="inlineStr">
        <x:is>
          <x:t xml:space="preserve">TUBERIA DE 3 PLG DIMENSIÓN STAND  ECHEVERRIA</x:t>
        </x:is>
      </x:c>
      <x:c r="C188" s="184" t="n">
        <x:v>0</x:v>
      </x:c>
      <x:c r="D188" s="184" t="n">
        <x:v>0</x:v>
      </x:c>
      <x:c r="E188" s="184" t="n">
        <x:v>0</x:v>
      </x:c>
      <x:c r="F188" s="184" t="n">
        <x:v>0</x:v>
      </x:c>
      <x:c r="G188" s="184" t="n">
        <x:v>0</x:v>
      </x:c>
      <x:c r="H188" s="193" t="n">
        <x:v>0</x:v>
      </x:c>
      <x:c r="I188" s="185" t="n">
        <x:v>0</x:v>
      </x:c>
      <x:c r="J188" s="185" t="n">
        <x:v>0</x:v>
      </x:c>
      <x:c r="K188" s="289" t="n">
        <x:v>42012</x:v>
      </x:c>
    </x:row>
    <x:row r="189" s="117" customFormat="1" hidden="1">
      <x:c r="A189" s="184" t="inlineStr">
        <x:is>
          <x:t xml:space="preserve">ECHFIT001045</x:t>
        </x:is>
      </x:c>
      <x:c r="B189" s="184" t="inlineStr">
        <x:is>
          <x:t xml:space="preserve">TUBERIA DE 4 PLG DIMENSIÓN ANTIESTATICA  ECHEVERRIA</x:t>
        </x:is>
      </x:c>
      <x:c r="C189" s="184" t="n">
        <x:v>0</x:v>
      </x:c>
      <x:c r="D189" s="184" t="n">
        <x:v>0</x:v>
      </x:c>
      <x:c r="E189" s="184" t="n">
        <x:v>0</x:v>
      </x:c>
      <x:c r="F189" s="184" t="n">
        <x:v>0</x:v>
      </x:c>
      <x:c r="G189" s="184" t="n">
        <x:v>0</x:v>
      </x:c>
      <x:c r="H189" s="193" t="n">
        <x:v>0</x:v>
      </x:c>
      <x:c r="I189" s="185" t="n">
        <x:v>0</x:v>
      </x:c>
      <x:c r="J189" s="185" t="n">
        <x:v>0</x:v>
      </x:c>
      <x:c r="K189" s="289" t="n">
        <x:v>53749</x:v>
      </x:c>
    </x:row>
    <x:row r="190" s="117" customFormat="1" hidden="1">
      <x:c r="A190" s="184" t="inlineStr">
        <x:is>
          <x:t xml:space="preserve">ECHFIT001046</x:t>
        </x:is>
      </x:c>
      <x:c r="B190" s="184" t="inlineStr">
        <x:is>
          <x:t xml:space="preserve">TUBERIA DE 6 PLG DIMENSIÓN ANTIESTATICA  ECHEVERRIA</x:t>
        </x:is>
      </x:c>
      <x:c r="C190" s="184" t="n">
        <x:v>16</x:v>
      </x:c>
      <x:c r="D190" s="184" t="n">
        <x:v>0</x:v>
      </x:c>
      <x:c r="E190" s="184" t="n">
        <x:v>0</x:v>
      </x:c>
      <x:c r="F190" s="184" t="n">
        <x:v>16</x:v>
      </x:c>
      <x:c r="G190" s="184" t="n">
        <x:v>1001312</x:v>
      </x:c>
      <x:c r="H190" s="193" t="n">
        <x:v>0</x:v>
      </x:c>
      <x:c r="I190" s="185" t="n">
        <x:v>0</x:v>
      </x:c>
      <x:c r="J190" s="185" t="n">
        <x:v>1001312</x:v>
      </x:c>
      <x:c r="K190" s="289" t="n">
        <x:v>62582</x:v>
      </x:c>
    </x:row>
    <x:row r="191" s="117" customFormat="1" hidden="1">
      <x:c r="A191" s="184" t="inlineStr">
        <x:is>
          <x:t xml:space="preserve">ECHFIT001047</x:t>
        </x:is>
      </x:c>
      <x:c r="B191" s="184" t="inlineStr">
        <x:is>
          <x:t xml:space="preserve">TUBERIA DE 8 PLG DIMENSIÓN ANTIESTATICA  ECHEVERRIA</x:t>
        </x:is>
      </x:c>
      <x:c r="C191" s="184" t="n">
        <x:v>42</x:v>
      </x:c>
      <x:c r="D191" s="184" t="n">
        <x:v>0</x:v>
      </x:c>
      <x:c r="E191" s="184" t="n">
        <x:v>0</x:v>
      </x:c>
      <x:c r="F191" s="184" t="n">
        <x:v>42</x:v>
      </x:c>
      <x:c r="G191" s="184" t="n">
        <x:v>3413088</x:v>
      </x:c>
      <x:c r="H191" s="193" t="n">
        <x:v>0</x:v>
      </x:c>
      <x:c r="I191" s="185" t="n">
        <x:v>0</x:v>
      </x:c>
      <x:c r="J191" s="185" t="n">
        <x:v>3413088</x:v>
      </x:c>
      <x:c r="K191" s="289" t="n">
        <x:v>81264</x:v>
      </x:c>
    </x:row>
    <x:row r="192" s="117" customFormat="1" hidden="1">
      <x:c r="A192" s="184" t="inlineStr">
        <x:is>
          <x:t xml:space="preserve">ECHFIT001048</x:t>
        </x:is>
      </x:c>
      <x:c r="B192" s="184" t="inlineStr">
        <x:is>
          <x:t xml:space="preserve">CODO 45 GRD 10PLG DE DIMENSION ANTIESTATICA ECHEVERIA</x:t>
        </x:is>
      </x:c>
      <x:c r="C192" s="184" t="n">
        <x:v>6</x:v>
      </x:c>
      <x:c r="D192" s="184" t="n">
        <x:v>0</x:v>
      </x:c>
      <x:c r="E192" s="184" t="n">
        <x:v>0</x:v>
      </x:c>
      <x:c r="F192" s="184" t="n">
        <x:v>6</x:v>
      </x:c>
      <x:c r="G192" s="184" t="n">
        <x:v>660756</x:v>
      </x:c>
      <x:c r="H192" s="193" t="n">
        <x:v>0</x:v>
      </x:c>
      <x:c r="I192" s="185" t="n">
        <x:v>0</x:v>
      </x:c>
      <x:c r="J192" s="185" t="n">
        <x:v>660756</x:v>
      </x:c>
      <x:c r="K192" s="289" t="n">
        <x:v>110126</x:v>
      </x:c>
    </x:row>
    <x:row r="193" s="117" customFormat="1" hidden="1">
      <x:c r="A193" s="184" t="inlineStr">
        <x:is>
          <x:t xml:space="preserve">ECHFIT001049</x:t>
        </x:is>
      </x:c>
      <x:c r="B193" s="184" t="inlineStr">
        <x:is>
          <x:t xml:space="preserve">STUB END 10 PLG DE DIMENSIÓN ANTIESTATICO ECHEVERRIA</x:t>
        </x:is>
      </x:c>
      <x:c r="C193" s="184" t="n">
        <x:v>29</x:v>
      </x:c>
      <x:c r="D193" s="184" t="n">
        <x:v>0</x:v>
      </x:c>
      <x:c r="E193" s="184" t="n">
        <x:v>0</x:v>
      </x:c>
      <x:c r="F193" s="184" t="n">
        <x:v>29</x:v>
      </x:c>
      <x:c r="G193" s="184" t="n">
        <x:v>4098976</x:v>
      </x:c>
      <x:c r="H193" s="193" t="n">
        <x:v>0</x:v>
      </x:c>
      <x:c r="I193" s="185" t="n">
        <x:v>0</x:v>
      </x:c>
      <x:c r="J193" s="185" t="n">
        <x:v>4098976</x:v>
      </x:c>
      <x:c r="K193" s="289" t="n">
        <x:v>141344</x:v>
      </x:c>
    </x:row>
    <x:row r="194" s="117" customFormat="1" hidden="1">
      <x:c r="A194" s="184" t="inlineStr">
        <x:is>
          <x:t xml:space="preserve">ECHFIT001050</x:t>
        </x:is>
      </x:c>
      <x:c r="B194" s="184" t="inlineStr">
        <x:is>
          <x:t xml:space="preserve">STUB END 2  PLG DE DIMENSIÓN NATURAL  ECHEVERRIA</x:t>
        </x:is>
      </x:c>
      <x:c r="C194" s="184" t="n">
        <x:v>0</x:v>
      </x:c>
      <x:c r="D194" s="184" t="n">
        <x:v>0</x:v>
      </x:c>
      <x:c r="E194" s="184" t="n">
        <x:v>0</x:v>
      </x:c>
      <x:c r="F194" s="184" t="n">
        <x:v>0</x:v>
      </x:c>
      <x:c r="G194" s="184" t="n">
        <x:v>0</x:v>
      </x:c>
      <x:c r="H194" s="193" t="n">
        <x:v>0</x:v>
      </x:c>
      <x:c r="I194" s="185" t="n">
        <x:v>0</x:v>
      </x:c>
      <x:c r="J194" s="185" t="n">
        <x:v>0</x:v>
      </x:c>
      <x:c r="K194" s="289" t="n">
        <x:v>24089</x:v>
      </x:c>
    </x:row>
    <x:row r="195" s="117" customFormat="1" hidden="1">
      <x:c r="A195" s="184" t="inlineStr">
        <x:is>
          <x:t xml:space="preserve">ECHFIT001051</x:t>
        </x:is>
      </x:c>
      <x:c r="B195" s="184" t="inlineStr">
        <x:is>
          <x:t xml:space="preserve">STUB END 2 PLG DE DIMENSIÓN ANTIESTATICO ECHEVERRIA</x:t>
        </x:is>
      </x:c>
      <x:c r="C195" s="184" t="n">
        <x:v>0</x:v>
      </x:c>
      <x:c r="D195" s="184" t="n">
        <x:v>0</x:v>
      </x:c>
      <x:c r="E195" s="184" t="n">
        <x:v>0</x:v>
      </x:c>
      <x:c r="F195" s="184" t="n">
        <x:v>0</x:v>
      </x:c>
      <x:c r="G195" s="184" t="n">
        <x:v>0</x:v>
      </x:c>
      <x:c r="H195" s="193" t="n">
        <x:v>0</x:v>
      </x:c>
      <x:c r="I195" s="185" t="n">
        <x:v>0</x:v>
      </x:c>
      <x:c r="J195" s="185" t="n">
        <x:v>0</x:v>
      </x:c>
      <x:c r="K195" s="289" t="n">
        <x:v>24089</x:v>
      </x:c>
    </x:row>
    <x:row r="196" s="117" customFormat="1" hidden="1">
      <x:c r="A196" s="184" t="inlineStr">
        <x:is>
          <x:t xml:space="preserve">ECHFIT001052</x:t>
        </x:is>
      </x:c>
      <x:c r="B196" s="184" t="inlineStr">
        <x:is>
          <x:t xml:space="preserve">STUB END 4 PLG DE DIMENSIÓN ANTIESTATICO ECHEVERRIA</x:t>
        </x:is>
      </x:c>
      <x:c r="C196" s="184" t="n">
        <x:v>5</x:v>
      </x:c>
      <x:c r="D196" s="184" t="n">
        <x:v>0</x:v>
      </x:c>
      <x:c r="E196" s="184" t="n">
        <x:v>0</x:v>
      </x:c>
      <x:c r="F196" s="184" t="n">
        <x:v>5</x:v>
      </x:c>
      <x:c r="G196" s="184" t="n">
        <x:v>243210</x:v>
      </x:c>
      <x:c r="H196" s="193" t="n">
        <x:v>0</x:v>
      </x:c>
      <x:c r="I196" s="185" t="n">
        <x:v>0</x:v>
      </x:c>
      <x:c r="J196" s="185" t="n">
        <x:v>243210</x:v>
      </x:c>
      <x:c r="K196" s="289" t="n">
        <x:v>48642</x:v>
      </x:c>
    </x:row>
    <x:row r="197" s="117" customFormat="1" hidden="1">
      <x:c r="A197" s="184" t="inlineStr">
        <x:is>
          <x:t xml:space="preserve">ECHFIT001053</x:t>
        </x:is>
      </x:c>
      <x:c r="B197" s="184" t="inlineStr">
        <x:is>
          <x:t xml:space="preserve">STUB END 6 PLG DE DIMENSIÓN ANTIESTATICO ECHEVERRIA</x:t>
        </x:is>
      </x:c>
      <x:c r="C197" s="184" t="n">
        <x:v>0</x:v>
      </x:c>
      <x:c r="D197" s="184" t="n">
        <x:v>0</x:v>
      </x:c>
      <x:c r="E197" s="184" t="n">
        <x:v>0</x:v>
      </x:c>
      <x:c r="F197" s="184" t="n">
        <x:v>0</x:v>
      </x:c>
      <x:c r="G197" s="184" t="n">
        <x:v>0</x:v>
      </x:c>
      <x:c r="H197" s="193" t="n">
        <x:v>0</x:v>
      </x:c>
      <x:c r="I197" s="185" t="n">
        <x:v>0</x:v>
      </x:c>
      <x:c r="J197" s="185" t="n">
        <x:v>0</x:v>
      </x:c>
      <x:c r="K197" s="289" t="n">
        <x:v>73552</x:v>
      </x:c>
    </x:row>
    <x:row r="198" s="117" customFormat="1" hidden="1">
      <x:c r="A198" s="184" t="inlineStr">
        <x:is>
          <x:t xml:space="preserve">ECHFIT001054</x:t>
        </x:is>
      </x:c>
      <x:c r="B198" s="184" t="inlineStr">
        <x:is>
          <x:t xml:space="preserve">STUB END 4  PLG DE DIMENSIÓN NATURAL  ECHEVERRIA</x:t>
        </x:is>
      </x:c>
      <x:c r="C198" s="184" t="n">
        <x:v>5</x:v>
      </x:c>
      <x:c r="D198" s="184" t="n">
        <x:v>0</x:v>
      </x:c>
      <x:c r="E198" s="184" t="n">
        <x:v>0</x:v>
      </x:c>
      <x:c r="F198" s="184" t="n">
        <x:v>5</x:v>
      </x:c>
      <x:c r="G198" s="184" t="n">
        <x:v>243210</x:v>
      </x:c>
      <x:c r="H198" s="193" t="n">
        <x:v>0</x:v>
      </x:c>
      <x:c r="I198" s="185" t="n">
        <x:v>0</x:v>
      </x:c>
      <x:c r="J198" s="185" t="n">
        <x:v>243210</x:v>
      </x:c>
      <x:c r="K198" s="289" t="n">
        <x:v>48642</x:v>
      </x:c>
    </x:row>
    <x:row r="199" s="117" customFormat="1" hidden="1">
      <x:c r="A199" s="184" t="inlineStr">
        <x:is>
          <x:t xml:space="preserve">EMPBUT150001</x:t>
        </x:is>
      </x:c>
      <x:c r="B199" s="184" t="inlineStr">
        <x:is>
          <x:t xml:space="preserve">EMPAQUETQDURA BUTILO DN 18 ANSI TIPO RF 1/8 ESP.PPT022BUT018 (4113579)</x:t>
        </x:is>
      </x:c>
      <x:c r="C199" s="184" t="n">
        <x:v>0</x:v>
      </x:c>
      <x:c r="D199" s="184" t="n">
        <x:v>0</x:v>
      </x:c>
      <x:c r="E199" s="184" t="n">
        <x:v>0</x:v>
      </x:c>
      <x:c r="F199" s="184" t="n">
        <x:v>0</x:v>
      </x:c>
      <x:c r="G199" s="184" t="n">
        <x:v>0</x:v>
      </x:c>
      <x:c r="H199" s="193" t="n">
        <x:v>0</x:v>
      </x:c>
      <x:c r="I199" s="185" t="n">
        <x:v>0</x:v>
      </x:c>
      <x:c r="J199" s="185" t="n">
        <x:v>0</x:v>
      </x:c>
      <x:c r="K199" s="289" t="n">
        <x:v>7479</x:v>
      </x:c>
    </x:row>
    <x:row r="200" s="117" customFormat="1" hidden="1">
      <x:c r="A200" s="184" t="inlineStr">
        <x:is>
          <x:t xml:space="preserve">EMPCOR001001</x:t>
        </x:is>
      </x:c>
      <x:c r="B200" s="184" t="inlineStr">
        <x:is>
          <x:t xml:space="preserve">EMPAQUETADURA 254/216 CODIGO WEM2541601841 (VULCO)</x:t>
        </x:is>
      </x:c>
      <x:c r="C200" s="184" t="n">
        <x:v>0</x:v>
      </x:c>
      <x:c r="D200" s="184" t="n">
        <x:v>0</x:v>
      </x:c>
      <x:c r="E200" s="184" t="n">
        <x:v>0</x:v>
      </x:c>
      <x:c r="F200" s="184" t="n">
        <x:v>0</x:v>
      </x:c>
      <x:c r="G200" s="184" t="n">
        <x:v>0</x:v>
      </x:c>
      <x:c r="H200" s="193" t="n">
        <x:v>0</x:v>
      </x:c>
      <x:c r="I200" s="185" t="n">
        <x:v>0</x:v>
      </x:c>
      <x:c r="J200" s="185" t="n">
        <x:v>0</x:v>
      </x:c>
      <x:c r="K200" s="289" t="n">
        <x:v>12216</x:v>
      </x:c>
    </x:row>
    <x:row r="201" s="117" customFormat="1" hidden="1">
      <x:c r="A201" s="184" t="inlineStr">
        <x:is>
          <x:t xml:space="preserve">EMPDUR150001</x:t>
        </x:is>
      </x:c>
      <x:c r="B201" s="184" t="inlineStr">
        <x:is>
          <x:t xml:space="preserve">EMPAQUETADURA DURLON 9000 FF CLASE 150 1/2 PLG</x:t>
        </x:is>
      </x:c>
      <x:c r="C201" s="184" t="n">
        <x:v>369</x:v>
      </x:c>
      <x:c r="D201" s="184" t="n">
        <x:v>0</x:v>
      </x:c>
      <x:c r="E201" s="184" t="n">
        <x:v>0</x:v>
      </x:c>
      <x:c r="F201" s="184" t="n">
        <x:v>369</x:v>
      </x:c>
      <x:c r="G201" s="184" t="n">
        <x:v>756450</x:v>
      </x:c>
      <x:c r="H201" s="193" t="n">
        <x:v>0</x:v>
      </x:c>
      <x:c r="I201" s="185" t="n">
        <x:v>0</x:v>
      </x:c>
      <x:c r="J201" s="185" t="n">
        <x:v>756450</x:v>
      </x:c>
      <x:c r="K201" s="289" t="n">
        <x:v>2050</x:v>
      </x:c>
    </x:row>
    <x:row r="202" s="117" customFormat="1" hidden="1">
      <x:c r="A202" s="184" t="inlineStr">
        <x:is>
          <x:t xml:space="preserve">EMPDUR150002</x:t>
        </x:is>
      </x:c>
      <x:c r="B202" s="184" t="inlineStr">
        <x:is>
          <x:t xml:space="preserve">EMPAQUETADURA DURLON 9000 FF CLASE 150 3/4 PLG</x:t>
        </x:is>
      </x:c>
      <x:c r="C202" s="184" t="n">
        <x:v>625</x:v>
      </x:c>
      <x:c r="D202" s="184" t="n">
        <x:v>0</x:v>
      </x:c>
      <x:c r="E202" s="184" t="n">
        <x:v>0</x:v>
      </x:c>
      <x:c r="F202" s="184" t="n">
        <x:v>625</x:v>
      </x:c>
      <x:c r="G202" s="184" t="n">
        <x:v>1569375</x:v>
      </x:c>
      <x:c r="H202" s="193" t="n">
        <x:v>0</x:v>
      </x:c>
      <x:c r="I202" s="185" t="n">
        <x:v>0</x:v>
      </x:c>
      <x:c r="J202" s="185" t="n">
        <x:v>1569375</x:v>
      </x:c>
      <x:c r="K202" s="289" t="n">
        <x:v>2511</x:v>
      </x:c>
    </x:row>
    <x:row r="203" s="117" customFormat="1" hidden="1">
      <x:c r="A203" s="184" t="inlineStr">
        <x:is>
          <x:t xml:space="preserve">EMPDUR150003</x:t>
        </x:is>
      </x:c>
      <x:c r="B203" s="184" t="inlineStr">
        <x:is>
          <x:t xml:space="preserve">EMPAQUETADURA DURLON 9000 FF CLASE 150 1 PLG</x:t>
        </x:is>
      </x:c>
      <x:c r="C203" s="184" t="n">
        <x:v>800</x:v>
      </x:c>
      <x:c r="D203" s="184" t="n">
        <x:v>0</x:v>
      </x:c>
      <x:c r="E203" s="184" t="n">
        <x:v>0</x:v>
      </x:c>
      <x:c r="F203" s="184" t="n">
        <x:v>800</x:v>
      </x:c>
      <x:c r="G203" s="184" t="n">
        <x:v>2472000</x:v>
      </x:c>
      <x:c r="H203" s="193" t="n">
        <x:v>0</x:v>
      </x:c>
      <x:c r="I203" s="185" t="n">
        <x:v>0</x:v>
      </x:c>
      <x:c r="J203" s="185" t="n">
        <x:v>2472000</x:v>
      </x:c>
      <x:c r="K203" s="289" t="n">
        <x:v>3090</x:v>
      </x:c>
    </x:row>
    <x:row r="204" s="117" customFormat="1" hidden="1">
      <x:c r="A204" s="184" t="inlineStr">
        <x:is>
          <x:t xml:space="preserve">EMPDUR150004</x:t>
        </x:is>
      </x:c>
      <x:c r="B204" s="184" t="inlineStr">
        <x:is>
          <x:t xml:space="preserve">EMPAQUETADURA DURLON 9000 1/8 ESP FF CLASE 150 1.1/2 PLG</x:t>
        </x:is>
      </x:c>
      <x:c r="C204" s="184" t="n">
        <x:v>68</x:v>
      </x:c>
      <x:c r="D204" s="184" t="n">
        <x:v>0</x:v>
      </x:c>
      <x:c r="E204" s="184" t="n">
        <x:v>0</x:v>
      </x:c>
      <x:c r="F204" s="184" t="n">
        <x:v>68</x:v>
      </x:c>
      <x:c r="G204" s="184" t="n">
        <x:v>140080</x:v>
      </x:c>
      <x:c r="H204" s="193" t="n">
        <x:v>0</x:v>
      </x:c>
      <x:c r="I204" s="185" t="n">
        <x:v>0</x:v>
      </x:c>
      <x:c r="J204" s="185" t="n">
        <x:v>140080</x:v>
      </x:c>
      <x:c r="K204" s="289" t="n">
        <x:v>2060</x:v>
      </x:c>
    </x:row>
    <x:row r="205" s="117" customFormat="1" hidden="1">
      <x:c r="A205" s="184" t="inlineStr">
        <x:is>
          <x:t xml:space="preserve">EMPDUR150005</x:t>
        </x:is>
      </x:c>
      <x:c r="B205" s="184" t="inlineStr">
        <x:is>
          <x:t xml:space="preserve">EMPAQUETADURA DURLON 9000 1/8 ESP FF CLASE 150 2 PLG</x:t>
        </x:is>
      </x:c>
      <x:c r="C205" s="184" t="n">
        <x:v>698</x:v>
      </x:c>
      <x:c r="D205" s="184" t="n">
        <x:v>0</x:v>
      </x:c>
      <x:c r="E205" s="184" t="n">
        <x:v>0</x:v>
      </x:c>
      <x:c r="F205" s="184" t="n">
        <x:v>698</x:v>
      </x:c>
      <x:c r="G205" s="184" t="n">
        <x:v>4578880</x:v>
      </x:c>
      <x:c r="H205" s="193" t="n">
        <x:v>0</x:v>
      </x:c>
      <x:c r="I205" s="185" t="n">
        <x:v>0</x:v>
      </x:c>
      <x:c r="J205" s="185" t="n">
        <x:v>4578880</x:v>
      </x:c>
      <x:c r="K205" s="289" t="n">
        <x:v>6560</x:v>
      </x:c>
    </x:row>
    <x:row r="206" s="117" customFormat="1" hidden="1">
      <x:c r="A206" s="184" t="inlineStr">
        <x:is>
          <x:t xml:space="preserve">EMPDUR150006</x:t>
        </x:is>
      </x:c>
      <x:c r="B206" s="184" t="inlineStr">
        <x:is>
          <x:t xml:space="preserve">EMPAQUETADURA DURLON 9000 1/8 ESP FF CLASE 150 2 .1/2 PLG</x:t>
        </x:is>
      </x:c>
      <x:c r="C206" s="184" t="n">
        <x:v>0</x:v>
      </x:c>
      <x:c r="D206" s="184" t="n">
        <x:v>0</x:v>
      </x:c>
      <x:c r="E206" s="184" t="n">
        <x:v>0</x:v>
      </x:c>
      <x:c r="F206" s="184" t="n">
        <x:v>0</x:v>
      </x:c>
      <x:c r="G206" s="184" t="n">
        <x:v>0</x:v>
      </x:c>
      <x:c r="H206" s="193" t="n">
        <x:v>0</x:v>
      </x:c>
      <x:c r="I206" s="185" t="n">
        <x:v>0</x:v>
      </x:c>
      <x:c r="J206" s="185" t="n">
        <x:v>0</x:v>
      </x:c>
      <x:c r="K206" s="289" t="n">
        <x:v>9850</x:v>
      </x:c>
    </x:row>
    <x:row r="207" s="117" customFormat="1" hidden="1">
      <x:c r="A207" s="184" t="inlineStr">
        <x:is>
          <x:t xml:space="preserve">EMPDUR150007</x:t>
        </x:is>
      </x:c>
      <x:c r="B207" s="184" t="inlineStr">
        <x:is>
          <x:t xml:space="preserve">EMPAQUETADURA DURLON 9000 1/8 ESP FF CLASE 150 3 PLG</x:t>
        </x:is>
      </x:c>
      <x:c r="C207" s="184" t="n">
        <x:v>32</x:v>
      </x:c>
      <x:c r="D207" s="184" t="n">
        <x:v>0</x:v>
      </x:c>
      <x:c r="E207" s="184" t="n">
        <x:v>0</x:v>
      </x:c>
      <x:c r="F207" s="184" t="n">
        <x:v>32</x:v>
      </x:c>
      <x:c r="G207" s="184" t="n">
        <x:v>489505</x:v>
      </x:c>
      <x:c r="H207" s="193" t="n">
        <x:v>0</x:v>
      </x:c>
      <x:c r="I207" s="185" t="n">
        <x:v>0</x:v>
      </x:c>
      <x:c r="J207" s="185" t="n">
        <x:v>489505</x:v>
      </x:c>
      <x:c r="K207" s="289" t="n">
        <x:v>15297</x:v>
      </x:c>
    </x:row>
    <x:row r="208" s="117" customFormat="1" hidden="1">
      <x:c r="A208" s="184" t="inlineStr">
        <x:is>
          <x:t xml:space="preserve">EMPDUR150008</x:t>
        </x:is>
      </x:c>
      <x:c r="B208" s="184" t="inlineStr">
        <x:is>
          <x:t xml:space="preserve">EMPAQUETADURA DURLON 9000 1/16 ESP FF CLASE 150 4 PLG</x:t>
        </x:is>
      </x:c>
      <x:c r="C208" s="184" t="n">
        <x:v>0</x:v>
      </x:c>
      <x:c r="D208" s="184" t="n">
        <x:v>0</x:v>
      </x:c>
      <x:c r="E208" s="184" t="n">
        <x:v>0</x:v>
      </x:c>
      <x:c r="F208" s="184" t="n">
        <x:v>0</x:v>
      </x:c>
      <x:c r="G208" s="184" t="n">
        <x:v>0</x:v>
      </x:c>
      <x:c r="H208" s="193" t="n">
        <x:v>0</x:v>
      </x:c>
      <x:c r="I208" s="185" t="n">
        <x:v>0</x:v>
      </x:c>
      <x:c r="J208" s="185" t="n">
        <x:v>0</x:v>
      </x:c>
      <x:c r="K208" s="289" t="n">
        <x:v>5350</x:v>
      </x:c>
    </x:row>
    <x:row r="209" s="117" customFormat="1" hidden="1">
      <x:c r="A209" s="184" t="inlineStr">
        <x:is>
          <x:t xml:space="preserve">EMPDUR150009</x:t>
        </x:is>
      </x:c>
      <x:c r="B209" s="184" t="inlineStr">
        <x:is>
          <x:t xml:space="preserve">EMPAQUETADURA DURLON 9000 1/8 ESP FF CLASE 150 4 PLG</x:t>
        </x:is>
      </x:c>
      <x:c r="C209" s="184" t="n">
        <x:v>0</x:v>
      </x:c>
      <x:c r="D209" s="184" t="n">
        <x:v>0</x:v>
      </x:c>
      <x:c r="E209" s="184" t="n">
        <x:v>0</x:v>
      </x:c>
      <x:c r="F209" s="184" t="n">
        <x:v>0</x:v>
      </x:c>
      <x:c r="G209" s="184" t="n">
        <x:v>1</x:v>
      </x:c>
      <x:c r="H209" s="193" t="n">
        <x:v>0</x:v>
      </x:c>
      <x:c r="I209" s="185" t="n">
        <x:v>0</x:v>
      </x:c>
      <x:c r="J209" s="185" t="n">
        <x:v>1</x:v>
      </x:c>
      <x:c r="K209" s="289" t="n">
        <x:v>25203</x:v>
      </x:c>
    </x:row>
    <x:row r="210" s="117" customFormat="1" hidden="1">
      <x:c r="A210" s="184" t="inlineStr">
        <x:is>
          <x:t xml:space="preserve">EMPDUR150010</x:t>
        </x:is>
      </x:c>
      <x:c r="B210" s="184" t="inlineStr">
        <x:is>
          <x:t xml:space="preserve">EMPAQUETADURA DURLON 7900 1/8 ESP FF CLASE 150 4 PLG</x:t>
        </x:is>
      </x:c>
      <x:c r="C210" s="184" t="n">
        <x:v>0</x:v>
      </x:c>
      <x:c r="D210" s="184" t="n">
        <x:v>0</x:v>
      </x:c>
      <x:c r="E210" s="184" t="n">
        <x:v>0</x:v>
      </x:c>
      <x:c r="F210" s="184" t="n">
        <x:v>0</x:v>
      </x:c>
      <x:c r="G210" s="184" t="n">
        <x:v>0</x:v>
      </x:c>
      <x:c r="H210" s="193" t="n">
        <x:v>0</x:v>
      </x:c>
      <x:c r="I210" s="185" t="n">
        <x:v>0</x:v>
      </x:c>
      <x:c r="J210" s="185" t="n">
        <x:v>0</x:v>
      </x:c>
      <x:c r="K210" s="289" t="n">
        <x:v>4042</x:v>
      </x:c>
    </x:row>
    <x:row r="211" s="117" customFormat="1" hidden="1">
      <x:c r="A211" s="184" t="inlineStr">
        <x:is>
          <x:t xml:space="preserve">EMPDUR150011</x:t>
        </x:is>
      </x:c>
      <x:c r="B211" s="184" t="inlineStr">
        <x:is>
          <x:t xml:space="preserve">EMPAQUETADURA DURLON 7900 1/8 ESP FF CLASE 150 6 PLG</x:t>
        </x:is>
      </x:c>
      <x:c r="C211" s="184" t="n">
        <x:v>100</x:v>
      </x:c>
      <x:c r="D211" s="184" t="n">
        <x:v>0</x:v>
      </x:c>
      <x:c r="E211" s="184" t="n">
        <x:v>0</x:v>
      </x:c>
      <x:c r="F211" s="184" t="n">
        <x:v>100</x:v>
      </x:c>
      <x:c r="G211" s="184" t="n">
        <x:v>339500</x:v>
      </x:c>
      <x:c r="H211" s="193" t="n">
        <x:v>0</x:v>
      </x:c>
      <x:c r="I211" s="185" t="n">
        <x:v>0</x:v>
      </x:c>
      <x:c r="J211" s="185" t="n">
        <x:v>339500</x:v>
      </x:c>
      <x:c r="K211" s="289" t="n">
        <x:v>3395</x:v>
      </x:c>
    </x:row>
    <x:row r="212" s="117" customFormat="1" hidden="1">
      <x:c r="A212" s="184" t="inlineStr">
        <x:is>
          <x:t xml:space="preserve">EMPDUR150012</x:t>
        </x:is>
      </x:c>
      <x:c r="B212" s="184" t="inlineStr">
        <x:is>
          <x:t xml:space="preserve">EMPAQUETADURA DURLON 9000 1/8 ESP RF CLASE 150 3/4  PLG</x:t>
        </x:is>
      </x:c>
      <x:c r="C212" s="184" t="n">
        <x:v>206</x:v>
      </x:c>
      <x:c r="D212" s="184" t="n">
        <x:v>0</x:v>
      </x:c>
      <x:c r="E212" s="184" t="n">
        <x:v>0</x:v>
      </x:c>
      <x:c r="F212" s="184" t="n">
        <x:v>206</x:v>
      </x:c>
      <x:c r="G212" s="184" t="n">
        <x:v>183340</x:v>
      </x:c>
      <x:c r="H212" s="193" t="n">
        <x:v>0</x:v>
      </x:c>
      <x:c r="I212" s="185" t="n">
        <x:v>0</x:v>
      </x:c>
      <x:c r="J212" s="185" t="n">
        <x:v>183340</x:v>
      </x:c>
      <x:c r="K212" s="289" t="n">
        <x:v>890</x:v>
      </x:c>
    </x:row>
    <x:row r="213" s="117" customFormat="1" hidden="1">
      <x:c r="A213" s="184" t="inlineStr">
        <x:is>
          <x:t xml:space="preserve">EMPDUR150013</x:t>
        </x:is>
      </x:c>
      <x:c r="B213" s="184" t="inlineStr">
        <x:is>
          <x:t xml:space="preserve">EMPAQUETADURA DURLON 9000 1/8 ESP RF CLASE 150 1 PLG</x:t>
        </x:is>
      </x:c>
      <x:c r="C213" s="184" t="n">
        <x:v>99</x:v>
      </x:c>
      <x:c r="D213" s="184" t="n">
        <x:v>0</x:v>
      </x:c>
      <x:c r="E213" s="184" t="n">
        <x:v>0</x:v>
      </x:c>
      <x:c r="F213" s="184" t="n">
        <x:v>99</x:v>
      </x:c>
      <x:c r="G213" s="184" t="n">
        <x:v>324819</x:v>
      </x:c>
      <x:c r="H213" s="193" t="n">
        <x:v>0</x:v>
      </x:c>
      <x:c r="I213" s="185" t="n">
        <x:v>0</x:v>
      </x:c>
      <x:c r="J213" s="185" t="n">
        <x:v>324819</x:v>
      </x:c>
      <x:c r="K213" s="289" t="n">
        <x:v>3281</x:v>
      </x:c>
    </x:row>
    <x:row r="214" s="117" customFormat="1" hidden="1">
      <x:c r="A214" s="184" t="inlineStr">
        <x:is>
          <x:t xml:space="preserve">EMPDUR150014</x:t>
        </x:is>
      </x:c>
      <x:c r="B214" s="184" t="inlineStr">
        <x:is>
          <x:t xml:space="preserve">EMPAQUETADURA DURLON 9000 1/8 ESP RF CLASE 150 1.1/2 PLG</x:t>
        </x:is>
      </x:c>
      <x:c r="C214" s="184" t="n">
        <x:v>1164</x:v>
      </x:c>
      <x:c r="D214" s="184" t="n">
        <x:v>0</x:v>
      </x:c>
      <x:c r="E214" s="184" t="n">
        <x:v>0</x:v>
      </x:c>
      <x:c r="F214" s="184" t="n">
        <x:v>1164</x:v>
      </x:c>
      <x:c r="G214" s="184" t="n">
        <x:v>2135940</x:v>
      </x:c>
      <x:c r="H214" s="193" t="n">
        <x:v>0</x:v>
      </x:c>
      <x:c r="I214" s="185" t="n">
        <x:v>0</x:v>
      </x:c>
      <x:c r="J214" s="185" t="n">
        <x:v>2135940</x:v>
      </x:c>
      <x:c r="K214" s="289" t="n">
        <x:v>1835</x:v>
      </x:c>
    </x:row>
    <x:row r="215" s="117" customFormat="1" hidden="1">
      <x:c r="A215" s="184" t="inlineStr">
        <x:is>
          <x:t xml:space="preserve">EMPDUR150015</x:t>
        </x:is>
      </x:c>
      <x:c r="B215" s="184" t="inlineStr">
        <x:is>
          <x:t xml:space="preserve">EMPAQUETADURA DURLON 9000 1/8 ESP RF CLASE 150 2 PLG</x:t>
        </x:is>
      </x:c>
      <x:c r="C215" s="184" t="n">
        <x:v>100</x:v>
      </x:c>
      <x:c r="D215" s="184" t="n">
        <x:v>0</x:v>
      </x:c>
      <x:c r="E215" s="184" t="n">
        <x:v>0</x:v>
      </x:c>
      <x:c r="F215" s="184" t="n">
        <x:v>100</x:v>
      </x:c>
      <x:c r="G215" s="184" t="n">
        <x:v>529000</x:v>
      </x:c>
      <x:c r="H215" s="193" t="n">
        <x:v>0</x:v>
      </x:c>
      <x:c r="I215" s="185" t="n">
        <x:v>0</x:v>
      </x:c>
      <x:c r="J215" s="185" t="n">
        <x:v>529000</x:v>
      </x:c>
      <x:c r="K215" s="289" t="n">
        <x:v>5290</x:v>
      </x:c>
    </x:row>
    <x:row r="216" s="117" customFormat="1" hidden="1">
      <x:c r="A216" s="184" t="inlineStr">
        <x:is>
          <x:t xml:space="preserve">EMPDUR150016</x:t>
        </x:is>
      </x:c>
      <x:c r="B216" s="184" t="inlineStr">
        <x:is>
          <x:t xml:space="preserve">EMPAQUETADURA DURLON 9000 1/8 ESPRF CLASE 150 2.1/2 PLG</x:t>
        </x:is>
      </x:c>
      <x:c r="C216" s="184" t="n">
        <x:v>37</x:v>
      </x:c>
      <x:c r="D216" s="184" t="n">
        <x:v>0</x:v>
      </x:c>
      <x:c r="E216" s="184" t="n">
        <x:v>0</x:v>
      </x:c>
      <x:c r="F216" s="184" t="n">
        <x:v>37</x:v>
      </x:c>
      <x:c r="G216" s="184" t="n">
        <x:v>136160</x:v>
      </x:c>
      <x:c r="H216" s="193" t="n">
        <x:v>0</x:v>
      </x:c>
      <x:c r="I216" s="185" t="n">
        <x:v>0</x:v>
      </x:c>
      <x:c r="J216" s="185" t="n">
        <x:v>136160</x:v>
      </x:c>
      <x:c r="K216" s="289" t="n">
        <x:v>3680</x:v>
      </x:c>
    </x:row>
    <x:row r="217" s="117" customFormat="1" hidden="1">
      <x:c r="A217" s="184" t="inlineStr">
        <x:is>
          <x:t xml:space="preserve">EMPDUR150017</x:t>
        </x:is>
      </x:c>
      <x:c r="B217" s="184" t="inlineStr">
        <x:is>
          <x:t xml:space="preserve">EMPAQUETADURA DURLON 9000 1/8 ESP RF CLASE 150 3 PLG</x:t>
        </x:is>
      </x:c>
      <x:c r="C217" s="184" t="n">
        <x:v>590</x:v>
      </x:c>
      <x:c r="D217" s="184" t="n">
        <x:v>0</x:v>
      </x:c>
      <x:c r="E217" s="184" t="n">
        <x:v>0</x:v>
      </x:c>
      <x:c r="F217" s="184" t="n">
        <x:v>590</x:v>
      </x:c>
      <x:c r="G217" s="184" t="n">
        <x:v>4112300</x:v>
      </x:c>
      <x:c r="H217" s="193" t="n">
        <x:v>0</x:v>
      </x:c>
      <x:c r="I217" s="185" t="n">
        <x:v>0</x:v>
      </x:c>
      <x:c r="J217" s="185" t="n">
        <x:v>4112300</x:v>
      </x:c>
      <x:c r="K217" s="289" t="n">
        <x:v>6970</x:v>
      </x:c>
    </x:row>
    <x:row r="218" s="117" customFormat="1" hidden="1">
      <x:c r="A218" s="184" t="inlineStr">
        <x:is>
          <x:t xml:space="preserve">EMPDUR150018</x:t>
        </x:is>
      </x:c>
      <x:c r="B218" s="184" t="inlineStr">
        <x:is>
          <x:t xml:space="preserve">EMPAQUETADURA DURLON 7900 1/8 ESP RF CLASE 150 3 PLG</x:t>
        </x:is>
      </x:c>
      <x:c r="C218" s="184" t="n">
        <x:v>0</x:v>
      </x:c>
      <x:c r="D218" s="184" t="n">
        <x:v>0</x:v>
      </x:c>
      <x:c r="E218" s="184" t="n">
        <x:v>0</x:v>
      </x:c>
      <x:c r="F218" s="184" t="n">
        <x:v>0</x:v>
      </x:c>
      <x:c r="G218" s="184" t="n">
        <x:v>0</x:v>
      </x:c>
      <x:c r="H218" s="193" t="n">
        <x:v>0</x:v>
      </x:c>
      <x:c r="I218" s="185" t="n">
        <x:v>0</x:v>
      </x:c>
      <x:c r="J218" s="185" t="n">
        <x:v>0</x:v>
      </x:c>
      <x:c r="K218" s="289" t="n">
        <x:v>1479</x:v>
      </x:c>
    </x:row>
    <x:row r="219" s="117" customFormat="1" hidden="1">
      <x:c r="A219" s="184" t="inlineStr">
        <x:is>
          <x:t xml:space="preserve">EMPDUR150019</x:t>
        </x:is>
      </x:c>
      <x:c r="B219" s="184" t="inlineStr">
        <x:is>
          <x:t xml:space="preserve">EMPAQUETADURA DURLON 9000 1/8 ESP RF CLASE 150 4 PLG</x:t>
        </x:is>
      </x:c>
      <x:c r="C219" s="184" t="n">
        <x:v>0</x:v>
      </x:c>
      <x:c r="D219" s="184" t="n">
        <x:v>0</x:v>
      </x:c>
      <x:c r="E219" s="184" t="n">
        <x:v>0</x:v>
      </x:c>
      <x:c r="F219" s="184" t="n">
        <x:v>0</x:v>
      </x:c>
      <x:c r="G219" s="184" t="n">
        <x:v>0</x:v>
      </x:c>
      <x:c r="H219" s="193" t="n">
        <x:v>0</x:v>
      </x:c>
      <x:c r="I219" s="185" t="n">
        <x:v>0</x:v>
      </x:c>
      <x:c r="J219" s="185" t="n">
        <x:v>0</x:v>
      </x:c>
      <x:c r="K219" s="289" t="n">
        <x:v>13352</x:v>
      </x:c>
    </x:row>
    <x:row r="220" s="117" customFormat="1" hidden="1">
      <x:c r="A220" s="184" t="inlineStr">
        <x:is>
          <x:t xml:space="preserve">EMPDUR150020</x:t>
        </x:is>
      </x:c>
      <x:c r="B220" s="184" t="inlineStr">
        <x:is>
          <x:t xml:space="preserve">EMPAQUETADURA DURLON 9000 1/8 ESP.CLASE 150 TIPO FF 4 PLG DIAM</x:t>
        </x:is>
      </x:c>
      <x:c r="C220" s="184" t="n">
        <x:v>0</x:v>
      </x:c>
      <x:c r="D220" s="184" t="n">
        <x:v>0</x:v>
      </x:c>
      <x:c r="E220" s="184" t="n">
        <x:v>0</x:v>
      </x:c>
      <x:c r="F220" s="184" t="n">
        <x:v>0</x:v>
      </x:c>
      <x:c r="G220" s="184" t="n">
        <x:v>0</x:v>
      </x:c>
      <x:c r="H220" s="193" t="n">
        <x:v>0</x:v>
      </x:c>
      <x:c r="I220" s="185" t="n">
        <x:v>0</x:v>
      </x:c>
      <x:c r="J220" s="185" t="n">
        <x:v>0</x:v>
      </x:c>
      <x:c r="K220" s="289" t="n">
        <x:v>15930</x:v>
      </x:c>
    </x:row>
    <x:row r="221" s="117" customFormat="1" hidden="1">
      <x:c r="A221" s="184" t="inlineStr">
        <x:is>
          <x:t xml:space="preserve">EMPDUR150021</x:t>
        </x:is>
      </x:c>
      <x:c r="B221" s="184" t="inlineStr">
        <x:is>
          <x:t xml:space="preserve">EMPAQUETADURA DURLON 7900 1/8 ESP CLASE 150 TIPO FF 2 PLG DIAM</x:t>
        </x:is>
      </x:c>
      <x:c r="C221" s="184" t="n">
        <x:v>63</x:v>
      </x:c>
      <x:c r="D221" s="184" t="n">
        <x:v>0</x:v>
      </x:c>
      <x:c r="E221" s="184" t="n">
        <x:v>0</x:v>
      </x:c>
      <x:c r="F221" s="184" t="n">
        <x:v>63</x:v>
      </x:c>
      <x:c r="G221" s="184" t="n">
        <x:v>132930</x:v>
      </x:c>
      <x:c r="H221" s="193" t="n">
        <x:v>0</x:v>
      </x:c>
      <x:c r="I221" s="185" t="n">
        <x:v>0</x:v>
      </x:c>
      <x:c r="J221" s="185" t="n">
        <x:v>132930</x:v>
      </x:c>
      <x:c r="K221" s="289" t="n">
        <x:v>2110</x:v>
      </x:c>
    </x:row>
    <x:row r="222" s="117" customFormat="1" hidden="1">
      <x:c r="A222" s="184" t="inlineStr">
        <x:is>
          <x:t xml:space="preserve">EMPDUR150022</x:t>
        </x:is>
      </x:c>
      <x:c r="B222" s="184" t="inlineStr">
        <x:is>
          <x:t xml:space="preserve">EMPAQUETADURA DURLON 9000 1/8 ESP.CLASE 150 TIPO FF 10 PLG DIAM</x:t>
        </x:is>
      </x:c>
      <x:c r="C222" s="184" t="n">
        <x:v>0</x:v>
      </x:c>
      <x:c r="D222" s="184" t="n">
        <x:v>0</x:v>
      </x:c>
      <x:c r="E222" s="184" t="n">
        <x:v>0</x:v>
      </x:c>
      <x:c r="F222" s="184" t="n">
        <x:v>0</x:v>
      </x:c>
      <x:c r="G222" s="184" t="n">
        <x:v>0</x:v>
      </x:c>
      <x:c r="H222" s="193" t="n">
        <x:v>0</x:v>
      </x:c>
      <x:c r="I222" s="185" t="n">
        <x:v>0</x:v>
      </x:c>
      <x:c r="J222" s="185" t="n">
        <x:v>0</x:v>
      </x:c>
      <x:c r="K222" s="289" t="n">
        <x:v>58521</x:v>
      </x:c>
    </x:row>
    <x:row r="223" s="117" customFormat="1" hidden="1">
      <x:c r="A223" s="184" t="inlineStr">
        <x:is>
          <x:t xml:space="preserve">EMPDUR150023</x:t>
        </x:is>
      </x:c>
      <x:c r="B223" s="184" t="inlineStr">
        <x:is>
          <x:t xml:space="preserve">EMPAQUETADURA DURLON 9000 1/8 ESP.CLASE 150 TIPO FF 6 PLG DIAM</x:t>
        </x:is>
      </x:c>
      <x:c r="C223" s="184" t="n">
        <x:v>83</x:v>
      </x:c>
      <x:c r="D223" s="184" t="n">
        <x:v>0</x:v>
      </x:c>
      <x:c r="E223" s="184" t="n">
        <x:v>0</x:v>
      </x:c>
      <x:c r="F223" s="184" t="n">
        <x:v>83</x:v>
      </x:c>
      <x:c r="G223" s="184" t="n">
        <x:v>2488506</x:v>
      </x:c>
      <x:c r="H223" s="193" t="n">
        <x:v>0</x:v>
      </x:c>
      <x:c r="I223" s="185" t="n">
        <x:v>0</x:v>
      </x:c>
      <x:c r="J223" s="185" t="n">
        <x:v>2488506</x:v>
      </x:c>
      <x:c r="K223" s="289" t="n">
        <x:v>29982</x:v>
      </x:c>
    </x:row>
    <x:row r="224" s="117" customFormat="1" hidden="1">
      <x:c r="A224" s="184" t="inlineStr">
        <x:is>
          <x:t xml:space="preserve">EMPDUR150024</x:t>
        </x:is>
      </x:c>
      <x:c r="B224" s="184" t="inlineStr">
        <x:is>
          <x:t xml:space="preserve">EMPAQUETADURA DURLON 7900 1/8 ESP CLASE 150  TIPO FF 3 PLG</x:t>
        </x:is>
      </x:c>
      <x:c r="C224" s="184" t="n">
        <x:v>0</x:v>
      </x:c>
      <x:c r="D224" s="184" t="n">
        <x:v>0</x:v>
      </x:c>
      <x:c r="E224" s="184" t="n">
        <x:v>0</x:v>
      </x:c>
      <x:c r="F224" s="184" t="n">
        <x:v>0</x:v>
      </x:c>
      <x:c r="G224" s="184" t="n">
        <x:v>0</x:v>
      </x:c>
      <x:c r="H224" s="193" t="n">
        <x:v>0</x:v>
      </x:c>
      <x:c r="I224" s="185" t="n">
        <x:v>0</x:v>
      </x:c>
      <x:c r="J224" s="185" t="n">
        <x:v>0</x:v>
      </x:c>
      <x:c r="K224" s="289" t="n">
        <x:v>3387</x:v>
      </x:c>
    </x:row>
    <x:row r="225" s="117" customFormat="1" hidden="1">
      <x:c r="A225" s="184" t="inlineStr">
        <x:is>
          <x:t xml:space="preserve">EMPDUR150025</x:t>
        </x:is>
      </x:c>
      <x:c r="B225" s="184" t="inlineStr">
        <x:is>
          <x:t xml:space="preserve">EMPAQUETADURA DURLON 9000 1/8 ESP CLASE 150 8 PLG</x:t>
        </x:is>
      </x:c>
      <x:c r="C225" s="184" t="n">
        <x:v>0</x:v>
      </x:c>
      <x:c r="D225" s="184" t="n">
        <x:v>0</x:v>
      </x:c>
      <x:c r="E225" s="184" t="n">
        <x:v>0</x:v>
      </x:c>
      <x:c r="F225" s="184" t="n">
        <x:v>0</x:v>
      </x:c>
      <x:c r="G225" s="184" t="n">
        <x:v>0</x:v>
      </x:c>
      <x:c r="H225" s="193" t="n">
        <x:v>0</x:v>
      </x:c>
      <x:c r="I225" s="185" t="n">
        <x:v>0</x:v>
      </x:c>
      <x:c r="J225" s="185" t="n">
        <x:v>0</x:v>
      </x:c>
      <x:c r="K225" s="289" t="n">
        <x:v>50283.66666667</x:v>
      </x:c>
    </x:row>
    <x:row r="226" s="117" customFormat="1" hidden="1">
      <x:c r="A226" s="184" t="inlineStr">
        <x:is>
          <x:t xml:space="preserve">EMPDUR150026</x:t>
        </x:is>
      </x:c>
      <x:c r="B226" s="184" t="inlineStr">
        <x:is>
          <x:t xml:space="preserve">EMPAQUETADURA DURLON 7900 1/8 ESP CLASE 150 8 PLG</x:t>
        </x:is>
      </x:c>
      <x:c r="C226" s="184" t="n">
        <x:v>0</x:v>
      </x:c>
      <x:c r="D226" s="184" t="n">
        <x:v>0</x:v>
      </x:c>
      <x:c r="E226" s="184" t="n">
        <x:v>0</x:v>
      </x:c>
      <x:c r="F226" s="184" t="n">
        <x:v>0</x:v>
      </x:c>
      <x:c r="G226" s="184" t="n">
        <x:v>0</x:v>
      </x:c>
      <x:c r="H226" s="193" t="n">
        <x:v>0</x:v>
      </x:c>
      <x:c r="I226" s="185" t="n">
        <x:v>0</x:v>
      </x:c>
      <x:c r="J226" s="185" t="n">
        <x:v>0</x:v>
      </x:c>
      <x:c r="K226" s="289" t="n">
        <x:v>8784</x:v>
      </x:c>
    </x:row>
    <x:row r="227" s="117" customFormat="1" hidden="1">
      <x:c r="A227" s="184" t="inlineStr">
        <x:is>
          <x:t xml:space="preserve">EMPDUR150027</x:t>
        </x:is>
      </x:c>
      <x:c r="B227" s="184" t="inlineStr">
        <x:is>
          <x:t xml:space="preserve">EMPAQUETADURA TIPO FF CLASE 150 DIAM.10 PLG D-7900 1/8</x:t>
        </x:is>
      </x:c>
      <x:c r="C227" s="184" t="n">
        <x:v>0</x:v>
      </x:c>
      <x:c r="D227" s="184" t="n">
        <x:v>0</x:v>
      </x:c>
      <x:c r="E227" s="184" t="n">
        <x:v>0</x:v>
      </x:c>
      <x:c r="F227" s="184" t="n">
        <x:v>0</x:v>
      </x:c>
      <x:c r="G227" s="184" t="n">
        <x:v>0</x:v>
      </x:c>
      <x:c r="H227" s="193" t="n">
        <x:v>0</x:v>
      </x:c>
      <x:c r="I227" s="185" t="n">
        <x:v>0</x:v>
      </x:c>
      <x:c r="J227" s="185" t="n">
        <x:v>0</x:v>
      </x:c>
      <x:c r="K227" s="289" t="n">
        <x:v>10302</x:v>
      </x:c>
    </x:row>
    <x:row r="228" s="117" customFormat="1" hidden="1">
      <x:c r="A228" s="184" t="inlineStr">
        <x:is>
          <x:t xml:space="preserve">EMPDUR150028</x:t>
        </x:is>
      </x:c>
      <x:c r="B228" s="184" t="inlineStr">
        <x:is>
          <x:t xml:space="preserve">EMPAQUETADURA DURLON 9000 CLASE 150 TP 24 PLG X 1/8 PLG ESP.</x:t>
        </x:is>
      </x:c>
      <x:c r="C228" s="184" t="n">
        <x:v>0</x:v>
      </x:c>
      <x:c r="D228" s="184" t="n">
        <x:v>0</x:v>
      </x:c>
      <x:c r="E228" s="184" t="n">
        <x:v>0</x:v>
      </x:c>
      <x:c r="F228" s="184" t="n">
        <x:v>0</x:v>
      </x:c>
      <x:c r="G228" s="184" t="n">
        <x:v>0</x:v>
      </x:c>
      <x:c r="H228" s="193" t="n">
        <x:v>0</x:v>
      </x:c>
      <x:c r="I228" s="185" t="n">
        <x:v>0</x:v>
      </x:c>
      <x:c r="J228" s="185" t="n">
        <x:v>0</x:v>
      </x:c>
      <x:c r="K228" s="289" t="n">
        <x:v>183000</x:v>
      </x:c>
    </x:row>
    <x:row r="229" s="117" customFormat="1" hidden="1">
      <x:c r="A229" s="184" t="inlineStr">
        <x:is>
          <x:t xml:space="preserve">EMPDUR150029</x:t>
        </x:is>
      </x:c>
      <x:c r="B229" s="184" t="inlineStr">
        <x:is>
          <x:t xml:space="preserve">EMPAQUETADURA BRIDA CLASE 150 FF DE 24 PLG DURLON 9000 1/8 ESP. PN 10423968</x:t>
        </x:is>
      </x:c>
      <x:c r="C229" s="184" t="n">
        <x:v>0</x:v>
      </x:c>
      <x:c r="D229" s="184" t="n">
        <x:v>0</x:v>
      </x:c>
      <x:c r="E229" s="184" t="n">
        <x:v>0</x:v>
      </x:c>
      <x:c r="F229" s="184" t="n">
        <x:v>0</x:v>
      </x:c>
      <x:c r="G229" s="184" t="n">
        <x:v>0</x:v>
      </x:c>
      <x:c r="H229" s="193" t="n">
        <x:v>0</x:v>
      </x:c>
      <x:c r="I229" s="185" t="n">
        <x:v>0</x:v>
      </x:c>
      <x:c r="J229" s="185" t="n">
        <x:v>0</x:v>
      </x:c>
      <x:c r="K229" s="289" t="n">
        <x:v>134944</x:v>
      </x:c>
    </x:row>
    <x:row r="230" s="117" customFormat="1" hidden="1">
      <x:c r="A230" s="184" t="inlineStr">
        <x:is>
          <x:t xml:space="preserve">EMPDUR150030</x:t>
        </x:is>
      </x:c>
      <x:c r="B230" s="184" t="inlineStr">
        <x:is>
          <x:t xml:space="preserve">EMPAQUETADURA DURLON 9000 1/8 PLG ESP. TIPO RF CLASE 150 6 PLG DIAM.</x:t>
        </x:is>
      </x:c>
      <x:c r="C230" s="184" t="n">
        <x:v>0</x:v>
      </x:c>
      <x:c r="D230" s="184" t="n">
        <x:v>0</x:v>
      </x:c>
      <x:c r="E230" s="184" t="n">
        <x:v>0</x:v>
      </x:c>
      <x:c r="F230" s="184" t="n">
        <x:v>0</x:v>
      </x:c>
      <x:c r="G230" s="184" t="n">
        <x:v>0</x:v>
      </x:c>
      <x:c r="H230" s="193" t="n">
        <x:v>0</x:v>
      </x:c>
      <x:c r="I230" s="185" t="n">
        <x:v>0</x:v>
      </x:c>
      <x:c r="J230" s="185" t="n">
        <x:v>0</x:v>
      </x:c>
      <x:c r="K230" s="289" t="n">
        <x:v>23374</x:v>
      </x:c>
    </x:row>
    <x:row r="231" s="117" customFormat="1" hidden="1">
      <x:c r="A231" s="184" t="inlineStr">
        <x:is>
          <x:t xml:space="preserve">EMPDUR150031</x:t>
        </x:is>
      </x:c>
      <x:c r="B231" s="184" t="inlineStr">
        <x:is>
          <x:t xml:space="preserve">EMPAQUETADURA DURLON 9000 1/8 PLG ESP. CLASE 150 TIPO RF 1/2 PLG DIAM.</x:t>
        </x:is>
      </x:c>
      <x:c r="C231" s="184" t="n">
        <x:v>122</x:v>
      </x:c>
      <x:c r="D231" s="184" t="n">
        <x:v>0</x:v>
      </x:c>
      <x:c r="E231" s="184" t="n">
        <x:v>0</x:v>
      </x:c>
      <x:c r="F231" s="184" t="n">
        <x:v>122</x:v>
      </x:c>
      <x:c r="G231" s="184" t="n">
        <x:v>95160</x:v>
      </x:c>
      <x:c r="H231" s="193" t="n">
        <x:v>0</x:v>
      </x:c>
      <x:c r="I231" s="185" t="n">
        <x:v>0</x:v>
      </x:c>
      <x:c r="J231" s="185" t="n">
        <x:v>95160</x:v>
      </x:c>
      <x:c r="K231" s="289" t="n">
        <x:v>780</x:v>
      </x:c>
    </x:row>
    <x:row r="232" s="117" customFormat="1" hidden="1">
      <x:c r="A232" s="184" t="inlineStr">
        <x:is>
          <x:t xml:space="preserve">EMPDUR150032</x:t>
        </x:is>
      </x:c>
      <x:c r="B232" s="184" t="inlineStr">
        <x:is>
          <x:t xml:space="preserve">10453239 EMPAQUETADURA DURLON 9000 1/8 PLG ESP.CLASE 150 DE 16 PLG DIAM. 4071628</x:t>
        </x:is>
      </x:c>
      <x:c r="C232" s="184" t="n">
        <x:v>0</x:v>
      </x:c>
      <x:c r="D232" s="184" t="n">
        <x:v>0</x:v>
      </x:c>
      <x:c r="E232" s="184" t="n">
        <x:v>0</x:v>
      </x:c>
      <x:c r="F232" s="184" t="n">
        <x:v>0</x:v>
      </x:c>
      <x:c r="G232" s="184" t="n">
        <x:v>0</x:v>
      </x:c>
      <x:c r="H232" s="193" t="n">
        <x:v>0</x:v>
      </x:c>
      <x:c r="I232" s="185" t="n">
        <x:v>0</x:v>
      </x:c>
      <x:c r="J232" s="185" t="n">
        <x:v>0</x:v>
      </x:c>
      <x:c r="K232" s="289" t="n">
        <x:v>187625</x:v>
      </x:c>
    </x:row>
    <x:row r="233" s="117" customFormat="1" hidden="1">
      <x:c r="A233" s="184" t="inlineStr">
        <x:is>
          <x:t xml:space="preserve">EMPDUR150033</x:t>
        </x:is>
      </x:c>
      <x:c r="B233" s="184" t="inlineStr">
        <x:is>
          <x:t xml:space="preserve">EMPAQUETADURA DURLON 9000 1/8 PLG ESP. CLASE 150 TIPO RF DE 1/2  PLG DIAM. (48X21MM)</x:t>
        </x:is>
      </x:c>
      <x:c r="C233" s="184" t="n">
        <x:v>0</x:v>
      </x:c>
      <x:c r="D233" s="184" t="n">
        <x:v>0</x:v>
      </x:c>
      <x:c r="E233" s="184" t="n">
        <x:v>0</x:v>
      </x:c>
      <x:c r="F233" s="184" t="n">
        <x:v>0</x:v>
      </x:c>
      <x:c r="G233" s="184" t="n">
        <x:v>0</x:v>
      </x:c>
      <x:c r="H233" s="193" t="n">
        <x:v>0</x:v>
      </x:c>
      <x:c r="I233" s="185" t="n">
        <x:v>0</x:v>
      </x:c>
      <x:c r="J233" s="185" t="n">
        <x:v>0</x:v>
      </x:c>
      <x:c r="K233" s="289" t="n">
        <x:v>780</x:v>
      </x:c>
    </x:row>
    <x:row r="234" s="117" customFormat="1" hidden="1">
      <x:c r="A234" s="184" t="inlineStr">
        <x:is>
          <x:t xml:space="preserve">EMPDUR150034</x:t>
        </x:is>
      </x:c>
      <x:c r="B234" s="184" t="inlineStr">
        <x:is>
          <x:t xml:space="preserve">11134373 EMPAQUETADURA 12 PLG DURLON 9000 1/8 ESP.CLASE 150 ANSI</x:t>
        </x:is>
      </x:c>
      <x:c r="C234" s="184" t="n">
        <x:v>11</x:v>
      </x:c>
      <x:c r="D234" s="184" t="n">
        <x:v>0</x:v>
      </x:c>
      <x:c r="E234" s="184" t="n">
        <x:v>0</x:v>
      </x:c>
      <x:c r="F234" s="184" t="n">
        <x:v>11</x:v>
      </x:c>
      <x:c r="G234" s="184" t="n">
        <x:v>602646</x:v>
      </x:c>
      <x:c r="H234" s="193" t="n">
        <x:v>0</x:v>
      </x:c>
      <x:c r="I234" s="185" t="n">
        <x:v>0</x:v>
      </x:c>
      <x:c r="J234" s="185" t="n">
        <x:v>602646</x:v>
      </x:c>
      <x:c r="K234" s="289" t="n">
        <x:v>54786</x:v>
      </x:c>
    </x:row>
    <x:row r="235" s="117" customFormat="1" hidden="1">
      <x:c r="A235" s="184" t="inlineStr">
        <x:is>
          <x:t xml:space="preserve">EMPDUR150035</x:t>
        </x:is>
      </x:c>
      <x:c r="B235" s="184" t="inlineStr">
        <x:is>
          <x:t xml:space="preserve">4033578 EMPAQUETADURA DURLON 7900 FF CLASE 150 ANSI 1/8 ESP.DE 18 PLG</x:t>
        </x:is>
      </x:c>
      <x:c r="C235" s="184" t="n">
        <x:v>13</x:v>
      </x:c>
      <x:c r="D235" s="184" t="n">
        <x:v>0</x:v>
      </x:c>
      <x:c r="E235" s="184" t="n">
        <x:v>0</x:v>
      </x:c>
      <x:c r="F235" s="184" t="n">
        <x:v>13</x:v>
      </x:c>
      <x:c r="G235" s="184" t="n">
        <x:v>404248</x:v>
      </x:c>
      <x:c r="H235" s="193" t="n">
        <x:v>0</x:v>
      </x:c>
      <x:c r="I235" s="185" t="n">
        <x:v>0</x:v>
      </x:c>
      <x:c r="J235" s="185" t="n">
        <x:v>404248</x:v>
      </x:c>
      <x:c r="K235" s="289" t="n">
        <x:v>31096</x:v>
      </x:c>
    </x:row>
    <x:row r="236" s="117" customFormat="1" hidden="1">
      <x:c r="A236" s="184" t="inlineStr">
        <x:is>
          <x:t xml:space="preserve">EMPDUR150036</x:t>
        </x:is>
      </x:c>
      <x:c r="B236" s="184" t="inlineStr">
        <x:is>
          <x:t xml:space="preserve">122502/001 EMPAQUETADURA DURLON 9000 RF NORMA ANSI CLASE 150 E=1/8 DIAM 30 PLG SERIE A</x:t>
        </x:is>
      </x:c>
      <x:c r="C236" s="184" t="n">
        <x:v>0</x:v>
      </x:c>
      <x:c r="D236" s="184" t="n">
        <x:v>0</x:v>
      </x:c>
      <x:c r="E236" s="184" t="n">
        <x:v>0</x:v>
      </x:c>
      <x:c r="F236" s="184" t="n">
        <x:v>0</x:v>
      </x:c>
      <x:c r="G236" s="184" t="n">
        <x:v>0</x:v>
      </x:c>
      <x:c r="H236" s="193" t="n">
        <x:v>0</x:v>
      </x:c>
      <x:c r="I236" s="185" t="n">
        <x:v>0</x:v>
      </x:c>
      <x:c r="J236" s="185" t="n">
        <x:v>0</x:v>
      </x:c>
      <x:c r="K236" s="289" t="n">
        <x:v>313118</x:v>
      </x:c>
    </x:row>
    <x:row r="237" s="117" customFormat="1" hidden="1">
      <x:c r="A237" s="184" t="inlineStr">
        <x:is>
          <x:t xml:space="preserve">EMPDUR150037</x:t>
        </x:is>
      </x:c>
      <x:c r="B237" s="184" t="inlineStr">
        <x:is>
          <x:t xml:space="preserve">122502/002 EMPAQUETADURA DURLON 9000 RF NORMA ANSI CLASE 150 E=1/8 DIAM 30 PLG SERIE B</x:t>
        </x:is>
      </x:c>
      <x:c r="C237" s="184" t="n">
        <x:v>0</x:v>
      </x:c>
      <x:c r="D237" s="184" t="n">
        <x:v>0</x:v>
      </x:c>
      <x:c r="E237" s="184" t="n">
        <x:v>0</x:v>
      </x:c>
      <x:c r="F237" s="184" t="n">
        <x:v>0</x:v>
      </x:c>
      <x:c r="G237" s="184" t="n">
        <x:v>0</x:v>
      </x:c>
      <x:c r="H237" s="193" t="n">
        <x:v>0</x:v>
      </x:c>
      <x:c r="I237" s="185" t="n">
        <x:v>0</x:v>
      </x:c>
      <x:c r="J237" s="185" t="n">
        <x:v>0</x:v>
      </x:c>
      <x:c r="K237" s="289" t="n">
        <x:v>313118</x:v>
      </x:c>
    </x:row>
    <x:row r="238" s="117" customFormat="1" hidden="1">
      <x:c r="A238" s="184" t="inlineStr">
        <x:is>
          <x:t xml:space="preserve">EMPDUR150038</x:t>
        </x:is>
      </x:c>
      <x:c r="B238" s="184" t="inlineStr">
        <x:is>
          <x:t xml:space="preserve">EMPAQUETADURA DURLON 7900 1/8 ESPESOR CLASE 150 ANSI FF DIAMETRO 20 PLG</x:t>
        </x:is>
      </x:c>
      <x:c r="C238" s="184" t="n">
        <x:v>0</x:v>
      </x:c>
      <x:c r="D238" s="184" t="n">
        <x:v>0</x:v>
      </x:c>
      <x:c r="E238" s="184" t="n">
        <x:v>0</x:v>
      </x:c>
      <x:c r="F238" s="184" t="n">
        <x:v>0</x:v>
      </x:c>
      <x:c r="G238" s="184" t="n">
        <x:v>0</x:v>
      </x:c>
      <x:c r="H238" s="193" t="n">
        <x:v>0</x:v>
      </x:c>
      <x:c r="I238" s="185" t="n">
        <x:v>0</x:v>
      </x:c>
      <x:c r="J238" s="185" t="n">
        <x:v>0</x:v>
      </x:c>
      <x:c r="K238" s="289" t="n">
        <x:v>43350</x:v>
      </x:c>
    </x:row>
    <x:row r="239" s="117" customFormat="1" hidden="1">
      <x:c r="A239" s="184" t="inlineStr">
        <x:is>
          <x:t xml:space="preserve">EMPDUR150039</x:t>
        </x:is>
      </x:c>
      <x:c r="B239" s="184" t="inlineStr">
        <x:is>
          <x:t xml:space="preserve">EMPAQUETADURA DURLON 9000 1/8 ESP RF CLASE 150 8 PLG</x:t>
        </x:is>
      </x:c>
      <x:c r="C239" s="184" t="n">
        <x:v>0</x:v>
      </x:c>
      <x:c r="D239" s="184" t="n">
        <x:v>0</x:v>
      </x:c>
      <x:c r="E239" s="184" t="n">
        <x:v>0</x:v>
      </x:c>
      <x:c r="F239" s="184" t="n">
        <x:v>0</x:v>
      </x:c>
      <x:c r="G239" s="184" t="n">
        <x:v>0</x:v>
      </x:c>
      <x:c r="H239" s="193" t="n">
        <x:v>0</x:v>
      </x:c>
      <x:c r="I239" s="185" t="n">
        <x:v>0</x:v>
      </x:c>
      <x:c r="J239" s="185" t="n">
        <x:v>0</x:v>
      </x:c>
      <x:c r="K239" s="289" t="n">
        <x:v>33453</x:v>
      </x:c>
    </x:row>
    <x:row r="240" s="117" customFormat="1" hidden="1">
      <x:c r="A240" s="184" t="inlineStr">
        <x:is>
          <x:t xml:space="preserve">EMPDUR150040</x:t>
        </x:is>
      </x:c>
      <x:c r="B240" s="184" t="inlineStr">
        <x:is>
          <x:t xml:space="preserve">EMPAQUETADURA TAPA CONDENSADOR GATC03FNDB CODIGO 107311 D-8300</x:t>
        </x:is>
      </x:c>
      <x:c r="C240" s="184" t="n">
        <x:v>0</x:v>
      </x:c>
      <x:c r="D240" s="184" t="n">
        <x:v>0</x:v>
      </x:c>
      <x:c r="E240" s="184" t="n">
        <x:v>0</x:v>
      </x:c>
      <x:c r="F240" s="184" t="n">
        <x:v>0</x:v>
      </x:c>
      <x:c r="G240" s="184" t="n">
        <x:v>0</x:v>
      </x:c>
      <x:c r="H240" s="193" t="n">
        <x:v>0</x:v>
      </x:c>
      <x:c r="I240" s="185" t="n">
        <x:v>0</x:v>
      </x:c>
      <x:c r="J240" s="185" t="n">
        <x:v>0</x:v>
      </x:c>
      <x:c r="K240" s="289" t="n">
        <x:v>8389</x:v>
      </x:c>
    </x:row>
    <x:row r="241" s="117" customFormat="1" hidden="1">
      <x:c r="A241" s="184" t="inlineStr">
        <x:is>
          <x:t xml:space="preserve">EMPDUR150041</x:t>
        </x:is>
      </x:c>
      <x:c r="B241" s="184" t="inlineStr">
        <x:is>
          <x:t xml:space="preserve">EMPAQUETADURA DUCTO CONDENSADOR GATC03CNB1 CODIGO 107312 D-8300</x:t>
        </x:is>
      </x:c>
      <x:c r="C241" s="184" t="n">
        <x:v>0</x:v>
      </x:c>
      <x:c r="D241" s="184" t="n">
        <x:v>0</x:v>
      </x:c>
      <x:c r="E241" s="184" t="n">
        <x:v>0</x:v>
      </x:c>
      <x:c r="F241" s="184" t="n">
        <x:v>0</x:v>
      </x:c>
      <x:c r="G241" s="184" t="n">
        <x:v>0</x:v>
      </x:c>
      <x:c r="H241" s="193" t="n">
        <x:v>0</x:v>
      </x:c>
      <x:c r="I241" s="185" t="n">
        <x:v>0</x:v>
      </x:c>
      <x:c r="J241" s="185" t="n">
        <x:v>0</x:v>
      </x:c>
      <x:c r="K241" s="289" t="n">
        <x:v>5369</x:v>
      </x:c>
    </x:row>
    <x:row r="242" s="117" customFormat="1" hidden="1">
      <x:c r="A242" s="184" t="inlineStr">
        <x:is>
          <x:t xml:space="preserve">EMPDUR150042</x:t>
        </x:is>
      </x:c>
      <x:c r="B242" s="184" t="inlineStr">
        <x:is>
          <x:t xml:space="preserve">EMPAQUETADURA S.VALLEY N PARTE GATC03BXAB CODIGO 107313</x:t>
        </x:is>
      </x:c>
      <x:c r="C242" s="184" t="n">
        <x:v>0</x:v>
      </x:c>
      <x:c r="D242" s="184" t="n">
        <x:v>0</x:v>
      </x:c>
      <x:c r="E242" s="184" t="n">
        <x:v>0</x:v>
      </x:c>
      <x:c r="F242" s="184" t="n">
        <x:v>0</x:v>
      </x:c>
      <x:c r="G242" s="184" t="n">
        <x:v>0</x:v>
      </x:c>
      <x:c r="H242" s="193" t="n">
        <x:v>0</x:v>
      </x:c>
      <x:c r="I242" s="185" t="n">
        <x:v>0</x:v>
      </x:c>
      <x:c r="J242" s="185" t="n">
        <x:v>0</x:v>
      </x:c>
      <x:c r="K242" s="289" t="n">
        <x:v>3868</x:v>
      </x:c>
    </x:row>
    <x:row r="243" s="117" customFormat="1" hidden="1">
      <x:c r="A243" s="184" t="inlineStr">
        <x:is>
          <x:t xml:space="preserve">EMPDUR150043</x:t>
        </x:is>
      </x:c>
      <x:c r="B243" s="184" t="inlineStr">
        <x:is>
          <x:t xml:space="preserve">GASKET,FF.FLG DURLON 9000 30 INX</x:t>
        </x:is>
      </x:c>
      <x:c r="C243" s="184" t="n">
        <x:v>0</x:v>
      </x:c>
      <x:c r="D243" s="184" t="n">
        <x:v>0</x:v>
      </x:c>
      <x:c r="E243" s="184" t="n">
        <x:v>0</x:v>
      </x:c>
      <x:c r="F243" s="184" t="n">
        <x:v>0</x:v>
      </x:c>
      <x:c r="G243" s="184" t="n">
        <x:v>0</x:v>
      </x:c>
      <x:c r="H243" s="193" t="n">
        <x:v>0</x:v>
      </x:c>
      <x:c r="I243" s="185" t="n">
        <x:v>0</x:v>
      </x:c>
      <x:c r="J243" s="185" t="n">
        <x:v>0</x:v>
      </x:c>
      <x:c r="K243" s="289" t="n">
        <x:v>27272</x:v>
      </x:c>
    </x:row>
    <x:row r="244" s="117" customFormat="1" hidden="1">
      <x:c r="A244" s="184" t="inlineStr">
        <x:is>
          <x:t xml:space="preserve">EMPDUR150044</x:t>
        </x:is>
      </x:c>
      <x:c r="B244" s="184" t="inlineStr">
        <x:is>
          <x:t xml:space="preserve">EMPAQUETADURA DURLON 7900 1/8 CLASE 150 TIPO RF ANSI 1.1/4 PLG</x:t>
        </x:is>
      </x:c>
      <x:c r="C244" s="184" t="n">
        <x:v>0</x:v>
      </x:c>
      <x:c r="D244" s="184" t="n">
        <x:v>0</x:v>
      </x:c>
      <x:c r="E244" s="184" t="n">
        <x:v>0</x:v>
      </x:c>
      <x:c r="F244" s="184" t="n">
        <x:v>0</x:v>
      </x:c>
      <x:c r="G244" s="184" t="n">
        <x:v>0</x:v>
      </x:c>
      <x:c r="H244" s="193" t="n">
        <x:v>0</x:v>
      </x:c>
      <x:c r="I244" s="185" t="n">
        <x:v>0</x:v>
      </x:c>
      <x:c r="J244" s="185" t="n">
        <x:v>0</x:v>
      </x:c>
      <x:c r="K244" s="289" t="n">
        <x:v>836</x:v>
      </x:c>
    </x:row>
    <x:row r="245" s="117" customFormat="1" hidden="1">
      <x:c r="A245" s="184" t="inlineStr">
        <x:is>
          <x:t xml:space="preserve">EMPDUR150045</x:t>
        </x:is>
      </x:c>
      <x:c r="B245" s="184" t="inlineStr">
        <x:is>
          <x:t xml:space="preserve">EMPAQUETADURA DURLON 7900 1/8 CLASE 150 TIPO RF ANSI 2  PLG</x:t>
        </x:is>
      </x:c>
      <x:c r="C245" s="184" t="n">
        <x:v>0</x:v>
      </x:c>
      <x:c r="D245" s="184" t="n">
        <x:v>0</x:v>
      </x:c>
      <x:c r="E245" s="184" t="n">
        <x:v>0</x:v>
      </x:c>
      <x:c r="F245" s="184" t="n">
        <x:v>0</x:v>
      </x:c>
      <x:c r="G245" s="184" t="n">
        <x:v>0</x:v>
      </x:c>
      <x:c r="H245" s="193" t="n">
        <x:v>0</x:v>
      </x:c>
      <x:c r="I245" s="185" t="n">
        <x:v>0</x:v>
      </x:c>
      <x:c r="J245" s="185" t="n">
        <x:v>0</x:v>
      </x:c>
      <x:c r="K245" s="289" t="n">
        <x:v>979</x:v>
      </x:c>
    </x:row>
    <x:row r="246" s="117" customFormat="1" hidden="1">
      <x:c r="A246" s="184" t="inlineStr">
        <x:is>
          <x:t xml:space="preserve">EMPDUR150046</x:t>
        </x:is>
      </x:c>
      <x:c r="B246" s="184" t="inlineStr">
        <x:is>
          <x:t xml:space="preserve">EMPAQUETADURA DURLON 7900 1/8 CLASE 150 TIPO RF ANSI 4  PLG</x:t>
        </x:is>
      </x:c>
      <x:c r="C246" s="184" t="n">
        <x:v>0</x:v>
      </x:c>
      <x:c r="D246" s="184" t="n">
        <x:v>0</x:v>
      </x:c>
      <x:c r="E246" s="184" t="n">
        <x:v>0</x:v>
      </x:c>
      <x:c r="F246" s="184" t="n">
        <x:v>0</x:v>
      </x:c>
      <x:c r="G246" s="184" t="n">
        <x:v>0</x:v>
      </x:c>
      <x:c r="H246" s="193" t="n">
        <x:v>0</x:v>
      </x:c>
      <x:c r="I246" s="185" t="n">
        <x:v>0</x:v>
      </x:c>
      <x:c r="J246" s="185" t="n">
        <x:v>0</x:v>
      </x:c>
      <x:c r="K246" s="289" t="n">
        <x:v>2234</x:v>
      </x:c>
    </x:row>
    <x:row r="247" s="117" customFormat="1" hidden="1">
      <x:c r="A247" s="184" t="inlineStr">
        <x:is>
          <x:t xml:space="preserve">EMPDUR150047</x:t>
        </x:is>
      </x:c>
      <x:c r="B247" s="184" t="inlineStr">
        <x:is>
          <x:t xml:space="preserve">EMPAQUETADURA DURLON 7900 1/8 ESP. RF ANSI CLASE 150 DIAM 8 PLG C/MANGUITO</x:t>
        </x:is>
      </x:c>
      <x:c r="C247" s="184" t="n">
        <x:v>0</x:v>
      </x:c>
      <x:c r="D247" s="184" t="n">
        <x:v>0</x:v>
      </x:c>
      <x:c r="E247" s="184" t="n">
        <x:v>0</x:v>
      </x:c>
      <x:c r="F247" s="184" t="n">
        <x:v>0</x:v>
      </x:c>
      <x:c r="G247" s="184" t="n">
        <x:v>0</x:v>
      </x:c>
      <x:c r="H247" s="193" t="n">
        <x:v>0</x:v>
      </x:c>
      <x:c r="I247" s="185" t="n">
        <x:v>0</x:v>
      </x:c>
      <x:c r="J247" s="185" t="n">
        <x:v>0</x:v>
      </x:c>
      <x:c r="K247" s="289" t="n">
        <x:v>5306</x:v>
      </x:c>
    </x:row>
    <x:row r="248" s="117" customFormat="1" hidden="1">
      <x:c r="A248" s="184" t="inlineStr">
        <x:is>
          <x:t xml:space="preserve">EMPDUR150048</x:t>
        </x:is>
      </x:c>
      <x:c r="B248" s="184" t="inlineStr">
        <x:is>
          <x:t xml:space="preserve">EMPAQUETADURA DURLON 9000 1/8 RF CLASE 150 DE 10 PLG</x:t>
        </x:is>
      </x:c>
      <x:c r="C248" s="184" t="n">
        <x:v>0</x:v>
      </x:c>
      <x:c r="D248" s="184" t="n">
        <x:v>0</x:v>
      </x:c>
      <x:c r="E248" s="184" t="n">
        <x:v>0</x:v>
      </x:c>
      <x:c r="F248" s="184" t="n">
        <x:v>0</x:v>
      </x:c>
      <x:c r="G248" s="184" t="n">
        <x:v>0</x:v>
      </x:c>
      <x:c r="H248" s="193" t="n">
        <x:v>0</x:v>
      </x:c>
      <x:c r="I248" s="185" t="n">
        <x:v>0</x:v>
      </x:c>
      <x:c r="J248" s="185" t="n">
        <x:v>0</x:v>
      </x:c>
      <x:c r="K248" s="289" t="n">
        <x:v>52010</x:v>
      </x:c>
    </x:row>
    <x:row r="249" s="117" customFormat="1" hidden="1">
      <x:c r="A249" s="184" t="inlineStr">
        <x:is>
          <x:t xml:space="preserve">EMPDUR150049</x:t>
        </x:is>
      </x:c>
      <x:c r="B249" s="184" t="inlineStr">
        <x:is>
          <x:t xml:space="preserve">1299386 EMPAQUETADURA;BA-C DONIT,6 PLG X 1/8 ESP FF C/MANGUITO D-8300</x:t>
        </x:is>
      </x:c>
      <x:c r="C249" s="184" t="n">
        <x:v>0</x:v>
      </x:c>
      <x:c r="D249" s="184" t="n">
        <x:v>0</x:v>
      </x:c>
      <x:c r="E249" s="184" t="n">
        <x:v>0</x:v>
      </x:c>
      <x:c r="F249" s="184" t="n">
        <x:v>0</x:v>
      </x:c>
      <x:c r="G249" s="184" t="n">
        <x:v>0</x:v>
      </x:c>
      <x:c r="H249" s="193" t="n">
        <x:v>0</x:v>
      </x:c>
      <x:c r="I249" s="185" t="n">
        <x:v>0</x:v>
      </x:c>
      <x:c r="J249" s="185" t="n">
        <x:v>0</x:v>
      </x:c>
      <x:c r="K249" s="289" t="n">
        <x:v>6720</x:v>
      </x:c>
    </x:row>
    <x:row r="250" s="117" customFormat="1" hidden="1">
      <x:c r="A250" s="184" t="inlineStr">
        <x:is>
          <x:t xml:space="preserve">EMPDUR150050</x:t>
        </x:is>
      </x:c>
      <x:c r="B250" s="184" t="inlineStr">
        <x:is>
          <x:t xml:space="preserve">EMPAQ.D-9000 1/8 CLASE 150 TIPO RF DE 18 PLG</x:t>
        </x:is>
      </x:c>
      <x:c r="C250" s="184" t="n">
        <x:v>0</x:v>
      </x:c>
      <x:c r="D250" s="184" t="n">
        <x:v>0</x:v>
      </x:c>
      <x:c r="E250" s="184" t="n">
        <x:v>0</x:v>
      </x:c>
      <x:c r="F250" s="184" t="n">
        <x:v>0</x:v>
      </x:c>
      <x:c r="G250" s="184" t="n">
        <x:v>0</x:v>
      </x:c>
      <x:c r="H250" s="193" t="n">
        <x:v>0</x:v>
      </x:c>
      <x:c r="I250" s="185" t="n">
        <x:v>0</x:v>
      </x:c>
      <x:c r="J250" s="185" t="n">
        <x:v>0</x:v>
      </x:c>
      <x:c r="K250" s="289" t="n">
        <x:v>132930</x:v>
      </x:c>
    </x:row>
    <x:row r="251" s="117" customFormat="1" hidden="1">
      <x:c r="A251" s="184" t="inlineStr">
        <x:is>
          <x:t xml:space="preserve">EMPDUR150051</x:t>
        </x:is>
      </x:c>
      <x:c r="B251" s="184" t="inlineStr">
        <x:is>
          <x:t xml:space="preserve">EMPAQUETADURA D-7900 1/8 ESP.  TIPO RF CLASE 150 1.1/2 PLG ANSI B16.5</x:t>
        </x:is>
      </x:c>
      <x:c r="C251" s="184" t="n">
        <x:v>0</x:v>
      </x:c>
      <x:c r="D251" s="184" t="n">
        <x:v>0</x:v>
      </x:c>
      <x:c r="E251" s="184" t="n">
        <x:v>0</x:v>
      </x:c>
      <x:c r="F251" s="184" t="n">
        <x:v>0</x:v>
      </x:c>
      <x:c r="G251" s="184" t="n">
        <x:v>0</x:v>
      </x:c>
      <x:c r="H251" s="193" t="n">
        <x:v>0</x:v>
      </x:c>
      <x:c r="I251" s="185" t="n">
        <x:v>0</x:v>
      </x:c>
      <x:c r="J251" s="185" t="n">
        <x:v>0</x:v>
      </x:c>
      <x:c r="K251" s="289" t="n">
        <x:v>772</x:v>
      </x:c>
    </x:row>
    <x:row r="252" s="117" customFormat="1" hidden="1">
      <x:c r="A252" s="184" t="inlineStr">
        <x:is>
          <x:t xml:space="preserve">EMPDUR150052</x:t>
        </x:is>
      </x:c>
      <x:c r="B252" s="184" t="inlineStr">
        <x:is>
          <x:t xml:space="preserve">EMPAQUETADURA D-9000 1/8 CLASE 150 TIPO RF 12  PLG</x:t>
        </x:is>
      </x:c>
      <x:c r="C252" s="184" t="n">
        <x:v>0</x:v>
      </x:c>
      <x:c r="D252" s="184" t="n">
        <x:v>0</x:v>
      </x:c>
      <x:c r="E252" s="184" t="n">
        <x:v>0</x:v>
      </x:c>
      <x:c r="F252" s="184" t="n">
        <x:v>0</x:v>
      </x:c>
      <x:c r="G252" s="184" t="n">
        <x:v>0</x:v>
      </x:c>
      <x:c r="H252" s="193" t="n">
        <x:v>0</x:v>
      </x:c>
      <x:c r="I252" s="185" t="n">
        <x:v>0</x:v>
      </x:c>
      <x:c r="J252" s="185" t="n">
        <x:v>0</x:v>
      </x:c>
      <x:c r="K252" s="289" t="n">
        <x:v>46748</x:v>
      </x:c>
    </x:row>
    <x:row r="253" s="117" customFormat="1" hidden="1">
      <x:c r="A253" s="184" t="inlineStr">
        <x:is>
          <x:t xml:space="preserve">EMPDUR150053</x:t>
        </x:is>
      </x:c>
      <x:c r="B253" s="184" t="inlineStr">
        <x:is>
          <x:t xml:space="preserve">EMPAQ.ANILLO ESP 3 MM DIA.INT 8.9 CM X DIA EXT 18.9 CM DURLON 8500  4033570</x:t>
        </x:is>
      </x:c>
      <x:c r="C253" s="184" t="n">
        <x:v>0</x:v>
      </x:c>
      <x:c r="D253" s="184" t="n">
        <x:v>0</x:v>
      </x:c>
      <x:c r="E253" s="184" t="n">
        <x:v>0</x:v>
      </x:c>
      <x:c r="F253" s="184" t="n">
        <x:v>0</x:v>
      </x:c>
      <x:c r="G253" s="184" t="n">
        <x:v>0</x:v>
      </x:c>
      <x:c r="H253" s="193" t="n">
        <x:v>0</x:v>
      </x:c>
      <x:c r="I253" s="185" t="n">
        <x:v>0</x:v>
      </x:c>
      <x:c r="J253" s="185" t="n">
        <x:v>0</x:v>
      </x:c>
      <x:c r="K253" s="289" t="n">
        <x:v>2251</x:v>
      </x:c>
    </x:row>
    <x:row r="254" s="117" customFormat="1" hidden="1">
      <x:c r="A254" s="184" t="inlineStr">
        <x:is>
          <x:t xml:space="preserve">EMPDUR150054</x:t>
        </x:is>
      </x:c>
      <x:c r="B254" s="184" t="inlineStr">
        <x:is>
          <x:t xml:space="preserve">4033570 EMPAQUETADURA ANILLO ESP,3 MM DIA.INT. 8.9 CM DIA.EXT 18.9 CM D-8500</x:t>
        </x:is>
      </x:c>
      <x:c r="C254" s="184" t="n">
        <x:v>0</x:v>
      </x:c>
      <x:c r="D254" s="184" t="n">
        <x:v>0</x:v>
      </x:c>
      <x:c r="E254" s="184" t="n">
        <x:v>0</x:v>
      </x:c>
      <x:c r="F254" s="184" t="n">
        <x:v>0</x:v>
      </x:c>
      <x:c r="G254" s="184" t="n">
        <x:v>0</x:v>
      </x:c>
      <x:c r="H254" s="193" t="n">
        <x:v>0</x:v>
      </x:c>
      <x:c r="I254" s="185" t="n">
        <x:v>0</x:v>
      </x:c>
      <x:c r="J254" s="185" t="n">
        <x:v>0</x:v>
      </x:c>
      <x:c r="K254" s="289" t="n">
        <x:v>2882</x:v>
      </x:c>
    </x:row>
    <x:row r="255" s="117" customFormat="1" hidden="1">
      <x:c r="A255" s="184" t="inlineStr">
        <x:is>
          <x:t xml:space="preserve">EMPDUR300001</x:t>
        </x:is>
      </x:c>
      <x:c r="B255" s="184" t="inlineStr">
        <x:is>
          <x:t xml:space="preserve">EMPAQUETADURA DURLON 7900 1/8 ESP FF CLASE 300 3 PLG</x:t>
        </x:is>
      </x:c>
      <x:c r="C255" s="184" t="n">
        <x:v>9</x:v>
      </x:c>
      <x:c r="D255" s="184" t="n">
        <x:v>0</x:v>
      </x:c>
      <x:c r="E255" s="184" t="n">
        <x:v>0</x:v>
      </x:c>
      <x:c r="F255" s="184" t="n">
        <x:v>9</x:v>
      </x:c>
      <x:c r="G255" s="184" t="n">
        <x:v>11925</x:v>
      </x:c>
      <x:c r="H255" s="193" t="n">
        <x:v>0</x:v>
      </x:c>
      <x:c r="I255" s="185" t="n">
        <x:v>0</x:v>
      </x:c>
      <x:c r="J255" s="185" t="n">
        <x:v>11925</x:v>
      </x:c>
      <x:c r="K255" s="289" t="n">
        <x:v>1325</x:v>
      </x:c>
    </x:row>
    <x:row r="256" s="117" customFormat="1" hidden="1">
      <x:c r="A256" s="184" t="inlineStr">
        <x:is>
          <x:t xml:space="preserve">EMPDUR300002</x:t>
        </x:is>
      </x:c>
      <x:c r="B256" s="184" t="inlineStr">
        <x:is>
          <x:t xml:space="preserve">EMPAQUETADURA DURLON 7900 1/8 ESP FF CLASE 300 4 PLG</x:t>
        </x:is>
      </x:c>
      <x:c r="C256" s="184" t="n">
        <x:v>4</x:v>
      </x:c>
      <x:c r="D256" s="184" t="n">
        <x:v>0</x:v>
      </x:c>
      <x:c r="E256" s="184" t="n">
        <x:v>0</x:v>
      </x:c>
      <x:c r="F256" s="184" t="n">
        <x:v>4</x:v>
      </x:c>
      <x:c r="G256" s="184" t="n">
        <x:v>6500</x:v>
      </x:c>
      <x:c r="H256" s="193" t="n">
        <x:v>0</x:v>
      </x:c>
      <x:c r="I256" s="185" t="n">
        <x:v>0</x:v>
      </x:c>
      <x:c r="J256" s="185" t="n">
        <x:v>6500</x:v>
      </x:c>
      <x:c r="K256" s="289" t="n">
        <x:v>1625</x:v>
      </x:c>
    </x:row>
    <x:row r="257" s="117" customFormat="1" hidden="1">
      <x:c r="A257" s="184" t="inlineStr">
        <x:is>
          <x:t xml:space="preserve">EMPDUR300003</x:t>
        </x:is>
      </x:c>
      <x:c r="B257" s="184" t="inlineStr">
        <x:is>
          <x:t xml:space="preserve">EMPAQUETADURA DURLON 7900 1/8 ESP FF CLASE 300 6 PLG</x:t>
        </x:is>
      </x:c>
      <x:c r="C257" s="184" t="n">
        <x:v>0</x:v>
      </x:c>
      <x:c r="D257" s="184" t="n">
        <x:v>0</x:v>
      </x:c>
      <x:c r="E257" s="184" t="n">
        <x:v>0</x:v>
      </x:c>
      <x:c r="F257" s="184" t="n">
        <x:v>0</x:v>
      </x:c>
      <x:c r="G257" s="184" t="n">
        <x:v>1</x:v>
      </x:c>
      <x:c r="H257" s="193" t="n">
        <x:v>0</x:v>
      </x:c>
      <x:c r="I257" s="185" t="n">
        <x:v>0</x:v>
      </x:c>
      <x:c r="J257" s="185" t="n">
        <x:v>1</x:v>
      </x:c>
      <x:c r="K257" s="289" t="n">
        <x:v>81362</x:v>
      </x:c>
    </x:row>
    <x:row r="258" s="117" customFormat="1" hidden="1">
      <x:c r="A258" s="184" t="inlineStr">
        <x:is>
          <x:t xml:space="preserve">EMPDUR300004</x:t>
        </x:is>
      </x:c>
      <x:c r="B258" s="184" t="inlineStr">
        <x:is>
          <x:t xml:space="preserve">EMPAQUETADURA DURLON 9000 1/8 ESP FF CLASE 300 8 PLG</x:t>
        </x:is>
      </x:c>
      <x:c r="C258" s="184" t="n">
        <x:v>12</x:v>
      </x:c>
      <x:c r="D258" s="184" t="n">
        <x:v>0</x:v>
      </x:c>
      <x:c r="E258" s="184" t="n">
        <x:v>0</x:v>
      </x:c>
      <x:c r="F258" s="184" t="n">
        <x:v>12</x:v>
      </x:c>
      <x:c r="G258" s="184" t="n">
        <x:v>453564</x:v>
      </x:c>
      <x:c r="H258" s="193" t="n">
        <x:v>0</x:v>
      </x:c>
      <x:c r="I258" s="185" t="n">
        <x:v>0</x:v>
      </x:c>
      <x:c r="J258" s="185" t="n">
        <x:v>453564</x:v>
      </x:c>
      <x:c r="K258" s="289" t="n">
        <x:v>37797</x:v>
      </x:c>
    </x:row>
    <x:row r="259" s="117" customFormat="1" hidden="1">
      <x:c r="A259" s="184" t="inlineStr">
        <x:is>
          <x:t xml:space="preserve">EMPDUR300005</x:t>
        </x:is>
      </x:c>
      <x:c r="B259" s="184" t="inlineStr">
        <x:is>
          <x:t xml:space="preserve">EMPAQUETADURA DURLON 9000 1/8 ESP FF CLASE 300 12 PLG</x:t>
        </x:is>
      </x:c>
      <x:c r="C259" s="184" t="n">
        <x:v>0</x:v>
      </x:c>
      <x:c r="D259" s="184" t="n">
        <x:v>0</x:v>
      </x:c>
      <x:c r="E259" s="184" t="n">
        <x:v>0</x:v>
      </x:c>
      <x:c r="F259" s="184" t="n">
        <x:v>0</x:v>
      </x:c>
      <x:c r="G259" s="184" t="n">
        <x:v>0</x:v>
      </x:c>
      <x:c r="H259" s="193" t="n">
        <x:v>0</x:v>
      </x:c>
      <x:c r="I259" s="185" t="n">
        <x:v>0</x:v>
      </x:c>
      <x:c r="J259" s="185" t="n">
        <x:v>0</x:v>
      </x:c>
      <x:c r="K259" s="289" t="n">
        <x:v>64215</x:v>
      </x:c>
    </x:row>
    <x:row r="260" s="117" customFormat="1" hidden="1">
      <x:c r="A260" s="184" t="inlineStr">
        <x:is>
          <x:t xml:space="preserve">EMPDUR300006</x:t>
        </x:is>
      </x:c>
      <x:c r="B260" s="184" t="inlineStr">
        <x:is>
          <x:t xml:space="preserve">EMPAQUETADURA DURLON 7900 1/8 ESP FF CLASE 300 18 PLG</x:t>
        </x:is>
      </x:c>
      <x:c r="C260" s="184" t="n">
        <x:v>0</x:v>
      </x:c>
      <x:c r="D260" s="184" t="n">
        <x:v>0</x:v>
      </x:c>
      <x:c r="E260" s="184" t="n">
        <x:v>0</x:v>
      </x:c>
      <x:c r="F260" s="184" t="n">
        <x:v>0</x:v>
      </x:c>
      <x:c r="G260" s="184" t="n">
        <x:v>0</x:v>
      </x:c>
      <x:c r="H260" s="193" t="n">
        <x:v>0</x:v>
      </x:c>
      <x:c r="I260" s="185" t="n">
        <x:v>0</x:v>
      </x:c>
      <x:c r="J260" s="185" t="n">
        <x:v>0</x:v>
      </x:c>
      <x:c r="K260" s="289" t="n">
        <x:v>9570</x:v>
      </x:c>
    </x:row>
    <x:row r="261" s="117" customFormat="1" hidden="1">
      <x:c r="A261" s="184" t="inlineStr">
        <x:is>
          <x:t xml:space="preserve">EMPDUR300007</x:t>
        </x:is>
      </x:c>
      <x:c r="B261" s="184" t="inlineStr">
        <x:is>
          <x:t xml:space="preserve">EMPAQUETADURA DURLON 9000 1/8 ESP RF CLASE 300 2.1/2 PLG</x:t>
        </x:is>
      </x:c>
      <x:c r="C261" s="184" t="n">
        <x:v>0</x:v>
      </x:c>
      <x:c r="D261" s="184" t="n">
        <x:v>0</x:v>
      </x:c>
      <x:c r="E261" s="184" t="n">
        <x:v>0</x:v>
      </x:c>
      <x:c r="F261" s="184" t="n">
        <x:v>0</x:v>
      </x:c>
      <x:c r="G261" s="184" t="n">
        <x:v>0</x:v>
      </x:c>
      <x:c r="H261" s="193" t="n">
        <x:v>0</x:v>
      </x:c>
      <x:c r="I261" s="185" t="n">
        <x:v>0</x:v>
      </x:c>
      <x:c r="J261" s="185" t="n">
        <x:v>0</x:v>
      </x:c>
      <x:c r="K261" s="289" t="n">
        <x:v>3680</x:v>
      </x:c>
    </x:row>
    <x:row r="262" s="117" customFormat="1" hidden="1">
      <x:c r="A262" s="184" t="inlineStr">
        <x:is>
          <x:t xml:space="preserve">EMPDUR300008</x:t>
        </x:is>
      </x:c>
      <x:c r="B262" s="184" t="inlineStr">
        <x:is>
          <x:t xml:space="preserve">EMPAQUETADURA DURLON 9000 1/8 CLASE 300 TIPO FF 4 PLG DIAM.</x:t>
        </x:is>
      </x:c>
      <x:c r="C262" s="184" t="n">
        <x:v>26</x:v>
      </x:c>
      <x:c r="D262" s="184" t="n">
        <x:v>0</x:v>
      </x:c>
      <x:c r="E262" s="184" t="n">
        <x:v>0</x:v>
      </x:c>
      <x:c r="F262" s="184" t="n">
        <x:v>26</x:v>
      </x:c>
      <x:c r="G262" s="184" t="n">
        <x:v>411762</x:v>
      </x:c>
      <x:c r="H262" s="193" t="n">
        <x:v>0</x:v>
      </x:c>
      <x:c r="I262" s="185" t="n">
        <x:v>0</x:v>
      </x:c>
      <x:c r="J262" s="185" t="n">
        <x:v>411762</x:v>
      </x:c>
      <x:c r="K262" s="289" t="n">
        <x:v>15837</x:v>
      </x:c>
    </x:row>
    <x:row r="263" s="117" customFormat="1" hidden="1">
      <x:c r="A263" s="184" t="inlineStr">
        <x:is>
          <x:t xml:space="preserve">EMPDUR300009</x:t>
        </x:is>
      </x:c>
      <x:c r="B263" s="184" t="inlineStr">
        <x:is>
          <x:t xml:space="preserve">EMPAQUETADURA DURLON 9000 1/8 ESP.CLASE 300 TIPO FF 16 PLG DIAM</x:t>
        </x:is>
      </x:c>
      <x:c r="C263" s="184" t="n">
        <x:v>0</x:v>
      </x:c>
      <x:c r="D263" s="184" t="n">
        <x:v>0</x:v>
      </x:c>
      <x:c r="E263" s="184" t="n">
        <x:v>0</x:v>
      </x:c>
      <x:c r="F263" s="184" t="n">
        <x:v>0</x:v>
      </x:c>
      <x:c r="G263" s="184" t="n">
        <x:v>0</x:v>
      </x:c>
      <x:c r="H263" s="193" t="n">
        <x:v>0</x:v>
      </x:c>
      <x:c r="I263" s="185" t="n">
        <x:v>0</x:v>
      </x:c>
      <x:c r="J263" s="185" t="n">
        <x:v>0</x:v>
      </x:c>
      <x:c r="K263" s="289" t="n">
        <x:v>159935</x:v>
      </x:c>
    </x:row>
    <x:row r="264" s="117" customFormat="1" hidden="1">
      <x:c r="A264" s="184" t="inlineStr">
        <x:is>
          <x:t xml:space="preserve">EMPDUR300010</x:t>
        </x:is>
      </x:c>
      <x:c r="B264" s="184" t="inlineStr">
        <x:is>
          <x:t xml:space="preserve">EMPAQUETADURA DURLON 9000 1/8 PLG ESP.FF CLASE 300 ANSI DE 24 PLG</x:t>
        </x:is>
      </x:c>
      <x:c r="C264" s="184" t="n">
        <x:v>0</x:v>
      </x:c>
      <x:c r="D264" s="184" t="n">
        <x:v>0</x:v>
      </x:c>
      <x:c r="E264" s="184" t="n">
        <x:v>0</x:v>
      </x:c>
      <x:c r="F264" s="184" t="n">
        <x:v>0</x:v>
      </x:c>
      <x:c r="G264" s="184" t="n">
        <x:v>0</x:v>
      </x:c>
      <x:c r="H264" s="193" t="n">
        <x:v>0</x:v>
      </x:c>
      <x:c r="I264" s="185" t="n">
        <x:v>0</x:v>
      </x:c>
      <x:c r="J264" s="185" t="n">
        <x:v>0</x:v>
      </x:c>
      <x:c r="K264" s="289" t="n">
        <x:v>238051</x:v>
      </x:c>
    </x:row>
    <x:row r="265" s="117" customFormat="1" hidden="1">
      <x:c r="A265" s="184" t="inlineStr">
        <x:is>
          <x:t xml:space="preserve">EMPDUR300011</x:t>
        </x:is>
      </x:c>
      <x:c r="B265" s="184" t="inlineStr">
        <x:is>
          <x:t xml:space="preserve">EMPAQUETADURA DURLON 9000 FF CLASE 300 1/8 PLG ESP. DIAM.20 PLG (10410791)</x:t>
        </x:is>
      </x:c>
      <x:c r="C265" s="184" t="n">
        <x:v>0</x:v>
      </x:c>
      <x:c r="D265" s="184" t="n">
        <x:v>0</x:v>
      </x:c>
      <x:c r="E265" s="184" t="n">
        <x:v>0</x:v>
      </x:c>
      <x:c r="F265" s="184" t="n">
        <x:v>0</x:v>
      </x:c>
      <x:c r="G265" s="184" t="n">
        <x:v>0</x:v>
      </x:c>
      <x:c r="H265" s="193" t="n">
        <x:v>0</x:v>
      </x:c>
      <x:c r="I265" s="185" t="n">
        <x:v>0</x:v>
      </x:c>
      <x:c r="J265" s="185" t="n">
        <x:v>0</x:v>
      </x:c>
      <x:c r="K265" s="289" t="n">
        <x:v>222529</x:v>
      </x:c>
    </x:row>
    <x:row r="266" s="117" customFormat="1" hidden="1">
      <x:c r="A266" s="184" t="inlineStr">
        <x:is>
          <x:t xml:space="preserve">EMPDUR300012</x:t>
        </x:is>
      </x:c>
      <x:c r="B266" s="184" t="inlineStr">
        <x:is>
          <x:t xml:space="preserve">EMPAQUETADURA DIAM.10 PLG CLASE 300 TIPO RF C/MANGUITO DURLON 7900 1/8 ESP COD679399</x:t>
        </x:is>
      </x:c>
      <x:c r="C266" s="184" t="n">
        <x:v>0</x:v>
      </x:c>
      <x:c r="D266" s="184" t="n">
        <x:v>0</x:v>
      </x:c>
      <x:c r="E266" s="184" t="n">
        <x:v>0</x:v>
      </x:c>
      <x:c r="F266" s="184" t="n">
        <x:v>0</x:v>
      </x:c>
      <x:c r="G266" s="184" t="n">
        <x:v>0</x:v>
      </x:c>
      <x:c r="H266" s="193" t="n">
        <x:v>0</x:v>
      </x:c>
      <x:c r="I266" s="185" t="n">
        <x:v>0</x:v>
      </x:c>
      <x:c r="J266" s="185" t="n">
        <x:v>0</x:v>
      </x:c>
      <x:c r="K266" s="289" t="n">
        <x:v>13081</x:v>
      </x:c>
    </x:row>
    <x:row r="267" s="117" customFormat="1" hidden="1">
      <x:c r="A267" s="184" t="inlineStr">
        <x:is>
          <x:t xml:space="preserve">EMPDUR300013</x:t>
        </x:is>
      </x:c>
      <x:c r="B267" s="184" t="inlineStr">
        <x:is>
          <x:t xml:space="preserve">EMPAQUETADURA PLATO INFERIOR CHANCADOR DURLON 7900 1/16 COLA MILANO 6 PARTES 11022418</x:t>
        </x:is>
      </x:c>
      <x:c r="C267" s="184" t="n">
        <x:v>0</x:v>
      </x:c>
      <x:c r="D267" s="184" t="n">
        <x:v>0</x:v>
      </x:c>
      <x:c r="E267" s="184" t="n">
        <x:v>0</x:v>
      </x:c>
      <x:c r="F267" s="184" t="n">
        <x:v>0</x:v>
      </x:c>
      <x:c r="G267" s="184" t="n">
        <x:v>0</x:v>
      </x:c>
      <x:c r="H267" s="193" t="n">
        <x:v>0</x:v>
      </x:c>
      <x:c r="I267" s="185" t="n">
        <x:v>0</x:v>
      </x:c>
      <x:c r="J267" s="185" t="n">
        <x:v>0</x:v>
      </x:c>
      <x:c r="K267" s="289" t="n">
        <x:v>44385</x:v>
      </x:c>
    </x:row>
    <x:row r="268" s="117" customFormat="1" hidden="1">
      <x:c r="A268" s="184" t="inlineStr">
        <x:is>
          <x:t xml:space="preserve">EMPDUR300014</x:t>
        </x:is>
      </x:c>
      <x:c r="B268" s="184" t="inlineStr">
        <x:is>
          <x:t xml:space="preserve">EMPAQUE.24 PLG DIA.610 MM ID,914 MM OD CLASE 300 DURLON 9000 1/8 10453216</x:t>
        </x:is>
      </x:c>
      <x:c r="C268" s="184" t="n">
        <x:v>0</x:v>
      </x:c>
      <x:c r="D268" s="184" t="n">
        <x:v>0</x:v>
      </x:c>
      <x:c r="E268" s="184" t="n">
        <x:v>0</x:v>
      </x:c>
      <x:c r="F268" s="184" t="n">
        <x:v>0</x:v>
      </x:c>
      <x:c r="G268" s="184" t="n">
        <x:v>0</x:v>
      </x:c>
      <x:c r="H268" s="193" t="n">
        <x:v>0</x:v>
      </x:c>
      <x:c r="I268" s="185" t="n">
        <x:v>0</x:v>
      </x:c>
      <x:c r="J268" s="185" t="n">
        <x:v>0</x:v>
      </x:c>
      <x:c r="K268" s="289" t="n">
        <x:v>273179</x:v>
      </x:c>
    </x:row>
    <x:row r="269" s="117" customFormat="1" hidden="1">
      <x:c r="A269" s="184" t="inlineStr">
        <x:is>
          <x:t xml:space="preserve">EMPDUR300015</x:t>
        </x:is>
      </x:c>
      <x:c r="B269" s="184" t="inlineStr">
        <x:is>
          <x:t xml:space="preserve">EMPAQUETADURA DURLON 7900  1/8 ESP.CLASE 300 ANSI 16 PLG. (10384142)</x:t>
        </x:is>
      </x:c>
      <x:c r="C269" s="184" t="n">
        <x:v>0</x:v>
      </x:c>
      <x:c r="D269" s="184" t="n">
        <x:v>0</x:v>
      </x:c>
      <x:c r="E269" s="184" t="n">
        <x:v>0</x:v>
      </x:c>
      <x:c r="F269" s="184" t="n">
        <x:v>0</x:v>
      </x:c>
      <x:c r="G269" s="184" t="n">
        <x:v>0</x:v>
      </x:c>
      <x:c r="H269" s="193" t="n">
        <x:v>0</x:v>
      </x:c>
      <x:c r="I269" s="185" t="n">
        <x:v>0</x:v>
      </x:c>
      <x:c r="J269" s="185" t="n">
        <x:v>0</x:v>
      </x:c>
      <x:c r="K269" s="289" t="n">
        <x:v>37470</x:v>
      </x:c>
    </x:row>
    <x:row r="270" s="117" customFormat="1" hidden="1">
      <x:c r="A270" s="184" t="inlineStr">
        <x:is>
          <x:t xml:space="preserve">EMPDUR300016</x:t>
        </x:is>
      </x:c>
      <x:c r="B270" s="184" t="inlineStr">
        <x:is>
          <x:t xml:space="preserve">686030 EMPAQ.ESPEC.DIAM.6 PLG D-7900 1/8 CLASE 300 DIAM.EXT.316 MM DIAM.INT.171 MM CIR.PERN.270 MM P</x:t>
        </x:is>
      </x:c>
      <x:c r="C270" s="184" t="n">
        <x:v>0</x:v>
      </x:c>
      <x:c r="D270" s="184" t="n">
        <x:v>0</x:v>
      </x:c>
      <x:c r="E270" s="184" t="n">
        <x:v>0</x:v>
      </x:c>
      <x:c r="F270" s="184" t="n">
        <x:v>0</x:v>
      </x:c>
      <x:c r="G270" s="184" t="n">
        <x:v>0</x:v>
      </x:c>
      <x:c r="H270" s="193" t="n">
        <x:v>0</x:v>
      </x:c>
      <x:c r="I270" s="185" t="n">
        <x:v>0</x:v>
      </x:c>
      <x:c r="J270" s="185" t="n">
        <x:v>0</x:v>
      </x:c>
      <x:c r="K270" s="289" t="n">
        <x:v>9893</x:v>
      </x:c>
    </x:row>
    <x:row r="271" s="117" customFormat="1" hidden="1">
      <x:c r="A271" s="184" t="inlineStr">
        <x:is>
          <x:t xml:space="preserve">EMPDUR300017</x:t>
        </x:is>
      </x:c>
      <x:c r="B271" s="184" t="inlineStr">
        <x:is>
          <x:t xml:space="preserve">679381 EMPAQUETADURA DIAM. 12 plg CLASE 300 TIPO RF C/MANGUITO DURLON 7900 1/8 ESP.</x:t>
        </x:is>
      </x:c>
      <x:c r="C271" s="184" t="n">
        <x:v>0</x:v>
      </x:c>
      <x:c r="D271" s="184" t="n">
        <x:v>0</x:v>
      </x:c>
      <x:c r="E271" s="184" t="n">
        <x:v>0</x:v>
      </x:c>
      <x:c r="F271" s="184" t="n">
        <x:v>0</x:v>
      </x:c>
      <x:c r="G271" s="184" t="n">
        <x:v>0</x:v>
      </x:c>
      <x:c r="H271" s="193" t="n">
        <x:v>0</x:v>
      </x:c>
      <x:c r="I271" s="185" t="n">
        <x:v>0</x:v>
      </x:c>
      <x:c r="J271" s="185" t="n">
        <x:v>0</x:v>
      </x:c>
      <x:c r="K271" s="289" t="n">
        <x:v>15179</x:v>
      </x:c>
    </x:row>
    <x:row r="272" s="117" customFormat="1" hidden="1">
      <x:c r="A272" s="184" t="inlineStr">
        <x:is>
          <x:t xml:space="preserve">EMPDUR300018</x:t>
        </x:is>
      </x:c>
      <x:c r="B272" s="184" t="inlineStr">
        <x:is>
          <x:t xml:space="preserve">122497/001 EMPAQUETADURA DURLON 9000 RF NORMA ANSI CLASE 300 E=1/8 DIAM 18 PLG</x:t>
        </x:is>
      </x:c>
      <x:c r="C272" s="184" t="n">
        <x:v>0</x:v>
      </x:c>
      <x:c r="D272" s="184" t="n">
        <x:v>0</x:v>
      </x:c>
      <x:c r="E272" s="184" t="n">
        <x:v>0</x:v>
      </x:c>
      <x:c r="F272" s="184" t="n">
        <x:v>0</x:v>
      </x:c>
      <x:c r="G272" s="184" t="n">
        <x:v>0</x:v>
      </x:c>
      <x:c r="H272" s="193" t="n">
        <x:v>0</x:v>
      </x:c>
      <x:c r="I272" s="185" t="n">
        <x:v>0</x:v>
      </x:c>
      <x:c r="J272" s="185" t="n">
        <x:v>0</x:v>
      </x:c>
      <x:c r="K272" s="289" t="n">
        <x:v>65677</x:v>
      </x:c>
    </x:row>
    <x:row r="273" s="117" customFormat="1" hidden="1">
      <x:c r="A273" s="184" t="inlineStr">
        <x:is>
          <x:t xml:space="preserve">EMPDUR300019</x:t>
        </x:is>
      </x:c>
      <x:c r="B273" s="184" t="inlineStr">
        <x:is>
          <x:t xml:space="preserve">122499/001 EMPAQUETADURA DURLON 9000 RF NORMA ANSI CLASE 300 E=1/8 DIAM 16 PLG</x:t>
        </x:is>
      </x:c>
      <x:c r="C273" s="184" t="n">
        <x:v>0</x:v>
      </x:c>
      <x:c r="D273" s="184" t="n">
        <x:v>0</x:v>
      </x:c>
      <x:c r="E273" s="184" t="n">
        <x:v>0</x:v>
      </x:c>
      <x:c r="F273" s="184" t="n">
        <x:v>0</x:v>
      </x:c>
      <x:c r="G273" s="184" t="n">
        <x:v>0</x:v>
      </x:c>
      <x:c r="H273" s="193" t="n">
        <x:v>0</x:v>
      </x:c>
      <x:c r="I273" s="185" t="n">
        <x:v>0</x:v>
      </x:c>
      <x:c r="J273" s="185" t="n">
        <x:v>0</x:v>
      </x:c>
      <x:c r="K273" s="289" t="n">
        <x:v>103868</x:v>
      </x:c>
    </x:row>
    <x:row r="274" s="117" customFormat="1" hidden="1">
      <x:c r="A274" s="184" t="inlineStr">
        <x:is>
          <x:t xml:space="preserve">EMPDUR300020</x:t>
        </x:is>
      </x:c>
      <x:c r="B274" s="184" t="inlineStr">
        <x:is>
          <x:t xml:space="preserve">EMPAQUETADURA DURLON 9000 NORMA ANSI CLASE 300 E= 1/8 DIAM 30 PLG SERIE A</x:t>
        </x:is>
      </x:c>
      <x:c r="C274" s="184" t="n">
        <x:v>0</x:v>
      </x:c>
      <x:c r="D274" s="184" t="n">
        <x:v>0</x:v>
      </x:c>
      <x:c r="E274" s="184" t="n">
        <x:v>0</x:v>
      </x:c>
      <x:c r="F274" s="184" t="n">
        <x:v>0</x:v>
      </x:c>
      <x:c r="G274" s="184" t="n">
        <x:v>0</x:v>
      </x:c>
      <x:c r="H274" s="193" t="n">
        <x:v>0</x:v>
      </x:c>
      <x:c r="I274" s="185" t="n">
        <x:v>0</x:v>
      </x:c>
      <x:c r="J274" s="185" t="n">
        <x:v>0</x:v>
      </x:c>
      <x:c r="K274" s="289" t="n">
        <x:v>475250</x:v>
      </x:c>
    </x:row>
    <x:row r="275" s="117" customFormat="1" hidden="1">
      <x:c r="A275" s="184" t="inlineStr">
        <x:is>
          <x:t xml:space="preserve">EMPDUR300021</x:t>
        </x:is>
      </x:c>
      <x:c r="B275" s="184" t="inlineStr">
        <x:is>
          <x:t xml:space="preserve">EMPAQUETADURA DURLON 9000 NORMA ANSI CLASE 300 E= 1/8 DIAM 30 PLG SERIE B</x:t>
        </x:is>
      </x:c>
      <x:c r="C275" s="184" t="n">
        <x:v>0</x:v>
      </x:c>
      <x:c r="D275" s="184" t="n">
        <x:v>0</x:v>
      </x:c>
      <x:c r="E275" s="184" t="n">
        <x:v>0</x:v>
      </x:c>
      <x:c r="F275" s="184" t="n">
        <x:v>0</x:v>
      </x:c>
      <x:c r="G275" s="184" t="n">
        <x:v>0</x:v>
      </x:c>
      <x:c r="H275" s="193" t="n">
        <x:v>0</x:v>
      </x:c>
      <x:c r="I275" s="185" t="n">
        <x:v>0</x:v>
      </x:c>
      <x:c r="J275" s="185" t="n">
        <x:v>0</x:v>
      </x:c>
      <x:c r="K275" s="289" t="n">
        <x:v>475250</x:v>
      </x:c>
    </x:row>
    <x:row r="276" s="117" customFormat="1" hidden="1">
      <x:c r="A276" s="184" t="inlineStr">
        <x:is>
          <x:t xml:space="preserve">EMPDUR300022</x:t>
        </x:is>
      </x:c>
      <x:c r="B276" s="184" t="inlineStr">
        <x:is>
          <x:t xml:space="preserve">EMPAQUETADURA D-9000 1/8 CLASE 300 DIAMETRO 14 PLG (10453251)</x:t>
        </x:is>
      </x:c>
      <x:c r="C276" s="184" t="n">
        <x:v>0</x:v>
      </x:c>
      <x:c r="D276" s="184" t="n">
        <x:v>0</x:v>
      </x:c>
      <x:c r="E276" s="184" t="n">
        <x:v>0</x:v>
      </x:c>
      <x:c r="F276" s="184" t="n">
        <x:v>0</x:v>
      </x:c>
      <x:c r="G276" s="184" t="n">
        <x:v>0</x:v>
      </x:c>
      <x:c r="H276" s="193" t="n">
        <x:v>0</x:v>
      </x:c>
      <x:c r="I276" s="185" t="n">
        <x:v>0</x:v>
      </x:c>
      <x:c r="J276" s="185" t="n">
        <x:v>0</x:v>
      </x:c>
      <x:c r="K276" s="289" t="n">
        <x:v>123032.5</x:v>
      </x:c>
    </x:row>
    <x:row r="277" s="117" customFormat="1" hidden="1">
      <x:c r="A277" s="184" t="inlineStr">
        <x:is>
          <x:t xml:space="preserve">EMPDUR300023</x:t>
        </x:is>
      </x:c>
      <x:c r="B277" s="184" t="inlineStr">
        <x:is>
          <x:t xml:space="preserve">EMPAQ.ESPECIAL DURLON 9000 RF CLASE 300 1/8 ESP 2" DIAM EXT 50MM DIAM INT 35 MM</x:t>
        </x:is>
      </x:c>
      <x:c r="C277" s="184" t="n">
        <x:v>0</x:v>
      </x:c>
      <x:c r="D277" s="184" t="n">
        <x:v>0</x:v>
      </x:c>
      <x:c r="E277" s="184" t="n">
        <x:v>0</x:v>
      </x:c>
      <x:c r="F277" s="184" t="n">
        <x:v>0</x:v>
      </x:c>
      <x:c r="G277" s="184" t="n">
        <x:v>0</x:v>
      </x:c>
      <x:c r="H277" s="193" t="n">
        <x:v>0</x:v>
      </x:c>
      <x:c r="I277" s="185" t="n">
        <x:v>0</x:v>
      </x:c>
      <x:c r="J277" s="185" t="n">
        <x:v>0</x:v>
      </x:c>
      <x:c r="K277" s="289" t="n">
        <x:v>3281</x:v>
      </x:c>
    </x:row>
    <x:row r="278" s="117" customFormat="1" hidden="1">
      <x:c r="A278" s="184" t="inlineStr">
        <x:is>
          <x:t xml:space="preserve">EMPDUR300024</x:t>
        </x:is>
      </x:c>
      <x:c r="B278" s="184" t="inlineStr">
        <x:is>
          <x:t xml:space="preserve">EMPAQ.ESPECIAL DURLON 9000 RF CLASE 300 1/8 ESP 2" DIAM EXT 92MM DIAM INT 62 MM</x:t>
        </x:is>
      </x:c>
      <x:c r="C278" s="184" t="n">
        <x:v>0</x:v>
      </x:c>
      <x:c r="D278" s="184" t="n">
        <x:v>0</x:v>
      </x:c>
      <x:c r="E278" s="184" t="n">
        <x:v>0</x:v>
      </x:c>
      <x:c r="F278" s="184" t="n">
        <x:v>0</x:v>
      </x:c>
      <x:c r="G278" s="184" t="n">
        <x:v>0</x:v>
      </x:c>
      <x:c r="H278" s="193" t="n">
        <x:v>0</x:v>
      </x:c>
      <x:c r="I278" s="185" t="n">
        <x:v>0</x:v>
      </x:c>
      <x:c r="J278" s="185" t="n">
        <x:v>0</x:v>
      </x:c>
      <x:c r="K278" s="289" t="n">
        <x:v>5777</x:v>
      </x:c>
    </x:row>
    <x:row r="279" s="117" customFormat="1" hidden="1">
      <x:c r="A279" s="184" t="inlineStr">
        <x:is>
          <x:t xml:space="preserve">EMPDUR300025</x:t>
        </x:is>
      </x:c>
      <x:c r="B279" s="184" t="inlineStr">
        <x:is>
          <x:t xml:space="preserve">EMPAQUETADURA DURLON 7900 CLASE 300 1/8 ESP 8 PLG</x:t>
        </x:is>
      </x:c>
      <x:c r="C279" s="184" t="n">
        <x:v>2</x:v>
      </x:c>
      <x:c r="D279" s="184" t="n">
        <x:v>0</x:v>
      </x:c>
      <x:c r="E279" s="184" t="n">
        <x:v>0</x:v>
      </x:c>
      <x:c r="F279" s="184" t="n">
        <x:v>2</x:v>
      </x:c>
      <x:c r="G279" s="184" t="n">
        <x:v>26942</x:v>
      </x:c>
      <x:c r="H279" s="193" t="n">
        <x:v>0</x:v>
      </x:c>
      <x:c r="I279" s="185" t="n">
        <x:v>0</x:v>
      </x:c>
      <x:c r="J279" s="185" t="n">
        <x:v>26942</x:v>
      </x:c>
      <x:c r="K279" s="289" t="n">
        <x:v>13471</x:v>
      </x:c>
    </x:row>
    <x:row r="280" s="117" customFormat="1" hidden="1">
      <x:c r="A280" s="184" t="inlineStr">
        <x:is>
          <x:t xml:space="preserve">EMPDUR300026</x:t>
        </x:is>
      </x:c>
      <x:c r="B280" s="184" t="inlineStr">
        <x:is>
          <x:t xml:space="preserve">EMPAQUETADURA FF CLASE 300 ANSI 34 PLG  DURLON 9000 1/8 ESP.</x:t>
        </x:is>
      </x:c>
      <x:c r="C280" s="184" t="n">
        <x:v>0</x:v>
      </x:c>
      <x:c r="D280" s="184" t="n">
        <x:v>0</x:v>
      </x:c>
      <x:c r="E280" s="184" t="n">
        <x:v>0</x:v>
      </x:c>
      <x:c r="F280" s="184" t="n">
        <x:v>0</x:v>
      </x:c>
      <x:c r="G280" s="184" t="n">
        <x:v>0</x:v>
      </x:c>
      <x:c r="H280" s="193" t="n">
        <x:v>0</x:v>
      </x:c>
      <x:c r="I280" s="185" t="n">
        <x:v>0</x:v>
      </x:c>
      <x:c r="J280" s="185" t="n">
        <x:v>0</x:v>
      </x:c>
      <x:c r="K280" s="289" t="n">
        <x:v>766866</x:v>
      </x:c>
    </x:row>
    <x:row r="281" s="117" customFormat="1" hidden="1">
      <x:c r="A281" s="184" t="inlineStr">
        <x:is>
          <x:t xml:space="preserve">EMPDUR300027</x:t>
        </x:is>
      </x:c>
      <x:c r="B281" s="184" t="inlineStr">
        <x:is>
          <x:t xml:space="preserve">10383122 EMPAQUETADURA,CARA LLENA,FLANGE,14IN ID,1/8IN THK,DURLON 7900,CLASE 300,</x:t>
        </x:is>
      </x:c>
      <x:c r="C281" s="184" t="n">
        <x:v>0</x:v>
      </x:c>
      <x:c r="D281" s="184" t="n">
        <x:v>0</x:v>
      </x:c>
      <x:c r="E281" s="184" t="n">
        <x:v>0</x:v>
      </x:c>
      <x:c r="F281" s="184" t="n">
        <x:v>0</x:v>
      </x:c>
      <x:c r="G281" s="184" t="n">
        <x:v>0</x:v>
      </x:c>
      <x:c r="H281" s="193" t="n">
        <x:v>0</x:v>
      </x:c>
      <x:c r="I281" s="185" t="n">
        <x:v>0</x:v>
      </x:c>
      <x:c r="J281" s="185" t="n">
        <x:v>0</x:v>
      </x:c>
      <x:c r="K281" s="289" t="n">
        <x:v>39979</x:v>
      </x:c>
    </x:row>
    <x:row r="282" s="117" customFormat="1" hidden="1">
      <x:c r="A282" s="184" t="inlineStr">
        <x:is>
          <x:t xml:space="preserve">EMPDUR600001</x:t>
        </x:is>
      </x:c>
      <x:c r="B282" s="184" t="inlineStr">
        <x:is>
          <x:t xml:space="preserve">122501/001 EMPAQUETADURA DURLON 9000 RF NORMA ANSI CLASE 600 E=1/8 DIM 30 PLG SERIE A</x:t>
        </x:is>
      </x:c>
      <x:c r="C282" s="184" t="n">
        <x:v>0</x:v>
      </x:c>
      <x:c r="D282" s="184" t="n">
        <x:v>0</x:v>
      </x:c>
      <x:c r="E282" s="184" t="n">
        <x:v>0</x:v>
      </x:c>
      <x:c r="F282" s="184" t="n">
        <x:v>0</x:v>
      </x:c>
      <x:c r="G282" s="184" t="n">
        <x:v>0</x:v>
      </x:c>
      <x:c r="H282" s="193" t="n">
        <x:v>0</x:v>
      </x:c>
      <x:c r="I282" s="185" t="n">
        <x:v>0</x:v>
      </x:c>
      <x:c r="J282" s="185" t="n">
        <x:v>0</x:v>
      </x:c>
      <x:c r="K282" s="289" t="n">
        <x:v>313797</x:v>
      </x:c>
    </x:row>
    <x:row r="283" s="117" customFormat="1" hidden="1">
      <x:c r="A283" s="184" t="inlineStr">
        <x:is>
          <x:t xml:space="preserve">EMPDUR600002</x:t>
        </x:is>
      </x:c>
      <x:c r="B283" s="184" t="inlineStr">
        <x:is>
          <x:t xml:space="preserve">122501/002 EMPAQUETADURA DURLON 9000 RF NORMA ANSI CLASE 600 RF  E=1/8 DIM 30 PLG SERIE B</x:t>
        </x:is>
      </x:c>
      <x:c r="C283" s="184" t="n">
        <x:v>0</x:v>
      </x:c>
      <x:c r="D283" s="184" t="n">
        <x:v>0</x:v>
      </x:c>
      <x:c r="E283" s="184" t="n">
        <x:v>0</x:v>
      </x:c>
      <x:c r="F283" s="184" t="n">
        <x:v>0</x:v>
      </x:c>
      <x:c r="G283" s="184" t="n">
        <x:v>0</x:v>
      </x:c>
      <x:c r="H283" s="193" t="n">
        <x:v>0</x:v>
      </x:c>
      <x:c r="I283" s="185" t="n">
        <x:v>0</x:v>
      </x:c>
      <x:c r="J283" s="185" t="n">
        <x:v>0</x:v>
      </x:c>
      <x:c r="K283" s="289" t="n">
        <x:v>313797</x:v>
      </x:c>
    </x:row>
    <x:row r="284" s="117" customFormat="1" hidden="1">
      <x:c r="A284" s="184" t="inlineStr">
        <x:is>
          <x:t xml:space="preserve">EMPDUR600003</x:t>
        </x:is>
      </x:c>
      <x:c r="B284" s="184" t="inlineStr">
        <x:is>
          <x:t xml:space="preserve">EMPAQUETADURA ESPECIAL D-9000 1/8 RF CLASE 600 2 PLG DIAN EXT 92 MM DIAM INT 42 MM PPT022D90018</x:t>
        </x:is>
      </x:c>
      <x:c r="C284" s="184" t="n">
        <x:v>0</x:v>
      </x:c>
      <x:c r="D284" s="184" t="n">
        <x:v>0</x:v>
      </x:c>
      <x:c r="E284" s="184" t="n">
        <x:v>0</x:v>
      </x:c>
      <x:c r="F284" s="184" t="n">
        <x:v>0</x:v>
      </x:c>
      <x:c r="G284" s="184" t="n">
        <x:v>0</x:v>
      </x:c>
      <x:c r="H284" s="193" t="n">
        <x:v>0</x:v>
      </x:c>
      <x:c r="I284" s="185" t="n">
        <x:v>0</x:v>
      </x:c>
      <x:c r="J284" s="185" t="n">
        <x:v>0</x:v>
      </x:c>
      <x:c r="K284" s="289" t="n">
        <x:v>5393</x:v>
      </x:c>
    </x:row>
    <x:row r="285" s="117" customFormat="1" hidden="1">
      <x:c r="A285" s="184" t="inlineStr">
        <x:is>
          <x:t xml:space="preserve">EMPDUR600004</x:t>
        </x:is>
      </x:c>
      <x:c r="B285" s="184" t="inlineStr">
        <x:is>
          <x:t xml:space="preserve">EMPAQ.ESPECIAL DURLON 9000 RF CLASE 600 1/8 ESP 3" DIAM EXT 127 MM DIAM INT 65 MM PPT022D90019</x:t>
        </x:is>
      </x:c>
      <x:c r="C285" s="184" t="n">
        <x:v>0</x:v>
      </x:c>
      <x:c r="D285" s="184" t="n">
        <x:v>0</x:v>
      </x:c>
      <x:c r="E285" s="184" t="n">
        <x:v>0</x:v>
      </x:c>
      <x:c r="F285" s="184" t="n">
        <x:v>0</x:v>
      </x:c>
      <x:c r="G285" s="184" t="n">
        <x:v>0</x:v>
      </x:c>
      <x:c r="H285" s="193" t="n">
        <x:v>0</x:v>
      </x:c>
      <x:c r="I285" s="185" t="n">
        <x:v>0</x:v>
      </x:c>
      <x:c r="J285" s="185" t="n">
        <x:v>0</x:v>
      </x:c>
      <x:c r="K285" s="289" t="n">
        <x:v>9377</x:v>
      </x:c>
    </x:row>
    <x:row r="286">
      <x:c r="A286" s="184" t="inlineStr">
        <x:is>
          <x:t xml:space="preserve">EMPDUR600005</x:t>
        </x:is>
      </x:c>
      <x:c r="B286" s="184" t="inlineStr">
        <x:is>
          <x:t xml:space="preserve">EMPAQ.ESPECIAL DURLON 9000 RF CLASE 600 1/8 ESP 4" DIAM EXT 157 MM DIAM INT 80 MM PPT022D90021</x:t>
        </x:is>
      </x:c>
      <x:c r="C286" s="184" t="n">
        <x:v>0</x:v>
      </x:c>
      <x:c r="D286" s="184" t="n">
        <x:v>0</x:v>
      </x:c>
      <x:c r="E286" s="184" t="n">
        <x:v>0</x:v>
      </x:c>
      <x:c r="F286" s="184" t="n">
        <x:v>0</x:v>
      </x:c>
      <x:c r="G286" s="184" t="n">
        <x:v>0</x:v>
      </x:c>
      <x:c r="H286" s="193" t="n">
        <x:v>0</x:v>
      </x:c>
      <x:c r="I286" s="185" t="n">
        <x:v>0</x:v>
      </x:c>
      <x:c r="J286" s="185" t="n">
        <x:v>0</x:v>
      </x:c>
      <x:c r="K286" s="289" t="n">
        <x:v>13589</x:v>
      </x:c>
    </x:row>
    <x:row r="287">
      <x:c r="A287" s="184" t="inlineStr">
        <x:is>
          <x:t xml:space="preserve">EMPDUR600006</x:t>
        </x:is>
      </x:c>
      <x:c r="B287" s="184" t="inlineStr">
        <x:is>
          <x:t xml:space="preserve">EMPAQ.ESPECIAL DURLON 9000 RF CLASE 600 1/8 ESP 8" DIAM EXT 270 MM DIAM INT 200 MMPPT022D90022</x:t>
        </x:is>
      </x:c>
      <x:c r="C287" s="184" t="n">
        <x:v>0</x:v>
      </x:c>
      <x:c r="D287" s="184" t="n">
        <x:v>0</x:v>
      </x:c>
      <x:c r="E287" s="184" t="n">
        <x:v>0</x:v>
      </x:c>
      <x:c r="F287" s="184" t="n">
        <x:v>0</x:v>
      </x:c>
      <x:c r="G287" s="184" t="n">
        <x:v>0</x:v>
      </x:c>
      <x:c r="H287" s="193" t="n">
        <x:v>0</x:v>
      </x:c>
      <x:c r="I287" s="185" t="n">
        <x:v>0</x:v>
      </x:c>
      <x:c r="J287" s="185" t="n">
        <x:v>0</x:v>
      </x:c>
      <x:c r="K287" s="289" t="n">
        <x:v>32483</x:v>
      </x:c>
    </x:row>
    <x:row r="288" s="117" customFormat="1" hidden="1">
      <x:c r="A288" s="184" t="inlineStr">
        <x:is>
          <x:t xml:space="preserve">EMPDUR600007</x:t>
        </x:is>
      </x:c>
      <x:c r="B288" s="184" t="inlineStr">
        <x:is>
          <x:t xml:space="preserve">EMPAQUETADURA ESPECIAL D-9000 1/8 ESP  FF  CLASE 600 24 PLG DIAM EXT 940 MM DIAM INT 490 MM PPT022D9</x:t>
        </x:is>
      </x:c>
      <x:c r="C288" s="184" t="n">
        <x:v>0</x:v>
      </x:c>
      <x:c r="D288" s="184" t="n">
        <x:v>0</x:v>
      </x:c>
      <x:c r="E288" s="184" t="n">
        <x:v>0</x:v>
      </x:c>
      <x:c r="F288" s="184" t="n">
        <x:v>0</x:v>
      </x:c>
      <x:c r="G288" s="184" t="n">
        <x:v>0</x:v>
      </x:c>
      <x:c r="H288" s="193" t="n">
        <x:v>0</x:v>
      </x:c>
      <x:c r="I288" s="185" t="n">
        <x:v>0</x:v>
      </x:c>
      <x:c r="J288" s="185" t="n">
        <x:v>0</x:v>
      </x:c>
      <x:c r="K288" s="289" t="n">
        <x:v>342825</x:v>
      </x:c>
    </x:row>
    <x:row r="289" s="117" customFormat="1" hidden="1">
      <x:c r="A289" s="184" t="inlineStr">
        <x:is>
          <x:t xml:space="preserve">EMPDUR900001</x:t>
        </x:is>
      </x:c>
      <x:c r="B289" s="184" t="inlineStr">
        <x:is>
          <x:t xml:space="preserve">121321415 EMPAQUETADURA DURLON 9000 BLU OD984 X ID930 X E1/8</x:t>
        </x:is>
      </x:c>
      <x:c r="C289" s="184" t="n">
        <x:v>0</x:v>
      </x:c>
      <x:c r="D289" s="184" t="n">
        <x:v>0</x:v>
      </x:c>
      <x:c r="E289" s="184" t="n">
        <x:v>0</x:v>
      </x:c>
      <x:c r="F289" s="184" t="n">
        <x:v>0</x:v>
      </x:c>
      <x:c r="G289" s="184" t="n">
        <x:v>0</x:v>
      </x:c>
      <x:c r="H289" s="193" t="n">
        <x:v>0</x:v>
      </x:c>
      <x:c r="I289" s="185" t="n">
        <x:v>0</x:v>
      </x:c>
      <x:c r="J289" s="185" t="n">
        <x:v>0</x:v>
      </x:c>
      <x:c r="K289" s="289" t="n">
        <x:v>478850</x:v>
      </x:c>
    </x:row>
    <x:row r="290">
      <x:c r="A290" s="184" t="inlineStr">
        <x:is>
          <x:t xml:space="preserve">EMPDUR900002</x:t>
        </x:is>
      </x:c>
      <x:c r="B290" s="184" t="inlineStr">
        <x:is>
          <x:t xml:space="preserve">EMPAQ.ESPECIAL DURLON 9000 RF CLASE 900 1/8 ESP 3" DIAM EXT 210 MM DIAM INT 65 MMPPT022D90020</x:t>
        </x:is>
      </x:c>
      <x:c r="C290" s="184" t="n">
        <x:v>0</x:v>
      </x:c>
      <x:c r="D290" s="184" t="n">
        <x:v>0</x:v>
      </x:c>
      <x:c r="E290" s="184" t="n">
        <x:v>0</x:v>
      </x:c>
      <x:c r="F290" s="184" t="n">
        <x:v>0</x:v>
      </x:c>
      <x:c r="G290" s="184" t="n">
        <x:v>0</x:v>
      </x:c>
      <x:c r="H290" s="193" t="n">
        <x:v>0</x:v>
      </x:c>
      <x:c r="I290" s="185" t="n">
        <x:v>0</x:v>
      </x:c>
      <x:c r="J290" s="185" t="n">
        <x:v>0</x:v>
      </x:c>
      <x:c r="K290" s="289" t="n">
        <x:v>21691</x:v>
      </x:c>
    </x:row>
    <x:row r="291" s="117" customFormat="1" hidden="1">
      <x:c r="A291" s="184" t="inlineStr">
        <x:is>
          <x:t xml:space="preserve">EMPEPD001010</x:t>
        </x:is>
      </x:c>
      <x:c r="B291" s="184" t="inlineStr">
        <x:is>
          <x:t xml:space="preserve">EMPAQUETADURA FLANGE CIEGO DN 6 PLG CLASE 150 RF EPDM 3/36 PLS ESP.PPT22EPDMDN6</x:t>
        </x:is>
      </x:c>
      <x:c r="C291" s="184" t="n">
        <x:v>0</x:v>
      </x:c>
      <x:c r="D291" s="184" t="n">
        <x:v>0</x:v>
      </x:c>
      <x:c r="E291" s="184" t="n">
        <x:v>0</x:v>
      </x:c>
      <x:c r="F291" s="184" t="n">
        <x:v>0</x:v>
      </x:c>
      <x:c r="G291" s="184" t="n">
        <x:v>0</x:v>
      </x:c>
      <x:c r="H291" s="193" t="n">
        <x:v>0</x:v>
      </x:c>
      <x:c r="I291" s="185" t="n">
        <x:v>0</x:v>
      </x:c>
      <x:c r="J291" s="185" t="n">
        <x:v>0</x:v>
      </x:c>
      <x:c r="K291" s="289" t="n">
        <x:v>1371</x:v>
      </x:c>
    </x:row>
    <x:row r="292" s="117" customFormat="1" hidden="1">
      <x:c r="A292" s="184" t="inlineStr">
        <x:is>
          <x:t xml:space="preserve">EMPEPD150001</x:t>
        </x:is>
      </x:c>
      <x:c r="B292" s="184" t="inlineStr">
        <x:is>
          <x:t xml:space="preserve">EMPAQUETADURA EPDM DN 4 PLG FF NCL 150 PTTP22EPDM05</x:t>
        </x:is>
      </x:c>
      <x:c r="C292" s="184" t="n">
        <x:v>0</x:v>
      </x:c>
      <x:c r="D292" s="184" t="n">
        <x:v>0</x:v>
      </x:c>
      <x:c r="E292" s="184" t="n">
        <x:v>0</x:v>
      </x:c>
      <x:c r="F292" s="184" t="n">
        <x:v>0</x:v>
      </x:c>
      <x:c r="G292" s="184" t="n">
        <x:v>0</x:v>
      </x:c>
      <x:c r="H292" s="193" t="n">
        <x:v>0</x:v>
      </x:c>
      <x:c r="I292" s="185" t="n">
        <x:v>0</x:v>
      </x:c>
      <x:c r="J292" s="185" t="n">
        <x:v>0</x:v>
      </x:c>
      <x:c r="K292" s="289" t="n">
        <x:v>825</x:v>
      </x:c>
    </x:row>
    <x:row r="293" s="117" customFormat="1" hidden="1">
      <x:c r="A293" s="184" t="inlineStr">
        <x:is>
          <x:t xml:space="preserve">EMPEPD150002</x:t>
        </x:is>
      </x:c>
      <x:c r="B293" s="184" t="inlineStr">
        <x:is>
          <x:t xml:space="preserve">EMPAQUETADURA EPDM DN 2 ESP ESP 1/16 FF CLASE 150</x:t>
        </x:is>
      </x:c>
      <x:c r="C293" s="184" t="n">
        <x:v>0</x:v>
      </x:c>
      <x:c r="D293" s="184" t="n">
        <x:v>0</x:v>
      </x:c>
      <x:c r="E293" s="184" t="n">
        <x:v>0</x:v>
      </x:c>
      <x:c r="F293" s="184" t="n">
        <x:v>0</x:v>
      </x:c>
      <x:c r="G293" s="184" t="n">
        <x:v>0</x:v>
      </x:c>
      <x:c r="H293" s="193" t="n">
        <x:v>0</x:v>
      </x:c>
      <x:c r="I293" s="185" t="n">
        <x:v>0</x:v>
      </x:c>
      <x:c r="J293" s="185" t="n">
        <x:v>0</x:v>
      </x:c>
      <x:c r="K293" s="289" t="n">
        <x:v>1130</x:v>
      </x:c>
    </x:row>
    <x:row r="294" s="117" customFormat="1" hidden="1">
      <x:c r="A294" s="184" t="inlineStr">
        <x:is>
          <x:t xml:space="preserve">EMPEPD150003</x:t>
        </x:is>
      </x:c>
      <x:c r="B294" s="184" t="inlineStr">
        <x:is>
          <x:t xml:space="preserve">EMPAQUETADURA EPDM 1/8 ESP CLASE 150 DN 3 PLG PTTP22EPDM04</x:t>
        </x:is>
      </x:c>
      <x:c r="C294" s="184" t="n">
        <x:v>0</x:v>
      </x:c>
      <x:c r="D294" s="184" t="n">
        <x:v>0</x:v>
      </x:c>
      <x:c r="E294" s="184" t="n">
        <x:v>0</x:v>
      </x:c>
      <x:c r="F294" s="184" t="n">
        <x:v>0</x:v>
      </x:c>
      <x:c r="G294" s="184" t="n">
        <x:v>0</x:v>
      </x:c>
      <x:c r="H294" s="193" t="n">
        <x:v>0</x:v>
      </x:c>
      <x:c r="I294" s="185" t="n">
        <x:v>0</x:v>
      </x:c>
      <x:c r="J294" s="185" t="n">
        <x:v>0</x:v>
      </x:c>
      <x:c r="K294" s="289" t="n">
        <x:v>574</x:v>
      </x:c>
    </x:row>
    <x:row r="295" s="117" customFormat="1" hidden="1">
      <x:c r="A295" s="184" t="inlineStr">
        <x:is>
          <x:t xml:space="preserve">EMPEPD150004</x:t>
        </x:is>
      </x:c>
      <x:c r="B295" s="184" t="inlineStr">
        <x:is>
          <x:t xml:space="preserve">EMPAQUETADURA EPDM DN 6 RF CL 150 PPT022EP6401</x:t>
        </x:is>
      </x:c>
      <x:c r="C295" s="184" t="n">
        <x:v>0</x:v>
      </x:c>
      <x:c r="D295" s="184" t="n">
        <x:v>0</x:v>
      </x:c>
      <x:c r="E295" s="184" t="n">
        <x:v>0</x:v>
      </x:c>
      <x:c r="F295" s="184" t="n">
        <x:v>0</x:v>
      </x:c>
      <x:c r="G295" s="184" t="n">
        <x:v>0</x:v>
      </x:c>
      <x:c r="H295" s="193" t="n">
        <x:v>0</x:v>
      </x:c>
      <x:c r="I295" s="185" t="n">
        <x:v>0</x:v>
      </x:c>
      <x:c r="J295" s="185" t="n">
        <x:v>0</x:v>
      </x:c>
      <x:c r="K295" s="289" t="n">
        <x:v>1607</x:v>
      </x:c>
    </x:row>
    <x:row r="296" s="117" customFormat="1" hidden="1">
      <x:c r="A296" s="184" t="inlineStr">
        <x:is>
          <x:t xml:space="preserve">EMPEPD150005</x:t>
        </x:is>
      </x:c>
      <x:c r="B296" s="184" t="inlineStr">
        <x:is>
          <x:t xml:space="preserve">EMPAQUETADURA EPDM DN 2 PLG,CL150 RF ESP 4,7 PTTP22EP4702</x:t>
        </x:is>
      </x:c>
      <x:c r="C296" s="184" t="n">
        <x:v>0</x:v>
      </x:c>
      <x:c r="D296" s="184" t="n">
        <x:v>0</x:v>
      </x:c>
      <x:c r="E296" s="184" t="n">
        <x:v>0</x:v>
      </x:c>
      <x:c r="F296" s="184" t="n">
        <x:v>0</x:v>
      </x:c>
      <x:c r="G296" s="184" t="n">
        <x:v>0</x:v>
      </x:c>
      <x:c r="H296" s="193" t="n">
        <x:v>0</x:v>
      </x:c>
      <x:c r="I296" s="185" t="n">
        <x:v>0</x:v>
      </x:c>
      <x:c r="J296" s="185" t="n">
        <x:v>0</x:v>
      </x:c>
      <x:c r="K296" s="289" t="n">
        <x:v>328</x:v>
      </x:c>
    </x:row>
    <x:row r="297" s="117" customFormat="1" hidden="1">
      <x:c r="A297" s="184" t="inlineStr">
        <x:is>
          <x:t xml:space="preserve">EMPEPD150006</x:t>
        </x:is>
      </x:c>
      <x:c r="B297" s="184" t="inlineStr">
        <x:is>
          <x:t xml:space="preserve">EMPAQUETADURA EPDM DN 1  ESP. 4,7 TIPO RF PPT022EP4703</x:t>
        </x:is>
      </x:c>
      <x:c r="C297" s="184" t="n">
        <x:v>0</x:v>
      </x:c>
      <x:c r="D297" s="184" t="n">
        <x:v>0</x:v>
      </x:c>
      <x:c r="E297" s="184" t="n">
        <x:v>0</x:v>
      </x:c>
      <x:c r="F297" s="184" t="n">
        <x:v>0</x:v>
      </x:c>
      <x:c r="G297" s="184" t="n">
        <x:v>0</x:v>
      </x:c>
      <x:c r="H297" s="193" t="n">
        <x:v>0</x:v>
      </x:c>
      <x:c r="I297" s="185" t="n">
        <x:v>0</x:v>
      </x:c>
      <x:c r="J297" s="185" t="n">
        <x:v>0</x:v>
      </x:c>
      <x:c r="K297" s="289" t="n">
        <x:v>340</x:v>
      </x:c>
    </x:row>
    <x:row r="298" s="117" customFormat="1" hidden="1">
      <x:c r="A298" s="184" t="inlineStr">
        <x:is>
          <x:t xml:space="preserve">EMPEPD150007</x:t>
        </x:is>
      </x:c>
      <x:c r="B298" s="184" t="inlineStr">
        <x:is>
          <x:t xml:space="preserve">EMPAQUETADURA FLG CIEGO CLASE 150 DN 1.1/2 PPT022EPDMDN12</x:t>
        </x:is>
      </x:c>
      <x:c r="C298" s="184" t="n">
        <x:v>0</x:v>
      </x:c>
      <x:c r="D298" s="184" t="n">
        <x:v>0</x:v>
      </x:c>
      <x:c r="E298" s="184" t="n">
        <x:v>0</x:v>
      </x:c>
      <x:c r="F298" s="184" t="n">
        <x:v>0</x:v>
      </x:c>
      <x:c r="G298" s="184" t="n">
        <x:v>0</x:v>
      </x:c>
      <x:c r="H298" s="193" t="n">
        <x:v>0</x:v>
      </x:c>
      <x:c r="I298" s="185" t="n">
        <x:v>0</x:v>
      </x:c>
      <x:c r="J298" s="185" t="n">
        <x:v>0</x:v>
      </x:c>
      <x:c r="K298" s="289" t="n">
        <x:v>350</x:v>
      </x:c>
    </x:row>
    <x:row r="299" s="117" customFormat="1" hidden="1">
      <x:c r="A299" s="184" t="inlineStr">
        <x:is>
          <x:t xml:space="preserve">EMPEPD150008</x:t>
        </x:is>
      </x:c>
      <x:c r="B299" s="184" t="inlineStr">
        <x:is>
          <x:t xml:space="preserve">EMPAQUETADURA DN 56 PLG EPDM ESP 9,7 MM C/MILANO PTT022EPDM56</x:t>
        </x:is>
      </x:c>
      <x:c r="C299" s="184" t="n">
        <x:v>0</x:v>
      </x:c>
      <x:c r="D299" s="184" t="n">
        <x:v>0</x:v>
      </x:c>
      <x:c r="E299" s="184" t="n">
        <x:v>0</x:v>
      </x:c>
      <x:c r="F299" s="184" t="n">
        <x:v>0</x:v>
      </x:c>
      <x:c r="G299" s="184" t="n">
        <x:v>0</x:v>
      </x:c>
      <x:c r="H299" s="193" t="n">
        <x:v>0</x:v>
      </x:c>
      <x:c r="I299" s="185" t="n">
        <x:v>0</x:v>
      </x:c>
      <x:c r="J299" s="185" t="n">
        <x:v>0</x:v>
      </x:c>
      <x:c r="K299" s="289" t="n">
        <x:v>132143</x:v>
      </x:c>
    </x:row>
    <x:row r="300" s="117" customFormat="1" hidden="1">
      <x:c r="A300" s="184" t="inlineStr">
        <x:is>
          <x:t xml:space="preserve">EMPEPD150009</x:t>
        </x:is>
      </x:c>
      <x:c r="B300" s="184" t="inlineStr">
        <x:is>
          <x:t xml:space="preserve">EMPAQUETADURA DN 48 PLG EPDM ESP 9,7 MM C/MILANO PTT022EPDM48</x:t>
        </x:is>
      </x:c>
      <x:c r="C300" s="184" t="n">
        <x:v>0</x:v>
      </x:c>
      <x:c r="D300" s="184" t="n">
        <x:v>0</x:v>
      </x:c>
      <x:c r="E300" s="184" t="n">
        <x:v>0</x:v>
      </x:c>
      <x:c r="F300" s="184" t="n">
        <x:v>0</x:v>
      </x:c>
      <x:c r="G300" s="184" t="n">
        <x:v>0</x:v>
      </x:c>
      <x:c r="H300" s="193" t="n">
        <x:v>0</x:v>
      </x:c>
      <x:c r="I300" s="185" t="n">
        <x:v>0</x:v>
      </x:c>
      <x:c r="J300" s="185" t="n">
        <x:v>0</x:v>
      </x:c>
      <x:c r="K300" s="289" t="n">
        <x:v>116028</x:v>
      </x:c>
    </x:row>
    <x:row r="301" s="117" customFormat="1" hidden="1">
      <x:c r="A301" s="184" t="inlineStr">
        <x:is>
          <x:t xml:space="preserve">EMPEPD150010</x:t>
        </x:is>
      </x:c>
      <x:c r="B301" s="184" t="inlineStr">
        <x:is>
          <x:t xml:space="preserve">4113579 EMPAQUETADURA BUTILO DN 18 RF</x:t>
        </x:is>
      </x:c>
      <x:c r="C301" s="184" t="n">
        <x:v>0</x:v>
      </x:c>
      <x:c r="D301" s="184" t="n">
        <x:v>0</x:v>
      </x:c>
      <x:c r="E301" s="184" t="n">
        <x:v>0</x:v>
      </x:c>
      <x:c r="F301" s="184" t="n">
        <x:v>0</x:v>
      </x:c>
      <x:c r="G301" s="184" t="n">
        <x:v>0</x:v>
      </x:c>
      <x:c r="H301" s="193" t="n">
        <x:v>0</x:v>
      </x:c>
      <x:c r="I301" s="185" t="n">
        <x:v>0</x:v>
      </x:c>
      <x:c r="J301" s="185" t="n">
        <x:v>0</x:v>
      </x:c>
      <x:c r="K301" s="289" t="n">
        <x:v>7288</x:v>
      </x:c>
    </x:row>
    <x:row r="302" s="117" customFormat="1" hidden="1">
      <x:c r="A302" s="184" t="inlineStr">
        <x:is>
          <x:t xml:space="preserve">EMPEPD150011</x:t>
        </x:is>
      </x:c>
      <x:c r="B302" s="184" t="inlineStr">
        <x:is>
          <x:t xml:space="preserve">EMPAQUETADURA EPDM DN 8 CIEGO ESP 4,7 MM (3/16)RF CLASE 150  PPT022EPDMDC8</x:t>
        </x:is>
      </x:c>
      <x:c r="C302" s="184" t="n">
        <x:v>0</x:v>
      </x:c>
      <x:c r="D302" s="184" t="n">
        <x:v>0</x:v>
      </x:c>
      <x:c r="E302" s="184" t="n">
        <x:v>0</x:v>
      </x:c>
      <x:c r="F302" s="184" t="n">
        <x:v>0</x:v>
      </x:c>
      <x:c r="G302" s="184" t="n">
        <x:v>0</x:v>
      </x:c>
      <x:c r="H302" s="193" t="n">
        <x:v>0</x:v>
      </x:c>
      <x:c r="I302" s="185" t="n">
        <x:v>0</x:v>
      </x:c>
      <x:c r="J302" s="185" t="n">
        <x:v>0</x:v>
      </x:c>
      <x:c r="K302" s="289" t="n">
        <x:v>2147</x:v>
      </x:c>
    </x:row>
    <x:row r="303" s="117" customFormat="1" hidden="1">
      <x:c r="A303" s="184" t="inlineStr">
        <x:is>
          <x:t xml:space="preserve">EMPEPD150012</x:t>
        </x:is>
      </x:c>
      <x:c r="B303" s="184" t="inlineStr">
        <x:is>
          <x:t xml:space="preserve">EMPAQUETADURA DN 1.1/2 CLASE 150 TIPO RF 1.1/2 PLG EPDM 1/8 ESP</x:t>
        </x:is>
      </x:c>
      <x:c r="C303" s="184" t="n">
        <x:v>0</x:v>
      </x:c>
      <x:c r="D303" s="184" t="n">
        <x:v>0</x:v>
      </x:c>
      <x:c r="E303" s="184" t="n">
        <x:v>0</x:v>
      </x:c>
      <x:c r="F303" s="184" t="n">
        <x:v>0</x:v>
      </x:c>
      <x:c r="G303" s="184" t="n">
        <x:v>0</x:v>
      </x:c>
      <x:c r="H303" s="193" t="n">
        <x:v>0</x:v>
      </x:c>
      <x:c r="I303" s="185" t="n">
        <x:v>0</x:v>
      </x:c>
      <x:c r="J303" s="185" t="n">
        <x:v>0</x:v>
      </x:c>
      <x:c r="K303" s="289" t="n">
        <x:v>282</x:v>
      </x:c>
    </x:row>
    <x:row r="304" s="117" customFormat="1" hidden="1">
      <x:c r="A304" s="184" t="inlineStr">
        <x:is>
          <x:t xml:space="preserve">EMPEPD150013</x:t>
        </x:is>
      </x:c>
      <x:c r="B304" s="184" t="inlineStr">
        <x:is>
          <x:t xml:space="preserve">EMPAQUETADURA DN 3 PLG CLASE 150 TIPO RF EPDM 14 MM ESP</x:t>
        </x:is>
      </x:c>
      <x:c r="C304" s="184" t="n">
        <x:v>0</x:v>
      </x:c>
      <x:c r="D304" s="184" t="n">
        <x:v>0</x:v>
      </x:c>
      <x:c r="E304" s="184" t="n">
        <x:v>0</x:v>
      </x:c>
      <x:c r="F304" s="184" t="n">
        <x:v>0</x:v>
      </x:c>
      <x:c r="G304" s="184" t="n">
        <x:v>0</x:v>
      </x:c>
      <x:c r="H304" s="193" t="n">
        <x:v>0</x:v>
      </x:c>
      <x:c r="I304" s="185" t="n">
        <x:v>0</x:v>
      </x:c>
      <x:c r="J304" s="185" t="n">
        <x:v>0</x:v>
      </x:c>
      <x:c r="K304" s="289" t="n">
        <x:v>470</x:v>
      </x:c>
    </x:row>
    <x:row r="305" s="117" customFormat="1" hidden="1">
      <x:c r="A305" s="184" t="inlineStr">
        <x:is>
          <x:t xml:space="preserve">EMPEPD150014</x:t>
        </x:is>
      </x:c>
      <x:c r="B305" s="184" t="inlineStr">
        <x:is>
          <x:t xml:space="preserve">EMPAQUETADURA DN 1 CLASE 150 TIPO RF  EPDM 1/8 ESP</x:t>
        </x:is>
      </x:c>
      <x:c r="C305" s="184" t="n">
        <x:v>0</x:v>
      </x:c>
      <x:c r="D305" s="184" t="n">
        <x:v>0</x:v>
      </x:c>
      <x:c r="E305" s="184" t="n">
        <x:v>0</x:v>
      </x:c>
      <x:c r="F305" s="184" t="n">
        <x:v>0</x:v>
      </x:c>
      <x:c r="G305" s="184" t="n">
        <x:v>0</x:v>
      </x:c>
      <x:c r="H305" s="193" t="n">
        <x:v>0</x:v>
      </x:c>
      <x:c r="I305" s="185" t="n">
        <x:v>0</x:v>
      </x:c>
      <x:c r="J305" s="185" t="n">
        <x:v>0</x:v>
      </x:c>
      <x:c r="K305" s="289" t="n">
        <x:v>255</x:v>
      </x:c>
    </x:row>
    <x:row r="306" s="117" customFormat="1" hidden="1">
      <x:c r="A306" s="184" t="inlineStr">
        <x:is>
          <x:t xml:space="preserve">EMPEPD150015</x:t>
        </x:is>
      </x:c>
      <x:c r="B306" s="184" t="inlineStr">
        <x:is>
          <x:t xml:space="preserve">EMPAQUETADURA DN 800 (32 PLG) FF CL 150 EPDM 10 MM  PTT22EP10DN38</x:t>
        </x:is>
      </x:c>
      <x:c r="C306" s="184" t="n">
        <x:v>0</x:v>
      </x:c>
      <x:c r="D306" s="184" t="n">
        <x:v>0</x:v>
      </x:c>
      <x:c r="E306" s="184" t="n">
        <x:v>0</x:v>
      </x:c>
      <x:c r="F306" s="184" t="n">
        <x:v>0</x:v>
      </x:c>
      <x:c r="G306" s="184" t="n">
        <x:v>0</x:v>
      </x:c>
      <x:c r="H306" s="193" t="n">
        <x:v>0</x:v>
      </x:c>
      <x:c r="I306" s="185" t="n">
        <x:v>0</x:v>
      </x:c>
      <x:c r="J306" s="185" t="n">
        <x:v>0</x:v>
      </x:c>
      <x:c r="K306" s="289" t="n">
        <x:v>35225</x:v>
      </x:c>
    </x:row>
    <x:row r="307" s="117" customFormat="1" hidden="1">
      <x:c r="A307" s="184" t="inlineStr">
        <x:is>
          <x:t xml:space="preserve">EMPEPD150016</x:t>
        </x:is>
      </x:c>
      <x:c r="B307" s="184" t="inlineStr">
        <x:is>
          <x:t xml:space="preserve">EMPAQUETADURA EPDM ESP 3,2 MM DN 6 P/FGE CIEGO PTT22EPRF06C</x:t>
        </x:is>
      </x:c>
      <x:c r="C307" s="184" t="n">
        <x:v>0</x:v>
      </x:c>
      <x:c r="D307" s="184" t="n">
        <x:v>0</x:v>
      </x:c>
      <x:c r="E307" s="184" t="n">
        <x:v>0</x:v>
      </x:c>
      <x:c r="F307" s="184" t="n">
        <x:v>0</x:v>
      </x:c>
      <x:c r="G307" s="184" t="n">
        <x:v>0</x:v>
      </x:c>
      <x:c r="H307" s="193" t="n">
        <x:v>0</x:v>
      </x:c>
      <x:c r="I307" s="185" t="n">
        <x:v>0</x:v>
      </x:c>
      <x:c r="J307" s="185" t="n">
        <x:v>0</x:v>
      </x:c>
      <x:c r="K307" s="289" t="n">
        <x:v>1195</x:v>
      </x:c>
    </x:row>
    <x:row r="308" s="117" customFormat="1" hidden="1">
      <x:c r="A308" s="184" t="inlineStr">
        <x:is>
          <x:t xml:space="preserve">EMPEPD150017</x:t>
        </x:is>
      </x:c>
      <x:c r="B308" s="184" t="inlineStr">
        <x:is>
          <x:t xml:space="preserve">EMPAQUETADURA EPDM 3,2 MM DN6 TIPO RF PTT22EPRF06D</x:t>
        </x:is>
      </x:c>
      <x:c r="C308" s="184" t="n">
        <x:v>0</x:v>
      </x:c>
      <x:c r="D308" s="184" t="n">
        <x:v>0</x:v>
      </x:c>
      <x:c r="E308" s="184" t="n">
        <x:v>0</x:v>
      </x:c>
      <x:c r="F308" s="184" t="n">
        <x:v>0</x:v>
      </x:c>
      <x:c r="G308" s="184" t="n">
        <x:v>0</x:v>
      </x:c>
      <x:c r="H308" s="193" t="n">
        <x:v>0</x:v>
      </x:c>
      <x:c r="I308" s="185" t="n">
        <x:v>0</x:v>
      </x:c>
      <x:c r="J308" s="185" t="n">
        <x:v>0</x:v>
      </x:c>
      <x:c r="K308" s="289" t="n">
        <x:v>1195</x:v>
      </x:c>
    </x:row>
    <x:row r="309" s="117" customFormat="1" hidden="1">
      <x:c r="A309" s="184" t="inlineStr">
        <x:is>
          <x:t xml:space="preserve">EMPEPD150018</x:t>
        </x:is>
      </x:c>
      <x:c r="B309" s="184" t="inlineStr">
        <x:is>
          <x:t xml:space="preserve">EMPAQ DN 2000 EPDM EXT.2290 INT.1950 ESP 9.7 MM PPT22EPD10DN2</x:t>
        </x:is>
      </x:c>
      <x:c r="C309" s="184" t="n">
        <x:v>0</x:v>
      </x:c>
      <x:c r="D309" s="184" t="n">
        <x:v>0</x:v>
      </x:c>
      <x:c r="E309" s="184" t="n">
        <x:v>0</x:v>
      </x:c>
      <x:c r="F309" s="184" t="n">
        <x:v>0</x:v>
      </x:c>
      <x:c r="G309" s="184" t="n">
        <x:v>0</x:v>
      </x:c>
      <x:c r="H309" s="193" t="n">
        <x:v>0</x:v>
      </x:c>
      <x:c r="I309" s="185" t="n">
        <x:v>0</x:v>
      </x:c>
      <x:c r="J309" s="185" t="n">
        <x:v>0</x:v>
      </x:c>
      <x:c r="K309" s="289" t="n">
        <x:v>178025</x:v>
      </x:c>
    </x:row>
    <x:row r="310" s="117" customFormat="1" hidden="1">
      <x:c r="A310" s="184" t="inlineStr">
        <x:is>
          <x:t xml:space="preserve">EMPEPD150019</x:t>
        </x:is>
      </x:c>
      <x:c r="B310" s="184" t="inlineStr">
        <x:is>
          <x:t xml:space="preserve">EMPAQ.EPDM DN 12 PLG FF 3/16 ESP. PT22EPDM4DN12</x:t>
        </x:is>
      </x:c>
      <x:c r="C310" s="184" t="n">
        <x:v>0</x:v>
      </x:c>
      <x:c r="D310" s="184" t="n">
        <x:v>0</x:v>
      </x:c>
      <x:c r="E310" s="184" t="n">
        <x:v>0</x:v>
      </x:c>
      <x:c r="F310" s="184" t="n">
        <x:v>0</x:v>
      </x:c>
      <x:c r="G310" s="184" t="n">
        <x:v>0</x:v>
      </x:c>
      <x:c r="H310" s="193" t="n">
        <x:v>0</x:v>
      </x:c>
      <x:c r="I310" s="185" t="n">
        <x:v>0</x:v>
      </x:c>
      <x:c r="J310" s="185" t="n">
        <x:v>0</x:v>
      </x:c>
      <x:c r="K310" s="289" t="n">
        <x:v>3928</x:v>
      </x:c>
    </x:row>
    <x:row r="311" s="117" customFormat="1" hidden="1">
      <x:c r="A311" s="184" t="inlineStr">
        <x:is>
          <x:t xml:space="preserve">EMPEPD150020</x:t>
        </x:is>
      </x:c>
      <x:c r="B311" s="184" t="inlineStr">
        <x:is>
          <x:t xml:space="preserve">EMPAQUETADURA DN 900  (36 PLG) C-150 FF EPDM ESP,9.7 MM PPT22EPDDN900</x:t>
        </x:is>
      </x:c>
      <x:c r="C311" s="184" t="n">
        <x:v>0</x:v>
      </x:c>
      <x:c r="D311" s="184" t="n">
        <x:v>0</x:v>
      </x:c>
      <x:c r="E311" s="184" t="n">
        <x:v>0</x:v>
      </x:c>
      <x:c r="F311" s="184" t="n">
        <x:v>0</x:v>
      </x:c>
      <x:c r="G311" s="184" t="n">
        <x:v>0</x:v>
      </x:c>
      <x:c r="H311" s="193" t="n">
        <x:v>0</x:v>
      </x:c>
      <x:c r="I311" s="185" t="n">
        <x:v>0</x:v>
      </x:c>
      <x:c r="J311" s="185" t="n">
        <x:v>0</x:v>
      </x:c>
      <x:c r="K311" s="289" t="n">
        <x:v>48199</x:v>
      </x:c>
    </x:row>
    <x:row r="312" s="117" customFormat="1" hidden="1">
      <x:c r="A312" s="184" t="inlineStr">
        <x:is>
          <x:t xml:space="preserve">EMPEPD150021</x:t>
        </x:is>
      </x:c>
      <x:c r="B312" s="184" t="inlineStr">
        <x:is>
          <x:t xml:space="preserve">EMPAQUETADURA DN 1000 (40 PLG) C-150 FF EPDM ESP,9.7 MM PPT22EPDDN100</x:t>
        </x:is>
      </x:c>
      <x:c r="C312" s="184" t="n">
        <x:v>0</x:v>
      </x:c>
      <x:c r="D312" s="184" t="n">
        <x:v>0</x:v>
      </x:c>
      <x:c r="E312" s="184" t="n">
        <x:v>0</x:v>
      </x:c>
      <x:c r="F312" s="184" t="n">
        <x:v>0</x:v>
      </x:c>
      <x:c r="G312" s="184" t="n">
        <x:v>0</x:v>
      </x:c>
      <x:c r="H312" s="193" t="n">
        <x:v>0</x:v>
      </x:c>
      <x:c r="I312" s="185" t="n">
        <x:v>0</x:v>
      </x:c>
      <x:c r="J312" s="185" t="n">
        <x:v>0</x:v>
      </x:c>
      <x:c r="K312" s="289" t="n">
        <x:v>109703</x:v>
      </x:c>
    </x:row>
    <x:row r="313" s="117" customFormat="1" hidden="1">
      <x:c r="A313" s="184" t="inlineStr">
        <x:is>
          <x:t xml:space="preserve">EMPEPD150022</x:t>
        </x:is>
      </x:c>
      <x:c r="B313" s="184" t="inlineStr">
        <x:is>
          <x:t xml:space="preserve">EMPAQUETADURA DN 1200 (48 PLG) C-150 FF EPDM ESP,9.7 MM PPT22EPDDN120</x:t>
        </x:is>
      </x:c>
      <x:c r="C313" s="184" t="n">
        <x:v>0</x:v>
      </x:c>
      <x:c r="D313" s="184" t="n">
        <x:v>0</x:v>
      </x:c>
      <x:c r="E313" s="184" t="n">
        <x:v>0</x:v>
      </x:c>
      <x:c r="F313" s="184" t="n">
        <x:v>0</x:v>
      </x:c>
      <x:c r="G313" s="184" t="n">
        <x:v>0</x:v>
      </x:c>
      <x:c r="H313" s="193" t="n">
        <x:v>0</x:v>
      </x:c>
      <x:c r="I313" s="185" t="n">
        <x:v>0</x:v>
      </x:c>
      <x:c r="J313" s="185" t="n">
        <x:v>0</x:v>
      </x:c>
      <x:c r="K313" s="289" t="n">
        <x:v>136580</x:v>
      </x:c>
    </x:row>
    <x:row r="314" s="117" customFormat="1" hidden="1">
      <x:c r="A314" s="184" t="inlineStr">
        <x:is>
          <x:t xml:space="preserve">EMPEPD150023</x:t>
        </x:is>
      </x:c>
      <x:c r="B314" s="184" t="inlineStr">
        <x:is>
          <x:t xml:space="preserve">EMPAQUETADURA DN 1400 (56 PLG) C-150 FF EPDM ESP,9.7 MM PPT22EPDDN140</x:t>
        </x:is>
      </x:c>
      <x:c r="C314" s="184" t="n">
        <x:v>0</x:v>
      </x:c>
      <x:c r="D314" s="184" t="n">
        <x:v>0</x:v>
      </x:c>
      <x:c r="E314" s="184" t="n">
        <x:v>0</x:v>
      </x:c>
      <x:c r="F314" s="184" t="n">
        <x:v>0</x:v>
      </x:c>
      <x:c r="G314" s="184" t="n">
        <x:v>0</x:v>
      </x:c>
      <x:c r="H314" s="193" t="n">
        <x:v>0</x:v>
      </x:c>
      <x:c r="I314" s="185" t="n">
        <x:v>0</x:v>
      </x:c>
      <x:c r="J314" s="185" t="n">
        <x:v>0</x:v>
      </x:c>
      <x:c r="K314" s="289" t="n">
        <x:v>173834</x:v>
      </x:c>
    </x:row>
    <x:row r="315" s="117" customFormat="1" hidden="1">
      <x:c r="A315" s="184" t="inlineStr">
        <x:is>
          <x:t xml:space="preserve">EMPEPD150024</x:t>
        </x:is>
      </x:c>
      <x:c r="B315" s="184" t="inlineStr">
        <x:is>
          <x:t xml:space="preserve">EMPAQUETADURA EPDM DN 16 PLG FF 4,7 MM NORMA ANSI</x:t>
        </x:is>
      </x:c>
      <x:c r="C315" s="184" t="n">
        <x:v>0</x:v>
      </x:c>
      <x:c r="D315" s="184" t="n">
        <x:v>0</x:v>
      </x:c>
      <x:c r="E315" s="184" t="n">
        <x:v>0</x:v>
      </x:c>
      <x:c r="F315" s="184" t="n">
        <x:v>0</x:v>
      </x:c>
      <x:c r="G315" s="184" t="n">
        <x:v>0</x:v>
      </x:c>
      <x:c r="H315" s="193" t="n">
        <x:v>0</x:v>
      </x:c>
      <x:c r="I315" s="185" t="n">
        <x:v>0</x:v>
      </x:c>
      <x:c r="J315" s="185" t="n">
        <x:v>0</x:v>
      </x:c>
      <x:c r="K315" s="289" t="n">
        <x:v>15225</x:v>
      </x:c>
    </x:row>
    <x:row r="316" s="117" customFormat="1" hidden="1">
      <x:c r="A316" s="184" t="inlineStr">
        <x:is>
          <x:t xml:space="preserve">EMPEPD150025</x:t>
        </x:is>
      </x:c>
      <x:c r="B316" s="184" t="inlineStr">
        <x:is>
          <x:t xml:space="preserve">EMPAQUETADURA EPDM DN 18 PLG FF 4,7 MM NORMA ANSI</x:t>
        </x:is>
      </x:c>
      <x:c r="C316" s="184" t="n">
        <x:v>0</x:v>
      </x:c>
      <x:c r="D316" s="184" t="n">
        <x:v>0</x:v>
      </x:c>
      <x:c r="E316" s="184" t="n">
        <x:v>0</x:v>
      </x:c>
      <x:c r="F316" s="184" t="n">
        <x:v>0</x:v>
      </x:c>
      <x:c r="G316" s="184" t="n">
        <x:v>0</x:v>
      </x:c>
      <x:c r="H316" s="193" t="n">
        <x:v>0</x:v>
      </x:c>
      <x:c r="I316" s="185" t="n">
        <x:v>0</x:v>
      </x:c>
      <x:c r="J316" s="185" t="n">
        <x:v>0</x:v>
      </x:c>
      <x:c r="K316" s="289" t="n">
        <x:v>15835</x:v>
      </x:c>
    </x:row>
    <x:row r="317" s="117" customFormat="1" hidden="1">
      <x:c r="A317" s="184" t="inlineStr">
        <x:is>
          <x:t xml:space="preserve">EMPEPD150026</x:t>
        </x:is>
      </x:c>
      <x:c r="B317" s="184" t="inlineStr">
        <x:is>
          <x:t xml:space="preserve">EMPAQUETADURA DN 1100 (44 PLG) CLASE 150 TIPO FF EPDM ESP.9,7 MM PPT22EPDDN110</x:t>
        </x:is>
      </x:c>
      <x:c r="C317" s="184" t="n">
        <x:v>0</x:v>
      </x:c>
      <x:c r="D317" s="184" t="n">
        <x:v>0</x:v>
      </x:c>
      <x:c r="E317" s="184" t="n">
        <x:v>0</x:v>
      </x:c>
      <x:c r="F317" s="184" t="n">
        <x:v>0</x:v>
      </x:c>
      <x:c r="G317" s="184" t="n">
        <x:v>0</x:v>
      </x:c>
      <x:c r="H317" s="193" t="n">
        <x:v>0</x:v>
      </x:c>
      <x:c r="I317" s="185" t="n">
        <x:v>0</x:v>
      </x:c>
      <x:c r="J317" s="185" t="n">
        <x:v>0</x:v>
      </x:c>
      <x:c r="K317" s="289" t="n">
        <x:v>126185</x:v>
      </x:c>
    </x:row>
    <x:row r="318" s="117" customFormat="1" hidden="1">
      <x:c r="A318" s="184" t="inlineStr">
        <x:is>
          <x:t xml:space="preserve">EMPEPD150027</x:t>
        </x:is>
      </x:c>
      <x:c r="B318" s="184" t="inlineStr">
        <x:is>
          <x:t xml:space="preserve">EMPAQUETADURA DIAM 20 PLG EPDM 3/8 CLASE 150 FF</x:t>
        </x:is>
      </x:c>
      <x:c r="C318" s="184" t="n">
        <x:v>0</x:v>
      </x:c>
      <x:c r="D318" s="184" t="n">
        <x:v>0</x:v>
      </x:c>
      <x:c r="E318" s="184" t="n">
        <x:v>0</x:v>
      </x:c>
      <x:c r="F318" s="184" t="n">
        <x:v>0</x:v>
      </x:c>
      <x:c r="G318" s="184" t="n">
        <x:v>0</x:v>
      </x:c>
      <x:c r="H318" s="193" t="n">
        <x:v>0</x:v>
      </x:c>
      <x:c r="I318" s="185" t="n">
        <x:v>0</x:v>
      </x:c>
      <x:c r="J318" s="185" t="n">
        <x:v>0</x:v>
      </x:c>
      <x:c r="K318" s="289" t="n">
        <x:v>40599</x:v>
      </x:c>
    </x:row>
    <x:row r="319" s="117" customFormat="1" hidden="1">
      <x:c r="A319" s="184" t="inlineStr">
        <x:is>
          <x:t xml:space="preserve">EMPGENPLA001</x:t>
        </x:is>
      </x:c>
      <x:c r="B319" s="184" t="inlineStr">
        <x:is>
          <x:t xml:space="preserve">PLANCHA VITON ROLLO 1000MM X 3MM</x:t>
        </x:is>
      </x:c>
      <x:c r="C319" s="184" t="n">
        <x:v>15.7</x:v>
      </x:c>
      <x:c r="D319" s="184" t="n">
        <x:v>0</x:v>
      </x:c>
      <x:c r="E319" s="184" t="n">
        <x:v>0.1</x:v>
      </x:c>
      <x:c r="F319" s="184" t="n">
        <x:v>15.6</x:v>
      </x:c>
      <x:c r="G319" s="184" t="n">
        <x:v>2525737</x:v>
      </x:c>
      <x:c r="H319" s="193" t="n">
        <x:v>0</x:v>
      </x:c>
      <x:c r="I319" s="185" t="n">
        <x:v>16088</x:v>
      </x:c>
      <x:c r="J319" s="185" t="n">
        <x:v>2509649</x:v>
      </x:c>
      <x:c r="K319" s="289" t="n">
        <x:v>160875</x:v>
      </x:c>
    </x:row>
    <x:row r="320" s="117" customFormat="1" hidden="1">
      <x:c r="A320" s="184" t="inlineStr">
        <x:is>
          <x:t xml:space="preserve">EMPGENPLA002</x:t>
        </x:is>
      </x:c>
      <x:c r="B320" s="184" t="inlineStr">
        <x:is>
          <x:t xml:space="preserve">PLANCHA VITON ROLLO 1000MM X 5MM</x:t>
        </x:is>
      </x:c>
      <x:c r="C320" s="184" t="n">
        <x:v>0</x:v>
      </x:c>
      <x:c r="D320" s="184" t="n">
        <x:v>0</x:v>
      </x:c>
      <x:c r="E320" s="184" t="n">
        <x:v>0</x:v>
      </x:c>
      <x:c r="F320" s="184" t="n">
        <x:v>0</x:v>
      </x:c>
      <x:c r="G320" s="184" t="n">
        <x:v>0</x:v>
      </x:c>
      <x:c r="H320" s="193" t="n">
        <x:v>0</x:v>
      </x:c>
      <x:c r="I320" s="185" t="n">
        <x:v>0</x:v>
      </x:c>
      <x:c r="J320" s="185" t="n">
        <x:v>0</x:v>
      </x:c>
      <x:c r="K320" s="289" t="n">
        <x:v>270000</x:v>
      </x:c>
    </x:row>
    <x:row r="321" s="117" customFormat="1" hidden="1">
      <x:c r="A321" s="184" t="inlineStr">
        <x:is>
          <x:t xml:space="preserve">EMPGENPLA003</x:t>
        </x:is>
      </x:c>
      <x:c r="B321" s="184" t="inlineStr">
        <x:is>
          <x:t xml:space="preserve">PLANCHA VITON ROLLO 1000MM X 6.5MM (1/4)</x:t>
        </x:is>
      </x:c>
      <x:c r="C321" s="184" t="n">
        <x:v>2.3</x:v>
      </x:c>
      <x:c r="D321" s="184" t="n">
        <x:v>0</x:v>
      </x:c>
      <x:c r="E321" s="184" t="n">
        <x:v>0</x:v>
      </x:c>
      <x:c r="F321" s="184" t="n">
        <x:v>2.3</x:v>
      </x:c>
      <x:c r="G321" s="184" t="n">
        <x:v>753390</x:v>
      </x:c>
      <x:c r="H321" s="193" t="n">
        <x:v>0</x:v>
      </x:c>
      <x:c r="I321" s="185" t="n">
        <x:v>0</x:v>
      </x:c>
      <x:c r="J321" s="185" t="n">
        <x:v>753390</x:v>
      </x:c>
      <x:c r="K321" s="289" t="n">
        <x:v>327560.97560976</x:v>
      </x:c>
    </x:row>
    <x:row r="322" s="117" customFormat="1" hidden="1">
      <x:c r="A322" s="184" t="inlineStr">
        <x:is>
          <x:t xml:space="preserve">EMPGENPLA004</x:t>
        </x:is>
      </x:c>
      <x:c r="B322" s="184" t="inlineStr">
        <x:is>
          <x:t xml:space="preserve">EMPAQUETADURA - JUNTA COMPRIMIDA TEADIT ESTILO NA1002 1/16</x:t>
        </x:is>
      </x:c>
      <x:c r="C322" s="184" t="n">
        <x:v>0</x:v>
      </x:c>
      <x:c r="D322" s="184" t="n">
        <x:v>0</x:v>
      </x:c>
      <x:c r="E322" s="184" t="n">
        <x:v>0</x:v>
      </x:c>
      <x:c r="F322" s="184" t="n">
        <x:v>0</x:v>
      </x:c>
      <x:c r="G322" s="184" t="n">
        <x:v>0</x:v>
      </x:c>
      <x:c r="H322" s="193" t="n">
        <x:v>0</x:v>
      </x:c>
      <x:c r="I322" s="185" t="n">
        <x:v>0</x:v>
      </x:c>
      <x:c r="J322" s="185" t="n">
        <x:v>0</x:v>
      </x:c>
      <x:c r="K322" s="289" t="n">
        <x:v>65900</x:v>
      </x:c>
    </x:row>
    <x:row r="323" s="117" customFormat="1" hidden="1">
      <x:c r="A323" s="184" t="inlineStr">
        <x:is>
          <x:t xml:space="preserve">EMPGENPLA005</x:t>
        </x:is>
      </x:c>
      <x:c r="B323" s="184" t="inlineStr">
        <x:is>
          <x:t xml:space="preserve">PLANCHA VITON ROLLO 1400MM (ANCHO) X 6.5MM (1/4)</x:t>
        </x:is>
      </x:c>
      <x:c r="C323" s="184" t="n">
        <x:v>0</x:v>
      </x:c>
      <x:c r="D323" s="184" t="n">
        <x:v>0</x:v>
      </x:c>
      <x:c r="E323" s="184" t="n">
        <x:v>0</x:v>
      </x:c>
      <x:c r="F323" s="184" t="n">
        <x:v>0</x:v>
      </x:c>
      <x:c r="G323" s="184" t="n">
        <x:v>0</x:v>
      </x:c>
      <x:c r="H323" s="193" t="n">
        <x:v>0</x:v>
      </x:c>
      <x:c r="I323" s="185" t="n">
        <x:v>0</x:v>
      </x:c>
      <x:c r="J323" s="185" t="n">
        <x:v>0</x:v>
      </x:c>
      <x:c r="K323" s="289" t="n">
        <x:v>540000</x:v>
      </x:c>
    </x:row>
    <x:row r="324" s="117" customFormat="1" hidden="1">
      <x:c r="A324" s="184" t="inlineStr">
        <x:is>
          <x:t xml:space="preserve">EMPGENPLA006</x:t>
        </x:is>
      </x:c>
      <x:c r="B324" s="184" t="inlineStr">
        <x:is>
          <x:t xml:space="preserve">PLANCHA VITON 1400MM ANCHO X 1000MM LARGO X 1.5MM ESPESOR</x:t>
        </x:is>
      </x:c>
      <x:c r="C324" s="184" t="n">
        <x:v>0</x:v>
      </x:c>
      <x:c r="D324" s="184" t="n">
        <x:v>0</x:v>
      </x:c>
      <x:c r="E324" s="184" t="n">
        <x:v>0</x:v>
      </x:c>
      <x:c r="F324" s="184" t="n">
        <x:v>0</x:v>
      </x:c>
      <x:c r="G324" s="184" t="n">
        <x:v>0</x:v>
      </x:c>
      <x:c r="H324" s="193" t="n">
        <x:v>0</x:v>
      </x:c>
      <x:c r="I324" s="185" t="n">
        <x:v>0</x:v>
      </x:c>
      <x:c r="J324" s="185" t="n">
        <x:v>0</x:v>
      </x:c>
      <x:c r="K324" s="289" t="n">
        <x:v>123600</x:v>
      </x:c>
    </x:row>
    <x:row r="325" s="117" customFormat="1" hidden="1">
      <x:c r="A325" s="184" t="inlineStr">
        <x:is>
          <x:t xml:space="preserve">EMPNBR150001</x:t>
        </x:is>
      </x:c>
      <x:c r="B325" s="184" t="inlineStr">
        <x:is>
          <x:t xml:space="preserve">KIT DE EMPAQUETADURAS  BUTILO CLASE 150 1 Y 2 PGL TIPOF FF Y RF</x:t>
        </x:is>
      </x:c>
      <x:c r="C325" s="184" t="n">
        <x:v>0</x:v>
      </x:c>
      <x:c r="D325" s="184" t="n">
        <x:v>0</x:v>
      </x:c>
      <x:c r="E325" s="184" t="n">
        <x:v>0</x:v>
      </x:c>
      <x:c r="F325" s="184" t="n">
        <x:v>0</x:v>
      </x:c>
      <x:c r="G325" s="184" t="n">
        <x:v>0</x:v>
      </x:c>
      <x:c r="H325" s="193" t="n">
        <x:v>0</x:v>
      </x:c>
      <x:c r="I325" s="185" t="n">
        <x:v>0</x:v>
      </x:c>
      <x:c r="J325" s="185" t="n">
        <x:v>0</x:v>
      </x:c>
      <x:c r="K325" s="289" t="n">
        <x:v>3650</x:v>
      </x:c>
    </x:row>
    <x:row r="326" s="117" customFormat="1" hidden="1">
      <x:c r="A326" s="184" t="inlineStr">
        <x:is>
          <x:t xml:space="preserve">EMPNBR150002</x:t>
        </x:is>
      </x:c>
      <x:c r="B326" s="184" t="inlineStr">
        <x:is>
          <x:t xml:space="preserve">EMPAQUETADURA BUTILO  ESP.1/8 PLG FF CLASE 150 DN 1/2 PLG</x:t>
        </x:is>
      </x:c>
      <x:c r="C326" s="184" t="n">
        <x:v>0</x:v>
      </x:c>
      <x:c r="D326" s="184" t="n">
        <x:v>0</x:v>
      </x:c>
      <x:c r="E326" s="184" t="n">
        <x:v>0</x:v>
      </x:c>
      <x:c r="F326" s="184" t="n">
        <x:v>0</x:v>
      </x:c>
      <x:c r="G326" s="184" t="n">
        <x:v>0</x:v>
      </x:c>
      <x:c r="H326" s="193" t="n">
        <x:v>0</x:v>
      </x:c>
      <x:c r="I326" s="185" t="n">
        <x:v>0</x:v>
      </x:c>
      <x:c r="J326" s="185" t="n">
        <x:v>0</x:v>
      </x:c>
      <x:c r="K326" s="289" t="n">
        <x:v>847</x:v>
      </x:c>
    </x:row>
    <x:row r="327" s="117" customFormat="1" hidden="1">
      <x:c r="A327" s="184" t="inlineStr">
        <x:is>
          <x:t xml:space="preserve">EMPNBR150003</x:t>
        </x:is>
      </x:c>
      <x:c r="B327" s="184" t="inlineStr">
        <x:is>
          <x:t xml:space="preserve">EMPAQUETADURA BUTILO  ESP.1/8 PLG FF CLASE 150 DN 1.1/2 PLG</x:t>
        </x:is>
      </x:c>
      <x:c r="C327" s="184" t="n">
        <x:v>0</x:v>
      </x:c>
      <x:c r="D327" s="184" t="n">
        <x:v>0</x:v>
      </x:c>
      <x:c r="E327" s="184" t="n">
        <x:v>0</x:v>
      </x:c>
      <x:c r="F327" s="184" t="n">
        <x:v>0</x:v>
      </x:c>
      <x:c r="G327" s="184" t="n">
        <x:v>0</x:v>
      </x:c>
      <x:c r="H327" s="193" t="n">
        <x:v>0</x:v>
      </x:c>
      <x:c r="I327" s="185" t="n">
        <x:v>0</x:v>
      </x:c>
      <x:c r="J327" s="185" t="n">
        <x:v>0</x:v>
      </x:c>
      <x:c r="K327" s="289" t="n">
        <x:v>666</x:v>
      </x:c>
    </x:row>
    <x:row r="328" s="117" customFormat="1" hidden="1">
      <x:c r="A328" s="184" t="inlineStr">
        <x:is>
          <x:t xml:space="preserve">EMPNBR150004</x:t>
        </x:is>
      </x:c>
      <x:c r="B328" s="184" t="inlineStr">
        <x:is>
          <x:t xml:space="preserve">EMPAQUETADURA BUTILO  ESP.1/8 PLG FF CLASE 150 DN 2 PLG</x:t>
        </x:is>
      </x:c>
      <x:c r="C328" s="184" t="n">
        <x:v>0</x:v>
      </x:c>
      <x:c r="D328" s="184" t="n">
        <x:v>0</x:v>
      </x:c>
      <x:c r="E328" s="184" t="n">
        <x:v>0</x:v>
      </x:c>
      <x:c r="F328" s="184" t="n">
        <x:v>0</x:v>
      </x:c>
      <x:c r="G328" s="184" t="n">
        <x:v>0</x:v>
      </x:c>
      <x:c r="H328" s="193" t="n">
        <x:v>0</x:v>
      </x:c>
      <x:c r="I328" s="185" t="n">
        <x:v>0</x:v>
      </x:c>
      <x:c r="J328" s="185" t="n">
        <x:v>0</x:v>
      </x:c>
      <x:c r="K328" s="289" t="n">
        <x:v>975</x:v>
      </x:c>
    </x:row>
    <x:row r="329" s="117" customFormat="1" hidden="1">
      <x:c r="A329" s="184" t="inlineStr">
        <x:is>
          <x:t xml:space="preserve">EMPNBR150005</x:t>
        </x:is>
      </x:c>
      <x:c r="B329" s="184" t="inlineStr">
        <x:is>
          <x:t xml:space="preserve">EMPAQUETADURA BUTILO  ESP.1/8 PLG FF CLASE 150 DN 2.1/2 PLG</x:t>
        </x:is>
      </x:c>
      <x:c r="C329" s="184" t="n">
        <x:v>0</x:v>
      </x:c>
      <x:c r="D329" s="184" t="n">
        <x:v>0</x:v>
      </x:c>
      <x:c r="E329" s="184" t="n">
        <x:v>0</x:v>
      </x:c>
      <x:c r="F329" s="184" t="n">
        <x:v>0</x:v>
      </x:c>
      <x:c r="G329" s="184" t="n">
        <x:v>0</x:v>
      </x:c>
      <x:c r="H329" s="193" t="n">
        <x:v>0</x:v>
      </x:c>
      <x:c r="I329" s="185" t="n">
        <x:v>0</x:v>
      </x:c>
      <x:c r="J329" s="185" t="n">
        <x:v>0</x:v>
      </x:c>
      <x:c r="K329" s="289" t="n">
        <x:v>1176</x:v>
      </x:c>
    </x:row>
    <x:row r="330" s="117" customFormat="1" hidden="1">
      <x:c r="A330" s="184" t="inlineStr">
        <x:is>
          <x:t xml:space="preserve">EMPNBR150006</x:t>
        </x:is>
      </x:c>
      <x:c r="B330" s="184" t="inlineStr">
        <x:is>
          <x:t xml:space="preserve">EMPAQUETADURA BUTILO  ESP.1/8 PLG FF CLASE 150 DN 3 PLG</x:t>
        </x:is>
      </x:c>
      <x:c r="C330" s="184" t="n">
        <x:v>0</x:v>
      </x:c>
      <x:c r="D330" s="184" t="n">
        <x:v>0</x:v>
      </x:c>
      <x:c r="E330" s="184" t="n">
        <x:v>0</x:v>
      </x:c>
      <x:c r="F330" s="184" t="n">
        <x:v>0</x:v>
      </x:c>
      <x:c r="G330" s="184" t="n">
        <x:v>0</x:v>
      </x:c>
      <x:c r="H330" s="193" t="n">
        <x:v>0</x:v>
      </x:c>
      <x:c r="I330" s="185" t="n">
        <x:v>0</x:v>
      </x:c>
      <x:c r="J330" s="185" t="n">
        <x:v>0</x:v>
      </x:c>
      <x:c r="K330" s="289" t="n">
        <x:v>1511</x:v>
      </x:c>
    </x:row>
    <x:row r="331" s="117" customFormat="1" hidden="1">
      <x:c r="A331" s="184" t="inlineStr">
        <x:is>
          <x:t xml:space="preserve">EMPNBR150007</x:t>
        </x:is>
      </x:c>
      <x:c r="B331" s="184" t="inlineStr">
        <x:is>
          <x:t xml:space="preserve">4210507 EMPAQUETADURA BUTILO DN 160X3 MM  PYG1 Y PTG2</x:t>
        </x:is>
      </x:c>
      <x:c r="C331" s="184" t="n">
        <x:v>0</x:v>
      </x:c>
      <x:c r="D331" s="184" t="n">
        <x:v>0</x:v>
      </x:c>
      <x:c r="E331" s="184" t="n">
        <x:v>0</x:v>
      </x:c>
      <x:c r="F331" s="184" t="n">
        <x:v>0</x:v>
      </x:c>
      <x:c r="G331" s="184" t="n">
        <x:v>0</x:v>
      </x:c>
      <x:c r="H331" s="193" t="n">
        <x:v>0</x:v>
      </x:c>
      <x:c r="I331" s="185" t="n">
        <x:v>0</x:v>
      </x:c>
      <x:c r="J331" s="185" t="n">
        <x:v>0</x:v>
      </x:c>
      <x:c r="K331" s="289" t="n">
        <x:v>4852</x:v>
      </x:c>
    </x:row>
    <x:row r="332" s="117" customFormat="1" hidden="1">
      <x:c r="A332" s="184" t="inlineStr">
        <x:is>
          <x:t xml:space="preserve">EMPNBR150008</x:t>
        </x:is>
      </x:c>
      <x:c r="B332" s="184" t="inlineStr">
        <x:is>
          <x:t xml:space="preserve">4210508 EMPAQUETADURA BUTILO DN 160X3 MM 5MPa  PYG1 Y PTG2</x:t>
        </x:is>
      </x:c>
      <x:c r="C332" s="184" t="n">
        <x:v>0</x:v>
      </x:c>
      <x:c r="D332" s="184" t="n">
        <x:v>0</x:v>
      </x:c>
      <x:c r="E332" s="184" t="n">
        <x:v>0</x:v>
      </x:c>
      <x:c r="F332" s="184" t="n">
        <x:v>0</x:v>
      </x:c>
      <x:c r="G332" s="184" t="n">
        <x:v>0</x:v>
      </x:c>
      <x:c r="H332" s="193" t="n">
        <x:v>0</x:v>
      </x:c>
      <x:c r="I332" s="185" t="n">
        <x:v>0</x:v>
      </x:c>
      <x:c r="J332" s="185" t="n">
        <x:v>0</x:v>
      </x:c>
      <x:c r="K332" s="289" t="n">
        <x:v>4302</x:v>
      </x:c>
    </x:row>
    <x:row r="333" s="117" customFormat="1" hidden="1">
      <x:c r="A333" s="184" t="inlineStr">
        <x:is>
          <x:t xml:space="preserve">EMPNBR150009</x:t>
        </x:is>
      </x:c>
      <x:c r="B333" s="184" t="inlineStr">
        <x:is>
          <x:t xml:space="preserve">4210509 EMPAQUETADURA BUTILO DN 125X3 MM 5MPa  PYG1 Y PTG2</x:t>
        </x:is>
      </x:c>
      <x:c r="C333" s="184" t="n">
        <x:v>0</x:v>
      </x:c>
      <x:c r="D333" s="184" t="n">
        <x:v>0</x:v>
      </x:c>
      <x:c r="E333" s="184" t="n">
        <x:v>0</x:v>
      </x:c>
      <x:c r="F333" s="184" t="n">
        <x:v>0</x:v>
      </x:c>
      <x:c r="G333" s="184" t="n">
        <x:v>0</x:v>
      </x:c>
      <x:c r="H333" s="193" t="n">
        <x:v>0</x:v>
      </x:c>
      <x:c r="I333" s="185" t="n">
        <x:v>0</x:v>
      </x:c>
      <x:c r="J333" s="185" t="n">
        <x:v>0</x:v>
      </x:c>
      <x:c r="K333" s="289" t="n">
        <x:v>3379</x:v>
      </x:c>
    </x:row>
    <x:row r="334" s="117" customFormat="1" hidden="1">
      <x:c r="A334" s="184" t="inlineStr">
        <x:is>
          <x:t xml:space="preserve">EMPNBR150010</x:t>
        </x:is>
      </x:c>
      <x:c r="B334" s="184" t="inlineStr">
        <x:is>
          <x:t xml:space="preserve">4210510 EMPAQUETADURA BUTILO DN 110X3 MM 5MPa  PYG1 Y PTG2</x:t>
        </x:is>
      </x:c>
      <x:c r="C334" s="184" t="n">
        <x:v>0</x:v>
      </x:c>
      <x:c r="D334" s="184" t="n">
        <x:v>0</x:v>
      </x:c>
      <x:c r="E334" s="184" t="n">
        <x:v>0</x:v>
      </x:c>
      <x:c r="F334" s="184" t="n">
        <x:v>0</x:v>
      </x:c>
      <x:c r="G334" s="184" t="n">
        <x:v>0</x:v>
      </x:c>
      <x:c r="H334" s="193" t="n">
        <x:v>0</x:v>
      </x:c>
      <x:c r="I334" s="185" t="n">
        <x:v>0</x:v>
      </x:c>
      <x:c r="J334" s="185" t="n">
        <x:v>0</x:v>
      </x:c>
      <x:c r="K334" s="289" t="n">
        <x:v>2701</x:v>
      </x:c>
    </x:row>
    <x:row r="335" s="117" customFormat="1" hidden="1">
      <x:c r="A335" s="184" t="inlineStr">
        <x:is>
          <x:t xml:space="preserve">EMPNBR150011</x:t>
        </x:is>
      </x:c>
      <x:c r="B335" s="184" t="inlineStr">
        <x:is>
          <x:t xml:space="preserve">4210511  EMPAQUETADURA BUTILO DN 250X3 MM 5MPa  PYG1 Y PTG2</x:t>
        </x:is>
      </x:c>
      <x:c r="C335" s="184" t="n">
        <x:v>0</x:v>
      </x:c>
      <x:c r="D335" s="184" t="n">
        <x:v>0</x:v>
      </x:c>
      <x:c r="E335" s="184" t="n">
        <x:v>0</x:v>
      </x:c>
      <x:c r="F335" s="184" t="n">
        <x:v>0</x:v>
      </x:c>
      <x:c r="G335" s="184" t="n">
        <x:v>0</x:v>
      </x:c>
      <x:c r="H335" s="193" t="n">
        <x:v>0</x:v>
      </x:c>
      <x:c r="I335" s="185" t="n">
        <x:v>0</x:v>
      </x:c>
      <x:c r="J335" s="185" t="n">
        <x:v>0</x:v>
      </x:c>
      <x:c r="K335" s="289" t="n">
        <x:v>7579</x:v>
      </x:c>
    </x:row>
    <x:row r="336" s="117" customFormat="1" hidden="1">
      <x:c r="A336" s="184" t="inlineStr">
        <x:is>
          <x:t xml:space="preserve">EMPNBR150012</x:t>
        </x:is>
      </x:c>
      <x:c r="B336" s="184" t="inlineStr">
        <x:is>
          <x:t xml:space="preserve">4210512 EMPAQUETADURA BUTILO DN 315X3 MM 5MPa  PYG1 Y PTG2</x:t>
        </x:is>
      </x:c>
      <x:c r="C336" s="184" t="n">
        <x:v>0</x:v>
      </x:c>
      <x:c r="D336" s="184" t="n">
        <x:v>0</x:v>
      </x:c>
      <x:c r="E336" s="184" t="n">
        <x:v>0</x:v>
      </x:c>
      <x:c r="F336" s="184" t="n">
        <x:v>0</x:v>
      </x:c>
      <x:c r="G336" s="184" t="n">
        <x:v>0</x:v>
      </x:c>
      <x:c r="H336" s="193" t="n">
        <x:v>0</x:v>
      </x:c>
      <x:c r="I336" s="185" t="n">
        <x:v>0</x:v>
      </x:c>
      <x:c r="J336" s="185" t="n">
        <x:v>0</x:v>
      </x:c>
      <x:c r="K336" s="289" t="n">
        <x:v>8174</x:v>
      </x:c>
    </x:row>
    <x:row r="337" s="117" customFormat="1" hidden="1">
      <x:c r="A337" s="184" t="inlineStr">
        <x:is>
          <x:t xml:space="preserve">EMPNBR150013</x:t>
        </x:is>
      </x:c>
      <x:c r="B337" s="184" t="inlineStr">
        <x:is>
          <x:t xml:space="preserve">4210513 EMPAQUETADURA BUTILO DN 400X3 MM 5MPa  PYG1 Y PTG2</x:t>
        </x:is>
      </x:c>
      <x:c r="C337" s="184" t="n">
        <x:v>0</x:v>
      </x:c>
      <x:c r="D337" s="184" t="n">
        <x:v>0</x:v>
      </x:c>
      <x:c r="E337" s="184" t="n">
        <x:v>0</x:v>
      </x:c>
      <x:c r="F337" s="184" t="n">
        <x:v>0</x:v>
      </x:c>
      <x:c r="G337" s="184" t="n">
        <x:v>0</x:v>
      </x:c>
      <x:c r="H337" s="193" t="n">
        <x:v>0</x:v>
      </x:c>
      <x:c r="I337" s="185" t="n">
        <x:v>0</x:v>
      </x:c>
      <x:c r="J337" s="185" t="n">
        <x:v>0</x:v>
      </x:c>
      <x:c r="K337" s="289" t="n">
        <x:v>19867</x:v>
      </x:c>
    </x:row>
    <x:row r="338" s="117" customFormat="1" hidden="1">
      <x:c r="A338" s="184" t="inlineStr">
        <x:is>
          <x:t xml:space="preserve">EMPNBR150014</x:t>
        </x:is>
      </x:c>
      <x:c r="B338" s="184" t="inlineStr">
        <x:is>
          <x:t xml:space="preserve">4210514 EMPAQUETADURA BUTILO DN 4550X3 MM 5MPa  PYG1 Y PTG2</x:t>
        </x:is>
      </x:c>
      <x:c r="C338" s="184" t="n">
        <x:v>0</x:v>
      </x:c>
      <x:c r="D338" s="184" t="n">
        <x:v>0</x:v>
      </x:c>
      <x:c r="E338" s="184" t="n">
        <x:v>0</x:v>
      </x:c>
      <x:c r="F338" s="184" t="n">
        <x:v>0</x:v>
      </x:c>
      <x:c r="G338" s="184" t="n">
        <x:v>0</x:v>
      </x:c>
      <x:c r="H338" s="193" t="n">
        <x:v>0</x:v>
      </x:c>
      <x:c r="I338" s="185" t="n">
        <x:v>0</x:v>
      </x:c>
      <x:c r="J338" s="185" t="n">
        <x:v>0</x:v>
      </x:c>
      <x:c r="K338" s="289" t="n">
        <x:v>21528</x:v>
      </x:c>
    </x:row>
    <x:row r="339" s="117" customFormat="1" hidden="1">
      <x:c r="A339" s="184" t="inlineStr">
        <x:is>
          <x:t xml:space="preserve">EMPNBR150015</x:t>
        </x:is>
      </x:c>
      <x:c r="B339" s="184" t="inlineStr">
        <x:is>
          <x:t xml:space="preserve">4210531 EMPAQUETADURA BUTILO DN 90X3 MM 5MPa  PYG1 Y PTG2</x:t>
        </x:is>
      </x:c>
      <x:c r="C339" s="184" t="n">
        <x:v>0</x:v>
      </x:c>
      <x:c r="D339" s="184" t="n">
        <x:v>0</x:v>
      </x:c>
      <x:c r="E339" s="184" t="n">
        <x:v>0</x:v>
      </x:c>
      <x:c r="F339" s="184" t="n">
        <x:v>0</x:v>
      </x:c>
      <x:c r="G339" s="184" t="n">
        <x:v>0</x:v>
      </x:c>
      <x:c r="H339" s="193" t="n">
        <x:v>0</x:v>
      </x:c>
      <x:c r="I339" s="185" t="n">
        <x:v>0</x:v>
      </x:c>
      <x:c r="J339" s="185" t="n">
        <x:v>0</x:v>
      </x:c>
      <x:c r="K339" s="289" t="n">
        <x:v>1976</x:v>
      </x:c>
    </x:row>
    <x:row r="340" s="117" customFormat="1" hidden="1">
      <x:c r="A340" s="184" t="inlineStr">
        <x:is>
          <x:t xml:space="preserve">EMPNBR150016</x:t>
        </x:is>
      </x:c>
      <x:c r="B340" s="184" t="inlineStr">
        <x:is>
          <x:t xml:space="preserve">4210532 EMPAQUETADURA BUTILO DN 63X3 MM 5MPa  PYG1 Y PTG2</x:t>
        </x:is>
      </x:c>
      <x:c r="C340" s="184" t="n">
        <x:v>0</x:v>
      </x:c>
      <x:c r="D340" s="184" t="n">
        <x:v>0</x:v>
      </x:c>
      <x:c r="E340" s="184" t="n">
        <x:v>0</x:v>
      </x:c>
      <x:c r="F340" s="184" t="n">
        <x:v>0</x:v>
      </x:c>
      <x:c r="G340" s="184" t="n">
        <x:v>0</x:v>
      </x:c>
      <x:c r="H340" s="193" t="n">
        <x:v>0</x:v>
      </x:c>
      <x:c r="I340" s="185" t="n">
        <x:v>0</x:v>
      </x:c>
      <x:c r="J340" s="185" t="n">
        <x:v>0</x:v>
      </x:c>
      <x:c r="K340" s="289" t="n">
        <x:v>1415</x:v>
      </x:c>
    </x:row>
    <x:row r="341" s="117" customFormat="1" hidden="1">
      <x:c r="A341" s="184" t="inlineStr">
        <x:is>
          <x:t xml:space="preserve">EMPNBR150017</x:t>
        </x:is>
      </x:c>
      <x:c r="B341" s="184" t="inlineStr">
        <x:is>
          <x:t xml:space="preserve">4210533 EMPAQUETADURA BUTILO DN 50X3 MM 5MPa  PYG1 Y PTG2</x:t>
        </x:is>
      </x:c>
      <x:c r="C341" s="184" t="n">
        <x:v>0</x:v>
      </x:c>
      <x:c r="D341" s="184" t="n">
        <x:v>0</x:v>
      </x:c>
      <x:c r="E341" s="184" t="n">
        <x:v>0</x:v>
      </x:c>
      <x:c r="F341" s="184" t="n">
        <x:v>0</x:v>
      </x:c>
      <x:c r="G341" s="184" t="n">
        <x:v>0</x:v>
      </x:c>
      <x:c r="H341" s="193" t="n">
        <x:v>0</x:v>
      </x:c>
      <x:c r="I341" s="185" t="n">
        <x:v>0</x:v>
      </x:c>
      <x:c r="J341" s="185" t="n">
        <x:v>0</x:v>
      </x:c>
      <x:c r="K341" s="289" t="n">
        <x:v>1156</x:v>
      </x:c>
    </x:row>
    <x:row r="342" s="117" customFormat="1" hidden="1">
      <x:c r="A342" s="184" t="inlineStr">
        <x:is>
          <x:t xml:space="preserve">EMPSPI001001</x:t>
        </x:is>
      </x:c>
      <x:c r="B342" s="184" t="inlineStr">
        <x:is>
          <x:t xml:space="preserve">EMPAQUETADURA ESPIROMETALICA CLASE 1500 CGI 8 PLG  304</x:t>
        </x:is>
      </x:c>
      <x:c r="C342" s="184" t="n">
        <x:v>0</x:v>
      </x:c>
      <x:c r="D342" s="184" t="n">
        <x:v>0</x:v>
      </x:c>
      <x:c r="E342" s="184" t="n">
        <x:v>0</x:v>
      </x:c>
      <x:c r="F342" s="184" t="n">
        <x:v>0</x:v>
      </x:c>
      <x:c r="G342" s="184" t="n">
        <x:v>0</x:v>
      </x:c>
      <x:c r="H342" s="193" t="n">
        <x:v>0</x:v>
      </x:c>
      <x:c r="I342" s="185" t="n">
        <x:v>0</x:v>
      </x:c>
      <x:c r="J342" s="185" t="n">
        <x:v>0</x:v>
      </x:c>
      <x:c r="K342" s="289" t="n">
        <x:v>5000</x:v>
      </x:c>
    </x:row>
    <x:row r="343" s="117" customFormat="1" hidden="1">
      <x:c r="A343" s="184" t="inlineStr">
        <x:is>
          <x:t xml:space="preserve">EMPSPI001002</x:t>
        </x:is>
      </x:c>
      <x:c r="B343" s="184" t="inlineStr">
        <x:is>
          <x:t xml:space="preserve">EMPAQUETADURA ESPIROMETALICA CG CLASE 150 16 PLG  316/FG</x:t>
        </x:is>
      </x:c>
      <x:c r="C343" s="184" t="n">
        <x:v>5</x:v>
      </x:c>
      <x:c r="D343" s="184" t="n">
        <x:v>0</x:v>
      </x:c>
      <x:c r="E343" s="184" t="n">
        <x:v>0</x:v>
      </x:c>
      <x:c r="F343" s="184" t="n">
        <x:v>5</x:v>
      </x:c>
      <x:c r="G343" s="184" t="n">
        <x:v>23762</x:v>
      </x:c>
      <x:c r="H343" s="193" t="n">
        <x:v>0</x:v>
      </x:c>
      <x:c r="I343" s="185" t="n">
        <x:v>0</x:v>
      </x:c>
      <x:c r="J343" s="185" t="n">
        <x:v>23762</x:v>
      </x:c>
      <x:c r="K343" s="289" t="n">
        <x:v>4752.4</x:v>
      </x:c>
    </x:row>
    <x:row r="344" s="117" customFormat="1" hidden="1">
      <x:c r="A344" s="184" t="inlineStr">
        <x:is>
          <x:t xml:space="preserve">EMPSPI001003</x:t>
        </x:is>
      </x:c>
      <x:c r="B344" s="184" t="inlineStr">
        <x:is>
          <x:t xml:space="preserve">EMPAQ ESPIROMETALICA TIPO DR, ANILLO EXI. 304 EMPAQUE GRAFITO CLASE 150 .1/2 PLG (8510050BABA)</x:t>
        </x:is>
      </x:c>
      <x:c r="C344" s="184" t="n">
        <x:v>20</x:v>
      </x:c>
      <x:c r="D344" s="184" t="n">
        <x:v>0</x:v>
      </x:c>
      <x:c r="E344" s="184" t="n">
        <x:v>0</x:v>
      </x:c>
      <x:c r="F344" s="184" t="n">
        <x:v>20</x:v>
      </x:c>
      <x:c r="G344" s="184" t="n">
        <x:v>6421</x:v>
      </x:c>
      <x:c r="H344" s="193" t="n">
        <x:v>0</x:v>
      </x:c>
      <x:c r="I344" s="185" t="n">
        <x:v>0</x:v>
      </x:c>
      <x:c r="J344" s="185" t="n">
        <x:v>6421</x:v>
      </x:c>
      <x:c r="K344" s="289" t="n">
        <x:v>321.07</x:v>
      </x:c>
    </x:row>
    <x:row r="345" s="117" customFormat="1" hidden="1">
      <x:c r="A345" s="184" t="inlineStr">
        <x:is>
          <x:t xml:space="preserve">EMPSPI001004</x:t>
        </x:is>
      </x:c>
      <x:c r="B345" s="184" t="inlineStr">
        <x:is>
          <x:t xml:space="preserve">EMPAQ ESPIROMETALICA TIPO  DR , ANILLO EXI 304 EMPAQUE GRAFITO CLASE 150. 3/4  PLG (8510075BABA)</x:t>
        </x:is>
      </x:c>
      <x:c r="C345" s="184" t="n">
        <x:v>20</x:v>
      </x:c>
      <x:c r="D345" s="184" t="n">
        <x:v>0</x:v>
      </x:c>
      <x:c r="E345" s="184" t="n">
        <x:v>0</x:v>
      </x:c>
      <x:c r="F345" s="184" t="n">
        <x:v>20</x:v>
      </x:c>
      <x:c r="G345" s="184" t="n">
        <x:v>6547</x:v>
      </x:c>
      <x:c r="H345" s="193" t="n">
        <x:v>0</x:v>
      </x:c>
      <x:c r="I345" s="185" t="n">
        <x:v>0</x:v>
      </x:c>
      <x:c r="J345" s="185" t="n">
        <x:v>6547</x:v>
      </x:c>
      <x:c r="K345" s="289" t="n">
        <x:v>327.37</x:v>
      </x:c>
    </x:row>
    <x:row r="346" s="117" customFormat="1" hidden="1">
      <x:c r="A346" s="184" t="inlineStr">
        <x:is>
          <x:t xml:space="preserve">EMPSPI001005</x:t>
        </x:is>
      </x:c>
      <x:c r="B346" s="184" t="inlineStr">
        <x:is>
          <x:t xml:space="preserve">EMPAQ ESPIROMETALICA TIPO  DR , ANILLO EXI 304 EMPAQUE GRAFITO CLASE 150. 1PLG (8510100BABA)</x:t>
        </x:is>
      </x:c>
      <x:c r="C346" s="184" t="n">
        <x:v>20</x:v>
      </x:c>
      <x:c r="D346" s="184" t="n">
        <x:v>0</x:v>
      </x:c>
      <x:c r="E346" s="184" t="n">
        <x:v>0</x:v>
      </x:c>
      <x:c r="F346" s="184" t="n">
        <x:v>20</x:v>
      </x:c>
      <x:c r="G346" s="184" t="n">
        <x:v>7051</x:v>
      </x:c>
      <x:c r="H346" s="193" t="n">
        <x:v>0</x:v>
      </x:c>
      <x:c r="I346" s="185" t="n">
        <x:v>0</x:v>
      </x:c>
      <x:c r="J346" s="185" t="n">
        <x:v>7051</x:v>
      </x:c>
      <x:c r="K346" s="289" t="n">
        <x:v>352.55</x:v>
      </x:c>
    </x:row>
    <x:row r="347" s="117" customFormat="1" hidden="1">
      <x:c r="A347" s="184" t="inlineStr">
        <x:is>
          <x:t xml:space="preserve">EMPSPI001006</x:t>
        </x:is>
      </x:c>
      <x:c r="B347" s="184" t="inlineStr">
        <x:is>
          <x:t xml:space="preserve">EMPAQ ESPIROMETALICA TIPO  DR , ANILLO EXI 304 EMPAQUE GRAFITO CLASE 150. 1 1/4PLG (8510125BABA)</x:t>
        </x:is>
      </x:c>
      <x:c r="C347" s="184" t="n">
        <x:v>60</x:v>
      </x:c>
      <x:c r="D347" s="184" t="n">
        <x:v>0</x:v>
      </x:c>
      <x:c r="E347" s="184" t="n">
        <x:v>0</x:v>
      </x:c>
      <x:c r="F347" s="184" t="n">
        <x:v>60</x:v>
      </x:c>
      <x:c r="G347" s="184" t="n">
        <x:v>22664</x:v>
      </x:c>
      <x:c r="H347" s="193" t="n">
        <x:v>0</x:v>
      </x:c>
      <x:c r="I347" s="185" t="n">
        <x:v>0</x:v>
      </x:c>
      <x:c r="J347" s="185" t="n">
        <x:v>22664</x:v>
      </x:c>
      <x:c r="K347" s="289" t="n">
        <x:v>377.73</x:v>
      </x:c>
    </x:row>
    <x:row r="348" s="117" customFormat="1" hidden="1">
      <x:c r="A348" s="184" t="inlineStr">
        <x:is>
          <x:t xml:space="preserve">EMPSPI001007</x:t>
        </x:is>
      </x:c>
      <x:c r="B348" s="184" t="inlineStr">
        <x:is>
          <x:t xml:space="preserve">EMPAQ ESPIROMETALICA TIPO  DR , ANILLO EXI 304 EMPAQUE GRAFITO CLASE 150. 1 1/2 PLG (8510150BABA)</x:t>
        </x:is>
      </x:c>
      <x:c r="C348" s="184" t="n">
        <x:v>20</x:v>
      </x:c>
      <x:c r="D348" s="184" t="n">
        <x:v>0</x:v>
      </x:c>
      <x:c r="E348" s="184" t="n">
        <x:v>0</x:v>
      </x:c>
      <x:c r="F348" s="184" t="n">
        <x:v>20</x:v>
      </x:c>
      <x:c r="G348" s="184" t="n">
        <x:v>8814</x:v>
      </x:c>
      <x:c r="H348" s="193" t="n">
        <x:v>0</x:v>
      </x:c>
      <x:c r="I348" s="185" t="n">
        <x:v>0</x:v>
      </x:c>
      <x:c r="J348" s="185" t="n">
        <x:v>8814</x:v>
      </x:c>
      <x:c r="K348" s="289" t="n">
        <x:v>440.68</x:v>
      </x:c>
    </x:row>
    <x:row r="349" s="117" customFormat="1" hidden="1">
      <x:c r="A349" s="184" t="inlineStr">
        <x:is>
          <x:t xml:space="preserve">EMPSPI001008</x:t>
        </x:is>
      </x:c>
      <x:c r="B349" s="184" t="inlineStr">
        <x:is>
          <x:t xml:space="preserve">EMPAQ ESPIROMETALICA TIPO  DR , ANILLO EXI 304 EMPAQUE GRAFITO CLASE 150. 2 PLG (8510200BABA))</x:t>
        </x:is>
      </x:c>
      <x:c r="C349" s="184" t="n">
        <x:v>0</x:v>
      </x:c>
      <x:c r="D349" s="184" t="n">
        <x:v>0</x:v>
      </x:c>
      <x:c r="E349" s="184" t="n">
        <x:v>0</x:v>
      </x:c>
      <x:c r="F349" s="184" t="n">
        <x:v>0</x:v>
      </x:c>
      <x:c r="G349" s="184" t="n">
        <x:v>0</x:v>
      </x:c>
      <x:c r="H349" s="193" t="n">
        <x:v>0</x:v>
      </x:c>
      <x:c r="I349" s="185" t="n">
        <x:v>0</x:v>
      </x:c>
      <x:c r="J349" s="185" t="n">
        <x:v>0</x:v>
      </x:c>
      <x:c r="K349" s="289" t="n">
        <x:v>440.68</x:v>
      </x:c>
    </x:row>
    <x:row r="350" s="117" customFormat="1" hidden="1">
      <x:c r="A350" s="184" t="inlineStr">
        <x:is>
          <x:t xml:space="preserve">EMPSPI001009</x:t>
        </x:is>
      </x:c>
      <x:c r="B350" s="184" t="inlineStr">
        <x:is>
          <x:t xml:space="preserve">EMPAQ ESPIROMETALICA TIPO  DR , ANILLO EXI 304 EMPAQUE GRAFITO CLASE 150. 2 1/2 PLG (8510250BABA)</x:t>
        </x:is>
      </x:c>
      <x:c r="C350" s="184" t="n">
        <x:v>100</x:v>
      </x:c>
      <x:c r="D350" s="184" t="n">
        <x:v>0</x:v>
      </x:c>
      <x:c r="E350" s="184" t="n">
        <x:v>0</x:v>
      </x:c>
      <x:c r="F350" s="184" t="n">
        <x:v>100</x:v>
      </x:c>
      <x:c r="G350" s="184" t="n">
        <x:v>48475</x:v>
      </x:c>
      <x:c r="H350" s="193" t="n">
        <x:v>0</x:v>
      </x:c>
      <x:c r="I350" s="185" t="n">
        <x:v>0</x:v>
      </x:c>
      <x:c r="J350" s="185" t="n">
        <x:v>48475</x:v>
      </x:c>
      <x:c r="K350" s="289" t="n">
        <x:v>484.75</x:v>
      </x:c>
    </x:row>
    <x:row r="351" s="117" customFormat="1" hidden="1">
      <x:c r="A351" s="184" t="inlineStr">
        <x:is>
          <x:t xml:space="preserve">EMPSPI001010</x:t>
        </x:is>
      </x:c>
      <x:c r="B351" s="184" t="inlineStr">
        <x:is>
          <x:t xml:space="preserve">EMPAQ ESPIROMETALICA TIPO  DR , ANILLO EXI 304 EMPAQUE GRAFITO CLASE 150. 3 PLG (8510300BABA)</x:t>
        </x:is>
      </x:c>
      <x:c r="C351" s="184" t="n">
        <x:v>100</x:v>
      </x:c>
      <x:c r="D351" s="184" t="n">
        <x:v>0</x:v>
      </x:c>
      <x:c r="E351" s="184" t="n">
        <x:v>0</x:v>
      </x:c>
      <x:c r="F351" s="184" t="n">
        <x:v>100</x:v>
      </x:c>
      <x:c r="G351" s="184" t="n">
        <x:v>59178</x:v>
      </x:c>
      <x:c r="H351" s="193" t="n">
        <x:v>0</x:v>
      </x:c>
      <x:c r="I351" s="185" t="n">
        <x:v>0</x:v>
      </x:c>
      <x:c r="J351" s="185" t="n">
        <x:v>59178</x:v>
      </x:c>
      <x:c r="K351" s="289" t="n">
        <x:v>591.78</x:v>
      </x:c>
    </x:row>
    <x:row r="352" s="117" customFormat="1" hidden="1">
      <x:c r="A352" s="184" t="inlineStr">
        <x:is>
          <x:t xml:space="preserve">EMPSPI001011</x:t>
        </x:is>
      </x:c>
      <x:c r="B352" s="184" t="inlineStr">
        <x:is>
          <x:t xml:space="preserve">EMPAQ ESPIROMETALICA TIPO  DR , ANILLO EXI 304 EMPAQUE GRAFITO CLASE 150. 4 PLG (8510400BABA)</x:t>
        </x:is>
      </x:c>
      <x:c r="C352" s="184" t="n">
        <x:v>165</x:v>
      </x:c>
      <x:c r="D352" s="184" t="n">
        <x:v>0</x:v>
      </x:c>
      <x:c r="E352" s="184" t="n">
        <x:v>0</x:v>
      </x:c>
      <x:c r="F352" s="184" t="n">
        <x:v>165</x:v>
      </x:c>
      <x:c r="G352" s="184" t="n">
        <x:v>151658</x:v>
      </x:c>
      <x:c r="H352" s="193" t="n">
        <x:v>0</x:v>
      </x:c>
      <x:c r="I352" s="185" t="n">
        <x:v>0</x:v>
      </x:c>
      <x:c r="J352" s="185" t="n">
        <x:v>151658</x:v>
      </x:c>
      <x:c r="K352" s="289" t="n">
        <x:v>919.14</x:v>
      </x:c>
    </x:row>
    <x:row r="353" s="117" customFormat="1" hidden="1">
      <x:c r="A353" s="184" t="inlineStr">
        <x:is>
          <x:t xml:space="preserve">EMPSPI001012</x:t>
        </x:is>
      </x:c>
      <x:c r="B353" s="184" t="inlineStr">
        <x:is>
          <x:t xml:space="preserve">EMPAQ ESPIROMETALICA TIPO  DR , ANILLO EXI 304 EMPAQUE GRAFITO CLASE 150. 6 PLG (8510600BABA)</x:t>
        </x:is>
      </x:c>
      <x:c r="C353" s="184" t="n">
        <x:v>165</x:v>
      </x:c>
      <x:c r="D353" s="184" t="n">
        <x:v>0</x:v>
      </x:c>
      <x:c r="E353" s="184" t="n">
        <x:v>0</x:v>
      </x:c>
      <x:c r="F353" s="184" t="n">
        <x:v>165</x:v>
      </x:c>
      <x:c r="G353" s="184" t="n">
        <x:v>234759</x:v>
      </x:c>
      <x:c r="H353" s="193" t="n">
        <x:v>0</x:v>
      </x:c>
      <x:c r="I353" s="185" t="n">
        <x:v>0</x:v>
      </x:c>
      <x:c r="J353" s="185" t="n">
        <x:v>234759</x:v>
      </x:c>
      <x:c r="K353" s="289" t="n">
        <x:v>1422.78</x:v>
      </x:c>
    </x:row>
    <x:row r="354" s="117" customFormat="1" hidden="1">
      <x:c r="A354" s="184" t="inlineStr">
        <x:is>
          <x:t xml:space="preserve">EMPSPI001013</x:t>
        </x:is>
      </x:c>
      <x:c r="B354" s="184" t="inlineStr">
        <x:is>
          <x:t xml:space="preserve">EMPAQ ESPIROMETALICA TIPO  DR , ANILLO EXI 304 EMPAQUE GRAFITO CLASE 150. 8PLG (8510800BABA)</x:t>
        </x:is>
      </x:c>
      <x:c r="C354" s="184" t="n">
        <x:v>145</x:v>
      </x:c>
      <x:c r="D354" s="184" t="n">
        <x:v>0</x:v>
      </x:c>
      <x:c r="E354" s="184" t="n">
        <x:v>0</x:v>
      </x:c>
      <x:c r="F354" s="184" t="n">
        <x:v>145</x:v>
      </x:c>
      <x:c r="G354" s="184" t="n">
        <x:v>303065</x:v>
      </x:c>
      <x:c r="H354" s="193" t="n">
        <x:v>0</x:v>
      </x:c>
      <x:c r="I354" s="185" t="n">
        <x:v>0</x:v>
      </x:c>
      <x:c r="J354" s="185" t="n">
        <x:v>303065</x:v>
      </x:c>
      <x:c r="K354" s="289" t="n">
        <x:v>2090.1</x:v>
      </x:c>
    </x:row>
    <x:row r="355" s="117" customFormat="1" hidden="1">
      <x:c r="A355" s="184" t="inlineStr">
        <x:is>
          <x:t xml:space="preserve">EMPSPI001014</x:t>
        </x:is>
      </x:c>
      <x:c r="B355" s="184" t="inlineStr">
        <x:is>
          <x:t xml:space="preserve">EMPAQ ESPIROMETALICA TIPO  DR , ANILLO EXI 304 EMPAQUE GRAFITO CLASE 150. 10PLG (8511000BABA)</x:t>
        </x:is>
      </x:c>
      <x:c r="C355" s="184" t="n">
        <x:v>110</x:v>
      </x:c>
      <x:c r="D355" s="184" t="n">
        <x:v>0</x:v>
      </x:c>
      <x:c r="E355" s="184" t="n">
        <x:v>0</x:v>
      </x:c>
      <x:c r="F355" s="184" t="n">
        <x:v>110</x:v>
      </x:c>
      <x:c r="G355" s="184" t="n">
        <x:v>253457</x:v>
      </x:c>
      <x:c r="H355" s="193" t="n">
        <x:v>0</x:v>
      </x:c>
      <x:c r="I355" s="185" t="n">
        <x:v>0</x:v>
      </x:c>
      <x:c r="J355" s="185" t="n">
        <x:v>253457</x:v>
      </x:c>
      <x:c r="K355" s="289" t="n">
        <x:v>2304.15</x:v>
      </x:c>
    </x:row>
    <x:row r="356" s="117" customFormat="1" hidden="1">
      <x:c r="A356" s="184" t="inlineStr">
        <x:is>
          <x:t xml:space="preserve">EMPSPI001015</x:t>
        </x:is>
      </x:c>
      <x:c r="B356" s="184" t="inlineStr">
        <x:is>
          <x:t xml:space="preserve">EMPAQ ESPIROMETALICA TIPO  DR , ANILLO EXI 304 EMPAQUE GRAFITO CLASE 150.12 PLG (8511200BABA)</x:t>
        </x:is>
      </x:c>
      <x:c r="C356" s="184" t="n">
        <x:v>110</x:v>
      </x:c>
      <x:c r="D356" s="184" t="n">
        <x:v>0</x:v>
      </x:c>
      <x:c r="E356" s="184" t="n">
        <x:v>0</x:v>
      </x:c>
      <x:c r="F356" s="184" t="n">
        <x:v>110</x:v>
      </x:c>
      <x:c r="G356" s="184" t="n">
        <x:v>353177</x:v>
      </x:c>
      <x:c r="H356" s="193" t="n">
        <x:v>0</x:v>
      </x:c>
      <x:c r="I356" s="185" t="n">
        <x:v>0</x:v>
      </x:c>
      <x:c r="J356" s="185" t="n">
        <x:v>353177</x:v>
      </x:c>
      <x:c r="K356" s="289" t="n">
        <x:v>3210.7</x:v>
      </x:c>
    </x:row>
    <x:row r="357" s="117" customFormat="1" hidden="1">
      <x:c r="A357" s="184" t="inlineStr">
        <x:is>
          <x:t xml:space="preserve">EMPSPI001016</x:t>
        </x:is>
      </x:c>
      <x:c r="B357" s="184" t="inlineStr">
        <x:is>
          <x:t xml:space="preserve">EMPAQ ESPIROMETALICA TIPO  DR , ANILLO EXI 304 EMPAQUE GRAFITO CLASE 150. 14PLG (851140BABA)</x:t>
        </x:is>
      </x:c>
      <x:c r="C357" s="184" t="n">
        <x:v>55</x:v>
      </x:c>
      <x:c r="D357" s="184" t="n">
        <x:v>0</x:v>
      </x:c>
      <x:c r="E357" s="184" t="n">
        <x:v>0</x:v>
      </x:c>
      <x:c r="F357" s="184" t="n">
        <x:v>55</x:v>
      </x:c>
      <x:c r="G357" s="184" t="n">
        <x:v>244800</x:v>
      </x:c>
      <x:c r="H357" s="193" t="n">
        <x:v>0</x:v>
      </x:c>
      <x:c r="I357" s="185" t="n">
        <x:v>0</x:v>
      </x:c>
      <x:c r="J357" s="185" t="n">
        <x:v>244800</x:v>
      </x:c>
      <x:c r="K357" s="289" t="n">
        <x:v>4450.91</x:v>
      </x:c>
    </x:row>
    <x:row r="358" s="117" customFormat="1" hidden="1">
      <x:c r="A358" s="184" t="inlineStr">
        <x:is>
          <x:t xml:space="preserve">EMPSPI001017</x:t>
        </x:is>
      </x:c>
      <x:c r="B358" s="184" t="inlineStr">
        <x:is>
          <x:t xml:space="preserve">EMPAQ ESPIROMETALICA TIPO  DR , ANILLO EXI 304 EMPAQUE GRAFITO CLASE 150. 14 PLG (8511400BABA)</x:t>
        </x:is>
      </x:c>
      <x:c r="C358" s="184" t="n">
        <x:v>55</x:v>
      </x:c>
      <x:c r="D358" s="184" t="n">
        <x:v>0</x:v>
      </x:c>
      <x:c r="E358" s="184" t="n">
        <x:v>0</x:v>
      </x:c>
      <x:c r="F358" s="184" t="n">
        <x:v>55</x:v>
      </x:c>
      <x:c r="G358" s="184" t="n">
        <x:v>298816</x:v>
      </x:c>
      <x:c r="H358" s="193" t="n">
        <x:v>0</x:v>
      </x:c>
      <x:c r="I358" s="185" t="n">
        <x:v>0</x:v>
      </x:c>
      <x:c r="J358" s="185" t="n">
        <x:v>298816</x:v>
      </x:c>
      <x:c r="K358" s="289" t="n">
        <x:v>5433.01</x:v>
      </x:c>
    </x:row>
    <x:row r="359" s="117" customFormat="1" hidden="1">
      <x:c r="A359" s="184" t="inlineStr">
        <x:is>
          <x:t xml:space="preserve">EMPSPI001018</x:t>
        </x:is>
      </x:c>
      <x:c r="B359" s="184" t="inlineStr">
        <x:is>
          <x:t xml:space="preserve">EMPAQ ESPIROMETALICA TIPO  DR , ANILLO EXI 304 EMPAQUE GRAFITO CLASE 150. 18PLG (8511800BABA)</x:t>
        </x:is>
      </x:c>
      <x:c r="C359" s="184" t="n">
        <x:v>55</x:v>
      </x:c>
      <x:c r="D359" s="184" t="n">
        <x:v>0</x:v>
      </x:c>
      <x:c r="E359" s="184" t="n">
        <x:v>0</x:v>
      </x:c>
      <x:c r="F359" s="184" t="n">
        <x:v>55</x:v>
      </x:c>
      <x:c r="G359" s="184" t="n">
        <x:v>367720</x:v>
      </x:c>
      <x:c r="H359" s="193" t="n">
        <x:v>0</x:v>
      </x:c>
      <x:c r="I359" s="185" t="n">
        <x:v>0</x:v>
      </x:c>
      <x:c r="J359" s="185" t="n">
        <x:v>367720</x:v>
      </x:c>
      <x:c r="K359" s="289" t="n">
        <x:v>6685.81</x:v>
      </x:c>
    </x:row>
    <x:row r="360" s="117" customFormat="1" hidden="1">
      <x:c r="A360" s="184" t="inlineStr">
        <x:is>
          <x:t xml:space="preserve">EMPSPI001019</x:t>
        </x:is>
      </x:c>
      <x:c r="B360" s="184" t="inlineStr">
        <x:is>
          <x:t xml:space="preserve">EMPAQ ESPIROMETALICA TIPO  DR , ANILLO EXI 304 EMPAQUE GRAFITO CLASE 150. 20PLG (8512000BABA)</x:t>
        </x:is>
      </x:c>
      <x:c r="C360" s="184" t="n">
        <x:v>55</x:v>
      </x:c>
      <x:c r="D360" s="184" t="n">
        <x:v>0</x:v>
      </x:c>
      <x:c r="E360" s="184" t="n">
        <x:v>0</x:v>
      </x:c>
      <x:c r="F360" s="184" t="n">
        <x:v>55</x:v>
      </x:c>
      <x:c r="G360" s="184" t="n">
        <x:v>409962</x:v>
      </x:c>
      <x:c r="H360" s="193" t="n">
        <x:v>0</x:v>
      </x:c>
      <x:c r="I360" s="185" t="n">
        <x:v>0</x:v>
      </x:c>
      <x:c r="J360" s="185" t="n">
        <x:v>409962</x:v>
      </x:c>
      <x:c r="K360" s="289" t="n">
        <x:v>7453.86</x:v>
      </x:c>
    </x:row>
    <x:row r="361" s="117" customFormat="1" hidden="1">
      <x:c r="A361" s="184" t="inlineStr">
        <x:is>
          <x:t xml:space="preserve">EMPSPI001020</x:t>
        </x:is>
      </x:c>
      <x:c r="B361" s="184" t="inlineStr">
        <x:is>
          <x:t xml:space="preserve">EMPAQ ESPIROMETALICA TIPO  DR , ANILLO EXI 304 EMPAQUE GRAFITO CLASE 150. 24 PLG (8512400BABA)</x:t>
        </x:is>
      </x:c>
      <x:c r="C361" s="184" t="n">
        <x:v>55</x:v>
      </x:c>
      <x:c r="D361" s="184" t="n">
        <x:v>0</x:v>
      </x:c>
      <x:c r="E361" s="184" t="n">
        <x:v>0</x:v>
      </x:c>
      <x:c r="F361" s="184" t="n">
        <x:v>55</x:v>
      </x:c>
      <x:c r="G361" s="184" t="n">
        <x:v>529073</x:v>
      </x:c>
      <x:c r="H361" s="193" t="n">
        <x:v>0</x:v>
      </x:c>
      <x:c r="I361" s="185" t="n">
        <x:v>0</x:v>
      </x:c>
      <x:c r="J361" s="185" t="n">
        <x:v>529073</x:v>
      </x:c>
      <x:c r="K361" s="289" t="n">
        <x:v>9619.51</x:v>
      </x:c>
    </x:row>
    <x:row r="362" s="117" customFormat="1" hidden="1">
      <x:c r="A362" s="184" t="inlineStr">
        <x:is>
          <x:t xml:space="preserve">EMPSPI001021</x:t>
        </x:is>
      </x:c>
      <x:c r="B362" s="184" t="inlineStr">
        <x:is>
          <x:t xml:space="preserve">EMPAQ ESPIROMETALICA TIPO DR , ANILLO EXI 304 EMPAQUE GRAFITO CLASE300/400/600 1/2PLG(8510050BJBA)</x:t>
        </x:is>
      </x:c>
      <x:c r="C362" s="184" t="n">
        <x:v>20</x:v>
      </x:c>
      <x:c r="D362" s="184" t="n">
        <x:v>0</x:v>
      </x:c>
      <x:c r="E362" s="184" t="n">
        <x:v>0</x:v>
      </x:c>
      <x:c r="F362" s="184" t="n">
        <x:v>20</x:v>
      </x:c>
      <x:c r="G362" s="184" t="n">
        <x:v>6547</x:v>
      </x:c>
      <x:c r="H362" s="193" t="n">
        <x:v>0</x:v>
      </x:c>
      <x:c r="I362" s="185" t="n">
        <x:v>0</x:v>
      </x:c>
      <x:c r="J362" s="185" t="n">
        <x:v>6547</x:v>
      </x:c>
      <x:c r="K362" s="289" t="n">
        <x:v>327.37</x:v>
      </x:c>
    </x:row>
    <x:row r="363" s="117" customFormat="1" hidden="1">
      <x:c r="A363" s="184" t="inlineStr">
        <x:is>
          <x:t xml:space="preserve">EMPSPI001022</x:t>
        </x:is>
      </x:c>
      <x:c r="B363" s="184" t="inlineStr">
        <x:is>
          <x:t xml:space="preserve">EMPAQ ESPIROMETALICA TIPO  DR , ANILLO EXI 304 EMPAQUE GRAFITO CLASE300/400/600 3/4PLG (B510075BJBA)</x:t>
        </x:is>
      </x:c>
      <x:c r="C363" s="184" t="n">
        <x:v>20</x:v>
      </x:c>
      <x:c r="D363" s="184" t="n">
        <x:v>0</x:v>
      </x:c>
      <x:c r="E363" s="184" t="n">
        <x:v>0</x:v>
      </x:c>
      <x:c r="F363" s="184" t="n">
        <x:v>20</x:v>
      </x:c>
      <x:c r="G363" s="184" t="n">
        <x:v>6799</x:v>
      </x:c>
      <x:c r="H363" s="193" t="n">
        <x:v>0</x:v>
      </x:c>
      <x:c r="I363" s="185" t="n">
        <x:v>0</x:v>
      </x:c>
      <x:c r="J363" s="185" t="n">
        <x:v>6799</x:v>
      </x:c>
      <x:c r="K363" s="289" t="n">
        <x:v>339.96</x:v>
      </x:c>
    </x:row>
    <x:row r="364" s="117" customFormat="1" hidden="1">
      <x:c r="A364" s="184" t="inlineStr">
        <x:is>
          <x:t xml:space="preserve">EMPSPI001023</x:t>
        </x:is>
      </x:c>
      <x:c r="B364" s="184" t="inlineStr">
        <x:is>
          <x:t xml:space="preserve">EMPAQ ESPIROMETALICA TIPO  DR , ANILLO EXI 304 EMPAQUE GRAFITO CLASE 300/400/600 1PLG (8510100BJBA)</x:t>
        </x:is>
      </x:c>
      <x:c r="C364" s="184" t="n">
        <x:v>20</x:v>
      </x:c>
      <x:c r="D364" s="184" t="n">
        <x:v>0</x:v>
      </x:c>
      <x:c r="E364" s="184" t="n">
        <x:v>0</x:v>
      </x:c>
      <x:c r="F364" s="184" t="n">
        <x:v>20</x:v>
      </x:c>
      <x:c r="G364" s="184" t="n">
        <x:v>7051</x:v>
      </x:c>
      <x:c r="H364" s="193" t="n">
        <x:v>0</x:v>
      </x:c>
      <x:c r="I364" s="185" t="n">
        <x:v>0</x:v>
      </x:c>
      <x:c r="J364" s="185" t="n">
        <x:v>7051</x:v>
      </x:c>
      <x:c r="K364" s="289" t="n">
        <x:v>352.55</x:v>
      </x:c>
    </x:row>
    <x:row r="365" s="117" customFormat="1" hidden="1">
      <x:c r="A365" s="184" t="inlineStr">
        <x:is>
          <x:t xml:space="preserve">EMPSPI001024</x:t>
        </x:is>
      </x:c>
      <x:c r="B365" s="184" t="inlineStr">
        <x:is>
          <x:t xml:space="preserve">EMPAQ ESPIROMETALICA TIPO DR , ANILLO EXI 304EMPAQUE GRAFITO CLASE300/400/600 1 1/4PLG (8510125BJBA)</x:t>
        </x:is>
      </x:c>
      <x:c r="C365" s="184" t="n">
        <x:v>20</x:v>
      </x:c>
      <x:c r="D365" s="184" t="n">
        <x:v>0</x:v>
      </x:c>
      <x:c r="E365" s="184" t="n">
        <x:v>0</x:v>
      </x:c>
      <x:c r="F365" s="184" t="n">
        <x:v>20</x:v>
      </x:c>
      <x:c r="G365" s="184" t="n">
        <x:v>8058</x:v>
      </x:c>
      <x:c r="H365" s="193" t="n">
        <x:v>0</x:v>
      </x:c>
      <x:c r="I365" s="185" t="n">
        <x:v>0</x:v>
      </x:c>
      <x:c r="J365" s="185" t="n">
        <x:v>8058</x:v>
      </x:c>
      <x:c r="K365" s="289" t="n">
        <x:v>402.91</x:v>
      </x:c>
    </x:row>
    <x:row r="366" s="117" customFormat="1" hidden="1">
      <x:c r="A366" s="184" t="inlineStr">
        <x:is>
          <x:t xml:space="preserve">EMPSPI001025</x:t>
        </x:is>
      </x:c>
      <x:c r="B366" s="184" t="inlineStr">
        <x:is>
          <x:t xml:space="preserve">EMPAQ ESPIROMETALICA TIPO  DR ,ANILLO EXI 304 EMPAQUE GRAFITO CLASE300/400/600,1 1/4PLG(8510150BJBA)</x:t>
        </x:is>
      </x:c>
      <x:c r="C366" s="184" t="n">
        <x:v>20</x:v>
      </x:c>
      <x:c r="D366" s="184" t="n">
        <x:v>0</x:v>
      </x:c>
      <x:c r="E366" s="184" t="n">
        <x:v>0</x:v>
      </x:c>
      <x:c r="F366" s="184" t="n">
        <x:v>20</x:v>
      </x:c>
      <x:c r="G366" s="184" t="n">
        <x:v>9066</x:v>
      </x:c>
      <x:c r="H366" s="193" t="n">
        <x:v>0</x:v>
      </x:c>
      <x:c r="I366" s="185" t="n">
        <x:v>0</x:v>
      </x:c>
      <x:c r="J366" s="185" t="n">
        <x:v>9066</x:v>
      </x:c>
      <x:c r="K366" s="289" t="n">
        <x:v>453.28</x:v>
      </x:c>
    </x:row>
    <x:row r="367" s="117" customFormat="1" hidden="1">
      <x:c r="A367" s="184" t="inlineStr">
        <x:is>
          <x:t xml:space="preserve">EMPSPI001026</x:t>
        </x:is>
      </x:c>
      <x:c r="B367" s="184" t="inlineStr">
        <x:is>
          <x:t xml:space="preserve">EMPAQ ESPIROMETALICA TIPO  DR , ANILLO EXI 304 EMPAQUE GRAFITO CLASE300/400/600, 2PLG (8510200BJBA)</x:t>
        </x:is>
      </x:c>
      <x:c r="C367" s="184" t="n">
        <x:v>20</x:v>
      </x:c>
      <x:c r="D367" s="184" t="n">
        <x:v>0</x:v>
      </x:c>
      <x:c r="E367" s="184" t="n">
        <x:v>0</x:v>
      </x:c>
      <x:c r="F367" s="184" t="n">
        <x:v>20</x:v>
      </x:c>
      <x:c r="G367" s="184" t="n">
        <x:v>9317</x:v>
      </x:c>
      <x:c r="H367" s="193" t="n">
        <x:v>0</x:v>
      </x:c>
      <x:c r="I367" s="185" t="n">
        <x:v>0</x:v>
      </x:c>
      <x:c r="J367" s="185" t="n">
        <x:v>9317</x:v>
      </x:c>
      <x:c r="K367" s="289" t="n">
        <x:v>465.87</x:v>
      </x:c>
    </x:row>
    <x:row r="368" s="117" customFormat="1" hidden="1">
      <x:c r="A368" s="184" t="inlineStr">
        <x:is>
          <x:t xml:space="preserve">EMPSPI001027</x:t>
        </x:is>
      </x:c>
      <x:c r="B368" s="184" t="inlineStr">
        <x:is>
          <x:t xml:space="preserve">EMPAQ ESPIROMETALICA TIPO DR, ANILLO EXI 304EMPAQUE GRAFITO CLASE300/400/600, 2 1/2PLG (8510250BJBA)</x:t>
        </x:is>
      </x:c>
      <x:c r="C368" s="184" t="n">
        <x:v>20</x:v>
      </x:c>
      <x:c r="D368" s="184" t="n">
        <x:v>0</x:v>
      </x:c>
      <x:c r="E368" s="184" t="n">
        <x:v>0</x:v>
      </x:c>
      <x:c r="F368" s="184" t="n">
        <x:v>20</x:v>
      </x:c>
      <x:c r="G368" s="184" t="n">
        <x:v>10073</x:v>
      </x:c>
      <x:c r="H368" s="193" t="n">
        <x:v>0</x:v>
      </x:c>
      <x:c r="I368" s="185" t="n">
        <x:v>0</x:v>
      </x:c>
      <x:c r="J368" s="185" t="n">
        <x:v>10073</x:v>
      </x:c>
      <x:c r="K368" s="289" t="n">
        <x:v>503.64</x:v>
      </x:c>
    </x:row>
    <x:row r="369" s="117" customFormat="1" hidden="1">
      <x:c r="A369" s="184" t="inlineStr">
        <x:is>
          <x:t xml:space="preserve">EMPSPI001028</x:t>
        </x:is>
      </x:c>
      <x:c r="B369" s="184" t="inlineStr">
        <x:is>
          <x:t xml:space="preserve">EMPAQ ESPIROMETALICA TIPO  DR , ANILLO EXI 304 EMPAQUE GRAFITO CLASE300/400/600, 3PLG (8510300BJBA)</x:t>
        </x:is>
      </x:c>
      <x:c r="C369" s="184" t="n">
        <x:v>20</x:v>
      </x:c>
      <x:c r="D369" s="184" t="n">
        <x:v>0</x:v>
      </x:c>
      <x:c r="E369" s="184" t="n">
        <x:v>0</x:v>
      </x:c>
      <x:c r="F369" s="184" t="n">
        <x:v>20</x:v>
      </x:c>
      <x:c r="G369" s="184" t="n">
        <x:v>12591</x:v>
      </x:c>
      <x:c r="H369" s="193" t="n">
        <x:v>0</x:v>
      </x:c>
      <x:c r="I369" s="185" t="n">
        <x:v>0</x:v>
      </x:c>
      <x:c r="J369" s="185" t="n">
        <x:v>12591</x:v>
      </x:c>
      <x:c r="K369" s="289" t="n">
        <x:v>629.55</x:v>
      </x:c>
    </x:row>
    <x:row r="370" s="117" customFormat="1" hidden="1">
      <x:c r="A370" s="184" t="inlineStr">
        <x:is>
          <x:t xml:space="preserve">EMPSPI001029</x:t>
        </x:is>
      </x:c>
      <x:c r="B370" s="184" t="inlineStr">
        <x:is>
          <x:t xml:space="preserve">EMPAQ ESPIROMETALICA TIPO  DR , ANILLO EXI 304 EMPAQUE GRAFITO CLASE 300, 4PLG (8510400BBBA)</x:t>
        </x:is>
      </x:c>
      <x:c r="C370" s="184" t="n">
        <x:v>110</x:v>
      </x:c>
      <x:c r="D370" s="184" t="n">
        <x:v>0</x:v>
      </x:c>
      <x:c r="E370" s="184" t="n">
        <x:v>0</x:v>
      </x:c>
      <x:c r="F370" s="184" t="n">
        <x:v>110</x:v>
      </x:c>
      <x:c r="G370" s="184" t="n">
        <x:v>105260</x:v>
      </x:c>
      <x:c r="H370" s="193" t="n">
        <x:v>0</x:v>
      </x:c>
      <x:c r="I370" s="185" t="n">
        <x:v>0</x:v>
      </x:c>
      <x:c r="J370" s="185" t="n">
        <x:v>105260</x:v>
      </x:c>
      <x:c r="K370" s="289" t="n">
        <x:v>956.91</x:v>
      </x:c>
    </x:row>
    <x:row r="371" s="117" customFormat="1" hidden="1">
      <x:c r="A371" s="184" t="inlineStr">
        <x:is>
          <x:t xml:space="preserve">EMPSPI001030</x:t>
        </x:is>
      </x:c>
      <x:c r="B371" s="184" t="inlineStr">
        <x:is>
          <x:t xml:space="preserve">EMPAQ ESPIROMETALICA TIPO  DR , ANILLO EXI 304 EMPAQUE GRAFITO CLASE 300 , 6PLG (8510600BBBA)</x:t>
        </x:is>
      </x:c>
      <x:c r="C371" s="184" t="n">
        <x:v>165</x:v>
      </x:c>
      <x:c r="D371" s="184" t="n">
        <x:v>0</x:v>
      </x:c>
      <x:c r="E371" s="184" t="n">
        <x:v>0</x:v>
      </x:c>
      <x:c r="F371" s="184" t="n">
        <x:v>165</x:v>
      </x:c>
      <x:c r="G371" s="184" t="n">
        <x:v>259689</x:v>
      </x:c>
      <x:c r="H371" s="193" t="n">
        <x:v>0</x:v>
      </x:c>
      <x:c r="I371" s="185" t="n">
        <x:v>0</x:v>
      </x:c>
      <x:c r="J371" s="185" t="n">
        <x:v>259689</x:v>
      </x:c>
      <x:c r="K371" s="289" t="n">
        <x:v>1573.87</x:v>
      </x:c>
    </x:row>
    <x:row r="372" s="117" customFormat="1" hidden="1">
      <x:c r="A372" s="184" t="inlineStr">
        <x:is>
          <x:t xml:space="preserve">EMPSPI001031</x:t>
        </x:is>
      </x:c>
      <x:c r="B372" s="184" t="inlineStr">
        <x:is>
          <x:t xml:space="preserve">EMPAQ ESPIROMETALICA TIPO  DR , ANILLO EXI 304 EMPAQUE GRAFITO CLASE 300, 8 PLG (8510800BBBA)</x:t>
        </x:is>
      </x:c>
      <x:c r="C372" s="184" t="n">
        <x:v>145</x:v>
      </x:c>
      <x:c r="D372" s="184" t="n">
        <x:v>0</x:v>
      </x:c>
      <x:c r="E372" s="184" t="n">
        <x:v>0</x:v>
      </x:c>
      <x:c r="F372" s="184" t="n">
        <x:v>145</x:v>
      </x:c>
      <x:c r="G372" s="184" t="n">
        <x:v>314019</x:v>
      </x:c>
      <x:c r="H372" s="193" t="n">
        <x:v>0</x:v>
      </x:c>
      <x:c r="I372" s="185" t="n">
        <x:v>0</x:v>
      </x:c>
      <x:c r="J372" s="185" t="n">
        <x:v>314019</x:v>
      </x:c>
      <x:c r="K372" s="289" t="n">
        <x:v>2165.65</x:v>
      </x:c>
    </x:row>
    <x:row r="373" s="117" customFormat="1" hidden="1">
      <x:c r="A373" s="184" t="inlineStr">
        <x:is>
          <x:t xml:space="preserve">EMPSPI001032</x:t>
        </x:is>
      </x:c>
      <x:c r="B373" s="184" t="inlineStr">
        <x:is>
          <x:t xml:space="preserve">EMPAQ ESPIROMETALICA TIPO  DR , ANILLO EXI 304 EMPAQUE GRAFITO CLASE 300, 10 PLG  (8511000BBBA)</x:t>
        </x:is>
      </x:c>
      <x:c r="C373" s="184" t="n">
        <x:v>55</x:v>
      </x:c>
      <x:c r="D373" s="184" t="n">
        <x:v>0</x:v>
      </x:c>
      <x:c r="E373" s="184" t="n">
        <x:v>0</x:v>
      </x:c>
      <x:c r="F373" s="184" t="n">
        <x:v>55</x:v>
      </x:c>
      <x:c r="G373" s="184" t="n">
        <x:v>134000</x:v>
      </x:c>
      <x:c r="H373" s="193" t="n">
        <x:v>0</x:v>
      </x:c>
      <x:c r="I373" s="185" t="n">
        <x:v>0</x:v>
      </x:c>
      <x:c r="J373" s="185" t="n">
        <x:v>134000</x:v>
      </x:c>
      <x:c r="K373" s="289" t="n">
        <x:v>2436.36</x:v>
      </x:c>
    </x:row>
    <x:row r="374" s="117" customFormat="1" hidden="1">
      <x:c r="A374" s="184" t="inlineStr">
        <x:is>
          <x:t xml:space="preserve">EMPSPI001033</x:t>
        </x:is>
      </x:c>
      <x:c r="B374" s="184" t="inlineStr">
        <x:is>
          <x:t xml:space="preserve">EMPAQ ESPIROMETALICA TIPO  DR , ANILLO EXI 304 EMPAQUE GRAFITO CLASE 300, 12PLG (8511200BBBA)</x:t>
        </x:is>
      </x:c>
      <x:c r="C374" s="184" t="n">
        <x:v>110</x:v>
      </x:c>
      <x:c r="D374" s="184" t="n">
        <x:v>0</x:v>
      </x:c>
      <x:c r="E374" s="184" t="n">
        <x:v>0</x:v>
      </x:c>
      <x:c r="F374" s="184" t="n">
        <x:v>110</x:v>
      </x:c>
      <x:c r="G374" s="184" t="n">
        <x:v>388495</x:v>
      </x:c>
      <x:c r="H374" s="193" t="n">
        <x:v>0</x:v>
      </x:c>
      <x:c r="I374" s="185" t="n">
        <x:v>0</x:v>
      </x:c>
      <x:c r="J374" s="185" t="n">
        <x:v>388495</x:v>
      </x:c>
      <x:c r="K374" s="289" t="n">
        <x:v>3531.77</x:v>
      </x:c>
    </x:row>
    <x:row r="375" s="117" customFormat="1" hidden="1">
      <x:c r="A375" s="184" t="inlineStr">
        <x:is>
          <x:t xml:space="preserve">EMPSPI001034</x:t>
        </x:is>
      </x:c>
      <x:c r="B375" s="184" t="inlineStr">
        <x:is>
          <x:t xml:space="preserve">EMPAQ ESPIROMETALICA TIPO  DR , ANILLO EXI 304 EMPAQUE GRAFITO CLASE 300, 14PLG (8511400BBBA)</x:t>
        </x:is>
      </x:c>
      <x:c r="C375" s="184" t="n">
        <x:v>55</x:v>
      </x:c>
      <x:c r="D375" s="184" t="n">
        <x:v>0</x:v>
      </x:c>
      <x:c r="E375" s="184" t="n">
        <x:v>0</x:v>
      </x:c>
      <x:c r="F375" s="184" t="n">
        <x:v>55</x:v>
      </x:c>
      <x:c r="G375" s="184" t="n">
        <x:v>262459</x:v>
      </x:c>
      <x:c r="H375" s="193" t="n">
        <x:v>0</x:v>
      </x:c>
      <x:c r="I375" s="185" t="n">
        <x:v>0</x:v>
      </x:c>
      <x:c r="J375" s="185" t="n">
        <x:v>262459</x:v>
      </x:c>
      <x:c r="K375" s="289" t="n">
        <x:v>4771.98</x:v>
      </x:c>
    </x:row>
    <x:row r="376" s="117" customFormat="1" hidden="1">
      <x:c r="A376" s="184" t="inlineStr">
        <x:is>
          <x:t xml:space="preserve">EMPSPI001035</x:t>
        </x:is>
      </x:c>
      <x:c r="B376" s="184" t="inlineStr">
        <x:is>
          <x:t xml:space="preserve">EMPAQ ESPIROMETALICA TIPO  DR , ANILLO EXI 304 EMPAQUE GRAFITO CLASE 300 ,16 PLG (8511600BBBA)</x:t>
        </x:is>
      </x:c>
      <x:c r="C376" s="184" t="n">
        <x:v>55</x:v>
      </x:c>
      <x:c r="D376" s="184" t="n">
        <x:v>0</x:v>
      </x:c>
      <x:c r="E376" s="184" t="n">
        <x:v>0</x:v>
      </x:c>
      <x:c r="F376" s="184" t="n">
        <x:v>55</x:v>
      </x:c>
      <x:c r="G376" s="184" t="n">
        <x:v>318223</x:v>
      </x:c>
      <x:c r="H376" s="193" t="n">
        <x:v>0</x:v>
      </x:c>
      <x:c r="I376" s="185" t="n">
        <x:v>0</x:v>
      </x:c>
      <x:c r="J376" s="185" t="n">
        <x:v>318223</x:v>
      </x:c>
      <x:c r="K376" s="289" t="n">
        <x:v>5785.877818</x:v>
      </x:c>
    </x:row>
    <x:row r="377" s="117" customFormat="1" hidden="1">
      <x:c r="A377" s="184" t="inlineStr">
        <x:is>
          <x:t xml:space="preserve">EMPSPI001036</x:t>
        </x:is>
      </x:c>
      <x:c r="B377" s="184" t="inlineStr">
        <x:is>
          <x:t xml:space="preserve">EMPAQ ESPIROMETALICA TIPO  DR , ANILLO EXI 304 EMPAQUE GRAFITO CLASE 300,18PLG (8511800BBBA)</x:t>
        </x:is>
      </x:c>
      <x:c r="C377" s="184" t="n">
        <x:v>55</x:v>
      </x:c>
      <x:c r="D377" s="184" t="n">
        <x:v>0</x:v>
      </x:c>
      <x:c r="E377" s="184" t="n">
        <x:v>0</x:v>
      </x:c>
      <x:c r="F377" s="184" t="n">
        <x:v>55</x:v>
      </x:c>
      <x:c r="G377" s="184" t="n">
        <x:v>380460</x:v>
      </x:c>
      <x:c r="H377" s="193" t="n">
        <x:v>0</x:v>
      </x:c>
      <x:c r="I377" s="185" t="n">
        <x:v>0</x:v>
      </x:c>
      <x:c r="J377" s="185" t="n">
        <x:v>380460</x:v>
      </x:c>
      <x:c r="K377" s="289" t="n">
        <x:v>6917.447818</x:v>
      </x:c>
    </x:row>
    <x:row r="378" s="117" customFormat="1" hidden="1">
      <x:c r="A378" s="184" t="inlineStr">
        <x:is>
          <x:t xml:space="preserve">EMPSPI001037</x:t>
        </x:is>
      </x:c>
      <x:c r="B378" s="184" t="inlineStr">
        <x:is>
          <x:t xml:space="preserve">EMPAQ ESPIROMETALICA TIPO  DR , ANILLO EXI 304 EMPAQUE GRAFITO CLASE 300 ,20PLG (8512000BBBA)</x:t>
        </x:is>
      </x:c>
      <x:c r="C378" s="184" t="n">
        <x:v>55</x:v>
      </x:c>
      <x:c r="D378" s="184" t="n">
        <x:v>0</x:v>
      </x:c>
      <x:c r="E378" s="184" t="n">
        <x:v>0</x:v>
      </x:c>
      <x:c r="F378" s="184" t="n">
        <x:v>55</x:v>
      </x:c>
      <x:c r="G378" s="184" t="n">
        <x:v>416541</x:v>
      </x:c>
      <x:c r="H378" s="193" t="n">
        <x:v>0</x:v>
      </x:c>
      <x:c r="I378" s="185" t="n">
        <x:v>0</x:v>
      </x:c>
      <x:c r="J378" s="185" t="n">
        <x:v>416541</x:v>
      </x:c>
      <x:c r="K378" s="289" t="n">
        <x:v>7573.48</x:v>
      </x:c>
    </x:row>
    <x:row r="379" s="117" customFormat="1" hidden="1">
      <x:c r="A379" s="184" t="inlineStr">
        <x:is>
          <x:t xml:space="preserve">EMPSPI001038</x:t>
        </x:is>
      </x:c>
      <x:c r="B379" s="184" t="inlineStr">
        <x:is>
          <x:t xml:space="preserve">EMPAQ ESPIROMETALICA TIPO  DR , ANILLO EXI 304 EMPAQUE GRAFITO CLASE 300, 24PLG (8512400BBBA)</x:t>
        </x:is>
      </x:c>
      <x:c r="C379" s="184" t="n">
        <x:v>55</x:v>
      </x:c>
      <x:c r="D379" s="184" t="n">
        <x:v>0</x:v>
      </x:c>
      <x:c r="E379" s="184" t="n">
        <x:v>0</x:v>
      </x:c>
      <x:c r="F379" s="184" t="n">
        <x:v>55</x:v>
      </x:c>
      <x:c r="G379" s="184" t="n">
        <x:v>574432</x:v>
      </x:c>
      <x:c r="H379" s="193" t="n">
        <x:v>0</x:v>
      </x:c>
      <x:c r="I379" s="185" t="n">
        <x:v>0</x:v>
      </x:c>
      <x:c r="J379" s="185" t="n">
        <x:v>574432</x:v>
      </x:c>
      <x:c r="K379" s="289" t="n">
        <x:v>10444.22</x:v>
      </x:c>
    </x:row>
    <x:row r="380" s="117" customFormat="1" hidden="1">
      <x:c r="A380" s="184" t="inlineStr">
        <x:is>
          <x:t xml:space="preserve">EMPSPI001039</x:t>
        </x:is>
      </x:c>
      <x:c r="B380" s="184" t="inlineStr">
        <x:is>
          <x:t xml:space="preserve">EMPAQ ESPIROMETALICA TIPO  DR , ANILLO EXI 316 EMPAQUE GRAFITO CLASE 150. 1/2PLG (8510050BACA)</x:t>
        </x:is>
      </x:c>
      <x:c r="C380" s="184" t="n">
        <x:v>20</x:v>
      </x:c>
      <x:c r="D380" s="184" t="n">
        <x:v>0</x:v>
      </x:c>
      <x:c r="E380" s="184" t="n">
        <x:v>0</x:v>
      </x:c>
      <x:c r="F380" s="184" t="n">
        <x:v>20</x:v>
      </x:c>
      <x:c r="G380" s="184" t="n">
        <x:v>7051</x:v>
      </x:c>
      <x:c r="H380" s="193" t="n">
        <x:v>0</x:v>
      </x:c>
      <x:c r="I380" s="185" t="n">
        <x:v>0</x:v>
      </x:c>
      <x:c r="J380" s="185" t="n">
        <x:v>7051</x:v>
      </x:c>
      <x:c r="K380" s="289" t="n">
        <x:v>352.55</x:v>
      </x:c>
    </x:row>
    <x:row r="381" s="117" customFormat="1" hidden="1">
      <x:c r="A381" s="184" t="inlineStr">
        <x:is>
          <x:t xml:space="preserve">EMPSPI001040</x:t>
        </x:is>
      </x:c>
      <x:c r="B381" s="184" t="inlineStr">
        <x:is>
          <x:t xml:space="preserve">EMPAQ ESPIROMETALICA TIPO  DR , ANILLO EXI 316 EMPAQUE GRAFITO CLASE 150. 3/4 PLG (8510075BACA)</x:t>
        </x:is>
      </x:c>
      <x:c r="C381" s="184" t="n">
        <x:v>20</x:v>
      </x:c>
      <x:c r="D381" s="184" t="n">
        <x:v>0</x:v>
      </x:c>
      <x:c r="E381" s="184" t="n">
        <x:v>0</x:v>
      </x:c>
      <x:c r="F381" s="184" t="n">
        <x:v>20</x:v>
      </x:c>
      <x:c r="G381" s="184" t="n">
        <x:v>7429</x:v>
      </x:c>
      <x:c r="H381" s="193" t="n">
        <x:v>0</x:v>
      </x:c>
      <x:c r="I381" s="185" t="n">
        <x:v>0</x:v>
      </x:c>
      <x:c r="J381" s="185" t="n">
        <x:v>7429</x:v>
      </x:c>
      <x:c r="K381" s="289" t="n">
        <x:v>371.43</x:v>
      </x:c>
    </x:row>
    <x:row r="382" s="117" customFormat="1" hidden="1">
      <x:c r="A382" s="184" t="inlineStr">
        <x:is>
          <x:t xml:space="preserve">EMPSPI001041</x:t>
        </x:is>
      </x:c>
      <x:c r="B382" s="184" t="inlineStr">
        <x:is>
          <x:t xml:space="preserve">EMPAQ ESPIROMETALICA TIPO  DR , ANILLO EXI 316 EMPAQUE GRAFITO CLASE 150. 1 PLG (8510100BACA)</x:t>
        </x:is>
      </x:c>
      <x:c r="C382" s="184" t="n">
        <x:v>10</x:v>
      </x:c>
      <x:c r="D382" s="184" t="n">
        <x:v>0</x:v>
      </x:c>
      <x:c r="E382" s="184" t="n">
        <x:v>0</x:v>
      </x:c>
      <x:c r="F382" s="184" t="n">
        <x:v>10</x:v>
      </x:c>
      <x:c r="G382" s="184" t="n">
        <x:v>3902</x:v>
      </x:c>
      <x:c r="H382" s="193" t="n">
        <x:v>0</x:v>
      </x:c>
      <x:c r="I382" s="185" t="n">
        <x:v>0</x:v>
      </x:c>
      <x:c r="J382" s="185" t="n">
        <x:v>3902</x:v>
      </x:c>
      <x:c r="K382" s="289" t="n">
        <x:v>390.32</x:v>
      </x:c>
    </x:row>
    <x:row r="383" s="117" customFormat="1" hidden="1">
      <x:c r="A383" s="184" t="inlineStr">
        <x:is>
          <x:t xml:space="preserve">EMPSPI001042</x:t>
        </x:is>
      </x:c>
      <x:c r="B383" s="184" t="inlineStr">
        <x:is>
          <x:t xml:space="preserve">EMPAQ ESPIROMETALICA TIPO  DR , ANILLO EXI 316 EMPAQUE GRAFITO CLASE 150. 1/4PLG (8510125BACA)</x:t>
        </x:is>
      </x:c>
      <x:c r="C383" s="184" t="n">
        <x:v>20</x:v>
      </x:c>
      <x:c r="D383" s="184" t="n">
        <x:v>0</x:v>
      </x:c>
      <x:c r="E383" s="184" t="n">
        <x:v>0</x:v>
      </x:c>
      <x:c r="F383" s="184" t="n">
        <x:v>20</x:v>
      </x:c>
      <x:c r="G383" s="184" t="n">
        <x:v>8436</x:v>
      </x:c>
      <x:c r="H383" s="193" t="n">
        <x:v>0</x:v>
      </x:c>
      <x:c r="I383" s="185" t="n">
        <x:v>0</x:v>
      </x:c>
      <x:c r="J383" s="185" t="n">
        <x:v>8436</x:v>
      </x:c>
      <x:c r="K383" s="289" t="n">
        <x:v>421.8</x:v>
      </x:c>
    </x:row>
    <x:row r="384" s="117" customFormat="1" hidden="1">
      <x:c r="A384" s="184" t="inlineStr">
        <x:is>
          <x:t xml:space="preserve">EMPSPI001043</x:t>
        </x:is>
      </x:c>
      <x:c r="B384" s="184" t="inlineStr">
        <x:is>
          <x:t xml:space="preserve">EMPAQ ESPIROMETALICA TIPO  DR , ANILLO EXI 316 EMPAQUE GRAFITO CLASE 150, 1 1/2 PLG (8510150BACA)</x:t>
        </x:is>
      </x:c>
      <x:c r="C384" s="184" t="n">
        <x:v>8</x:v>
      </x:c>
      <x:c r="D384" s="184" t="n">
        <x:v>0</x:v>
      </x:c>
      <x:c r="E384" s="184" t="n">
        <x:v>0</x:v>
      </x:c>
      <x:c r="F384" s="184" t="n">
        <x:v>8</x:v>
      </x:c>
      <x:c r="G384" s="184" t="n">
        <x:v>3979</x:v>
      </x:c>
      <x:c r="H384" s="193" t="n">
        <x:v>0</x:v>
      </x:c>
      <x:c r="I384" s="185" t="n">
        <x:v>0</x:v>
      </x:c>
      <x:c r="J384" s="185" t="n">
        <x:v>3979</x:v>
      </x:c>
      <x:c r="K384" s="289" t="n">
        <x:v>497.34</x:v>
      </x:c>
    </x:row>
    <x:row r="385" s="117" customFormat="1" hidden="1">
      <x:c r="A385" s="184" t="inlineStr">
        <x:is>
          <x:t xml:space="preserve">EMPSPI001044</x:t>
        </x:is>
      </x:c>
      <x:c r="B385" s="184" t="inlineStr">
        <x:is>
          <x:t xml:space="preserve">EMPAQ ESPIROMETALICA TIPO  DR , ANILLO EXI 316 EMPAQUE GRAFITO CLASE 150,2 PLG (8510200BCA)</x:t>
        </x:is>
      </x:c>
      <x:c r="C385" s="184" t="n">
        <x:v>2</x:v>
      </x:c>
      <x:c r="D385" s="184" t="n">
        <x:v>0</x:v>
      </x:c>
      <x:c r="E385" s="184" t="n">
        <x:v>0</x:v>
      </x:c>
      <x:c r="F385" s="184" t="n">
        <x:v>2</x:v>
      </x:c>
      <x:c r="G385" s="184" t="n">
        <x:v>995</x:v>
      </x:c>
      <x:c r="H385" s="193" t="n">
        <x:v>0</x:v>
      </x:c>
      <x:c r="I385" s="185" t="n">
        <x:v>0</x:v>
      </x:c>
      <x:c r="J385" s="185" t="n">
        <x:v>995</x:v>
      </x:c>
      <x:c r="K385" s="289" t="n">
        <x:v>497.34</x:v>
      </x:c>
    </x:row>
    <x:row r="386" s="117" customFormat="1" hidden="1">
      <x:c r="A386" s="184" t="inlineStr">
        <x:is>
          <x:t xml:space="preserve">EMPSPI001045</x:t>
        </x:is>
      </x:c>
      <x:c r="B386" s="184" t="inlineStr">
        <x:is>
          <x:t xml:space="preserve">EMPAQ ESPIROMETALICA TIPO  DR , ANILLO EXI 316 EMPAQUE GRAFITO CLASE 150, 2 1/2 PLG (8510250BACA)</x:t>
        </x:is>
      </x:c>
      <x:c r="C386" s="184" t="n">
        <x:v>60</x:v>
      </x:c>
      <x:c r="D386" s="184" t="n">
        <x:v>0</x:v>
      </x:c>
      <x:c r="E386" s="184" t="n">
        <x:v>0</x:v>
      </x:c>
      <x:c r="F386" s="184" t="n">
        <x:v>60</x:v>
      </x:c>
      <x:c r="G386" s="184" t="n">
        <x:v>32107</x:v>
      </x:c>
      <x:c r="H386" s="193" t="n">
        <x:v>0</x:v>
      </x:c>
      <x:c r="I386" s="185" t="n">
        <x:v>0</x:v>
      </x:c>
      <x:c r="J386" s="185" t="n">
        <x:v>32107</x:v>
      </x:c>
      <x:c r="K386" s="289" t="n">
        <x:v>535.12</x:v>
      </x:c>
    </x:row>
    <x:row r="387" s="117" customFormat="1" hidden="1">
      <x:c r="A387" s="184" t="inlineStr">
        <x:is>
          <x:t xml:space="preserve">EMPSPI001046</x:t>
        </x:is>
      </x:c>
      <x:c r="B387" s="184" t="inlineStr">
        <x:is>
          <x:t xml:space="preserve">EMPAQ ESPIROMETALICA TIPO  DR , ANILLO EXI 316 EMPAQUE GRAFITO CLASE 150, 3 PLG (8510300BACA)</x:t>
        </x:is>
      </x:c>
      <x:c r="C387" s="184" t="n">
        <x:v>20</x:v>
      </x:c>
      <x:c r="D387" s="184" t="n">
        <x:v>0</x:v>
      </x:c>
      <x:c r="E387" s="184" t="n">
        <x:v>0</x:v>
      </x:c>
      <x:c r="F387" s="184" t="n">
        <x:v>20</x:v>
      </x:c>
      <x:c r="G387" s="184" t="n">
        <x:v>14228</x:v>
      </x:c>
      <x:c r="H387" s="193" t="n">
        <x:v>0</x:v>
      </x:c>
      <x:c r="I387" s="185" t="n">
        <x:v>0</x:v>
      </x:c>
      <x:c r="J387" s="185" t="n">
        <x:v>14228</x:v>
      </x:c>
      <x:c r="K387" s="289" t="n">
        <x:v>711.39</x:v>
      </x:c>
    </x:row>
    <x:row r="388" s="117" customFormat="1" hidden="1">
      <x:c r="A388" s="184" t="inlineStr">
        <x:is>
          <x:t xml:space="preserve">EMPSPI001047</x:t>
        </x:is>
      </x:c>
      <x:c r="B388" s="184" t="inlineStr">
        <x:is>
          <x:t xml:space="preserve">EMPAQ ESPIROMETALICA TIPO  DR , ANILLO EXI 316 EMPAQUE GRAFITO CLASE 150. 4 PLG (8510400BACA)</x:t>
        </x:is>
      </x:c>
      <x:c r="C388" s="184" t="n">
        <x:v>43</x:v>
      </x:c>
      <x:c r="D388" s="184" t="n">
        <x:v>0</x:v>
      </x:c>
      <x:c r="E388" s="184" t="n">
        <x:v>0</x:v>
      </x:c>
      <x:c r="F388" s="184" t="n">
        <x:v>43</x:v>
      </x:c>
      <x:c r="G388" s="184" t="n">
        <x:v>43042</x:v>
      </x:c>
      <x:c r="H388" s="193" t="n">
        <x:v>0</x:v>
      </x:c>
      <x:c r="I388" s="185" t="n">
        <x:v>0</x:v>
      </x:c>
      <x:c r="J388" s="185" t="n">
        <x:v>43042</x:v>
      </x:c>
      <x:c r="K388" s="289" t="n">
        <x:v>1000.98</x:v>
      </x:c>
    </x:row>
    <x:row r="389" s="117" customFormat="1" hidden="1">
      <x:c r="A389" s="184" t="inlineStr">
        <x:is>
          <x:t xml:space="preserve">EMPSPI001048</x:t>
        </x:is>
      </x:c>
      <x:c r="B389" s="184" t="inlineStr">
        <x:is>
          <x:t xml:space="preserve">EMPAQ ESPIROMETALICA TIPO  DR , ANILLO EXI 316 EMPAQUE GRAFITO CLASE 150, 6PLG (8510600BACA)</x:t>
        </x:is>
      </x:c>
      <x:c r="C389" s="184" t="n">
        <x:v>40</x:v>
      </x:c>
      <x:c r="D389" s="184" t="n">
        <x:v>0</x:v>
      </x:c>
      <x:c r="E389" s="184" t="n">
        <x:v>0</x:v>
      </x:c>
      <x:c r="F389" s="184" t="n">
        <x:v>40</x:v>
      </x:c>
      <x:c r="G389" s="184" t="n">
        <x:v>60437</x:v>
      </x:c>
      <x:c r="H389" s="193" t="n">
        <x:v>0</x:v>
      </x:c>
      <x:c r="I389" s="185" t="n">
        <x:v>0</x:v>
      </x:c>
      <x:c r="J389" s="185" t="n">
        <x:v>60437</x:v>
      </x:c>
      <x:c r="K389" s="289" t="n">
        <x:v>1510.92</x:v>
      </x:c>
    </x:row>
    <x:row r="390" s="117" customFormat="1" hidden="1">
      <x:c r="A390" s="184" t="inlineStr">
        <x:is>
          <x:t xml:space="preserve">EMPSPI001049</x:t>
        </x:is>
      </x:c>
      <x:c r="B390" s="184" t="inlineStr">
        <x:is>
          <x:t xml:space="preserve">EMPAQ ESPIROMETALICA TIPO  DR , ANILLO EXI 316 EMPAQUE GRAFITO CLASE 150. 8PLG (8510800BACA)</x:t>
        </x:is>
      </x:c>
      <x:c r="C390" s="184" t="n">
        <x:v>45</x:v>
      </x:c>
      <x:c r="D390" s="184" t="n">
        <x:v>0</x:v>
      </x:c>
      <x:c r="E390" s="184" t="n">
        <x:v>0</x:v>
      </x:c>
      <x:c r="F390" s="184" t="n">
        <x:v>45</x:v>
      </x:c>
      <x:c r="G390" s="184" t="n">
        <x:v>94055</x:v>
      </x:c>
      <x:c r="H390" s="193" t="n">
        <x:v>0</x:v>
      </x:c>
      <x:c r="I390" s="185" t="n">
        <x:v>0</x:v>
      </x:c>
      <x:c r="J390" s="185" t="n">
        <x:v>94055</x:v>
      </x:c>
      <x:c r="K390" s="289" t="n">
        <x:v>2090.1</x:v>
      </x:c>
    </x:row>
    <x:row r="391" s="117" customFormat="1" hidden="1">
      <x:c r="A391" s="184" t="inlineStr">
        <x:is>
          <x:t xml:space="preserve">EMPSPI001050</x:t>
        </x:is>
      </x:c>
      <x:c r="B391" s="184" t="inlineStr">
        <x:is>
          <x:t xml:space="preserve">EMPAQ ESPIROMETALICA TIPO  DR , ANILLO EXI 316 EMPAQUE GRAFITO CLASE 150. 10PLG (851100BACA)</x:t>
        </x:is>
      </x:c>
      <x:c r="C391" s="184" t="n">
        <x:v>55</x:v>
      </x:c>
      <x:c r="D391" s="184" t="n">
        <x:v>0</x:v>
      </x:c>
      <x:c r="E391" s="184" t="n">
        <x:v>0</x:v>
      </x:c>
      <x:c r="F391" s="184" t="n">
        <x:v>55</x:v>
      </x:c>
      <x:c r="G391" s="184" t="n">
        <x:v>136423</x:v>
      </x:c>
      <x:c r="H391" s="193" t="n">
        <x:v>0</x:v>
      </x:c>
      <x:c r="I391" s="185" t="n">
        <x:v>0</x:v>
      </x:c>
      <x:c r="J391" s="185" t="n">
        <x:v>136423</x:v>
      </x:c>
      <x:c r="K391" s="289" t="n">
        <x:v>2480.42</x:v>
      </x:c>
    </x:row>
    <x:row r="392" s="117" customFormat="1" hidden="1">
      <x:c r="A392" s="184" t="inlineStr">
        <x:is>
          <x:t xml:space="preserve">EMPSPI001051</x:t>
        </x:is>
      </x:c>
      <x:c r="B392" s="184" t="inlineStr">
        <x:is>
          <x:t xml:space="preserve">EMPAQ ESPIROMETALICA TIPO  DR , ANILLO EXI 316 EMPAQUE GRAFITO CLASE 150. 12 PLG (8511200BACA)</x:t>
        </x:is>
      </x:c>
      <x:c r="C392" s="184" t="n">
        <x:v>165</x:v>
      </x:c>
      <x:c r="D392" s="184" t="n">
        <x:v>0</x:v>
      </x:c>
      <x:c r="E392" s="184" t="n">
        <x:v>0</x:v>
      </x:c>
      <x:c r="F392" s="184" t="n">
        <x:v>165</x:v>
      </x:c>
      <x:c r="G392" s="184" t="n">
        <x:v>602479</x:v>
      </x:c>
      <x:c r="H392" s="193" t="n">
        <x:v>0</x:v>
      </x:c>
      <x:c r="I392" s="185" t="n">
        <x:v>0</x:v>
      </x:c>
      <x:c r="J392" s="185" t="n">
        <x:v>602479</x:v>
      </x:c>
      <x:c r="K392" s="289" t="n">
        <x:v>3651.39</x:v>
      </x:c>
    </x:row>
    <x:row r="393" s="117" customFormat="1" hidden="1">
      <x:c r="A393" s="184" t="inlineStr">
        <x:is>
          <x:t xml:space="preserve">EMPSPI001052</x:t>
        </x:is>
      </x:c>
      <x:c r="B393" s="184" t="inlineStr">
        <x:is>
          <x:t xml:space="preserve">EMPAQ ESPIROMETALICA TIPO  DR , ANILLO EXI 316 EMPAQUE GRAFITO CLASE 150, 16PLG (8511600BACA)</x:t>
        </x:is>
      </x:c>
      <x:c r="C393" s="184" t="n">
        <x:v>160</x:v>
      </x:c>
      <x:c r="D393" s="184" t="n">
        <x:v>0</x:v>
      </x:c>
      <x:c r="E393" s="184" t="n">
        <x:v>0</x:v>
      </x:c>
      <x:c r="F393" s="184" t="n">
        <x:v>160</x:v>
      </x:c>
      <x:c r="G393" s="184" t="n">
        <x:v>938784</x:v>
      </x:c>
      <x:c r="H393" s="193" t="n">
        <x:v>0</x:v>
      </x:c>
      <x:c r="I393" s="185" t="n">
        <x:v>0</x:v>
      </x:c>
      <x:c r="J393" s="185" t="n">
        <x:v>938784</x:v>
      </x:c>
      <x:c r="K393" s="289" t="n">
        <x:v>5867.4</x:v>
      </x:c>
    </x:row>
    <x:row r="394" s="117" customFormat="1" hidden="1">
      <x:c r="A394" s="184" t="inlineStr">
        <x:is>
          <x:t xml:space="preserve">EMPSPI001053</x:t>
        </x:is>
      </x:c>
      <x:c r="B394" s="184" t="inlineStr">
        <x:is>
          <x:t xml:space="preserve">EMPAQ ESPIROMETALICA TIPO  DR , ANILLO EXI 316 EMPAQUE GRAFITO CLASE 300/400/600 1/2PLG(8510050BJCA)</x:t>
        </x:is>
      </x:c>
      <x:c r="C394" s="184" t="n">
        <x:v>20</x:v>
      </x:c>
      <x:c r="D394" s="184" t="n">
        <x:v>0</x:v>
      </x:c>
      <x:c r="E394" s="184" t="n">
        <x:v>0</x:v>
      </x:c>
      <x:c r="F394" s="184" t="n">
        <x:v>20</x:v>
      </x:c>
      <x:c r="G394" s="184" t="n">
        <x:v>7177</x:v>
      </x:c>
      <x:c r="H394" s="193" t="n">
        <x:v>0</x:v>
      </x:c>
      <x:c r="I394" s="185" t="n">
        <x:v>0</x:v>
      </x:c>
      <x:c r="J394" s="185" t="n">
        <x:v>7177</x:v>
      </x:c>
      <x:c r="K394" s="289" t="n">
        <x:v>358.84</x:v>
      </x:c>
    </x:row>
    <x:row r="395" s="117" customFormat="1" hidden="1">
      <x:c r="A395" s="184" t="inlineStr">
        <x:is>
          <x:t xml:space="preserve">EMPSPI001054</x:t>
        </x:is>
      </x:c>
      <x:c r="B395" s="184" t="inlineStr">
        <x:is>
          <x:t xml:space="preserve">EMPAQ ESPIROMETALICA TIPO DR , ANILLO EXI 316 EMPAQUE GRAFITO CLASE 300/400/600 3/4PLG (8510075BJCA)</x:t>
        </x:is>
      </x:c>
      <x:c r="C395" s="184" t="n">
        <x:v>20</x:v>
      </x:c>
      <x:c r="D395" s="184" t="n">
        <x:v>0</x:v>
      </x:c>
      <x:c r="E395" s="184" t="n">
        <x:v>0</x:v>
      </x:c>
      <x:c r="F395" s="184" t="n">
        <x:v>20</x:v>
      </x:c>
      <x:c r="G395" s="184" t="n">
        <x:v>7555</x:v>
      </x:c>
      <x:c r="H395" s="193" t="n">
        <x:v>0</x:v>
      </x:c>
      <x:c r="I395" s="185" t="n">
        <x:v>0</x:v>
      </x:c>
      <x:c r="J395" s="185" t="n">
        <x:v>7555</x:v>
      </x:c>
      <x:c r="K395" s="289" t="n">
        <x:v>377.73</x:v>
      </x:c>
    </x:row>
    <x:row r="396" s="117" customFormat="1" hidden="1">
      <x:c r="A396" s="184" t="inlineStr">
        <x:is>
          <x:t xml:space="preserve">EMPSPI001055</x:t>
        </x:is>
      </x:c>
      <x:c r="B396" s="184" t="inlineStr">
        <x:is>
          <x:t xml:space="preserve">EMPAQ ESPIROMETALICA TIPO  DR , ANILLO EXI 316 EMPAQUE GRAFITO CLASE300/400/600 1PLG (8510100BJBA)</x:t>
        </x:is>
      </x:c>
      <x:c r="C396" s="184" t="n">
        <x:v>20</x:v>
      </x:c>
      <x:c r="D396" s="184" t="n">
        <x:v>0</x:v>
      </x:c>
      <x:c r="E396" s="184" t="n">
        <x:v>0</x:v>
      </x:c>
      <x:c r="F396" s="184" t="n">
        <x:v>20</x:v>
      </x:c>
      <x:c r="G396" s="184" t="n">
        <x:v>7806</x:v>
      </x:c>
      <x:c r="H396" s="193" t="n">
        <x:v>0</x:v>
      </x:c>
      <x:c r="I396" s="185" t="n">
        <x:v>0</x:v>
      </x:c>
      <x:c r="J396" s="185" t="n">
        <x:v>7806</x:v>
      </x:c>
      <x:c r="K396" s="289" t="n">
        <x:v>390.32</x:v>
      </x:c>
    </x:row>
    <x:row r="397" s="117" customFormat="1" hidden="1">
      <x:c r="A397" s="184" t="inlineStr">
        <x:is>
          <x:t xml:space="preserve">EMPSPI001056</x:t>
        </x:is>
      </x:c>
      <x:c r="B397" s="184" t="inlineStr">
        <x:is>
          <x:t xml:space="preserve">EMPAQ ESPIROMETALICA TIPO DR ,ANILLO EXI 316EMPAQUE GRAFITO CLASE300/400/600,1 1/4 PLG (8510150BABA)</x:t>
        </x:is>
      </x:c>
      <x:c r="C397" s="184" t="n">
        <x:v>20</x:v>
      </x:c>
      <x:c r="D397" s="184" t="n">
        <x:v>0</x:v>
      </x:c>
      <x:c r="E397" s="184" t="n">
        <x:v>0</x:v>
      </x:c>
      <x:c r="F397" s="184" t="n">
        <x:v>20</x:v>
      </x:c>
      <x:c r="G397" s="184" t="n">
        <x:v>8814</x:v>
      </x:c>
      <x:c r="H397" s="193" t="n">
        <x:v>0</x:v>
      </x:c>
      <x:c r="I397" s="185" t="n">
        <x:v>0</x:v>
      </x:c>
      <x:c r="J397" s="185" t="n">
        <x:v>8814</x:v>
      </x:c>
      <x:c r="K397" s="289" t="n">
        <x:v>440.68</x:v>
      </x:c>
    </x:row>
    <x:row r="398" s="117" customFormat="1" hidden="1">
      <x:c r="A398" s="184" t="inlineStr">
        <x:is>
          <x:t xml:space="preserve">EMPSPI001057</x:t>
        </x:is>
      </x:c>
      <x:c r="B398" s="184" t="inlineStr">
        <x:is>
          <x:t xml:space="preserve">EMPAQ ESPIROMETALICA TIPO DR ,ANILLO EXI 316EMPAQUE GRAFITO CLASE300/400/600 1 1/2 PLG (851050BJBA)</x:t>
        </x:is>
      </x:c>
      <x:c r="C398" s="184" t="n">
        <x:v>18</x:v>
      </x:c>
      <x:c r="D398" s="184" t="n">
        <x:v>0</x:v>
      </x:c>
      <x:c r="E398" s="184" t="n">
        <x:v>0</x:v>
      </x:c>
      <x:c r="F398" s="184" t="n">
        <x:v>18</x:v>
      </x:c>
      <x:c r="G398" s="184" t="n">
        <x:v>9066</x:v>
      </x:c>
      <x:c r="H398" s="193" t="n">
        <x:v>0</x:v>
      </x:c>
      <x:c r="I398" s="185" t="n">
        <x:v>0</x:v>
      </x:c>
      <x:c r="J398" s="185" t="n">
        <x:v>9066</x:v>
      </x:c>
      <x:c r="K398" s="289" t="n">
        <x:v>503.64</x:v>
      </x:c>
    </x:row>
    <x:row r="399" s="117" customFormat="1" hidden="1">
      <x:c r="A399" s="184" t="inlineStr">
        <x:is>
          <x:t xml:space="preserve">EMPSPI001058</x:t>
        </x:is>
      </x:c>
      <x:c r="B399" s="184" t="inlineStr">
        <x:is>
          <x:t xml:space="preserve">EMPAQ ESPIROMETALICA TIPO DR ,ANILLO EXI 316EMPAQUE GRAFITO CLASE300/400/600 2 PLG (8510200BJCA)</x:t>
        </x:is>
      </x:c>
      <x:c r="C399" s="184" t="n">
        <x:v>20</x:v>
      </x:c>
      <x:c r="D399" s="184" t="n">
        <x:v>0</x:v>
      </x:c>
      <x:c r="E399" s="184" t="n">
        <x:v>0</x:v>
      </x:c>
      <x:c r="F399" s="184" t="n">
        <x:v>20</x:v>
      </x:c>
      <x:c r="G399" s="184" t="n">
        <x:v>10325</x:v>
      </x:c>
      <x:c r="H399" s="193" t="n">
        <x:v>0</x:v>
      </x:c>
      <x:c r="I399" s="185" t="n">
        <x:v>0</x:v>
      </x:c>
      <x:c r="J399" s="185" t="n">
        <x:v>10325</x:v>
      </x:c>
      <x:c r="K399" s="289" t="n">
        <x:v>516.23</x:v>
      </x:c>
    </x:row>
    <x:row r="400" s="117" customFormat="1" hidden="1">
      <x:c r="A400" s="184" t="inlineStr">
        <x:is>
          <x:t xml:space="preserve">EMPSPI001059</x:t>
        </x:is>
      </x:c>
      <x:c r="B400" s="184" t="inlineStr">
        <x:is>
          <x:t xml:space="preserve">EMPAQ ESPIROMETALICA TIPO DR,ANILLO EXI 316EMPAQUE GRAFITO CLASE300/400/600 2 1/2(851025BJCA)</x:t>
        </x:is>
      </x:c>
      <x:c r="C400" s="184" t="n">
        <x:v>15</x:v>
      </x:c>
      <x:c r="D400" s="184" t="n">
        <x:v>0</x:v>
      </x:c>
      <x:c r="E400" s="184" t="n">
        <x:v>0</x:v>
      </x:c>
      <x:c r="F400" s="184" t="n">
        <x:v>15</x:v>
      </x:c>
      <x:c r="G400" s="184" t="n">
        <x:v>8310</x:v>
      </x:c>
      <x:c r="H400" s="193" t="n">
        <x:v>0</x:v>
      </x:c>
      <x:c r="I400" s="185" t="n">
        <x:v>0</x:v>
      </x:c>
      <x:c r="J400" s="185" t="n">
        <x:v>8310</x:v>
      </x:c>
      <x:c r="K400" s="289" t="n">
        <x:v>554</x:v>
      </x:c>
    </x:row>
    <x:row r="401" s="117" customFormat="1" hidden="1">
      <x:c r="A401" s="184" t="inlineStr">
        <x:is>
          <x:t xml:space="preserve">EMPSPI001060</x:t>
        </x:is>
      </x:c>
      <x:c r="B401" s="184" t="inlineStr">
        <x:is>
          <x:t xml:space="preserve">EMPAQ ESPIROMETALICA TIPO DR , ANILLO EXI 316 EMPAQUE GRAFITO CLASE 300/400/600  3 PLG (8510300BJCA)</x:t>
        </x:is>
      </x:c>
      <x:c r="C401" s="184" t="n">
        <x:v>17</x:v>
      </x:c>
      <x:c r="D401" s="184" t="n">
        <x:v>0</x:v>
      </x:c>
      <x:c r="E401" s="184" t="n">
        <x:v>0</x:v>
      </x:c>
      <x:c r="F401" s="184" t="n">
        <x:v>17</x:v>
      </x:c>
      <x:c r="G401" s="184" t="n">
        <x:v>12308</x:v>
      </x:c>
      <x:c r="H401" s="193" t="n">
        <x:v>0</x:v>
      </x:c>
      <x:c r="I401" s="185" t="n">
        <x:v>0</x:v>
      </x:c>
      <x:c r="J401" s="185" t="n">
        <x:v>12308</x:v>
      </x:c>
      <x:c r="K401" s="289" t="n">
        <x:v>723.98</x:v>
      </x:c>
    </x:row>
    <x:row r="402" s="117" customFormat="1" hidden="1">
      <x:c r="A402" s="184" t="inlineStr">
        <x:is>
          <x:t xml:space="preserve">EMPSPI001061</x:t>
        </x:is>
      </x:c>
      <x:c r="B402" s="184" t="inlineStr">
        <x:is>
          <x:t xml:space="preserve">EMPAQ ESPIROMETALICA TIPO  DR , ANILLO EXI 316 EMPAQUE GRAFITO CLASE 300, 4PLG (8510400BBCA)</x:t>
        </x:is>
      </x:c>
      <x:c r="C402" s="184" t="n">
        <x:v>55</x:v>
      </x:c>
      <x:c r="D402" s="184" t="n">
        <x:v>0</x:v>
      </x:c>
      <x:c r="E402" s="184" t="n">
        <x:v>0</x:v>
      </x:c>
      <x:c r="F402" s="184" t="n">
        <x:v>55</x:v>
      </x:c>
      <x:c r="G402" s="184" t="n">
        <x:v>59902</x:v>
      </x:c>
      <x:c r="H402" s="193" t="n">
        <x:v>0</x:v>
      </x:c>
      <x:c r="I402" s="185" t="n">
        <x:v>0</x:v>
      </x:c>
      <x:c r="J402" s="185" t="n">
        <x:v>59902</x:v>
      </x:c>
      <x:c r="K402" s="289" t="n">
        <x:v>1089.12</x:v>
      </x:c>
    </x:row>
    <x:row r="403" s="117" customFormat="1" hidden="1">
      <x:c r="A403" s="184" t="inlineStr">
        <x:is>
          <x:t xml:space="preserve">EMPSPI001062</x:t>
        </x:is>
      </x:c>
      <x:c r="B403" s="184" t="inlineStr">
        <x:is>
          <x:t xml:space="preserve">EMPAQ ESPIROMETALICA TIPO  DR , ANILLO EXI 316 EMPAQUE GRAFITO CLASE 300. 6 PLG (8510600BBCA)</x:t>
        </x:is>
      </x:c>
      <x:c r="C403" s="184" t="n">
        <x:v>49</x:v>
      </x:c>
      <x:c r="D403" s="184" t="n">
        <x:v>0</x:v>
      </x:c>
      <x:c r="E403" s="184" t="n">
        <x:v>0</x:v>
      </x:c>
      <x:c r="F403" s="184" t="n">
        <x:v>49</x:v>
      </x:c>
      <x:c r="G403" s="184" t="n">
        <x:v>86991</x:v>
      </x:c>
      <x:c r="H403" s="193" t="n">
        <x:v>0</x:v>
      </x:c>
      <x:c r="I403" s="185" t="n">
        <x:v>0</x:v>
      </x:c>
      <x:c r="J403" s="185" t="n">
        <x:v>86991</x:v>
      </x:c>
      <x:c r="K403" s="289" t="n">
        <x:v>1775.33</x:v>
      </x:c>
    </x:row>
    <x:row r="404" s="117" customFormat="1" hidden="1">
      <x:c r="A404" s="184" t="inlineStr">
        <x:is>
          <x:t xml:space="preserve">EMPSPI001063</x:t>
        </x:is>
      </x:c>
      <x:c r="B404" s="184" t="inlineStr">
        <x:is>
          <x:t xml:space="preserve">EMPAQ ESPIROMETALICA TIPO  DR , ANILLO EXI 316 EMPAQUE GRAFITO CLASE 300,  8 PLG (8510800BBCA)</x:t>
        </x:is>
      </x:c>
      <x:c r="C404" s="184" t="n">
        <x:v>51</x:v>
      </x:c>
      <x:c r="D404" s="184" t="n">
        <x:v>0</x:v>
      </x:c>
      <x:c r="E404" s="184" t="n">
        <x:v>0</x:v>
      </x:c>
      <x:c r="F404" s="184" t="n">
        <x:v>51</x:v>
      </x:c>
      <x:c r="G404" s="184" t="n">
        <x:v>130997</x:v>
      </x:c>
      <x:c r="H404" s="193" t="n">
        <x:v>0</x:v>
      </x:c>
      <x:c r="I404" s="185" t="n">
        <x:v>0</x:v>
      </x:c>
      <x:c r="J404" s="185" t="n">
        <x:v>130997</x:v>
      </x:c>
      <x:c r="K404" s="289" t="n">
        <x:v>2568.56</x:v>
      </x:c>
    </x:row>
    <x:row r="405" s="117" customFormat="1" hidden="1">
      <x:c r="A405" s="184" t="inlineStr">
        <x:is>
          <x:t xml:space="preserve">EMPSPI001064</x:t>
        </x:is>
      </x:c>
      <x:c r="B405" s="184" t="inlineStr">
        <x:is>
          <x:t xml:space="preserve">EMPAQ ESPIROMETALICA TIPO  DR , ANILLO EXI 316 EMPAQUE GRAFITO CLASE 300. 10PLG (8511000BBCA)</x:t>
        </x:is>
      </x:c>
      <x:c r="C405" s="184" t="n">
        <x:v>55</x:v>
      </x:c>
      <x:c r="D405" s="184" t="n">
        <x:v>0</x:v>
      </x:c>
      <x:c r="E405" s="184" t="n">
        <x:v>0</x:v>
      </x:c>
      <x:c r="F405" s="184" t="n">
        <x:v>55</x:v>
      </x:c>
      <x:c r="G405" s="184" t="n">
        <x:v>166547</x:v>
      </x:c>
      <x:c r="H405" s="193" t="n">
        <x:v>0</x:v>
      </x:c>
      <x:c r="I405" s="185" t="n">
        <x:v>0</x:v>
      </x:c>
      <x:c r="J405" s="185" t="n">
        <x:v>166547</x:v>
      </x:c>
      <x:c r="K405" s="289" t="n">
        <x:v>3028.13</x:v>
      </x:c>
    </x:row>
    <x:row r="406" s="117" customFormat="1" hidden="1">
      <x:c r="A406" s="184" t="inlineStr">
        <x:is>
          <x:t xml:space="preserve">EMPSPI001065</x:t>
        </x:is>
      </x:c>
      <x:c r="B406" s="184" t="inlineStr">
        <x:is>
          <x:t xml:space="preserve">EMPAQ ESPIROMETALICA TIPO  DR , ANILLO EXI 316 EMPAQUE GRAFITO CLASE 300, 12PLG (8511200BBCA)</x:t>
        </x:is>
      </x:c>
      <x:c r="C406" s="184" t="n">
        <x:v>165</x:v>
      </x:c>
      <x:c r="D406" s="184" t="n">
        <x:v>0</x:v>
      </x:c>
      <x:c r="E406" s="184" t="n">
        <x:v>0</x:v>
      </x:c>
      <x:c r="F406" s="184" t="n">
        <x:v>165</x:v>
      </x:c>
      <x:c r="G406" s="184" t="n">
        <x:v>600400</x:v>
      </x:c>
      <x:c r="H406" s="193" t="n">
        <x:v>0</x:v>
      </x:c>
      <x:c r="I406" s="185" t="n">
        <x:v>0</x:v>
      </x:c>
      <x:c r="J406" s="185" t="n">
        <x:v>600400</x:v>
      </x:c>
      <x:c r="K406" s="289" t="n">
        <x:v>3638.79</x:v>
      </x:c>
    </x:row>
    <x:row r="407" s="117" customFormat="1" hidden="1">
      <x:c r="A407" s="184" t="inlineStr">
        <x:is>
          <x:t xml:space="preserve">EMPSPI001066</x:t>
        </x:is>
      </x:c>
      <x:c r="B407" s="184" t="inlineStr">
        <x:is>
          <x:t xml:space="preserve">EMPAQ ESPIROMETALICA TIPO  DR , ANILLO EXI 316 EMPAQUE GRAFITO CLASE 300, 16PLG (8511600BBCA)</x:t>
        </x:is>
      </x:c>
      <x:c r="C407" s="184" t="n">
        <x:v>165</x:v>
      </x:c>
      <x:c r="D407" s="184" t="n">
        <x:v>0</x:v>
      </x:c>
      <x:c r="E407" s="184" t="n">
        <x:v>0</x:v>
      </x:c>
      <x:c r="F407" s="184" t="n">
        <x:v>165</x:v>
      </x:c>
      <x:c r="G407" s="184" t="n">
        <x:v>1057454</x:v>
      </x:c>
      <x:c r="H407" s="193" t="n">
        <x:v>0</x:v>
      </x:c>
      <x:c r="I407" s="185" t="n">
        <x:v>0</x:v>
      </x:c>
      <x:c r="J407" s="185" t="n">
        <x:v>1057454</x:v>
      </x:c>
      <x:c r="K407" s="289" t="n">
        <x:v>6408.81</x:v>
      </x:c>
    </x:row>
    <x:row r="408" s="117" customFormat="1" hidden="1">
      <x:c r="A408" s="184" t="inlineStr">
        <x:is>
          <x:t xml:space="preserve">EMPSPI001067</x:t>
        </x:is>
      </x:c>
      <x:c r="B408" s="184" t="inlineStr">
        <x:is>
          <x:t xml:space="preserve">EMPAQ ESPIROMETALICA TIPO DRI ,ANILLO EXT304 EMPAQ GRAFIT,ANILL INT304 CLAS150 1/2PLG (8610050BABBA)</x:t>
        </x:is>
      </x:c>
      <x:c r="C408" s="184" t="n">
        <x:v>0</x:v>
      </x:c>
      <x:c r="D408" s="184" t="n">
        <x:v>0</x:v>
      </x:c>
      <x:c r="E408" s="184" t="n">
        <x:v>0</x:v>
      </x:c>
      <x:c r="F408" s="184" t="n">
        <x:v>0</x:v>
      </x:c>
      <x:c r="G408" s="184" t="n">
        <x:v>0</x:v>
      </x:c>
      <x:c r="H408" s="193" t="n">
        <x:v>0</x:v>
      </x:c>
      <x:c r="I408" s="185" t="n">
        <x:v>0</x:v>
      </x:c>
      <x:c r="J408" s="185" t="n">
        <x:v>0</x:v>
      </x:c>
      <x:c r="K408" s="289" t="n">
        <x:v>428.09</x:v>
      </x:c>
    </x:row>
    <x:row r="409" s="117" customFormat="1" hidden="1">
      <x:c r="A409" s="184" t="inlineStr">
        <x:is>
          <x:t xml:space="preserve">EMPSPI001068</x:t>
        </x:is>
      </x:c>
      <x:c r="B409" s="184" t="inlineStr">
        <x:is>
          <x:t xml:space="preserve">EMPAQ ESPIROMETALICA TIPO DRI, ANILL EXT304 EMPAQ GRAFIT, ANILL INT304 CLAS150 3/4PLG (8610075BABB)</x:t>
        </x:is>
      </x:c>
      <x:c r="C409" s="184" t="n">
        <x:v>20</x:v>
      </x:c>
      <x:c r="D409" s="184" t="n">
        <x:v>0</x:v>
      </x:c>
      <x:c r="E409" s="184" t="n">
        <x:v>0</x:v>
      </x:c>
      <x:c r="F409" s="184" t="n">
        <x:v>20</x:v>
      </x:c>
      <x:c r="G409" s="184" t="n">
        <x:v>9443</x:v>
      </x:c>
      <x:c r="H409" s="193" t="n">
        <x:v>0</x:v>
      </x:c>
      <x:c r="I409" s="185" t="n">
        <x:v>0</x:v>
      </x:c>
      <x:c r="J409" s="185" t="n">
        <x:v>9443</x:v>
      </x:c>
      <x:c r="K409" s="289" t="n">
        <x:v>472.16</x:v>
      </x:c>
    </x:row>
    <x:row r="410" s="117" customFormat="1" hidden="1">
      <x:c r="A410" s="184" t="inlineStr">
        <x:is>
          <x:t xml:space="preserve">EMPSPI001069</x:t>
        </x:is>
      </x:c>
      <x:c r="B410" s="184" t="inlineStr">
        <x:is>
          <x:t xml:space="preserve">EMPAQ ESPIROMETALICA TIPO DRI, ANILL EXT304 EMPAQUE GRAFIT, ANILL INT304 CLAS150 1 PLG (8610100BABB)</x:t>
        </x:is>
      </x:c>
      <x:c r="C410" s="184" t="n">
        <x:v>20</x:v>
      </x:c>
      <x:c r="D410" s="184" t="n">
        <x:v>0</x:v>
      </x:c>
      <x:c r="E410" s="184" t="n">
        <x:v>0</x:v>
      </x:c>
      <x:c r="F410" s="184" t="n">
        <x:v>20</x:v>
      </x:c>
      <x:c r="G410" s="184" t="n">
        <x:v>10325</x:v>
      </x:c>
      <x:c r="H410" s="193" t="n">
        <x:v>0</x:v>
      </x:c>
      <x:c r="I410" s="185" t="n">
        <x:v>0</x:v>
      </x:c>
      <x:c r="J410" s="185" t="n">
        <x:v>10325</x:v>
      </x:c>
      <x:c r="K410" s="289" t="n">
        <x:v>516.23</x:v>
      </x:c>
    </x:row>
    <x:row r="411" s="117" customFormat="1" hidden="1">
      <x:c r="A411" s="184" t="inlineStr">
        <x:is>
          <x:t xml:space="preserve">EMPSPI001070</x:t>
        </x:is>
      </x:c>
      <x:c r="B411" s="184" t="inlineStr">
        <x:is>
          <x:t xml:space="preserve">EMPAQ ESPIROMETALICA TIPO DRI,ANILL EXIT304, EMPAQ GRAF, ANILL INT304 CLA150 1 1/4PLG(8610125BABB)</x:t>
        </x:is>
      </x:c>
      <x:c r="C411" s="184" t="n">
        <x:v>20</x:v>
      </x:c>
      <x:c r="D411" s="184" t="n">
        <x:v>0</x:v>
      </x:c>
      <x:c r="E411" s="184" t="n">
        <x:v>0</x:v>
      </x:c>
      <x:c r="F411" s="184" t="n">
        <x:v>20</x:v>
      </x:c>
      <x:c r="G411" s="184" t="n">
        <x:v>11961</x:v>
      </x:c>
      <x:c r="H411" s="193" t="n">
        <x:v>0</x:v>
      </x:c>
      <x:c r="I411" s="185" t="n">
        <x:v>0</x:v>
      </x:c>
      <x:c r="J411" s="185" t="n">
        <x:v>11961</x:v>
      </x:c>
      <x:c r="K411" s="289" t="n">
        <x:v>598.0700000000001</x:v>
      </x:c>
    </x:row>
    <x:row r="412" s="117" customFormat="1" hidden="1">
      <x:c r="A412" s="184" t="inlineStr">
        <x:is>
          <x:t xml:space="preserve">EMPSPI001071</x:t>
        </x:is>
      </x:c>
      <x:c r="B412" s="184" t="inlineStr">
        <x:is>
          <x:t xml:space="preserve">EMPAQ ESPIROMETALICA TIPO DRI, ANILL  EXIT304 EMPAQ GRAF, ANILL INT304 CL150 1 1/2PLG(861D150BABB))</x:t>
        </x:is>
      </x:c>
      <x:c r="C412" s="184" t="n">
        <x:v>20</x:v>
      </x:c>
      <x:c r="D412" s="184" t="n">
        <x:v>0</x:v>
      </x:c>
      <x:c r="E412" s="184" t="n">
        <x:v>0</x:v>
      </x:c>
      <x:c r="F412" s="184" t="n">
        <x:v>20</x:v>
      </x:c>
      <x:c r="G412" s="184" t="n">
        <x:v>12969</x:v>
      </x:c>
      <x:c r="H412" s="193" t="n">
        <x:v>0</x:v>
      </x:c>
      <x:c r="I412" s="185" t="n">
        <x:v>0</x:v>
      </x:c>
      <x:c r="J412" s="185" t="n">
        <x:v>12969</x:v>
      </x:c>
      <x:c r="K412" s="289" t="n">
        <x:v>648.4400000000001</x:v>
      </x:c>
    </x:row>
    <x:row r="413" s="117" customFormat="1" hidden="1">
      <x:c r="A413" s="184" t="inlineStr">
        <x:is>
          <x:t xml:space="preserve">EMPSPI001072</x:t>
        </x:is>
      </x:c>
      <x:c r="B413" s="184" t="inlineStr">
        <x:is>
          <x:t xml:space="preserve">EMPAQ ESPIROMETALICA TIPO  DRI , ANILL EXIT304 EMPAQ GRAFIT ANILL INT304 CLAS150  2PLG (8610200BABB)</x:t>
        </x:is>
      </x:c>
      <x:c r="C413" s="184" t="n">
        <x:v>0</x:v>
      </x:c>
      <x:c r="D413" s="184" t="n">
        <x:v>0</x:v>
      </x:c>
      <x:c r="E413" s="184" t="n">
        <x:v>0</x:v>
      </x:c>
      <x:c r="F413" s="184" t="n">
        <x:v>0</x:v>
      </x:c>
      <x:c r="G413" s="184" t="n">
        <x:v>0</x:v>
      </x:c>
      <x:c r="H413" s="193" t="n">
        <x:v>0</x:v>
      </x:c>
      <x:c r="I413" s="185" t="n">
        <x:v>0</x:v>
      </x:c>
      <x:c r="J413" s="185" t="n">
        <x:v>0</x:v>
      </x:c>
      <x:c r="K413" s="289" t="n">
        <x:v>768.05</x:v>
      </x:c>
    </x:row>
    <x:row r="414" s="117" customFormat="1" hidden="1">
      <x:c r="A414" s="184" t="inlineStr">
        <x:is>
          <x:t xml:space="preserve">EMPSPI001073</x:t>
        </x:is>
      </x:c>
      <x:c r="B414" s="184" t="inlineStr">
        <x:is>
          <x:t xml:space="preserve">EMPAQ ESPIROMETALICA TIPO DRI, ANILL EXIT304 EMPAQ GRAF ANILL INT304 CLAS150 2 1/2PLG (8610250BABB)</x:t>
        </x:is>
      </x:c>
      <x:c r="C414" s="184" t="n">
        <x:v>20</x:v>
      </x:c>
      <x:c r="D414" s="184" t="n">
        <x:v>0</x:v>
      </x:c>
      <x:c r="E414" s="184" t="n">
        <x:v>0</x:v>
      </x:c>
      <x:c r="F414" s="184" t="n">
        <x:v>20</x:v>
      </x:c>
      <x:c r="G414" s="184" t="n">
        <x:v>17376</x:v>
      </x:c>
      <x:c r="H414" s="193" t="n">
        <x:v>0</x:v>
      </x:c>
      <x:c r="I414" s="185" t="n">
        <x:v>0</x:v>
      </x:c>
      <x:c r="J414" s="185" t="n">
        <x:v>17376</x:v>
      </x:c>
      <x:c r="K414" s="289" t="n">
        <x:v>868.78</x:v>
      </x:c>
    </x:row>
    <x:row r="415" s="117" customFormat="1" hidden="1">
      <x:c r="A415" s="184" t="inlineStr">
        <x:is>
          <x:t xml:space="preserve">EMPSPI001074</x:t>
        </x:is>
      </x:c>
      <x:c r="B415" s="184" t="inlineStr">
        <x:is>
          <x:t xml:space="preserve">EMPAQ ESPIROMETALICA TIPO  DRI, ANILL EXT304 EMPAQ GRAF ANILL INT304 CLAS150  3PLG (B610300BABB)</x:t>
        </x:is>
      </x:c>
      <x:c r="C415" s="184" t="n">
        <x:v>60</x:v>
      </x:c>
      <x:c r="D415" s="184" t="n">
        <x:v>0</x:v>
      </x:c>
      <x:c r="E415" s="184" t="n">
        <x:v>0</x:v>
      </x:c>
      <x:c r="F415" s="184" t="n">
        <x:v>60</x:v>
      </x:c>
      <x:c r="G415" s="184" t="n">
        <x:v>71391</x:v>
      </x:c>
      <x:c r="H415" s="193" t="n">
        <x:v>0</x:v>
      </x:c>
      <x:c r="I415" s="185" t="n">
        <x:v>0</x:v>
      </x:c>
      <x:c r="J415" s="185" t="n">
        <x:v>71391</x:v>
      </x:c>
      <x:c r="K415" s="289" t="n">
        <x:v>1189.85</x:v>
      </x:c>
    </x:row>
    <x:row r="416" s="117" customFormat="1" hidden="1">
      <x:c r="A416" s="184" t="inlineStr">
        <x:is>
          <x:t xml:space="preserve">EMPSPI001075</x:t>
        </x:is>
      </x:c>
      <x:c r="B416" s="184" t="inlineStr">
        <x:is>
          <x:t xml:space="preserve">EMPAQ ESPIROMETALICA TIPO  DRI , ANILL EXI 304 EMPAQ GRAF ,ANILL INT304 CLAS150 4PLG (8610400BABB)</x:t>
        </x:is>
      </x:c>
      <x:c r="C416" s="184" t="n">
        <x:v>55</x:v>
      </x:c>
      <x:c r="D416" s="184" t="n">
        <x:v>0</x:v>
      </x:c>
      <x:c r="E416" s="184" t="n">
        <x:v>0</x:v>
      </x:c>
      <x:c r="F416" s="184" t="n">
        <x:v>55</x:v>
      </x:c>
      <x:c r="G416" s="184" t="n">
        <x:v>102491</x:v>
      </x:c>
      <x:c r="H416" s="193" t="n">
        <x:v>0</x:v>
      </x:c>
      <x:c r="I416" s="185" t="n">
        <x:v>0</x:v>
      </x:c>
      <x:c r="J416" s="185" t="n">
        <x:v>102491</x:v>
      </x:c>
      <x:c r="K416" s="289" t="n">
        <x:v>1863.47</x:v>
      </x:c>
    </x:row>
    <x:row r="417" s="117" customFormat="1" hidden="1">
      <x:c r="A417" s="184" t="inlineStr">
        <x:is>
          <x:t xml:space="preserve">EMPSPI001076</x:t>
        </x:is>
      </x:c>
      <x:c r="B417" s="184" t="inlineStr">
        <x:is>
          <x:t xml:space="preserve">EMPAQ ESPIROMETALICA TIPO  DRI , ANILL EXI304 EMPAQ GRAF,ANILL INT150 ,6PLG (8610600BABB)</x:t>
        </x:is>
      </x:c>
      <x:c r="C417" s="184" t="n">
        <x:v>0</x:v>
      </x:c>
      <x:c r="D417" s="184" t="n">
        <x:v>0</x:v>
      </x:c>
      <x:c r="E417" s="184" t="n">
        <x:v>0</x:v>
      </x:c>
      <x:c r="F417" s="184" t="n">
        <x:v>0</x:v>
      </x:c>
      <x:c r="G417" s="184" t="n">
        <x:v>0</x:v>
      </x:c>
      <x:c r="H417" s="193" t="n">
        <x:v>0</x:v>
      </x:c>
      <x:c r="I417" s="185" t="n">
        <x:v>0</x:v>
      </x:c>
      <x:c r="J417" s="185" t="n">
        <x:v>0</x:v>
      </x:c>
      <x:c r="K417" s="289" t="n">
        <x:v>3128.86</x:v>
      </x:c>
    </x:row>
    <x:row r="418" s="117" customFormat="1" hidden="1">
      <x:c r="A418" s="184" t="inlineStr">
        <x:is>
          <x:t xml:space="preserve">EMPSPI001077</x:t>
        </x:is>
      </x:c>
      <x:c r="B418" s="184" t="inlineStr">
        <x:is>
          <x:t xml:space="preserve">EMPAQ ESPIROMETALICA TIPO  DRI, ANILL EXI304 EMPAQ GRAF ANILL INT304 CLAS150, 8PLG(8610800BABB)</x:t>
        </x:is>
      </x:c>
      <x:c r="C418" s="184" t="n">
        <x:v>55</x:v>
      </x:c>
      <x:c r="D418" s="184" t="n">
        <x:v>0</x:v>
      </x:c>
      <x:c r="E418" s="184" t="n">
        <x:v>0</x:v>
      </x:c>
      <x:c r="F418" s="184" t="n">
        <x:v>55</x:v>
      </x:c>
      <x:c r="G418" s="184" t="n">
        <x:v>220216</x:v>
      </x:c>
      <x:c r="H418" s="193" t="n">
        <x:v>0</x:v>
      </x:c>
      <x:c r="I418" s="185" t="n">
        <x:v>0</x:v>
      </x:c>
      <x:c r="J418" s="185" t="n">
        <x:v>220216</x:v>
      </x:c>
      <x:c r="K418" s="289" t="n">
        <x:v>4003.93</x:v>
      </x:c>
    </x:row>
    <x:row r="419" s="117" customFormat="1" hidden="1">
      <x:c r="A419" s="184" t="inlineStr">
        <x:is>
          <x:t xml:space="preserve">EMPSPI001078</x:t>
        </x:is>
      </x:c>
      <x:c r="B419" s="184" t="inlineStr">
        <x:is>
          <x:t xml:space="preserve">EMPAQ ESPIROMETALICA TIPO  DRI, ANILL EXI304 EMPAQ GRAF ANILL INT304 CLAS150, 10PLG(8611000BABB)</x:t>
        </x:is>
      </x:c>
      <x:c r="C419" s="184" t="n">
        <x:v>55</x:v>
      </x:c>
      <x:c r="D419" s="184" t="n">
        <x:v>0</x:v>
      </x:c>
      <x:c r="E419" s="184" t="n">
        <x:v>0</x:v>
      </x:c>
      <x:c r="F419" s="184" t="n">
        <x:v>55</x:v>
      </x:c>
      <x:c r="G419" s="184" t="n">
        <x:v>263151</x:v>
      </x:c>
      <x:c r="H419" s="193" t="n">
        <x:v>0</x:v>
      </x:c>
      <x:c r="I419" s="185" t="n">
        <x:v>0</x:v>
      </x:c>
      <x:c r="J419" s="185" t="n">
        <x:v>263151</x:v>
      </x:c>
      <x:c r="K419" s="289" t="n">
        <x:v>4784.57</x:v>
      </x:c>
    </x:row>
    <x:row r="420" s="117" customFormat="1" hidden="1">
      <x:c r="A420" s="184" t="inlineStr">
        <x:is>
          <x:t xml:space="preserve">EMPSPI001079</x:t>
        </x:is>
      </x:c>
      <x:c r="B420" s="184" t="inlineStr">
        <x:is>
          <x:t xml:space="preserve">EMPAQ ESPIROMETALICA TIPO  DRI, ANILL EXI304 EMPAQ GRAF ANILL INT304 CLAS150, 12PLG(8611200BABB)</x:t>
        </x:is>
      </x:c>
      <x:c r="C420" s="184" t="n">
        <x:v>55</x:v>
      </x:c>
      <x:c r="D420" s="184" t="n">
        <x:v>0</x:v>
      </x:c>
      <x:c r="E420" s="184" t="n">
        <x:v>0</x:v>
      </x:c>
      <x:c r="F420" s="184" t="n">
        <x:v>55</x:v>
      </x:c>
      <x:c r="G420" s="184" t="n">
        <x:v>370490</x:v>
      </x:c>
      <x:c r="H420" s="193" t="n">
        <x:v>0</x:v>
      </x:c>
      <x:c r="I420" s="185" t="n">
        <x:v>0</x:v>
      </x:c>
      <x:c r="J420" s="185" t="n">
        <x:v>370490</x:v>
      </x:c>
      <x:c r="K420" s="289" t="n">
        <x:v>6736.18</x:v>
      </x:c>
    </x:row>
    <x:row r="421" s="117" customFormat="1" hidden="1">
      <x:c r="A421" s="184" t="inlineStr">
        <x:is>
          <x:t xml:space="preserve">EMPSPI001080</x:t>
        </x:is>
      </x:c>
      <x:c r="B421" s="184" t="inlineStr">
        <x:is>
          <x:t xml:space="preserve">EMPAQ ESPIROMETALICA TIPO  DRI, ANILL EXI304 EMPAQ GRAF ANILL INT304 CLAS3/4/600,1/2PLG(8610050BJBB)</x:t>
        </x:is>
      </x:c>
      <x:c r="C421" s="184" t="n">
        <x:v>20</x:v>
      </x:c>
      <x:c r="D421" s="184" t="n">
        <x:v>0</x:v>
      </x:c>
      <x:c r="E421" s="184" t="n">
        <x:v>0</x:v>
      </x:c>
      <x:c r="F421" s="184" t="n">
        <x:v>20</x:v>
      </x:c>
      <x:c r="G421" s="184" t="n">
        <x:v>8688</x:v>
      </x:c>
      <x:c r="H421" s="193" t="n">
        <x:v>0</x:v>
      </x:c>
      <x:c r="I421" s="185" t="n">
        <x:v>0</x:v>
      </x:c>
      <x:c r="J421" s="185" t="n">
        <x:v>8688</x:v>
      </x:c>
      <x:c r="K421" s="289" t="n">
        <x:v>434.39</x:v>
      </x:c>
    </x:row>
    <x:row r="422" s="117" customFormat="1" hidden="1">
      <x:c r="A422" s="184" t="inlineStr">
        <x:is>
          <x:t xml:space="preserve">EMPSPI001081</x:t>
        </x:is>
      </x:c>
      <x:c r="B422" s="184" t="inlineStr">
        <x:is>
          <x:t xml:space="preserve">EMPAQ ESPIROMETALICA TIPO DRI, ANILL EXI304 EMPAQ GRAF ANILL INT304 CLAS3/4/600, 3/4PLG(8610075BJBB)</x:t>
        </x:is>
      </x:c>
      <x:c r="C422" s="184" t="n">
        <x:v>20</x:v>
      </x:c>
      <x:c r="D422" s="184" t="n">
        <x:v>0</x:v>
      </x:c>
      <x:c r="E422" s="184" t="n">
        <x:v>0</x:v>
      </x:c>
      <x:c r="F422" s="184" t="n">
        <x:v>20</x:v>
      </x:c>
      <x:c r="G422" s="184" t="n">
        <x:v>9695</x:v>
      </x:c>
      <x:c r="H422" s="193" t="n">
        <x:v>0</x:v>
      </x:c>
      <x:c r="I422" s="185" t="n">
        <x:v>0</x:v>
      </x:c>
      <x:c r="J422" s="185" t="n">
        <x:v>9695</x:v>
      </x:c>
      <x:c r="K422" s="289" t="n">
        <x:v>484.75</x:v>
      </x:c>
    </x:row>
    <x:row r="423" s="117" customFormat="1" hidden="1">
      <x:c r="A423" s="184" t="inlineStr">
        <x:is>
          <x:t xml:space="preserve">EMPSPI001082</x:t>
        </x:is>
      </x:c>
      <x:c r="B423" s="184" t="inlineStr">
        <x:is>
          <x:t xml:space="preserve">EMPAQ ESPIROMETALICA TIPO  DRI, ANILL EXI304 EMPAQ GRAF ANILL INT304 CLAS3/4/600, 1PLG(860100BJBB)</x:t>
        </x:is>
      </x:c>
      <x:c r="C423" s="184" t="n">
        <x:v>20</x:v>
      </x:c>
      <x:c r="D423" s="184" t="n">
        <x:v>0</x:v>
      </x:c>
      <x:c r="E423" s="184" t="n">
        <x:v>0</x:v>
      </x:c>
      <x:c r="F423" s="184" t="n">
        <x:v>20</x:v>
      </x:c>
      <x:c r="G423" s="184" t="n">
        <x:v>10325</x:v>
      </x:c>
      <x:c r="H423" s="193" t="n">
        <x:v>0</x:v>
      </x:c>
      <x:c r="I423" s="185" t="n">
        <x:v>0</x:v>
      </x:c>
      <x:c r="J423" s="185" t="n">
        <x:v>10325</x:v>
      </x:c>
      <x:c r="K423" s="289" t="n">
        <x:v>516.23</x:v>
      </x:c>
    </x:row>
    <x:row r="424" s="117" customFormat="1" hidden="1">
      <x:c r="A424" s="184" t="inlineStr">
        <x:is>
          <x:t xml:space="preserve">EMPSPI001083</x:t>
        </x:is>
      </x:c>
      <x:c r="B424" s="184" t="inlineStr">
        <x:is>
          <x:t xml:space="preserve">EMPAQ ESPIROMETALICA TIPO DRI, ANILL EXI304 EMPAQ GRAF ANILL INT304 CLA3/4/600,1 1/4PLG(8610125BJBB)</x:t>
        </x:is>
      </x:c>
      <x:c r="C424" s="184" t="n">
        <x:v>20</x:v>
      </x:c>
      <x:c r="D424" s="184" t="n">
        <x:v>0</x:v>
      </x:c>
      <x:c r="E424" s="184" t="n">
        <x:v>0</x:v>
      </x:c>
      <x:c r="F424" s="184" t="n">
        <x:v>20</x:v>
      </x:c>
      <x:c r="G424" s="184" t="n">
        <x:v>12339</x:v>
      </x:c>
      <x:c r="H424" s="193" t="n">
        <x:v>0</x:v>
      </x:c>
      <x:c r="I424" s="185" t="n">
        <x:v>0</x:v>
      </x:c>
      <x:c r="J424" s="185" t="n">
        <x:v>12339</x:v>
      </x:c>
      <x:c r="K424" s="289" t="n">
        <x:v>616.96</x:v>
      </x:c>
    </x:row>
    <x:row r="425" s="117" customFormat="1" hidden="1">
      <x:c r="A425" s="184" t="inlineStr">
        <x:is>
          <x:t xml:space="preserve">EMPSPI001084</x:t>
        </x:is>
      </x:c>
      <x:c r="B425" s="184" t="inlineStr">
        <x:is>
          <x:t xml:space="preserve">EMPAQ ESPIROMETALICA TIPO DRI, ANILL EXI304 EMPAQ GRAF ANILL INT304 CLA3/4/600,1 1/4PLG(8610150BJBB)</x:t>
        </x:is>
      </x:c>
      <x:c r="C425" s="184" t="n">
        <x:v>20</x:v>
      </x:c>
      <x:c r="D425" s="184" t="n">
        <x:v>0</x:v>
      </x:c>
      <x:c r="E425" s="184" t="n">
        <x:v>0</x:v>
      </x:c>
      <x:c r="F425" s="184" t="n">
        <x:v>20</x:v>
      </x:c>
      <x:c r="G425" s="184" t="n">
        <x:v>13346</x:v>
      </x:c>
      <x:c r="H425" s="193" t="n">
        <x:v>0</x:v>
      </x:c>
      <x:c r="I425" s="185" t="n">
        <x:v>0</x:v>
      </x:c>
      <x:c r="J425" s="185" t="n">
        <x:v>13346</x:v>
      </x:c>
      <x:c r="K425" s="289" t="n">
        <x:v>667.3200000000001</x:v>
      </x:c>
    </x:row>
    <x:row r="426" s="117" customFormat="1" hidden="1">
      <x:c r="A426" s="184" t="inlineStr">
        <x:is>
          <x:t xml:space="preserve">EMPSPI001085</x:t>
        </x:is>
      </x:c>
      <x:c r="B426" s="184" t="inlineStr">
        <x:is>
          <x:t xml:space="preserve">EMPAQ ESPIROMETALICA TIPO  DRI, ANILL EXI304 EMPAQ GRAF ANILL INT304 CLAS3/4/600, 2PLG(8610200BJBB)</x:t>
        </x:is>
      </x:c>
      <x:c r="C426" s="184" t="n">
        <x:v>20</x:v>
      </x:c>
      <x:c r="D426" s="184" t="n">
        <x:v>0</x:v>
      </x:c>
      <x:c r="E426" s="184" t="n">
        <x:v>0</x:v>
      </x:c>
      <x:c r="F426" s="184" t="n">
        <x:v>20</x:v>
      </x:c>
      <x:c r="G426" s="184" t="n">
        <x:v>16242</x:v>
      </x:c>
      <x:c r="H426" s="193" t="n">
        <x:v>0</x:v>
      </x:c>
      <x:c r="I426" s="185" t="n">
        <x:v>0</x:v>
      </x:c>
      <x:c r="J426" s="185" t="n">
        <x:v>16242</x:v>
      </x:c>
      <x:c r="K426" s="289" t="n">
        <x:v>812.12</x:v>
      </x:c>
    </x:row>
    <x:row r="427" s="117" customFormat="1" hidden="1">
      <x:c r="A427" s="184" t="inlineStr">
        <x:is>
          <x:t xml:space="preserve">EMPSPI001086</x:t>
        </x:is>
      </x:c>
      <x:c r="B427" s="184" t="inlineStr">
        <x:is>
          <x:t xml:space="preserve">EMPAQ ESPIROMETALICA TIPO DRI, ANILL EXI304 EMPAQ GRAF ANILL INT304 CLA3/4/600,2 1/2PLG(861025BJBB)</x:t>
        </x:is>
      </x:c>
      <x:c r="C427" s="184" t="n">
        <x:v>20</x:v>
      </x:c>
      <x:c r="D427" s="184" t="n">
        <x:v>0</x:v>
      </x:c>
      <x:c r="E427" s="184" t="n">
        <x:v>0</x:v>
      </x:c>
      <x:c r="F427" s="184" t="n">
        <x:v>20</x:v>
      </x:c>
      <x:c r="G427" s="184" t="n">
        <x:v>17753</x:v>
      </x:c>
      <x:c r="H427" s="193" t="n">
        <x:v>0</x:v>
      </x:c>
      <x:c r="I427" s="185" t="n">
        <x:v>0</x:v>
      </x:c>
      <x:c r="J427" s="185" t="n">
        <x:v>17753</x:v>
      </x:c>
      <x:c r="K427" s="289" t="n">
        <x:v>887.66</x:v>
      </x:c>
    </x:row>
    <x:row r="428" s="117" customFormat="1" hidden="1">
      <x:c r="A428" s="184" t="inlineStr">
        <x:is>
          <x:t xml:space="preserve">EMPSPI001087</x:t>
        </x:is>
      </x:c>
      <x:c r="B428" s="184" t="inlineStr">
        <x:is>
          <x:t xml:space="preserve">EMPAQ ESPIROMETALICA TIPO  DRI, ANILL EXI304 EMPAQ GRAF ANILL INT304 CLA3/4/600, 3PLG(8610300BJBB)</x:t>
        </x:is>
      </x:c>
      <x:c r="C428" s="184" t="n">
        <x:v>60</x:v>
      </x:c>
      <x:c r="D428" s="184" t="n">
        <x:v>0</x:v>
      </x:c>
      <x:c r="E428" s="184" t="n">
        <x:v>0</x:v>
      </x:c>
      <x:c r="F428" s="184" t="n">
        <x:v>60</x:v>
      </x:c>
      <x:c r="G428" s="184" t="n">
        <x:v>74791</x:v>
      </x:c>
      <x:c r="H428" s="193" t="n">
        <x:v>0</x:v>
      </x:c>
      <x:c r="I428" s="185" t="n">
        <x:v>0</x:v>
      </x:c>
      <x:c r="J428" s="185" t="n">
        <x:v>74791</x:v>
      </x:c>
      <x:c r="K428" s="289" t="n">
        <x:v>1246.51</x:v>
      </x:c>
    </x:row>
    <x:row r="429" s="117" customFormat="1" hidden="1">
      <x:c r="A429" s="184" t="inlineStr">
        <x:is>
          <x:t xml:space="preserve">EMPSPI001088</x:t>
        </x:is>
      </x:c>
      <x:c r="B429" s="184" t="inlineStr">
        <x:is>
          <x:t xml:space="preserve">EMPAQ ESPIROMETALICA TIPO  DR I, ANILL EXI304 EMPAQ GRAF ANILL INT304 CLAS300, 4PLG(8610400BBBB)</x:t>
        </x:is>
      </x:c>
      <x:c r="C429" s="184" t="n">
        <x:v>55</x:v>
      </x:c>
      <x:c r="D429" s="184" t="n">
        <x:v>0</x:v>
      </x:c>
      <x:c r="E429" s="184" t="n">
        <x:v>0</x:v>
      </x:c>
      <x:c r="F429" s="184" t="n">
        <x:v>55</x:v>
      </x:c>
      <x:c r="G429" s="184" t="n">
        <x:v>104568</x:v>
      </x:c>
      <x:c r="H429" s="193" t="n">
        <x:v>0</x:v>
      </x:c>
      <x:c r="I429" s="185" t="n">
        <x:v>0</x:v>
      </x:c>
      <x:c r="J429" s="185" t="n">
        <x:v>104568</x:v>
      </x:c>
      <x:c r="K429" s="289" t="n">
        <x:v>1901.24</x:v>
      </x:c>
    </x:row>
    <x:row r="430" s="117" customFormat="1" hidden="1">
      <x:c r="A430" s="184" t="inlineStr">
        <x:is>
          <x:t xml:space="preserve">EMPSPI001089</x:t>
        </x:is>
      </x:c>
      <x:c r="B430" s="184" t="inlineStr">
        <x:is>
          <x:t xml:space="preserve">EMPAQ ESPIROMETALICA TIPO  DRI, ANILL EXI304 EMPAQ GRAF ANILL INT304 CLAS300, 6PLG(8610600BBBB)</x:t>
        </x:is>
      </x:c>
      <x:c r="C430" s="184" t="n">
        <x:v>55</x:v>
      </x:c>
      <x:c r="D430" s="184" t="n">
        <x:v>0</x:v>
      </x:c>
      <x:c r="E430" s="184" t="n">
        <x:v>0</x:v>
      </x:c>
      <x:c r="F430" s="184" t="n">
        <x:v>55</x:v>
      </x:c>
      <x:c r="G430" s="184" t="n">
        <x:v>176589</x:v>
      </x:c>
      <x:c r="H430" s="193" t="n">
        <x:v>0</x:v>
      </x:c>
      <x:c r="I430" s="185" t="n">
        <x:v>0</x:v>
      </x:c>
      <x:c r="J430" s="185" t="n">
        <x:v>176589</x:v>
      </x:c>
      <x:c r="K430" s="289" t="n">
        <x:v>3210.7</x:v>
      </x:c>
    </x:row>
    <x:row r="431" s="117" customFormat="1" hidden="1">
      <x:c r="A431" s="184" t="inlineStr">
        <x:is>
          <x:t xml:space="preserve">EMPSPI001090</x:t>
        </x:is>
      </x:c>
      <x:c r="B431" s="184" t="inlineStr">
        <x:is>
          <x:t xml:space="preserve">EMPAQ ESPIROMETALICA TIPO  DRI, ANILL EXI304 EMPAQ GRAF ANILL INT304 CLAS300, 8PLG(8610800BBBB)</x:t>
        </x:is>
      </x:c>
      <x:c r="C431" s="184" t="n">
        <x:v>55</x:v>
      </x:c>
      <x:c r="D431" s="184" t="n">
        <x:v>0</x:v>
      </x:c>
      <x:c r="E431" s="184" t="n">
        <x:v>0</x:v>
      </x:c>
      <x:c r="F431" s="184" t="n">
        <x:v>55</x:v>
      </x:c>
      <x:c r="G431" s="184" t="n">
        <x:v>233028</x:v>
      </x:c>
      <x:c r="H431" s="193" t="n">
        <x:v>0</x:v>
      </x:c>
      <x:c r="I431" s="185" t="n">
        <x:v>0</x:v>
      </x:c>
      <x:c r="J431" s="185" t="n">
        <x:v>233028</x:v>
      </x:c>
      <x:c r="K431" s="289" t="n">
        <x:v>4236.87</x:v>
      </x:c>
    </x:row>
    <x:row r="432" s="117" customFormat="1" hidden="1">
      <x:c r="A432" s="184" t="inlineStr">
        <x:is>
          <x:t xml:space="preserve">EMPSPI001091</x:t>
        </x:is>
      </x:c>
      <x:c r="B432" s="184" t="inlineStr">
        <x:is>
          <x:t xml:space="preserve">EMPAQ ESPIROMETALICA TIPO  DRI, ANILL EXI304 EMPAQ GRAF ANILL INT304 CLAS300, 10PLG(8611000BBBB)</x:t>
        </x:is>
      </x:c>
      <x:c r="C432" s="184" t="n">
        <x:v>55</x:v>
      </x:c>
      <x:c r="D432" s="184" t="n">
        <x:v>0</x:v>
      </x:c>
      <x:c r="E432" s="184" t="n">
        <x:v>0</x:v>
      </x:c>
      <x:c r="F432" s="184" t="n">
        <x:v>55</x:v>
      </x:c>
      <x:c r="G432" s="184" t="n">
        <x:v>272154</x:v>
      </x:c>
      <x:c r="H432" s="193" t="n">
        <x:v>0</x:v>
      </x:c>
      <x:c r="I432" s="185" t="n">
        <x:v>0</x:v>
      </x:c>
      <x:c r="J432" s="185" t="n">
        <x:v>272154</x:v>
      </x:c>
      <x:c r="K432" s="289" t="n">
        <x:v>4948.26</x:v>
      </x:c>
    </x:row>
    <x:row r="433" s="117" customFormat="1" hidden="1">
      <x:c r="A433" s="184" t="inlineStr">
        <x:is>
          <x:t xml:space="preserve">EMPSPI001092</x:t>
        </x:is>
      </x:c>
      <x:c r="B433" s="184" t="inlineStr">
        <x:is>
          <x:t xml:space="preserve">EMPAQ ESPIROMETALICA TIPO  DRI, ANILL EXI304 EMPAQ GRAF ANILL INT304 CLAS300, 12PLG(8611200BBBB)</x:t>
        </x:is>
      </x:c>
      <x:c r="C433" s="184" t="n">
        <x:v>55</x:v>
      </x:c>
      <x:c r="D433" s="184" t="n">
        <x:v>0</x:v>
      </x:c>
      <x:c r="E433" s="184" t="n">
        <x:v>0</x:v>
      </x:c>
      <x:c r="F433" s="184" t="n">
        <x:v>55</x:v>
      </x:c>
      <x:c r="G433" s="184" t="n">
        <x:v>381916</x:v>
      </x:c>
      <x:c r="H433" s="193" t="n">
        <x:v>0</x:v>
      </x:c>
      <x:c r="I433" s="185" t="n">
        <x:v>0</x:v>
      </x:c>
      <x:c r="J433" s="185" t="n">
        <x:v>381916</x:v>
      </x:c>
      <x:c r="K433" s="289" t="n">
        <x:v>6943.93</x:v>
      </x:c>
    </x:row>
    <x:row r="434" s="117" customFormat="1" hidden="1">
      <x:c r="A434" s="184" t="inlineStr">
        <x:is>
          <x:t xml:space="preserve">EMPSPI001093</x:t>
        </x:is>
      </x:c>
      <x:c r="B434" s="184" t="inlineStr">
        <x:is>
          <x:t xml:space="preserve">EMPAQ ESPIROMETALICA TIPO  DRI, ANILL EXI304 EMPAQ GRAF ANILL INT304 CLAS300, 16PLG(8611600BBBB)</x:t>
        </x:is>
      </x:c>
      <x:c r="C434" s="184" t="n">
        <x:v>55</x:v>
      </x:c>
      <x:c r="D434" s="184" t="n">
        <x:v>0</x:v>
      </x:c>
      <x:c r="E434" s="184" t="n">
        <x:v>0</x:v>
      </x:c>
      <x:c r="F434" s="184" t="n">
        <x:v>55</x:v>
      </x:c>
      <x:c r="G434" s="184" t="n">
        <x:v>580568</x:v>
      </x:c>
      <x:c r="H434" s="193" t="n">
        <x:v>0</x:v>
      </x:c>
      <x:c r="I434" s="185" t="n">
        <x:v>0</x:v>
      </x:c>
      <x:c r="J434" s="185" t="n">
        <x:v>580568</x:v>
      </x:c>
      <x:c r="K434" s="289" t="n">
        <x:v>10555.781091</x:v>
      </x:c>
    </x:row>
    <x:row r="435" s="117" customFormat="1" hidden="1">
      <x:c r="A435" s="184" t="inlineStr">
        <x:is>
          <x:t xml:space="preserve">EMPSPI001094</x:t>
        </x:is>
      </x:c>
      <x:c r="B435" s="184" t="inlineStr">
        <x:is>
          <x:t xml:space="preserve">EMPAQ ESPIROMETALICA TIPO  DRI, ANILL EXI316 EMPAQ GRAF ANILL INT316 CLAS150, 1/2PLG(8610050BACC)</x:t>
        </x:is>
      </x:c>
      <x:c r="C435" s="184" t="n">
        <x:v>20</x:v>
      </x:c>
      <x:c r="D435" s="184" t="n">
        <x:v>0</x:v>
      </x:c>
      <x:c r="E435" s="184" t="n">
        <x:v>0</x:v>
      </x:c>
      <x:c r="F435" s="184" t="n">
        <x:v>20</x:v>
      </x:c>
      <x:c r="G435" s="184" t="n">
        <x:v>9066</x:v>
      </x:c>
      <x:c r="H435" s="193" t="n">
        <x:v>0</x:v>
      </x:c>
      <x:c r="I435" s="185" t="n">
        <x:v>0</x:v>
      </x:c>
      <x:c r="J435" s="185" t="n">
        <x:v>9066</x:v>
      </x:c>
      <x:c r="K435" s="289" t="n">
        <x:v>453.28</x:v>
      </x:c>
    </x:row>
    <x:row r="436" s="117" customFormat="1" hidden="1">
      <x:c r="A436" s="184" t="inlineStr">
        <x:is>
          <x:t xml:space="preserve">EMPSPI001095</x:t>
        </x:is>
      </x:c>
      <x:c r="B436" s="184" t="inlineStr">
        <x:is>
          <x:t xml:space="preserve">EMPAQ ESPIROMETALICA TIPO  DRI, ANILL EXI316 EMPAQ GRAF ANILL INT316 CLAS150, 3/4PLG(8610075BACC)</x:t>
        </x:is>
      </x:c>
      <x:c r="C436" s="184" t="n">
        <x:v>20</x:v>
      </x:c>
      <x:c r="D436" s="184" t="n">
        <x:v>0</x:v>
      </x:c>
      <x:c r="E436" s="184" t="n">
        <x:v>0</x:v>
      </x:c>
      <x:c r="F436" s="184" t="n">
        <x:v>20</x:v>
      </x:c>
      <x:c r="G436" s="184" t="n">
        <x:v>9695</x:v>
      </x:c>
      <x:c r="H436" s="193" t="n">
        <x:v>0</x:v>
      </x:c>
      <x:c r="I436" s="185" t="n">
        <x:v>0</x:v>
      </x:c>
      <x:c r="J436" s="185" t="n">
        <x:v>9695</x:v>
      </x:c>
      <x:c r="K436" s="289" t="n">
        <x:v>484.75</x:v>
      </x:c>
    </x:row>
    <x:row r="437" s="117" customFormat="1" hidden="1">
      <x:c r="A437" s="184" t="inlineStr">
        <x:is>
          <x:t xml:space="preserve">EMPSPI001096</x:t>
        </x:is>
      </x:c>
      <x:c r="B437" s="184" t="inlineStr">
        <x:is>
          <x:t xml:space="preserve">EMPAQ ESPIROMETALICA TIPO  DRI, ANILL EXI316 EMPAQ GRAF ANILL INT316 CLAS150, 1PLG(8610100BACC)</x:t>
        </x:is>
      </x:c>
      <x:c r="C437" s="184" t="n">
        <x:v>20</x:v>
      </x:c>
      <x:c r="D437" s="184" t="n">
        <x:v>0</x:v>
      </x:c>
      <x:c r="E437" s="184" t="n">
        <x:v>0</x:v>
      </x:c>
      <x:c r="F437" s="184" t="n">
        <x:v>20</x:v>
      </x:c>
      <x:c r="G437" s="184" t="n">
        <x:v>11584</x:v>
      </x:c>
      <x:c r="H437" s="193" t="n">
        <x:v>0</x:v>
      </x:c>
      <x:c r="I437" s="185" t="n">
        <x:v>0</x:v>
      </x:c>
      <x:c r="J437" s="185" t="n">
        <x:v>11584</x:v>
      </x:c>
      <x:c r="K437" s="289" t="n">
        <x:v>579.1900000000001</x:v>
      </x:c>
    </x:row>
    <x:row r="438" s="117" customFormat="1" hidden="1">
      <x:c r="A438" s="184" t="inlineStr">
        <x:is>
          <x:t xml:space="preserve">EMPSPI001097</x:t>
        </x:is>
      </x:c>
      <x:c r="B438" s="184" t="inlineStr">
        <x:is>
          <x:t xml:space="preserve">EMPAQ ESPIROMETALICA TIPO  DRI, ANILL EXI316 EMPAQ GRAF ANILL INT316 CLAS150, 1 1/4PLG(8610125BACC)</x:t>
        </x:is>
      </x:c>
      <x:c r="C438" s="184" t="n">
        <x:v>20</x:v>
      </x:c>
      <x:c r="D438" s="184" t="n">
        <x:v>0</x:v>
      </x:c>
      <x:c r="E438" s="184" t="n">
        <x:v>0</x:v>
      </x:c>
      <x:c r="F438" s="184" t="n">
        <x:v>20</x:v>
      </x:c>
      <x:c r="G438" s="184" t="n">
        <x:v>14228</x:v>
      </x:c>
      <x:c r="H438" s="193" t="n">
        <x:v>0</x:v>
      </x:c>
      <x:c r="I438" s="185" t="n">
        <x:v>0</x:v>
      </x:c>
      <x:c r="J438" s="185" t="n">
        <x:v>14228</x:v>
      </x:c>
      <x:c r="K438" s="289" t="n">
        <x:v>711.39</x:v>
      </x:c>
    </x:row>
    <x:row r="439" s="117" customFormat="1" hidden="1">
      <x:c r="A439" s="184" t="inlineStr">
        <x:is>
          <x:t xml:space="preserve">EMPSPI001098</x:t>
        </x:is>
      </x:c>
      <x:c r="B439" s="184" t="inlineStr">
        <x:is>
          <x:t xml:space="preserve">EMPAQ ESPIROMETALICA TIPO  DRI, ANILL EXI316 EMPAQ GRAF ANILL INT316 CLAS150, 1 1/2PLG(8610150BACC)</x:t>
        </x:is>
      </x:c>
      <x:c r="C439" s="184" t="n">
        <x:v>20</x:v>
      </x:c>
      <x:c r="D439" s="184" t="n">
        <x:v>0</x:v>
      </x:c>
      <x:c r="E439" s="184" t="n">
        <x:v>0</x:v>
      </x:c>
      <x:c r="F439" s="184" t="n">
        <x:v>20</x:v>
      </x:c>
      <x:c r="G439" s="184" t="n">
        <x:v>17250</x:v>
      </x:c>
      <x:c r="H439" s="193" t="n">
        <x:v>0</x:v>
      </x:c>
      <x:c r="I439" s="185" t="n">
        <x:v>0</x:v>
      </x:c>
      <x:c r="J439" s="185" t="n">
        <x:v>17250</x:v>
      </x:c>
      <x:c r="K439" s="289" t="n">
        <x:v>862.48</x:v>
      </x:c>
    </x:row>
    <x:row r="440" s="117" customFormat="1" hidden="1">
      <x:c r="A440" s="184" t="inlineStr">
        <x:is>
          <x:t xml:space="preserve">EMPSPI001099</x:t>
        </x:is>
      </x:c>
      <x:c r="B440" s="184" t="inlineStr">
        <x:is>
          <x:t xml:space="preserve">EMPAQ ESPIROMETALICA TIPO  DRI, ANILL EXI316 EMPAQ GRAF ANILL INT316 CLAS150, 2PLG(8610200BACC)</x:t>
        </x:is>
      </x:c>
      <x:c r="C440" s="184" t="n">
        <x:v>20</x:v>
      </x:c>
      <x:c r="D440" s="184" t="n">
        <x:v>0</x:v>
      </x:c>
      <x:c r="E440" s="184" t="n">
        <x:v>0</x:v>
      </x:c>
      <x:c r="F440" s="184" t="n">
        <x:v>20</x:v>
      </x:c>
      <x:c r="G440" s="184" t="n">
        <x:v>19768</x:v>
      </x:c>
      <x:c r="H440" s="193" t="n">
        <x:v>0</x:v>
      </x:c>
      <x:c r="I440" s="185" t="n">
        <x:v>0</x:v>
      </x:c>
      <x:c r="J440" s="185" t="n">
        <x:v>19768</x:v>
      </x:c>
      <x:c r="K440" s="289" t="n">
        <x:v>988.39</x:v>
      </x:c>
    </x:row>
    <x:row r="441" s="117" customFormat="1" hidden="1">
      <x:c r="A441" s="184" t="inlineStr">
        <x:is>
          <x:t xml:space="preserve">EMPSPI001100</x:t>
        </x:is>
      </x:c>
      <x:c r="B441" s="184" t="inlineStr">
        <x:is>
          <x:t xml:space="preserve">EMPAQ ESPIROMETALICA TIPO  DRI, ANILL EXI316 EMPAQ GRAF ANILL INT316 CLAS150, 2 1/2PLG(8610250BACC)</x:t>
        </x:is>
      </x:c>
      <x:c r="C441" s="184" t="n">
        <x:v>40</x:v>
      </x:c>
      <x:c r="D441" s="184" t="n">
        <x:v>0</x:v>
      </x:c>
      <x:c r="E441" s="184" t="n">
        <x:v>0</x:v>
      </x:c>
      <x:c r="F441" s="184" t="n">
        <x:v>40</x:v>
      </x:c>
      <x:c r="G441" s="184" t="n">
        <x:v>46335</x:v>
      </x:c>
      <x:c r="H441" s="193" t="n">
        <x:v>0</x:v>
      </x:c>
      <x:c r="I441" s="185" t="n">
        <x:v>0</x:v>
      </x:c>
      <x:c r="J441" s="185" t="n">
        <x:v>46335</x:v>
      </x:c>
      <x:c r="K441" s="289" t="n">
        <x:v>1158.37</x:v>
      </x:c>
    </x:row>
    <x:row r="442" s="117" customFormat="1" hidden="1">
      <x:c r="A442" s="184" t="inlineStr">
        <x:is>
          <x:t xml:space="preserve">EMPSPI001101</x:t>
        </x:is>
      </x:c>
      <x:c r="B442" s="184" t="inlineStr">
        <x:is>
          <x:t xml:space="preserve">EMPAQ ESPIROMETALICA TIPO  DRI, ANILL EXI316 EMPAQ GRAF ANILL INT316 CLAS150, (8610300BACC)</x:t>
        </x:is>
      </x:c>
      <x:c r="C442" s="184" t="n">
        <x:v>60</x:v>
      </x:c>
      <x:c r="D442" s="184" t="n">
        <x:v>0</x:v>
      </x:c>
      <x:c r="E442" s="184" t="n">
        <x:v>0</x:v>
      </x:c>
      <x:c r="F442" s="184" t="n">
        <x:v>60</x:v>
      </x:c>
      <x:c r="G442" s="184" t="n">
        <x:v>91411</x:v>
      </x:c>
      <x:c r="H442" s="193" t="n">
        <x:v>0</x:v>
      </x:c>
      <x:c r="I442" s="185" t="n">
        <x:v>0</x:v>
      </x:c>
      <x:c r="J442" s="185" t="n">
        <x:v>91411</x:v>
      </x:c>
      <x:c r="K442" s="289" t="n">
        <x:v>1523.51</x:v>
      </x:c>
    </x:row>
    <x:row r="443" s="117" customFormat="1" hidden="1">
      <x:c r="A443" s="184" t="inlineStr">
        <x:is>
          <x:t xml:space="preserve">EMPSPI001102</x:t>
        </x:is>
      </x:c>
      <x:c r="B443" s="184" t="inlineStr">
        <x:is>
          <x:t xml:space="preserve">EMPAQ ESPIROMETALICA TIPO  DRI, ANILL EXI316 EMPAQ GRAF ANILL INT316 CLAS150, 4PLG(8610400BACC)</x:t>
        </x:is>
      </x:c>
      <x:c r="C443" s="184" t="n">
        <x:v>55</x:v>
      </x:c>
      <x:c r="D443" s="184" t="n">
        <x:v>0</x:v>
      </x:c>
      <x:c r="E443" s="184" t="n">
        <x:v>0</x:v>
      </x:c>
      <x:c r="F443" s="184" t="n">
        <x:v>55</x:v>
      </x:c>
      <x:c r="G443" s="184" t="n">
        <x:v>120150</x:v>
      </x:c>
      <x:c r="H443" s="193" t="n">
        <x:v>0</x:v>
      </x:c>
      <x:c r="I443" s="185" t="n">
        <x:v>0</x:v>
      </x:c>
      <x:c r="J443" s="185" t="n">
        <x:v>120150</x:v>
      </x:c>
      <x:c r="K443" s="289" t="n">
        <x:v>2184.54</x:v>
      </x:c>
    </x:row>
    <x:row r="444" s="117" customFormat="1" hidden="1">
      <x:c r="A444" s="184" t="inlineStr">
        <x:is>
          <x:t xml:space="preserve">EMPSPI001103</x:t>
        </x:is>
      </x:c>
      <x:c r="B444" s="184" t="inlineStr">
        <x:is>
          <x:t xml:space="preserve">EMPAQ ESPIROMETALICA TIPO  DRI, ANILL EXI316 EMPAQ GRAF ANILL INT316 CLAS150, 6PLG(8610600BACC)</x:t>
        </x:is>
      </x:c>
      <x:c r="C444" s="184" t="n">
        <x:v>40</x:v>
      </x:c>
      <x:c r="D444" s="184" t="n">
        <x:v>0</x:v>
      </x:c>
      <x:c r="E444" s="184" t="n">
        <x:v>0</x:v>
      </x:c>
      <x:c r="F444" s="184" t="n">
        <x:v>40</x:v>
      </x:c>
      <x:c r="G444" s="184" t="n">
        <x:v>142782</x:v>
      </x:c>
      <x:c r="H444" s="193" t="n">
        <x:v>0</x:v>
      </x:c>
      <x:c r="I444" s="185" t="n">
        <x:v>0</x:v>
      </x:c>
      <x:c r="J444" s="185" t="n">
        <x:v>142782</x:v>
      </x:c>
      <x:c r="K444" s="289" t="n">
        <x:v>3569.54</x:v>
      </x:c>
    </x:row>
    <x:row r="445" s="117" customFormat="1" hidden="1">
      <x:c r="A445" s="184" t="inlineStr">
        <x:is>
          <x:t xml:space="preserve">EMPSPI001104</x:t>
        </x:is>
      </x:c>
      <x:c r="B445" s="184" t="inlineStr">
        <x:is>
          <x:t xml:space="preserve">EMPAQ ESPIROMETALICA TIPO  DRI, ANILL EXI316 EMPAQ GRAF ANILL INT316 CLAS150, 8PLG(8610800BACC)</x:t>
        </x:is>
      </x:c>
      <x:c r="C445" s="184" t="n">
        <x:v>50</x:v>
      </x:c>
      <x:c r="D445" s="184" t="n">
        <x:v>0</x:v>
      </x:c>
      <x:c r="E445" s="184" t="n">
        <x:v>0</x:v>
      </x:c>
      <x:c r="F445" s="184" t="n">
        <x:v>50</x:v>
      </x:c>
      <x:c r="G445" s="184" t="n">
        <x:v>218139</x:v>
      </x:c>
      <x:c r="H445" s="193" t="n">
        <x:v>0</x:v>
      </x:c>
      <x:c r="I445" s="185" t="n">
        <x:v>0</x:v>
      </x:c>
      <x:c r="J445" s="185" t="n">
        <x:v>218139</x:v>
      </x:c>
      <x:c r="K445" s="289" t="n">
        <x:v>4362.78</x:v>
      </x:c>
    </x:row>
    <x:row r="446" s="117" customFormat="1" hidden="1">
      <x:c r="A446" s="184" t="inlineStr">
        <x:is>
          <x:t xml:space="preserve">EMPSPI001105</x:t>
        </x:is>
      </x:c>
      <x:c r="B446" s="184" t="inlineStr">
        <x:is>
          <x:t xml:space="preserve">EMPAQ ESPIROMETALICA TIPO  DRI, ANILL EXI316 EMPAQ GRAF ANILL INT316 CLAS150, 10PLG(8611000BACC)</x:t>
        </x:is>
      </x:c>
      <x:c r="C446" s="184" t="n">
        <x:v>55</x:v>
      </x:c>
      <x:c r="D446" s="184" t="n">
        <x:v>0</x:v>
      </x:c>
      <x:c r="E446" s="184" t="n">
        <x:v>0</x:v>
      </x:c>
      <x:c r="F446" s="184" t="n">
        <x:v>55</x:v>
      </x:c>
      <x:c r="G446" s="184" t="n">
        <x:v>288428</x:v>
      </x:c>
      <x:c r="H446" s="193" t="n">
        <x:v>0</x:v>
      </x:c>
      <x:c r="I446" s="185" t="n">
        <x:v>0</x:v>
      </x:c>
      <x:c r="J446" s="185" t="n">
        <x:v>288428</x:v>
      </x:c>
      <x:c r="K446" s="289" t="n">
        <x:v>5244.14</x:v>
      </x:c>
    </x:row>
    <x:row r="447" s="117" customFormat="1" hidden="1">
      <x:c r="A447" s="184" t="inlineStr">
        <x:is>
          <x:t xml:space="preserve">EMPSPI001106</x:t>
        </x:is>
      </x:c>
      <x:c r="B447" s="184" t="inlineStr">
        <x:is>
          <x:t xml:space="preserve">EMPAQ ESPIROMETALICA TIPO  DRI, ANILL EXI316 EMPAQ GRAF ANILL INT316 CLAS150, 12PLG(8611200BACC)</x:t>
        </x:is>
      </x:c>
      <x:c r="C447" s="184" t="n">
        <x:v>220</x:v>
      </x:c>
      <x:c r="D447" s="184" t="n">
        <x:v>0</x:v>
      </x:c>
      <x:c r="E447" s="184" t="n">
        <x:v>0</x:v>
      </x:c>
      <x:c r="F447" s="184" t="n">
        <x:v>220</x:v>
      </x:c>
      <x:c r="G447" s="184" t="n">
        <x:v>1610765</x:v>
      </x:c>
      <x:c r="H447" s="193" t="n">
        <x:v>0</x:v>
      </x:c>
      <x:c r="I447" s="185" t="n">
        <x:v>0</x:v>
      </x:c>
      <x:c r="J447" s="185" t="n">
        <x:v>1610765</x:v>
      </x:c>
      <x:c r="K447" s="289" t="n">
        <x:v>7321.66</x:v>
      </x:c>
    </x:row>
    <x:row r="448" s="117" customFormat="1" hidden="1">
      <x:c r="A448" s="184" t="inlineStr">
        <x:is>
          <x:t xml:space="preserve">EMPSPI001107</x:t>
        </x:is>
      </x:c>
      <x:c r="B448" s="184" t="inlineStr">
        <x:is>
          <x:t xml:space="preserve">EMPAQ ESPIROMETALICA TIPO  DRI, ANILL EXI316 EMPAQ GRAF ANILL INT316 CLAS150, 16PLG(8611600BACC)</x:t>
        </x:is>
      </x:c>
      <x:c r="C448" s="184" t="n">
        <x:v>220</x:v>
      </x:c>
      <x:c r="D448" s="184" t="n">
        <x:v>0</x:v>
      </x:c>
      <x:c r="E448" s="184" t="n">
        <x:v>0</x:v>
      </x:c>
      <x:c r="F448" s="184" t="n">
        <x:v>220</x:v>
      </x:c>
      <x:c r="G448" s="184" t="n">
        <x:v>2400220</x:v>
      </x:c>
      <x:c r="H448" s="193" t="n">
        <x:v>0</x:v>
      </x:c>
      <x:c r="I448" s="185" t="n">
        <x:v>0</x:v>
      </x:c>
      <x:c r="J448" s="185" t="n">
        <x:v>2400220</x:v>
      </x:c>
      <x:c r="K448" s="289" t="n">
        <x:v>10910.09</x:v>
      </x:c>
    </x:row>
    <x:row r="449" s="117" customFormat="1" hidden="1">
      <x:c r="A449" s="184" t="inlineStr">
        <x:is>
          <x:t xml:space="preserve">EMPSPI001108</x:t>
        </x:is>
      </x:c>
      <x:c r="B449" s="184" t="inlineStr">
        <x:is>
          <x:t xml:space="preserve">EMPAQ ESPIROMETALICA TIPO  DRI, ANILL EXI316 EMPAQ GRAF ANILL INT316 CLA3/4/600, 1/2PLG(8610050BJCC)</x:t>
        </x:is>
      </x:c>
      <x:c r="C449" s="184" t="n">
        <x:v>20</x:v>
      </x:c>
      <x:c r="D449" s="184" t="n">
        <x:v>0</x:v>
      </x:c>
      <x:c r="E449" s="184" t="n">
        <x:v>0</x:v>
      </x:c>
      <x:c r="F449" s="184" t="n">
        <x:v>20</x:v>
      </x:c>
      <x:c r="G449" s="184" t="n">
        <x:v>9317</x:v>
      </x:c>
      <x:c r="H449" s="193" t="n">
        <x:v>0</x:v>
      </x:c>
      <x:c r="I449" s="185" t="n">
        <x:v>0</x:v>
      </x:c>
      <x:c r="J449" s="185" t="n">
        <x:v>9317</x:v>
      </x:c>
      <x:c r="K449" s="289" t="n">
        <x:v>465.87</x:v>
      </x:c>
    </x:row>
    <x:row r="450" s="117" customFormat="1" hidden="1">
      <x:c r="A450" s="184" t="inlineStr">
        <x:is>
          <x:t xml:space="preserve">EMPSPI001109</x:t>
        </x:is>
      </x:c>
      <x:c r="B450" s="184" t="inlineStr">
        <x:is>
          <x:t xml:space="preserve">EMPAQ ESPIROMETALICA TIPO  DRI, ANILL EXI316 EMPAQ GRAF ANILL INT316 CLA3/4/600, 3/4PLG(8610075BJCC)</x:t>
        </x:is>
      </x:c>
      <x:c r="C450" s="184" t="n">
        <x:v>20</x:v>
      </x:c>
      <x:c r="D450" s="184" t="n">
        <x:v>0</x:v>
      </x:c>
      <x:c r="E450" s="184" t="n">
        <x:v>0</x:v>
      </x:c>
      <x:c r="F450" s="184" t="n">
        <x:v>20</x:v>
      </x:c>
      <x:c r="G450" s="184" t="n">
        <x:v>9947</x:v>
      </x:c>
      <x:c r="H450" s="193" t="n">
        <x:v>0</x:v>
      </x:c>
      <x:c r="I450" s="185" t="n">
        <x:v>0</x:v>
      </x:c>
      <x:c r="J450" s="185" t="n">
        <x:v>9947</x:v>
      </x:c>
      <x:c r="K450" s="289" t="n">
        <x:v>497.34</x:v>
      </x:c>
    </x:row>
    <x:row r="451" s="117" customFormat="1" hidden="1">
      <x:c r="A451" s="184" t="inlineStr">
        <x:is>
          <x:t xml:space="preserve">EMPSPI001110</x:t>
        </x:is>
      </x:c>
      <x:c r="B451" s="184" t="inlineStr">
        <x:is>
          <x:t xml:space="preserve">EMPAQ ESPIROMETALICA TIPO  DRI, ANILL EXI316 EMPAQ GRAF ANILL INT316 CLA3/4/600, 1 PLG(8610100BJCC)</x:t>
        </x:is>
      </x:c>
      <x:c r="C451" s="184" t="n">
        <x:v>20</x:v>
      </x:c>
      <x:c r="D451" s="184" t="n">
        <x:v>0</x:v>
      </x:c>
      <x:c r="E451" s="184" t="n">
        <x:v>0</x:v>
      </x:c>
      <x:c r="F451" s="184" t="n">
        <x:v>20</x:v>
      </x:c>
      <x:c r="G451" s="184" t="n">
        <x:v>11584</x:v>
      </x:c>
      <x:c r="H451" s="193" t="n">
        <x:v>0</x:v>
      </x:c>
      <x:c r="I451" s="185" t="n">
        <x:v>0</x:v>
      </x:c>
      <x:c r="J451" s="185" t="n">
        <x:v>11584</x:v>
      </x:c>
      <x:c r="K451" s="289" t="n">
        <x:v>579.1900000000001</x:v>
      </x:c>
    </x:row>
    <x:row r="452" s="117" customFormat="1" hidden="1">
      <x:c r="A452" s="184" t="inlineStr">
        <x:is>
          <x:t xml:space="preserve">EMPSPI001111</x:t>
        </x:is>
      </x:c>
      <x:c r="B452" s="184" t="inlineStr">
        <x:is>
          <x:t xml:space="preserve">EMPAQ ESPIROMETALICA TIPO DRI, ANILL EXI316 EMPAQ GRAF ANILL INT316 CLA3/4/600,1 1/4PLG(8610125BJCC)</x:t>
        </x:is>
      </x:c>
      <x:c r="C452" s="184" t="n">
        <x:v>20</x:v>
      </x:c>
      <x:c r="D452" s="184" t="n">
        <x:v>0</x:v>
      </x:c>
      <x:c r="E452" s="184" t="n">
        <x:v>0</x:v>
      </x:c>
      <x:c r="F452" s="184" t="n">
        <x:v>20</x:v>
      </x:c>
      <x:c r="G452" s="184" t="n">
        <x:v>14606</x:v>
      </x:c>
      <x:c r="H452" s="193" t="n">
        <x:v>0</x:v>
      </x:c>
      <x:c r="I452" s="185" t="n">
        <x:v>0</x:v>
      </x:c>
      <x:c r="J452" s="185" t="n">
        <x:v>14606</x:v>
      </x:c>
      <x:c r="K452" s="289" t="n">
        <x:v>730.28</x:v>
      </x:c>
    </x:row>
    <x:row r="453" s="117" customFormat="1" hidden="1">
      <x:c r="A453" s="184" t="inlineStr">
        <x:is>
          <x:t xml:space="preserve">EMPSPI001112</x:t>
        </x:is>
      </x:c>
      <x:c r="B453" s="184" t="inlineStr">
        <x:is>
          <x:t xml:space="preserve">EMPAQ ESPIROMETALICA TIPO DRI, ANILL EXI316 EMPAQ GRAF ANILL INT316 CLA3/4/600,1 1/2PLG(8610150BJCC)</x:t>
        </x:is>
      </x:c>
      <x:c r="C453" s="184" t="n">
        <x:v>20</x:v>
      </x:c>
      <x:c r="D453" s="184" t="n">
        <x:v>0</x:v>
      </x:c>
      <x:c r="E453" s="184" t="n">
        <x:v>0</x:v>
      </x:c>
      <x:c r="F453" s="184" t="n">
        <x:v>20</x:v>
      </x:c>
      <x:c r="G453" s="184" t="n">
        <x:v>17376</x:v>
      </x:c>
      <x:c r="H453" s="193" t="n">
        <x:v>0</x:v>
      </x:c>
      <x:c r="I453" s="185" t="n">
        <x:v>0</x:v>
      </x:c>
      <x:c r="J453" s="185" t="n">
        <x:v>17376</x:v>
      </x:c>
      <x:c r="K453" s="289" t="n">
        <x:v>868.78</x:v>
      </x:c>
    </x:row>
    <x:row r="454" s="117" customFormat="1" hidden="1">
      <x:c r="A454" s="184" t="inlineStr">
        <x:is>
          <x:t xml:space="preserve">EMPSPI001113</x:t>
        </x:is>
      </x:c>
      <x:c r="B454" s="184" t="inlineStr">
        <x:is>
          <x:t xml:space="preserve">EMPAQ ESPIROMETALICA TIPO  DRI, ANILL EXI316 EMPAQ GRAF ANILL INT316 CLA3/4/600, 2PLG(8610200BJCC)</x:t>
        </x:is>
      </x:c>
      <x:c r="C454" s="184" t="n">
        <x:v>20</x:v>
      </x:c>
      <x:c r="D454" s="184" t="n">
        <x:v>0</x:v>
      </x:c>
      <x:c r="E454" s="184" t="n">
        <x:v>0</x:v>
      </x:c>
      <x:c r="F454" s="184" t="n">
        <x:v>20</x:v>
      </x:c>
      <x:c r="G454" s="184" t="n">
        <x:v>20397</x:v>
      </x:c>
      <x:c r="H454" s="193" t="n">
        <x:v>0</x:v>
      </x:c>
      <x:c r="I454" s="185" t="n">
        <x:v>0</x:v>
      </x:c>
      <x:c r="J454" s="185" t="n">
        <x:v>20397</x:v>
      </x:c>
      <x:c r="K454" s="289" t="n">
        <x:v>1019.87</x:v>
      </x:c>
    </x:row>
    <x:row r="455" s="117" customFormat="1" hidden="1">
      <x:c r="A455" s="184" t="inlineStr">
        <x:is>
          <x:t xml:space="preserve">EMPSPI001114</x:t>
        </x:is>
      </x:c>
      <x:c r="B455" s="184" t="inlineStr">
        <x:is>
          <x:t xml:space="preserve">EMPAQ ESPIROMETALICA TIPO  DRI, ANILL EXI316 EMPAQ GRAF ANILL INT316 CLA3/4/600, 3PLG(8610300BJCC)</x:t>
        </x:is>
      </x:c>
      <x:c r="C455" s="184" t="n">
        <x:v>60</x:v>
      </x:c>
      <x:c r="D455" s="184" t="n">
        <x:v>0</x:v>
      </x:c>
      <x:c r="E455" s="184" t="n">
        <x:v>0</x:v>
      </x:c>
      <x:c r="F455" s="184" t="n">
        <x:v>60</x:v>
      </x:c>
      <x:c r="G455" s="184" t="n">
        <x:v>95566</x:v>
      </x:c>
      <x:c r="H455" s="193" t="n">
        <x:v>0</x:v>
      </x:c>
      <x:c r="I455" s="185" t="n">
        <x:v>0</x:v>
      </x:c>
      <x:c r="J455" s="185" t="n">
        <x:v>95566</x:v>
      </x:c>
      <x:c r="K455" s="289" t="n">
        <x:v>1592.76</x:v>
      </x:c>
    </x:row>
    <x:row r="456" s="117" customFormat="1" hidden="1">
      <x:c r="A456" s="184" t="inlineStr">
        <x:is>
          <x:t xml:space="preserve">EMPSPI001115</x:t>
        </x:is>
      </x:c>
      <x:c r="B456" s="184" t="inlineStr">
        <x:is>
          <x:t xml:space="preserve">EMPAQ ESPIROMETALICA TIPO  DRI, ANILL EXI316 EMPAQ GRAF ANILL INT316 CLAS300, 4PLG(8610400BBCC)</x:t>
        </x:is>
      </x:c>
      <x:c r="C456" s="184" t="n">
        <x:v>45</x:v>
      </x:c>
      <x:c r="D456" s="184" t="n">
        <x:v>0</x:v>
      </x:c>
      <x:c r="E456" s="184" t="n">
        <x:v>0</x:v>
      </x:c>
      <x:c r="F456" s="184" t="n">
        <x:v>45</x:v>
      </x:c>
      <x:c r="G456" s="184" t="n">
        <x:v>100571</x:v>
      </x:c>
      <x:c r="H456" s="193" t="n">
        <x:v>0</x:v>
      </x:c>
      <x:c r="I456" s="185" t="n">
        <x:v>0</x:v>
      </x:c>
      <x:c r="J456" s="185" t="n">
        <x:v>100571</x:v>
      </x:c>
      <x:c r="K456" s="289" t="n">
        <x:v>2234.9</x:v>
      </x:c>
    </x:row>
    <x:row r="457" s="117" customFormat="1" hidden="1">
      <x:c r="A457" s="184" t="inlineStr">
        <x:is>
          <x:t xml:space="preserve">EMPSPI001116</x:t>
        </x:is>
      </x:c>
      <x:c r="B457" s="184" t="inlineStr">
        <x:is>
          <x:t xml:space="preserve">EMPAQ ESPIROMETALICA TIPO  DRI, ANILL EXI316 EMPAQ GRAF ANILL INT316 CLAS300, 6PLG(8610600BBCC)</x:t>
        </x:is>
      </x:c>
      <x:c r="C457" s="184" t="n">
        <x:v>55</x:v>
      </x:c>
      <x:c r="D457" s="184" t="n">
        <x:v>0</x:v>
      </x:c>
      <x:c r="E457" s="184" t="n">
        <x:v>0</x:v>
      </x:c>
      <x:c r="F457" s="184" t="n">
        <x:v>55</x:v>
      </x:c>
      <x:c r="G457" s="184" t="n">
        <x:v>202904</x:v>
      </x:c>
      <x:c r="H457" s="193" t="n">
        <x:v>0</x:v>
      </x:c>
      <x:c r="I457" s="185" t="n">
        <x:v>0</x:v>
      </x:c>
      <x:c r="J457" s="185" t="n">
        <x:v>202904</x:v>
      </x:c>
      <x:c r="K457" s="289" t="n">
        <x:v>3689.16</x:v>
      </x:c>
    </x:row>
    <x:row r="458" s="117" customFormat="1" hidden="1">
      <x:c r="A458" s="184" t="inlineStr">
        <x:is>
          <x:t xml:space="preserve">EMPSPI001117</x:t>
        </x:is>
      </x:c>
      <x:c r="B458" s="184" t="inlineStr">
        <x:is>
          <x:t xml:space="preserve">EMPAQ ESPIROMETALICA TIPO  DRI, ANILL EXI316 EMPAQ GRAF ANILL INT316 CLAS300, 8PLG(8610800BBCC)</x:t>
        </x:is>
      </x:c>
      <x:c r="C458" s="184" t="n">
        <x:v>55</x:v>
      </x:c>
      <x:c r="D458" s="184" t="n">
        <x:v>0</x:v>
      </x:c>
      <x:c r="E458" s="184" t="n">
        <x:v>0</x:v>
      </x:c>
      <x:c r="F458" s="184" t="n">
        <x:v>55</x:v>
      </x:c>
      <x:c r="G458" s="184" t="n">
        <x:v>256226</x:v>
      </x:c>
      <x:c r="H458" s="193" t="n">
        <x:v>0</x:v>
      </x:c>
      <x:c r="I458" s="185" t="n">
        <x:v>0</x:v>
      </x:c>
      <x:c r="J458" s="185" t="n">
        <x:v>256226</x:v>
      </x:c>
      <x:c r="K458" s="289" t="n">
        <x:v>4658.66</x:v>
      </x:c>
    </x:row>
    <x:row r="459" s="117" customFormat="1" hidden="1">
      <x:c r="A459" s="184" t="inlineStr">
        <x:is>
          <x:t xml:space="preserve">EMPSPI001118</x:t>
        </x:is>
      </x:c>
      <x:c r="B459" s="184" t="inlineStr">
        <x:is>
          <x:t xml:space="preserve">EMPAQ ESPIROMETALICA TIPO  DRI, ANILL EXI316 EMPAQ GRAF ANILL INT316 CLAS300, 10PLG(8611000BBCC)</x:t>
        </x:is>
      </x:c>
      <x:c r="C459" s="184" t="n">
        <x:v>55</x:v>
      </x:c>
      <x:c r="D459" s="184" t="n">
        <x:v>0</x:v>
      </x:c>
      <x:c r="E459" s="184" t="n">
        <x:v>0</x:v>
      </x:c>
      <x:c r="F459" s="184" t="n">
        <x:v>55</x:v>
      </x:c>
      <x:c r="G459" s="184" t="n">
        <x:v>297777</x:v>
      </x:c>
      <x:c r="H459" s="193" t="n">
        <x:v>0</x:v>
      </x:c>
      <x:c r="I459" s="185" t="n">
        <x:v>0</x:v>
      </x:c>
      <x:c r="J459" s="185" t="n">
        <x:v>297777</x:v>
      </x:c>
      <x:c r="K459" s="289" t="n">
        <x:v>5414.12</x:v>
      </x:c>
    </x:row>
    <x:row r="460" s="117" customFormat="1" hidden="1">
      <x:c r="A460" s="184" t="inlineStr">
        <x:is>
          <x:t xml:space="preserve">EMPSPI001119</x:t>
        </x:is>
      </x:c>
      <x:c r="B460" s="184" t="inlineStr">
        <x:is>
          <x:t xml:space="preserve">EMPAQ ESPIROMETALICA TIPO  DRI, ANILL EXI316 EMPAQ GRAF ANILL INT316 CLAS300, 12PLG(8611200BBCC)</x:t>
        </x:is>
      </x:c>
      <x:c r="C460" s="184" t="n">
        <x:v>220</x:v>
      </x:c>
      <x:c r="D460" s="184" t="n">
        <x:v>0</x:v>
      </x:c>
      <x:c r="E460" s="184" t="n">
        <x:v>0</x:v>
      </x:c>
      <x:c r="F460" s="184" t="n">
        <x:v>220</x:v>
      </x:c>
      <x:c r="G460" s="184" t="n">
        <x:v>1650931</x:v>
      </x:c>
      <x:c r="H460" s="193" t="n">
        <x:v>0</x:v>
      </x:c>
      <x:c r="I460" s="185" t="n">
        <x:v>0</x:v>
      </x:c>
      <x:c r="J460" s="185" t="n">
        <x:v>1650931</x:v>
      </x:c>
      <x:c r="K460" s="289" t="n">
        <x:v>7504.23</x:v>
      </x:c>
    </x:row>
    <x:row r="461" s="117" customFormat="1" hidden="1">
      <x:c r="A461" s="184" t="inlineStr">
        <x:is>
          <x:t xml:space="preserve">EMPSPI001120</x:t>
        </x:is>
      </x:c>
      <x:c r="B461" s="184" t="inlineStr">
        <x:is>
          <x:t xml:space="preserve">EMPAQ ESPIROMETALICA TIPO  DRI, ANILL EXI316 EMPAQ GRAF ANILL INT316 CLAS300, 16PLG(8611600BBCC)</x:t>
        </x:is>
      </x:c>
      <x:c r="C461" s="184" t="n">
        <x:v>220</x:v>
      </x:c>
      <x:c r="D461" s="184" t="n">
        <x:v>0</x:v>
      </x:c>
      <x:c r="E461" s="184" t="n">
        <x:v>0</x:v>
      </x:c>
      <x:c r="F461" s="184" t="n">
        <x:v>220</x:v>
      </x:c>
      <x:c r="G461" s="184" t="n">
        <x:v>2537335</x:v>
      </x:c>
      <x:c r="H461" s="193" t="n">
        <x:v>0</x:v>
      </x:c>
      <x:c r="I461" s="185" t="n">
        <x:v>0</x:v>
      </x:c>
      <x:c r="J461" s="185" t="n">
        <x:v>2537335</x:v>
      </x:c>
      <x:c r="K461" s="289" t="n">
        <x:v>11533.34</x:v>
      </x:c>
    </x:row>
    <x:row r="462" s="117" customFormat="1" hidden="1">
      <x:c r="A462" s="184" t="inlineStr">
        <x:is>
          <x:t xml:space="preserve">EMPSPI001121</x:t>
        </x:is>
      </x:c>
      <x:c r="B462" s="184" t="inlineStr">
        <x:is>
          <x:t xml:space="preserve">EMPAQUETADURA ESPIROMETALICA 2 DR 900/150 # CS/304/FG  8510200BKBA</x:t>
        </x:is>
      </x:c>
      <x:c r="C462" s="184" t="n">
        <x:v>0</x:v>
      </x:c>
      <x:c r="D462" s="184" t="n">
        <x:v>0</x:v>
      </x:c>
      <x:c r="E462" s="184" t="n">
        <x:v>0</x:v>
      </x:c>
      <x:c r="F462" s="184" t="n">
        <x:v>0</x:v>
      </x:c>
      <x:c r="G462" s="184" t="n">
        <x:v>0</x:v>
      </x:c>
      <x:c r="H462" s="193" t="n">
        <x:v>0</x:v>
      </x:c>
      <x:c r="I462" s="185" t="n">
        <x:v>0</x:v>
      </x:c>
      <x:c r="J462" s="185" t="n">
        <x:v>0</x:v>
      </x:c>
      <x:c r="K462" s="289" t="n">
        <x:v>6247.43</x:v>
      </x:c>
    </x:row>
    <x:row r="463" s="117" customFormat="1" hidden="1">
      <x:c r="A463" s="184" t="inlineStr">
        <x:is>
          <x:t xml:space="preserve">EMPSPI001122</x:t>
        </x:is>
      </x:c>
      <x:c r="B463" s="184" t="inlineStr">
        <x:is>
          <x:t xml:space="preserve">EMPAQUETADURA ESPIROMETALICA 6 PLG CLASE 1500# CS/304/FG/304 8610600BFBB</x:t>
        </x:is>
      </x:c>
      <x:c r="C463" s="184" t="n">
        <x:v>0</x:v>
      </x:c>
      <x:c r="D463" s="184" t="n">
        <x:v>0</x:v>
      </x:c>
      <x:c r="E463" s="184" t="n">
        <x:v>0</x:v>
      </x:c>
      <x:c r="F463" s="184" t="n">
        <x:v>0</x:v>
      </x:c>
      <x:c r="G463" s="184" t="n">
        <x:v>0</x:v>
      </x:c>
      <x:c r="H463" s="193" t="n">
        <x:v>0</x:v>
      </x:c>
      <x:c r="I463" s="185" t="n">
        <x:v>0</x:v>
      </x:c>
      <x:c r="J463" s="185" t="n">
        <x:v>0</x:v>
      </x:c>
      <x:c r="K463" s="289" t="n">
        <x:v>7818.71</x:v>
      </x:c>
    </x:row>
    <x:row r="464" s="117" customFormat="1" hidden="1">
      <x:c r="A464" s="184" t="inlineStr">
        <x:is>
          <x:t xml:space="preserve">EMPSPI001123</x:t>
        </x:is>
      </x:c>
      <x:c r="B464" s="184" t="inlineStr">
        <x:is>
          <x:t xml:space="preserve">EMPAQUETADURA ESPIROMETALICA 10 PLG CLASE 1500# CS/304/FG/304 8611000BFBB</x:t>
        </x:is>
      </x:c>
      <x:c r="C464" s="184" t="n">
        <x:v>0</x:v>
      </x:c>
      <x:c r="D464" s="184" t="n">
        <x:v>0</x:v>
      </x:c>
      <x:c r="E464" s="184" t="n">
        <x:v>0</x:v>
      </x:c>
      <x:c r="F464" s="184" t="n">
        <x:v>0</x:v>
      </x:c>
      <x:c r="G464" s="184" t="n">
        <x:v>0</x:v>
      </x:c>
      <x:c r="H464" s="193" t="n">
        <x:v>0</x:v>
      </x:c>
      <x:c r="I464" s="185" t="n">
        <x:v>0</x:v>
      </x:c>
      <x:c r="J464" s="185" t="n">
        <x:v>0</x:v>
      </x:c>
      <x:c r="K464" s="289" t="n">
        <x:v>30369</x:v>
      </x:c>
    </x:row>
    <x:row r="465" s="117" customFormat="1" hidden="1">
      <x:c r="A465" s="184" t="inlineStr">
        <x:is>
          <x:t xml:space="preserve">EMPSPI001124</x:t>
        </x:is>
      </x:c>
      <x:c r="B465" s="184" t="inlineStr">
        <x:is>
          <x:t xml:space="preserve">EMPAQUETADURTA ESPIROMETALICA 1 PLG CLASE 1500 CGI ANSI 913M-1 433086</x:t>
        </x:is>
      </x:c>
      <x:c r="C465" s="184" t="n">
        <x:v>0</x:v>
      </x:c>
      <x:c r="D465" s="184" t="n">
        <x:v>0</x:v>
      </x:c>
      <x:c r="E465" s="184" t="n">
        <x:v>0</x:v>
      </x:c>
      <x:c r="F465" s="184" t="n">
        <x:v>0</x:v>
      </x:c>
      <x:c r="G465" s="184" t="n">
        <x:v>0</x:v>
      </x:c>
      <x:c r="H465" s="193" t="n">
        <x:v>0</x:v>
      </x:c>
      <x:c r="I465" s="185" t="n">
        <x:v>0</x:v>
      </x:c>
      <x:c r="J465" s="185" t="n">
        <x:v>0</x:v>
      </x:c>
      <x:c r="K465" s="289" t="n">
        <x:v>2391</x:v>
      </x:c>
    </x:row>
    <x:row r="466" s="117" customFormat="1" hidden="1">
      <x:c r="A466" s="184" t="inlineStr">
        <x:is>
          <x:t xml:space="preserve">EMPSPI001125</x:t>
        </x:is>
      </x:c>
      <x:c r="B466" s="184" t="inlineStr">
        <x:is>
          <x:t xml:space="preserve">EMPAQUETADURA JUNTA METALFLEX TIPO 913 ESPIRALADA CWI 316L/FG ORCS DE 8 PLG CLASE 1500 CODIGO 366831</x:t>
        </x:is>
      </x:c>
      <x:c r="C466" s="184" t="n">
        <x:v>0</x:v>
      </x:c>
      <x:c r="D466" s="184" t="n">
        <x:v>0</x:v>
      </x:c>
      <x:c r="E466" s="184" t="n">
        <x:v>0</x:v>
      </x:c>
      <x:c r="F466" s="184" t="n">
        <x:v>0</x:v>
      </x:c>
      <x:c r="G466" s="184" t="n">
        <x:v>0</x:v>
      </x:c>
      <x:c r="H466" s="193" t="n">
        <x:v>0</x:v>
      </x:c>
      <x:c r="I466" s="185" t="n">
        <x:v>0</x:v>
      </x:c>
      <x:c r="J466" s="185" t="n">
        <x:v>0</x:v>
      </x:c>
      <x:c r="K466" s="289" t="n">
        <x:v>24853</x:v>
      </x:c>
    </x:row>
    <x:row r="467" s="117" customFormat="1" hidden="1">
      <x:c r="A467" s="184" t="inlineStr">
        <x:is>
          <x:t xml:space="preserve">EMPSPI001126</x:t>
        </x:is>
      </x:c>
      <x:c r="B467" s="184" t="inlineStr">
        <x:is>
          <x:t xml:space="preserve">EMPAQ.ESPIROMETALICA TIPO DRI ANSI CLASE 1500 SWG 10 PLG 304/GRF/304 RED. 206 INT. 8610206BFBB0435</x:t>
        </x:is>
      </x:c>
      <x:c r="C467" s="184" t="n">
        <x:v>80</x:v>
      </x:c>
      <x:c r="D467" s="184" t="n">
        <x:v>0</x:v>
      </x:c>
      <x:c r="E467" s="184" t="n">
        <x:v>0</x:v>
      </x:c>
      <x:c r="F467" s="184" t="n">
        <x:v>80</x:v>
      </x:c>
      <x:c r="G467" s="184" t="n">
        <x:v>1962112</x:v>
      </x:c>
      <x:c r="H467" s="193" t="n">
        <x:v>0</x:v>
      </x:c>
      <x:c r="I467" s="185" t="n">
        <x:v>0</x:v>
      </x:c>
      <x:c r="J467" s="185" t="n">
        <x:v>1962112</x:v>
      </x:c>
      <x:c r="K467" s="289" t="n">
        <x:v>24526.39495544</x:v>
      </x:c>
    </x:row>
    <x:row r="468" s="117" customFormat="1" hidden="1">
      <x:c r="A468" s="184" t="inlineStr">
        <x:is>
          <x:t xml:space="preserve">EMPSPI001127</x:t>
        </x:is>
      </x:c>
      <x:c r="B468" s="184" t="inlineStr">
        <x:is>
          <x:t xml:space="preserve">EMPAQUETADURA ESPIROMETALICA 2 PLG CLASE 1500 RF 304/GRAF 075200</x:t>
        </x:is>
      </x:c>
      <x:c r="C468" s="184" t="n">
        <x:v>0</x:v>
      </x:c>
      <x:c r="D468" s="184" t="n">
        <x:v>0</x:v>
      </x:c>
      <x:c r="E468" s="184" t="n">
        <x:v>0</x:v>
      </x:c>
      <x:c r="F468" s="184" t="n">
        <x:v>0</x:v>
      </x:c>
      <x:c r="G468" s="184" t="n">
        <x:v>0</x:v>
      </x:c>
      <x:c r="H468" s="193" t="n">
        <x:v>0</x:v>
      </x:c>
      <x:c r="I468" s="185" t="n">
        <x:v>0</x:v>
      </x:c>
      <x:c r="J468" s="185" t="n">
        <x:v>0</x:v>
      </x:c>
      <x:c r="K468" s="289" t="n">
        <x:v>6798</x:v>
      </x:c>
    </x:row>
    <x:row r="469" s="117" customFormat="1" hidden="1">
      <x:c r="A469" s="184" t="inlineStr">
        <x:is>
          <x:t xml:space="preserve">EMPSPI001128</x:t>
        </x:is>
      </x:c>
      <x:c r="B469" s="184" t="inlineStr">
        <x:is>
          <x:t xml:space="preserve">EMPAQUETADURA ESPIROMETALICA 8 PLG CLASE 150 RF 304/GRAF 075291</x:t>
        </x:is>
      </x:c>
      <x:c r="C469" s="184" t="n">
        <x:v>0</x:v>
      </x:c>
      <x:c r="D469" s="184" t="n">
        <x:v>0</x:v>
      </x:c>
      <x:c r="E469" s="184" t="n">
        <x:v>0</x:v>
      </x:c>
      <x:c r="F469" s="184" t="n">
        <x:v>0</x:v>
      </x:c>
      <x:c r="G469" s="184" t="n">
        <x:v>0</x:v>
      </x:c>
      <x:c r="H469" s="193" t="n">
        <x:v>0</x:v>
      </x:c>
      <x:c r="I469" s="185" t="n">
        <x:v>0</x:v>
      </x:c>
      <x:c r="J469" s="185" t="n">
        <x:v>0</x:v>
      </x:c>
      <x:c r="K469" s="289" t="n">
        <x:v>20573</x:v>
      </x:c>
    </x:row>
    <x:row r="470" s="117" customFormat="1" hidden="1">
      <x:c r="A470" s="184" t="inlineStr">
        <x:is>
          <x:t xml:space="preserve">EMPSPI001129</x:t>
        </x:is>
      </x:c>
      <x:c r="B470" s="184" t="inlineStr">
        <x:is>
          <x:t xml:space="preserve">750804 EMPAQUETADUTA ESPIROMETALICA 30" , CLASE 600 PARA LINEA TRAMO CLASE # 600 DE ESTACION BOOTER</x:t>
        </x:is>
      </x:c>
      <x:c r="C470" s="184" t="n">
        <x:v>0</x:v>
      </x:c>
      <x:c r="D470" s="184" t="n">
        <x:v>0</x:v>
      </x:c>
      <x:c r="E470" s="184" t="n">
        <x:v>0</x:v>
      </x:c>
      <x:c r="F470" s="184" t="n">
        <x:v>0</x:v>
      </x:c>
      <x:c r="G470" s="184" t="n">
        <x:v>0</x:v>
      </x:c>
      <x:c r="H470" s="193" t="n">
        <x:v>0</x:v>
      </x:c>
      <x:c r="I470" s="185" t="n">
        <x:v>0</x:v>
      </x:c>
      <x:c r="J470" s="185" t="n">
        <x:v>0</x:v>
      </x:c>
      <x:c r="K470" s="289" t="n">
        <x:v>152930</x:v>
      </x:c>
    </x:row>
    <x:row r="471" s="117" customFormat="1" hidden="1">
      <x:c r="A471" s="184" t="inlineStr">
        <x:is>
          <x:t xml:space="preserve">EMPSPI001130</x:t>
        </x:is>
      </x:c>
      <x:c r="B471" s="184" t="inlineStr">
        <x:is>
          <x:t xml:space="preserve">8613000BLCC 30 PLG 150 # SA /CS/316/FG/316L DURLON SWG STYLE DRI (756570)</x:t>
        </x:is>
      </x:c>
      <x:c r="C471" s="184" t="n">
        <x:v>0</x:v>
      </x:c>
      <x:c r="D471" s="184" t="n">
        <x:v>0</x:v>
      </x:c>
      <x:c r="E471" s="184" t="n">
        <x:v>0</x:v>
      </x:c>
      <x:c r="F471" s="184" t="n">
        <x:v>0</x:v>
      </x:c>
      <x:c r="G471" s="184" t="n">
        <x:v>0</x:v>
      </x:c>
      <x:c r="H471" s="193" t="n">
        <x:v>0</x:v>
      </x:c>
      <x:c r="I471" s="185" t="n">
        <x:v>0</x:v>
      </x:c>
      <x:c r="J471" s="185" t="n">
        <x:v>0</x:v>
      </x:c>
      <x:c r="K471" s="289" t="n">
        <x:v>69078</x:v>
      </x:c>
    </x:row>
    <x:row r="472" s="117" customFormat="1" hidden="1">
      <x:c r="A472" s="184" t="inlineStr">
        <x:is>
          <x:t xml:space="preserve">EMPSPI001131</x:t>
        </x:is>
      </x:c>
      <x:c r="B472" s="184" t="inlineStr">
        <x:is>
          <x:t xml:space="preserve">8613000BMCC 30 PLG 150 # SB /CS/316/FG/316L DURLON SWG STYLE DRI (756569)</x:t>
        </x:is>
      </x:c>
      <x:c r="C472" s="184" t="n">
        <x:v>0</x:v>
      </x:c>
      <x:c r="D472" s="184" t="n">
        <x:v>0</x:v>
      </x:c>
      <x:c r="E472" s="184" t="n">
        <x:v>0</x:v>
      </x:c>
      <x:c r="F472" s="184" t="n">
        <x:v>0</x:v>
      </x:c>
      <x:c r="G472" s="184" t="n">
        <x:v>0</x:v>
      </x:c>
      <x:c r="H472" s="193" t="n">
        <x:v>0</x:v>
      </x:c>
      <x:c r="I472" s="185" t="n">
        <x:v>0</x:v>
      </x:c>
      <x:c r="J472" s="185" t="n">
        <x:v>0</x:v>
      </x:c>
      <x:c r="K472" s="289" t="n">
        <x:v>183118</x:v>
      </x:c>
    </x:row>
    <x:row r="473" s="117" customFormat="1" hidden="1">
      <x:c r="A473" s="184" t="inlineStr">
        <x:is>
          <x:t xml:space="preserve">EMPSPI001132</x:t>
        </x:is>
      </x:c>
      <x:c r="B473" s="184" t="inlineStr">
        <x:is>
          <x:t xml:space="preserve">8611800BBCC 18 PLG 300 #  CS/316/FG/316L DURLON SWG STYLE DRI (756571)</x:t>
        </x:is>
      </x:c>
      <x:c r="C473" s="184" t="n">
        <x:v>0</x:v>
      </x:c>
      <x:c r="D473" s="184" t="n">
        <x:v>0</x:v>
      </x:c>
      <x:c r="E473" s="184" t="n">
        <x:v>0</x:v>
      </x:c>
      <x:c r="F473" s="184" t="n">
        <x:v>0</x:v>
      </x:c>
      <x:c r="G473" s="184" t="n">
        <x:v>0</x:v>
      </x:c>
      <x:c r="H473" s="193" t="n">
        <x:v>0</x:v>
      </x:c>
      <x:c r="I473" s="185" t="n">
        <x:v>0</x:v>
      </x:c>
      <x:c r="J473" s="185" t="n">
        <x:v>0</x:v>
      </x:c>
      <x:c r="K473" s="289" t="n">
        <x:v>21595</x:v>
      </x:c>
    </x:row>
    <x:row r="474" s="117" customFormat="1" hidden="1">
      <x:c r="A474" s="184" t="inlineStr">
        <x:is>
          <x:t xml:space="preserve">EMPSPI001133</x:t>
        </x:is>
      </x:c>
      <x:c r="B474" s="184" t="inlineStr">
        <x:is>
          <x:t xml:space="preserve">8613000BNCC 30 PLG 300 # SA / CS/316/FG/316L DURLON SWG STYLE DRI (756572)</x:t>
        </x:is>
      </x:c>
      <x:c r="C474" s="184" t="n">
        <x:v>0</x:v>
      </x:c>
      <x:c r="D474" s="184" t="n">
        <x:v>0</x:v>
      </x:c>
      <x:c r="E474" s="184" t="n">
        <x:v>0</x:v>
      </x:c>
      <x:c r="F474" s="184" t="n">
        <x:v>0</x:v>
      </x:c>
      <x:c r="G474" s="184" t="n">
        <x:v>0</x:v>
      </x:c>
      <x:c r="H474" s="193" t="n">
        <x:v>0</x:v>
      </x:c>
      <x:c r="I474" s="185" t="n">
        <x:v>0</x:v>
      </x:c>
      <x:c r="J474" s="185" t="n">
        <x:v>0</x:v>
      </x:c>
      <x:c r="K474" s="289" t="n">
        <x:v>103284</x:v>
      </x:c>
    </x:row>
    <x:row r="475" s="117" customFormat="1" hidden="1">
      <x:c r="A475" s="184" t="inlineStr">
        <x:is>
          <x:t xml:space="preserve">EMPSPI001134</x:t>
        </x:is>
      </x:c>
      <x:c r="B475" s="184" t="inlineStr">
        <x:is>
          <x:t xml:space="preserve">8613000BPCC 30 PLG 300 # SB / CS/316/FG/316L DURLON SWG STYLE DRI (756573)</x:t>
        </x:is>
      </x:c>
      <x:c r="C475" s="184" t="n">
        <x:v>0</x:v>
      </x:c>
      <x:c r="D475" s="184" t="n">
        <x:v>0</x:v>
      </x:c>
      <x:c r="E475" s="184" t="n">
        <x:v>0</x:v>
      </x:c>
      <x:c r="F475" s="184" t="n">
        <x:v>0</x:v>
      </x:c>
      <x:c r="G475" s="184" t="n">
        <x:v>0</x:v>
      </x:c>
      <x:c r="H475" s="193" t="n">
        <x:v>0</x:v>
      </x:c>
      <x:c r="I475" s="185" t="n">
        <x:v>0</x:v>
      </x:c>
      <x:c r="J475" s="185" t="n">
        <x:v>0</x:v>
      </x:c>
      <x:c r="K475" s="289" t="n">
        <x:v>66609</x:v>
      </x:c>
    </x:row>
    <x:row r="476" s="117" customFormat="1" hidden="1">
      <x:c r="A476" s="184" t="inlineStr">
        <x:is>
          <x:t xml:space="preserve">EMPSPI001135</x:t>
        </x:is>
      </x:c>
      <x:c r="B476" s="184" t="inlineStr">
        <x:is>
          <x:t xml:space="preserve">8613600BLCC 36 PLG 150 # SA / CS/316/FG/316L DURLON SWG STYLE DRI (756574)</x:t>
        </x:is>
      </x:c>
      <x:c r="C476" s="184" t="n">
        <x:v>0</x:v>
      </x:c>
      <x:c r="D476" s="184" t="n">
        <x:v>0</x:v>
      </x:c>
      <x:c r="E476" s="184" t="n">
        <x:v>0</x:v>
      </x:c>
      <x:c r="F476" s="184" t="n">
        <x:v>0</x:v>
      </x:c>
      <x:c r="G476" s="184" t="n">
        <x:v>0</x:v>
      </x:c>
      <x:c r="H476" s="193" t="n">
        <x:v>0</x:v>
      </x:c>
      <x:c r="I476" s="185" t="n">
        <x:v>0</x:v>
      </x:c>
      <x:c r="J476" s="185" t="n">
        <x:v>0</x:v>
      </x:c>
      <x:c r="K476" s="289" t="n">
        <x:v>0</x:v>
      </x:c>
    </x:row>
    <x:row r="477" s="117" customFormat="1" hidden="1">
      <x:c r="A477" s="184" t="inlineStr">
        <x:is>
          <x:t xml:space="preserve">EMPSPI001136</x:t>
        </x:is>
      </x:c>
      <x:c r="B477" s="184" t="inlineStr">
        <x:is>
          <x:t xml:space="preserve">8613600BMCC 36 PLG 150 # SB / CS/316/FG/316L DURLON SWG STYLE DRI (756575)</x:t>
        </x:is>
      </x:c>
      <x:c r="C477" s="184" t="n">
        <x:v>0</x:v>
      </x:c>
      <x:c r="D477" s="184" t="n">
        <x:v>0</x:v>
      </x:c>
      <x:c r="E477" s="184" t="n">
        <x:v>0</x:v>
      </x:c>
      <x:c r="F477" s="184" t="n">
        <x:v>0</x:v>
      </x:c>
      <x:c r="G477" s="184" t="n">
        <x:v>0</x:v>
      </x:c>
      <x:c r="H477" s="193" t="n">
        <x:v>0</x:v>
      </x:c>
      <x:c r="I477" s="185" t="n">
        <x:v>0</x:v>
      </x:c>
      <x:c r="J477" s="185" t="n">
        <x:v>0</x:v>
      </x:c>
      <x:c r="K477" s="289" t="n">
        <x:v>0</x:v>
      </x:c>
    </x:row>
    <x:row r="478" s="117" customFormat="1" hidden="1">
      <x:c r="A478" s="184" t="inlineStr">
        <x:is>
          <x:t xml:space="preserve">EMPSPI001137</x:t>
        </x:is>
      </x:c>
      <x:c r="B478" s="184" t="inlineStr">
        <x:is>
          <x:t xml:space="preserve">8611600BBCC 16 PLG 300 #  CS/316/FG/316L DURLON SWG STYLE DRI (756576)</x:t>
        </x:is>
      </x:c>
      <x:c r="C478" s="184" t="n">
        <x:v>0</x:v>
      </x:c>
      <x:c r="D478" s="184" t="n">
        <x:v>0</x:v>
      </x:c>
      <x:c r="E478" s="184" t="n">
        <x:v>0</x:v>
      </x:c>
      <x:c r="F478" s="184" t="n">
        <x:v>0</x:v>
      </x:c>
      <x:c r="G478" s="184" t="n">
        <x:v>0</x:v>
      </x:c>
      <x:c r="H478" s="193" t="n">
        <x:v>0</x:v>
      </x:c>
      <x:c r="I478" s="185" t="n">
        <x:v>0</x:v>
      </x:c>
      <x:c r="J478" s="185" t="n">
        <x:v>0</x:v>
      </x:c>
      <x:c r="K478" s="289" t="n">
        <x:v>17897</x:v>
      </x:c>
    </x:row>
    <x:row r="479" s="117" customFormat="1" hidden="1">
      <x:c r="A479" s="184" t="inlineStr">
        <x:is>
          <x:t xml:space="preserve">EMPSPI001138</x:t>
        </x:is>
      </x:c>
      <x:c r="B479" s="184" t="inlineStr">
        <x:is>
          <x:t xml:space="preserve">8510200BKCA - SWG 2 PLG CLASS 900/1500 DR (CS/316/FG) CARBON STEEL OUTER RING ( 752009</x:t>
        </x:is>
      </x:c>
      <x:c r="C479" s="184" t="n">
        <x:v>0</x:v>
      </x:c>
      <x:c r="D479" s="184" t="n">
        <x:v>0</x:v>
      </x:c>
      <x:c r="E479" s="184" t="n">
        <x:v>0</x:v>
      </x:c>
      <x:c r="F479" s="184" t="n">
        <x:v>0</x:v>
      </x:c>
      <x:c r="G479" s="184" t="n">
        <x:v>0</x:v>
      </x:c>
      <x:c r="H479" s="193" t="n">
        <x:v>0</x:v>
      </x:c>
      <x:c r="I479" s="185" t="n">
        <x:v>0</x:v>
      </x:c>
      <x:c r="J479" s="185" t="n">
        <x:v>0</x:v>
      </x:c>
      <x:c r="K479" s="289" t="n">
        <x:v>1297</x:v>
      </x:c>
    </x:row>
    <x:row r="480" s="117" customFormat="1" hidden="1">
      <x:c r="A480" s="184" t="inlineStr">
        <x:is>
          <x:t xml:space="preserve">EMPSPI001139</x:t>
        </x:is>
      </x:c>
      <x:c r="B480" s="184" t="inlineStr">
        <x:is>
          <x:t xml:space="preserve">8610800BFBB 8 PLG 1500# CS/304/FG/304 DURLON SWG STYLE DRI</x:t>
        </x:is>
      </x:c>
      <x:c r="C480" s="184" t="n">
        <x:v>0</x:v>
      </x:c>
      <x:c r="D480" s="184" t="n">
        <x:v>0</x:v>
      </x:c>
      <x:c r="E480" s="184" t="n">
        <x:v>0</x:v>
      </x:c>
      <x:c r="F480" s="184" t="n">
        <x:v>0</x:v>
      </x:c>
      <x:c r="G480" s="184" t="n">
        <x:v>0</x:v>
      </x:c>
      <x:c r="H480" s="193" t="n">
        <x:v>0</x:v>
      </x:c>
      <x:c r="I480" s="185" t="n">
        <x:v>0</x:v>
      </x:c>
      <x:c r="J480" s="185" t="n">
        <x:v>0</x:v>
      </x:c>
      <x:c r="K480" s="289" t="n">
        <x:v>7112</x:v>
      </x:c>
    </x:row>
    <x:row r="481" s="117" customFormat="1" hidden="1">
      <x:c r="A481" s="184" t="inlineStr">
        <x:is>
          <x:t xml:space="preserve">EMPSPI001140</x:t>
        </x:is>
      </x:c>
      <x:c r="B481" s="184" t="inlineStr">
        <x:is>
          <x:t xml:space="preserve">8610200BGCC 2 PLG 2500# CS/316L/FG/316L DURLON SWG STYLE DRI</x:t>
        </x:is>
      </x:c>
      <x:c r="C481" s="184" t="n">
        <x:v>0</x:v>
      </x:c>
      <x:c r="D481" s="184" t="n">
        <x:v>0</x:v>
      </x:c>
      <x:c r="E481" s="184" t="n">
        <x:v>0</x:v>
      </x:c>
      <x:c r="F481" s="184" t="n">
        <x:v>0</x:v>
      </x:c>
      <x:c r="G481" s="184" t="n">
        <x:v>0</x:v>
      </x:c>
      <x:c r="H481" s="193" t="n">
        <x:v>0</x:v>
      </x:c>
      <x:c r="I481" s="185" t="n">
        <x:v>0</x:v>
      </x:c>
      <x:c r="J481" s="185" t="n">
        <x:v>0</x:v>
      </x:c>
      <x:c r="K481" s="289" t="n">
        <x:v>6158</x:v>
      </x:c>
    </x:row>
    <x:row r="482" s="117" customFormat="1" hidden="1">
      <x:c r="A482" s="184" t="inlineStr">
        <x:is>
          <x:t xml:space="preserve">EMPSPI001141</x:t>
        </x:is>
      </x:c>
      <x:c r="B482" s="184" t="inlineStr">
        <x:is>
          <x:t xml:space="preserve">8610200BKBB 2 PLG 9/1500# CS/304/FG/304 DURLON SWG STYLE DRI</x:t>
        </x:is>
      </x:c>
      <x:c r="C482" s="184" t="n">
        <x:v>52</x:v>
      </x:c>
      <x:c r="D482" s="184" t="n">
        <x:v>0</x:v>
      </x:c>
      <x:c r="E482" s="184" t="n">
        <x:v>0</x:v>
      </x:c>
      <x:c r="F482" s="184" t="n">
        <x:v>52</x:v>
      </x:c>
      <x:c r="G482" s="184" t="n">
        <x:v>75140</x:v>
      </x:c>
      <x:c r="H482" s="193" t="n">
        <x:v>0</x:v>
      </x:c>
      <x:c r="I482" s="185" t="n">
        <x:v>0</x:v>
      </x:c>
      <x:c r="J482" s="185" t="n">
        <x:v>75140</x:v>
      </x:c>
      <x:c r="K482" s="289" t="n">
        <x:v>1445</x:v>
      </x:c>
    </x:row>
    <x:row r="483" s="117" customFormat="1" hidden="1">
      <x:c r="A483" s="184" t="inlineStr">
        <x:is>
          <x:t xml:space="preserve">EMPSPI001142</x:t>
        </x:is>
      </x:c>
      <x:c r="B483" s="184" t="inlineStr">
        <x:is>
          <x:t xml:space="preserve">8610800BFCC 8 PLG 1500# CS/316L/FG316L DURLON SWG STYLE DRI</x:t>
        </x:is>
      </x:c>
      <x:c r="C483" s="184" t="n">
        <x:v>0</x:v>
      </x:c>
      <x:c r="D483" s="184" t="n">
        <x:v>0</x:v>
      </x:c>
      <x:c r="E483" s="184" t="n">
        <x:v>0</x:v>
      </x:c>
      <x:c r="F483" s="184" t="n">
        <x:v>0</x:v>
      </x:c>
      <x:c r="G483" s="184" t="n">
        <x:v>0</x:v>
      </x:c>
      <x:c r="H483" s="193" t="n">
        <x:v>0</x:v>
      </x:c>
      <x:c r="I483" s="185" t="n">
        <x:v>0</x:v>
      </x:c>
      <x:c r="J483" s="185" t="n">
        <x:v>0</x:v>
      </x:c>
      <x:c r="K483" s="289" t="n">
        <x:v>7589</x:v>
      </x:c>
    </x:row>
    <x:row r="484" s="117" customFormat="1" hidden="1">
      <x:c r="A484" s="184" t="inlineStr">
        <x:is>
          <x:t xml:space="preserve">EMPSPI001143</x:t>
        </x:is>
      </x:c>
      <x:c r="B484" s="184" t="inlineStr">
        <x:is>
          <x:t xml:space="preserve">Empaquetadura Espirometálica de 6"x1500Lbs. Tipo RWI, CANFLEX/ Material Cs/Ss304/Fg/Ss304 (ARTES)</x:t>
        </x:is>
      </x:c>
      <x:c r="C484" s="184" t="n">
        <x:v>0</x:v>
      </x:c>
      <x:c r="D484" s="184" t="n">
        <x:v>0</x:v>
      </x:c>
      <x:c r="E484" s="184" t="n">
        <x:v>0</x:v>
      </x:c>
      <x:c r="F484" s="184" t="n">
        <x:v>0</x:v>
      </x:c>
      <x:c r="G484" s="184" t="n">
        <x:v>0</x:v>
      </x:c>
      <x:c r="H484" s="193" t="n">
        <x:v>0</x:v>
      </x:c>
      <x:c r="I484" s="185" t="n">
        <x:v>0</x:v>
      </x:c>
      <x:c r="J484" s="185" t="n">
        <x:v>0</x:v>
      </x:c>
      <x:c r="K484" s="289" t="n">
        <x:v>2831</x:v>
      </x:c>
    </x:row>
    <x:row r="485" s="117" customFormat="1" hidden="1">
      <x:c r="A485" s="184" t="inlineStr">
        <x:is>
          <x:t xml:space="preserve">EMPSPI001144</x:t>
        </x:is>
      </x:c>
      <x:c r="B485" s="184" t="inlineStr">
        <x:is>
          <x:t xml:space="preserve">Empaquetadura Espirometálica de 8"x1500Lbs. Tipo RWI, CANFLEX /Material Cs/Ss304/Fg/Ss304 (ARTES)</x:t>
        </x:is>
      </x:c>
      <x:c r="C485" s="184" t="n">
        <x:v>50</x:v>
      </x:c>
      <x:c r="D485" s="184" t="n">
        <x:v>0</x:v>
      </x:c>
      <x:c r="E485" s="184" t="n">
        <x:v>0</x:v>
      </x:c>
      <x:c r="F485" s="184" t="n">
        <x:v>50</x:v>
      </x:c>
      <x:c r="G485" s="184" t="n">
        <x:v>176400</x:v>
      </x:c>
      <x:c r="H485" s="193" t="n">
        <x:v>0</x:v>
      </x:c>
      <x:c r="I485" s="185" t="n">
        <x:v>0</x:v>
      </x:c>
      <x:c r="J485" s="185" t="n">
        <x:v>176400</x:v>
      </x:c>
      <x:c r="K485" s="289" t="n">
        <x:v>3528</x:v>
      </x:c>
    </x:row>
    <x:row r="486" s="117" customFormat="1" hidden="1">
      <x:c r="A486" s="184" t="inlineStr">
        <x:is>
          <x:t xml:space="preserve">EMPSPI001CAJ</x:t>
        </x:is>
      </x:c>
      <x:c r="B486" s="184" t="inlineStr">
        <x:is>
          <x:t xml:space="preserve">IMPORTACION DE EMPAQ.ESPIROMETALICAS GLOBAL</x:t>
        </x:is>
      </x:c>
      <x:c r="C486" s="184" t="n">
        <x:v>0</x:v>
      </x:c>
      <x:c r="D486" s="184" t="n">
        <x:v>0</x:v>
      </x:c>
      <x:c r="E486" s="184" t="n">
        <x:v>0</x:v>
      </x:c>
      <x:c r="F486" s="184" t="n">
        <x:v>0</x:v>
      </x:c>
      <x:c r="G486" s="184" t="n">
        <x:v>0</x:v>
      </x:c>
      <x:c r="H486" s="193" t="n">
        <x:v>0</x:v>
      </x:c>
      <x:c r="I486" s="185" t="n">
        <x:v>0</x:v>
      </x:c>
      <x:c r="J486" s="185" t="n">
        <x:v>0</x:v>
      </x:c>
      <x:c r="K486" s="289" t="n">
        <x:v>24180160</x:v>
      </x:c>
    </x:row>
    <x:row r="487" s="117" customFormat="1" hidden="1">
      <x:c r="A487" s="184" t="inlineStr">
        <x:is>
          <x:t xml:space="preserve">EMPTEFEXP001</x:t>
        </x:is>
      </x:c>
      <x:c r="B487" s="184" t="inlineStr">
        <x:is>
          <x:t xml:space="preserve">EMPAQUETADURA TEFLON EXPANDIDO 1/8 ESP CLASE 150 FF 2 PLG</x:t>
        </x:is>
      </x:c>
      <x:c r="C487" s="184" t="n">
        <x:v>6</x:v>
      </x:c>
      <x:c r="D487" s="184" t="n">
        <x:v>0</x:v>
      </x:c>
      <x:c r="E487" s="184" t="n">
        <x:v>0</x:v>
      </x:c>
      <x:c r="F487" s="184" t="n">
        <x:v>6</x:v>
      </x:c>
      <x:c r="G487" s="184" t="n">
        <x:v>12858</x:v>
      </x:c>
      <x:c r="H487" s="193" t="n">
        <x:v>0</x:v>
      </x:c>
      <x:c r="I487" s="185" t="n">
        <x:v>0</x:v>
      </x:c>
      <x:c r="J487" s="185" t="n">
        <x:v>12858</x:v>
      </x:c>
      <x:c r="K487" s="289" t="n">
        <x:v>2143</x:v>
      </x:c>
    </x:row>
    <x:row r="488" s="117" customFormat="1" hidden="1">
      <x:c r="A488" s="184" t="inlineStr">
        <x:is>
          <x:t xml:space="preserve">EMPTEFEXP002</x:t>
        </x:is>
      </x:c>
      <x:c r="B488" s="184" t="inlineStr">
        <x:is>
          <x:t xml:space="preserve">EMPAQUETADURA TIPO RF 4 PLG C/MANGUITO PTFE EXPANDIDO CLASE 150  (664011)</x:t>
        </x:is>
      </x:c>
      <x:c r="C488" s="184" t="n">
        <x:v>10</x:v>
      </x:c>
      <x:c r="D488" s="184" t="n">
        <x:v>0</x:v>
      </x:c>
      <x:c r="E488" s="184" t="n">
        <x:v>0</x:v>
      </x:c>
      <x:c r="F488" s="184" t="n">
        <x:v>10</x:v>
      </x:c>
      <x:c r="G488" s="184" t="n">
        <x:v>40990</x:v>
      </x:c>
      <x:c r="H488" s="193" t="n">
        <x:v>0</x:v>
      </x:c>
      <x:c r="I488" s="185" t="n">
        <x:v>0</x:v>
      </x:c>
      <x:c r="J488" s="185" t="n">
        <x:v>40990</x:v>
      </x:c>
      <x:c r="K488" s="289" t="n">
        <x:v>4099</x:v>
      </x:c>
    </x:row>
    <x:row r="489" s="117" customFormat="1" hidden="1">
      <x:c r="A489" s="184" t="inlineStr">
        <x:is>
          <x:t xml:space="preserve">EMPTEFEXP003</x:t>
        </x:is>
      </x:c>
      <x:c r="B489" s="184" t="inlineStr">
        <x:is>
          <x:t xml:space="preserve">EMPAQUETADURA TEFLON EXPANDIDO 1/8 TIPO FF CLASE 150 DE 10 PLG  C/MANGUITO 679324</x:t>
        </x:is>
      </x:c>
      <x:c r="C489" s="184" t="n">
        <x:v>11</x:v>
      </x:c>
      <x:c r="D489" s="184" t="n">
        <x:v>0</x:v>
      </x:c>
      <x:c r="E489" s="184" t="n">
        <x:v>0</x:v>
      </x:c>
      <x:c r="F489" s="184" t="n">
        <x:v>11</x:v>
      </x:c>
      <x:c r="G489" s="184" t="n">
        <x:v>281358</x:v>
      </x:c>
      <x:c r="H489" s="193" t="n">
        <x:v>0</x:v>
      </x:c>
      <x:c r="I489" s="185" t="n">
        <x:v>0</x:v>
      </x:c>
      <x:c r="J489" s="185" t="n">
        <x:v>281358</x:v>
      </x:c>
      <x:c r="K489" s="289" t="n">
        <x:v>25578</x:v>
      </x:c>
    </x:row>
    <x:row r="490" s="117" customFormat="1" hidden="1">
      <x:c r="A490" s="184" t="inlineStr">
        <x:is>
          <x:t xml:space="preserve">EMPTEFEXP004</x:t>
        </x:is>
      </x:c>
      <x:c r="B490" s="184" t="inlineStr">
        <x:is>
          <x:t xml:space="preserve">EMPAQUETADURA TEFLON EXPANDIDO 1/8 TIPO FF CLASE 300 DE 10 PLG  C/MANGUITO 679316</x:t>
        </x:is>
      </x:c>
      <x:c r="C490" s="184" t="n">
        <x:v>8</x:v>
      </x:c>
      <x:c r="D490" s="184" t="n">
        <x:v>0</x:v>
      </x:c>
      <x:c r="E490" s="184" t="n">
        <x:v>0</x:v>
      </x:c>
      <x:c r="F490" s="184" t="n">
        <x:v>8</x:v>
      </x:c>
      <x:c r="G490" s="184" t="n">
        <x:v>305896</x:v>
      </x:c>
      <x:c r="H490" s="193" t="n">
        <x:v>0</x:v>
      </x:c>
      <x:c r="I490" s="185" t="n">
        <x:v>0</x:v>
      </x:c>
      <x:c r="J490" s="185" t="n">
        <x:v>305896</x:v>
      </x:c>
      <x:c r="K490" s="289" t="n">
        <x:v>38237</x:v>
      </x:c>
    </x:row>
    <x:row r="491" s="117" customFormat="1" hidden="1">
      <x:c r="A491" s="184" t="inlineStr">
        <x:is>
          <x:t xml:space="preserve">EMPTEFEXP005</x:t>
        </x:is>
      </x:c>
      <x:c r="B491" s="184" t="inlineStr">
        <x:is>
          <x:t xml:space="preserve">EMPAQUETADURA TEFLON EXPANDIDO 1/8 TIPO RF CLASE 150 DE 8 PLG  C/MANGUITO 664052</x:t>
        </x:is>
      </x:c>
      <x:c r="C491" s="184" t="n">
        <x:v>9</x:v>
      </x:c>
      <x:c r="D491" s="184" t="n">
        <x:v>0</x:v>
      </x:c>
      <x:c r="E491" s="184" t="n">
        <x:v>0</x:v>
      </x:c>
      <x:c r="F491" s="184" t="n">
        <x:v>9</x:v>
      </x:c>
      <x:c r="G491" s="184" t="n">
        <x:v>151326</x:v>
      </x:c>
      <x:c r="H491" s="193" t="n">
        <x:v>0</x:v>
      </x:c>
      <x:c r="I491" s="185" t="n">
        <x:v>0</x:v>
      </x:c>
      <x:c r="J491" s="185" t="n">
        <x:v>151326</x:v>
      </x:c>
      <x:c r="K491" s="289" t="n">
        <x:v>16814</x:v>
      </x:c>
    </x:row>
    <x:row r="492" s="117" customFormat="1" hidden="1">
      <x:c r="A492" s="184" t="inlineStr">
        <x:is>
          <x:t xml:space="preserve">EMPTEFEXP006</x:t>
        </x:is>
      </x:c>
      <x:c r="B492" s="184" t="inlineStr">
        <x:is>
          <x:t xml:space="preserve">EMPAQUETADURA TEFLON EXPANDIDO 1/8 TIPO RF CLASE 300 DE 8 PLG  C/MANGUITO 664060</x:t>
        </x:is>
      </x:c>
      <x:c r="C492" s="184" t="n">
        <x:v>5</x:v>
      </x:c>
      <x:c r="D492" s="184" t="n">
        <x:v>0</x:v>
      </x:c>
      <x:c r="E492" s="184" t="n">
        <x:v>0</x:v>
      </x:c>
      <x:c r="F492" s="184" t="n">
        <x:v>5</x:v>
      </x:c>
      <x:c r="G492" s="184" t="n">
        <x:v>147020</x:v>
      </x:c>
      <x:c r="H492" s="193" t="n">
        <x:v>0</x:v>
      </x:c>
      <x:c r="I492" s="185" t="n">
        <x:v>0</x:v>
      </x:c>
      <x:c r="J492" s="185" t="n">
        <x:v>147020</x:v>
      </x:c>
      <x:c r="K492" s="289" t="n">
        <x:v>29404</x:v>
      </x:c>
    </x:row>
    <x:row r="493" s="117" customFormat="1" hidden="1">
      <x:c r="A493" s="184" t="inlineStr">
        <x:is>
          <x:t xml:space="preserve">EMPTEFEXP007</x:t>
        </x:is>
      </x:c>
      <x:c r="B493" s="184" t="inlineStr">
        <x:is>
          <x:t xml:space="preserve">EMPAQUETADURA TEFLON EXPANDIDO 1/8 TIPO FF CLASE 150 DE 4 PLG  S/MANGUITO 679449</x:t>
        </x:is>
      </x:c>
      <x:c r="C493" s="184" t="n">
        <x:v>0</x:v>
      </x:c>
      <x:c r="D493" s="184" t="n">
        <x:v>0</x:v>
      </x:c>
      <x:c r="E493" s="184" t="n">
        <x:v>0</x:v>
      </x:c>
      <x:c r="F493" s="184" t="n">
        <x:v>0</x:v>
      </x:c>
      <x:c r="G493" s="184" t="n">
        <x:v>0</x:v>
      </x:c>
      <x:c r="H493" s="193" t="n">
        <x:v>0</x:v>
      </x:c>
      <x:c r="I493" s="185" t="n">
        <x:v>0</x:v>
      </x:c>
      <x:c r="J493" s="185" t="n">
        <x:v>0</x:v>
      </x:c>
      <x:c r="K493" s="289" t="n">
        <x:v>5041</x:v>
      </x:c>
    </x:row>
    <x:row r="494" s="117" customFormat="1" hidden="1">
      <x:c r="A494" s="184" t="inlineStr">
        <x:is>
          <x:t xml:space="preserve">EMPTEFEXP008</x:t>
        </x:is>
      </x:c>
      <x:c r="B494" s="184" t="inlineStr">
        <x:is>
          <x:t xml:space="preserve">EMPAQUETADURA TEFLON EXPANDIDO 1/8 TIPO FF CLASE 300 DE 4 PLG  S/MANGUITO 710921</x:t>
        </x:is>
      </x:c>
      <x:c r="C494" s="184" t="n">
        <x:v>47</x:v>
      </x:c>
      <x:c r="D494" s="184" t="n">
        <x:v>0</x:v>
      </x:c>
      <x:c r="E494" s="184" t="n">
        <x:v>0</x:v>
      </x:c>
      <x:c r="F494" s="184" t="n">
        <x:v>47</x:v>
      </x:c>
      <x:c r="G494" s="184" t="n">
        <x:v>445090</x:v>
      </x:c>
      <x:c r="H494" s="193" t="n">
        <x:v>0</x:v>
      </x:c>
      <x:c r="I494" s="185" t="n">
        <x:v>0</x:v>
      </x:c>
      <x:c r="J494" s="185" t="n">
        <x:v>445090</x:v>
      </x:c>
      <x:c r="K494" s="289" t="n">
        <x:v>9470</x:v>
      </x:c>
    </x:row>
    <x:row r="495" s="117" customFormat="1" hidden="1">
      <x:c r="A495" s="184" t="inlineStr">
        <x:is>
          <x:t xml:space="preserve">EMPTEFEXP009</x:t>
        </x:is>
      </x:c>
      <x:c r="B495" s="184" t="inlineStr">
        <x:is>
          <x:t xml:space="preserve">664029 EMPAQUETADURA TIPO RF 4 PLG C/MANGUITO PTFE EXPANDIDO  1/8 CLASE 300 INVPT043S</x:t>
        </x:is>
      </x:c>
      <x:c r="C495" s="184" t="n">
        <x:v>0</x:v>
      </x:c>
      <x:c r="D495" s="184" t="n">
        <x:v>0</x:v>
      </x:c>
      <x:c r="E495" s="184" t="n">
        <x:v>0</x:v>
      </x:c>
      <x:c r="F495" s="184" t="n">
        <x:v>0</x:v>
      </x:c>
      <x:c r="G495" s="184" t="n">
        <x:v>0</x:v>
      </x:c>
      <x:c r="H495" s="193" t="n">
        <x:v>0</x:v>
      </x:c>
      <x:c r="I495" s="185" t="n">
        <x:v>0</x:v>
      </x:c>
      <x:c r="J495" s="185" t="n">
        <x:v>0</x:v>
      </x:c>
      <x:c r="K495" s="289" t="n">
        <x:v>6072</x:v>
      </x:c>
    </x:row>
    <x:row r="496" s="117" customFormat="1" hidden="1">
      <x:c r="A496" s="184" t="inlineStr">
        <x:is>
          <x:t xml:space="preserve">EMPTEFEXP010</x:t>
        </x:is>
      </x:c>
      <x:c r="B496" s="184" t="inlineStr">
        <x:is>
          <x:t xml:space="preserve">664037 EMPAQUETADURA TIPO RF 6 PLG CLASE 150  C/MANGUITO PTFE-EXP</x:t>
        </x:is>
      </x:c>
      <x:c r="C496" s="184" t="n">
        <x:v>39</x:v>
      </x:c>
      <x:c r="D496" s="184" t="n">
        <x:v>0</x:v>
      </x:c>
      <x:c r="E496" s="184" t="n">
        <x:v>0</x:v>
      </x:c>
      <x:c r="F496" s="184" t="n">
        <x:v>39</x:v>
      </x:c>
      <x:c r="G496" s="184" t="n">
        <x:v>368316</x:v>
      </x:c>
      <x:c r="H496" s="193" t="n">
        <x:v>0</x:v>
      </x:c>
      <x:c r="I496" s="185" t="n">
        <x:v>0</x:v>
      </x:c>
      <x:c r="J496" s="185" t="n">
        <x:v>368316</x:v>
      </x:c>
      <x:c r="K496" s="289" t="n">
        <x:v>9444</x:v>
      </x:c>
    </x:row>
    <x:row r="497" s="117" customFormat="1" hidden="1">
      <x:c r="A497" s="184" t="inlineStr">
        <x:is>
          <x:t xml:space="preserve">EMPTEFEXP011</x:t>
        </x:is>
      </x:c>
      <x:c r="B497" s="184" t="inlineStr">
        <x:is>
          <x:t xml:space="preserve">679456 EMPAQUETADURA PTFE-EXP 6 PLG CLASE 150 TIPO  FF 1/8 EXPESOR</x:t>
        </x:is>
      </x:c>
      <x:c r="C497" s="184" t="n">
        <x:v>3</x:v>
      </x:c>
      <x:c r="D497" s="184" t="n">
        <x:v>0</x:v>
      </x:c>
      <x:c r="E497" s="184" t="n">
        <x:v>0</x:v>
      </x:c>
      <x:c r="F497" s="184" t="n">
        <x:v>3</x:v>
      </x:c>
      <x:c r="G497" s="184" t="n">
        <x:v>54318</x:v>
      </x:c>
      <x:c r="H497" s="193" t="n">
        <x:v>0</x:v>
      </x:c>
      <x:c r="I497" s="185" t="n">
        <x:v>0</x:v>
      </x:c>
      <x:c r="J497" s="185" t="n">
        <x:v>54318</x:v>
      </x:c>
      <x:c r="K497" s="289" t="n">
        <x:v>18106</x:v>
      </x:c>
    </x:row>
    <x:row r="498" s="117" customFormat="1" hidden="1">
      <x:c r="A498" s="184" t="inlineStr">
        <x:is>
          <x:t xml:space="preserve">EMPTEFEXP012</x:t>
        </x:is>
      </x:c>
      <x:c r="B498" s="184" t="inlineStr">
        <x:is>
          <x:t xml:space="preserve">EMPAQUETADURA PTFE EXP. DN 1.1/2" FF.CL 150.NORMA ANSI</x:t>
        </x:is>
      </x:c>
      <x:c r="C498" s="184" t="n">
        <x:v>0</x:v>
      </x:c>
      <x:c r="D498" s="184" t="n">
        <x:v>0</x:v>
      </x:c>
      <x:c r="E498" s="184" t="n">
        <x:v>0</x:v>
      </x:c>
      <x:c r="F498" s="184" t="n">
        <x:v>0</x:v>
      </x:c>
      <x:c r="G498" s="184" t="n">
        <x:v>0</x:v>
      </x:c>
      <x:c r="H498" s="193" t="n">
        <x:v>0</x:v>
      </x:c>
      <x:c r="I498" s="185" t="n">
        <x:v>0</x:v>
      </x:c>
      <x:c r="J498" s="185" t="n">
        <x:v>0</x:v>
      </x:c>
      <x:c r="K498" s="289" t="n">
        <x:v>2138</x:v>
      </x:c>
    </x:row>
    <x:row r="499" s="117" customFormat="1" hidden="1">
      <x:c r="A499" s="184" t="inlineStr">
        <x:is>
          <x:t xml:space="preserve">EMPTEFEXP013</x:t>
        </x:is>
      </x:c>
      <x:c r="B499" s="184" t="inlineStr">
        <x:is>
          <x:t xml:space="preserve">EMPAQUETADURA PTFE EXP. DN 3" FF.CL 150.NORMA ANSI</x:t>
        </x:is>
      </x:c>
      <x:c r="C499" s="184" t="n">
        <x:v>34</x:v>
      </x:c>
      <x:c r="D499" s="184" t="n">
        <x:v>0</x:v>
      </x:c>
      <x:c r="E499" s="184" t="n">
        <x:v>0</x:v>
      </x:c>
      <x:c r="F499" s="184" t="n">
        <x:v>34</x:v>
      </x:c>
      <x:c r="G499" s="184" t="n">
        <x:v>126548</x:v>
      </x:c>
      <x:c r="H499" s="193" t="n">
        <x:v>0</x:v>
      </x:c>
      <x:c r="I499" s="185" t="n">
        <x:v>0</x:v>
      </x:c>
      <x:c r="J499" s="185" t="n">
        <x:v>126548</x:v>
      </x:c>
      <x:c r="K499" s="289" t="n">
        <x:v>3722</x:v>
      </x:c>
    </x:row>
    <x:row r="500" s="117" customFormat="1" hidden="1">
      <x:c r="A500" s="184" t="inlineStr">
        <x:is>
          <x:t xml:space="preserve">EMPTEFEXP014</x:t>
        </x:is>
      </x:c>
      <x:c r="B500" s="184" t="inlineStr">
        <x:is>
          <x:t xml:space="preserve">EMPAQUETADURA PTFE EXP. DN 12" FF.CL 150.NORMA ANSI</x:t>
        </x:is>
      </x:c>
      <x:c r="C500" s="184" t="n">
        <x:v>35</x:v>
      </x:c>
      <x:c r="D500" s="184" t="n">
        <x:v>0</x:v>
      </x:c>
      <x:c r="E500" s="184" t="n">
        <x:v>0</x:v>
      </x:c>
      <x:c r="F500" s="184" t="n">
        <x:v>35</x:v>
      </x:c>
      <x:c r="G500" s="184" t="n">
        <x:v>829570</x:v>
      </x:c>
      <x:c r="H500" s="193" t="n">
        <x:v>0</x:v>
      </x:c>
      <x:c r="I500" s="185" t="n">
        <x:v>0</x:v>
      </x:c>
      <x:c r="J500" s="185" t="n">
        <x:v>829570</x:v>
      </x:c>
      <x:c r="K500" s="289" t="n">
        <x:v>23702</x:v>
      </x:c>
    </x:row>
    <x:row r="501" s="117" customFormat="1" hidden="1">
      <x:c r="A501" s="184" t="inlineStr">
        <x:is>
          <x:t xml:space="preserve">EMPTEFEXP015</x:t>
        </x:is>
      </x:c>
      <x:c r="B501" s="184" t="inlineStr">
        <x:is>
          <x:t xml:space="preserve">EMPAQUETADURA PTFE EXP. DN 18" FF.CL 150.NORMA ANSI</x:t>
        </x:is>
      </x:c>
      <x:c r="C501" s="184" t="n">
        <x:v>0</x:v>
      </x:c>
      <x:c r="D501" s="184" t="n">
        <x:v>0</x:v>
      </x:c>
      <x:c r="E501" s="184" t="n">
        <x:v>0</x:v>
      </x:c>
      <x:c r="F501" s="184" t="n">
        <x:v>0</x:v>
      </x:c>
      <x:c r="G501" s="184" t="n">
        <x:v>0</x:v>
      </x:c>
      <x:c r="H501" s="193" t="n">
        <x:v>0</x:v>
      </x:c>
      <x:c r="I501" s="185" t="n">
        <x:v>0</x:v>
      </x:c>
      <x:c r="J501" s="185" t="n">
        <x:v>0</x:v>
      </x:c>
      <x:c r="K501" s="289" t="n">
        <x:v>52636</x:v>
      </x:c>
    </x:row>
    <x:row r="502" s="117" customFormat="1" hidden="1">
      <x:c r="A502" s="184" t="inlineStr">
        <x:is>
          <x:t xml:space="preserve">EMPTEFEXP016</x:t>
        </x:is>
      </x:c>
      <x:c r="B502" s="184" t="inlineStr">
        <x:is>
          <x:t xml:space="preserve">EMPAQUETADURA PTFE-EXP ESP.  1/16 DN 2 PLG CLASE 150 FF</x:t>
        </x:is>
      </x:c>
      <x:c r="C502" s="184" t="n">
        <x:v>0</x:v>
      </x:c>
      <x:c r="D502" s="184" t="n">
        <x:v>0</x:v>
      </x:c>
      <x:c r="E502" s="184" t="n">
        <x:v>0</x:v>
      </x:c>
      <x:c r="F502" s="184" t="n">
        <x:v>0</x:v>
      </x:c>
      <x:c r="G502" s="184" t="n">
        <x:v>0</x:v>
      </x:c>
      <x:c r="H502" s="193" t="n">
        <x:v>0</x:v>
      </x:c>
      <x:c r="I502" s="185" t="n">
        <x:v>0</x:v>
      </x:c>
      <x:c r="J502" s="185" t="n">
        <x:v>0</x:v>
      </x:c>
      <x:c r="K502" s="289" t="n">
        <x:v>3210</x:v>
      </x:c>
    </x:row>
    <x:row r="503" s="117" customFormat="1" hidden="1">
      <x:c r="A503" s="184" t="inlineStr">
        <x:is>
          <x:t xml:space="preserve">EMPTEFEXP017</x:t>
        </x:is>
      </x:c>
      <x:c r="B503" s="184" t="inlineStr">
        <x:is>
          <x:t xml:space="preserve">EMPAQUETADURA PTFE-EXP ESP.  1/16 DN 3 PLG CLASE 150 FF</x:t>
        </x:is>
      </x:c>
      <x:c r="C503" s="184" t="n">
        <x:v>0</x:v>
      </x:c>
      <x:c r="D503" s="184" t="n">
        <x:v>0</x:v>
      </x:c>
      <x:c r="E503" s="184" t="n">
        <x:v>0</x:v>
      </x:c>
      <x:c r="F503" s="184" t="n">
        <x:v>0</x:v>
      </x:c>
      <x:c r="G503" s="184" t="n">
        <x:v>0</x:v>
      </x:c>
      <x:c r="H503" s="193" t="n">
        <x:v>0</x:v>
      </x:c>
      <x:c r="I503" s="185" t="n">
        <x:v>0</x:v>
      </x:c>
      <x:c r="J503" s="185" t="n">
        <x:v>0</x:v>
      </x:c>
      <x:c r="K503" s="289" t="n">
        <x:v>4243</x:v>
      </x:c>
    </x:row>
    <x:row r="504" s="117" customFormat="1" hidden="1">
      <x:c r="A504" s="184" t="inlineStr">
        <x:is>
          <x:t xml:space="preserve">EMPTEFEXP018</x:t>
        </x:is>
      </x:c>
      <x:c r="B504" s="184" t="inlineStr">
        <x:is>
          <x:t xml:space="preserve">EMPAQUETADURA PTFE-EXP ESP.  1/16 DN 1  PLG CLASE 150 FF</x:t>
        </x:is>
      </x:c>
      <x:c r="C504" s="184" t="n">
        <x:v>0</x:v>
      </x:c>
      <x:c r="D504" s="184" t="n">
        <x:v>0</x:v>
      </x:c>
      <x:c r="E504" s="184" t="n">
        <x:v>0</x:v>
      </x:c>
      <x:c r="F504" s="184" t="n">
        <x:v>0</x:v>
      </x:c>
      <x:c r="G504" s="184" t="n">
        <x:v>0</x:v>
      </x:c>
      <x:c r="H504" s="193" t="n">
        <x:v>0</x:v>
      </x:c>
      <x:c r="I504" s="185" t="n">
        <x:v>0</x:v>
      </x:c>
      <x:c r="J504" s="185" t="n">
        <x:v>0</x:v>
      </x:c>
      <x:c r="K504" s="289" t="n">
        <x:v>2841</x:v>
      </x:c>
    </x:row>
    <x:row r="505" s="117" customFormat="1" hidden="1">
      <x:c r="A505" s="184" t="inlineStr">
        <x:is>
          <x:t xml:space="preserve">EMPTEFEXP019</x:t>
        </x:is>
      </x:c>
      <x:c r="B505" s="184" t="inlineStr">
        <x:is>
          <x:t xml:space="preserve">EMPAQUETADURA PTFE-EXP ESP.  1/16 DN 10  PLG CLASE 150 FF</x:t>
        </x:is>
      </x:c>
      <x:c r="C505" s="184" t="n">
        <x:v>0</x:v>
      </x:c>
      <x:c r="D505" s="184" t="n">
        <x:v>0</x:v>
      </x:c>
      <x:c r="E505" s="184" t="n">
        <x:v>0</x:v>
      </x:c>
      <x:c r="F505" s="184" t="n">
        <x:v>0</x:v>
      </x:c>
      <x:c r="G505" s="184" t="n">
        <x:v>0</x:v>
      </x:c>
      <x:c r="H505" s="193" t="n">
        <x:v>0</x:v>
      </x:c>
      <x:c r="I505" s="185" t="n">
        <x:v>0</x:v>
      </x:c>
      <x:c r="J505" s="185" t="n">
        <x:v>0</x:v>
      </x:c>
      <x:c r="K505" s="289" t="n">
        <x:v>12915</x:v>
      </x:c>
    </x:row>
    <x:row r="506" s="117" customFormat="1" hidden="1">
      <x:c r="A506" s="184" t="inlineStr">
        <x:is>
          <x:t xml:space="preserve">EMPTEFEXP020</x:t>
        </x:is>
      </x:c>
      <x:c r="B506" s="184" t="inlineStr">
        <x:is>
          <x:t xml:space="preserve">EMPAQUETADURA PTFE EXP DN 5 CLASE  150 ESP 1/8 TIPO FF</x:t>
        </x:is>
      </x:c>
      <x:c r="C506" s="184" t="n">
        <x:v>0</x:v>
      </x:c>
      <x:c r="D506" s="184" t="n">
        <x:v>0</x:v>
      </x:c>
      <x:c r="E506" s="184" t="n">
        <x:v>0</x:v>
      </x:c>
      <x:c r="F506" s="184" t="n">
        <x:v>0</x:v>
      </x:c>
      <x:c r="G506" s="184" t="n">
        <x:v>0</x:v>
      </x:c>
      <x:c r="H506" s="193" t="n">
        <x:v>0</x:v>
      </x:c>
      <x:c r="I506" s="185" t="n">
        <x:v>0</x:v>
      </x:c>
      <x:c r="J506" s="185" t="n">
        <x:v>0</x:v>
      </x:c>
      <x:c r="K506" s="289" t="n">
        <x:v>5480</x:v>
      </x:c>
    </x:row>
    <x:row r="507" s="117" customFormat="1" hidden="1">
      <x:c r="A507" s="184" t="inlineStr">
        <x:is>
          <x:t xml:space="preserve">EMPTEFEXP021</x:t>
        </x:is>
      </x:c>
      <x:c r="B507" s="184" t="inlineStr">
        <x:is>
          <x:t xml:space="preserve">EMPAQUETADURA PARA FLANGE PTFE EXP DN 3 CLASE 150 ESP 1/8 TIPO RF</x:t>
        </x:is>
      </x:c>
      <x:c r="C507" s="184" t="n">
        <x:v>0</x:v>
      </x:c>
      <x:c r="D507" s="184" t="n">
        <x:v>0</x:v>
      </x:c>
      <x:c r="E507" s="184" t="n">
        <x:v>0</x:v>
      </x:c>
      <x:c r="F507" s="184" t="n">
        <x:v>0</x:v>
      </x:c>
      <x:c r="G507" s="184" t="n">
        <x:v>0</x:v>
      </x:c>
      <x:c r="H507" s="193" t="n">
        <x:v>0</x:v>
      </x:c>
      <x:c r="I507" s="185" t="n">
        <x:v>0</x:v>
      </x:c>
      <x:c r="J507" s="185" t="n">
        <x:v>0</x:v>
      </x:c>
      <x:c r="K507" s="289" t="n">
        <x:v>490</x:v>
      </x:c>
    </x:row>
    <x:row r="508" s="117" customFormat="1" hidden="1">
      <x:c r="A508" s="184" t="inlineStr">
        <x:is>
          <x:t xml:space="preserve">EMPTEFEXP022</x:t>
        </x:is>
      </x:c>
      <x:c r="B508" s="184" t="inlineStr">
        <x:is>
          <x:t xml:space="preserve">EMPAQUETADURA PTFE EXP 1/8 DN 50 NORMA DIN 2576</x:t>
        </x:is>
      </x:c>
      <x:c r="C508" s="184" t="n">
        <x:v>0</x:v>
      </x:c>
      <x:c r="D508" s="184" t="n">
        <x:v>0</x:v>
      </x:c>
      <x:c r="E508" s="184" t="n">
        <x:v>0</x:v>
      </x:c>
      <x:c r="F508" s="184" t="n">
        <x:v>0</x:v>
      </x:c>
      <x:c r="G508" s="184" t="n">
        <x:v>0</x:v>
      </x:c>
      <x:c r="H508" s="193" t="n">
        <x:v>0</x:v>
      </x:c>
      <x:c r="I508" s="185" t="n">
        <x:v>0</x:v>
      </x:c>
      <x:c r="J508" s="185" t="n">
        <x:v>0</x:v>
      </x:c>
      <x:c r="K508" s="289" t="n">
        <x:v>700</x:v>
      </x:c>
    </x:row>
    <x:row r="509" s="117" customFormat="1" hidden="1">
      <x:c r="A509" s="184" t="inlineStr">
        <x:is>
          <x:t xml:space="preserve">EMPTEFEXP023</x:t>
        </x:is>
      </x:c>
      <x:c r="B509" s="184" t="inlineStr">
        <x:is>
          <x:t xml:space="preserve">EMPAQUETADURA PTFE EXP 1/8 DN 80 NORMA DIN 2576</x:t>
        </x:is>
      </x:c>
      <x:c r="C509" s="184" t="n">
        <x:v>0</x:v>
      </x:c>
      <x:c r="D509" s="184" t="n">
        <x:v>0</x:v>
      </x:c>
      <x:c r="E509" s="184" t="n">
        <x:v>0</x:v>
      </x:c>
      <x:c r="F509" s="184" t="n">
        <x:v>0</x:v>
      </x:c>
      <x:c r="G509" s="184" t="n">
        <x:v>0</x:v>
      </x:c>
      <x:c r="H509" s="193" t="n">
        <x:v>0</x:v>
      </x:c>
      <x:c r="I509" s="185" t="n">
        <x:v>0</x:v>
      </x:c>
      <x:c r="J509" s="185" t="n">
        <x:v>0</x:v>
      </x:c>
      <x:c r="K509" s="289" t="n">
        <x:v>1350</x:v>
      </x:c>
    </x:row>
    <x:row r="510" s="117" customFormat="1" hidden="1">
      <x:c r="A510" s="184" t="inlineStr">
        <x:is>
          <x:t xml:space="preserve">EMPTEFEXP024</x:t>
        </x:is>
      </x:c>
      <x:c r="B510" s="184" t="inlineStr">
        <x:is>
          <x:t xml:space="preserve">EMPAQUETADURA PTFE EXP FF 1/8 DN6 S/PLANO PTT022PTF000</x:t>
        </x:is>
      </x:c>
      <x:c r="C510" s="184" t="n">
        <x:v>0</x:v>
      </x:c>
      <x:c r="D510" s="184" t="n">
        <x:v>0</x:v>
      </x:c>
      <x:c r="E510" s="184" t="n">
        <x:v>0</x:v>
      </x:c>
      <x:c r="F510" s="184" t="n">
        <x:v>0</x:v>
      </x:c>
      <x:c r="G510" s="184" t="n">
        <x:v>0</x:v>
      </x:c>
      <x:c r="H510" s="193" t="n">
        <x:v>0</x:v>
      </x:c>
      <x:c r="I510" s="185" t="n">
        <x:v>0</x:v>
      </x:c>
      <x:c r="J510" s="185" t="n">
        <x:v>0</x:v>
      </x:c>
      <x:c r="K510" s="289" t="n">
        <x:v>11784</x:v>
      </x:c>
    </x:row>
    <x:row r="511" s="117" customFormat="1" hidden="1">
      <x:c r="A511" s="184" t="inlineStr">
        <x:is>
          <x:t xml:space="preserve">EMPTEFEXP025</x:t>
        </x:is>
      </x:c>
      <x:c r="B511" s="184" t="inlineStr">
        <x:is>
          <x:t xml:space="preserve">EMPAQUETADURA PTFE EXP 1/8 FF DN5 S/PLANO PTTP22PTFF02</x:t>
        </x:is>
      </x:c>
      <x:c r="C511" s="184" t="n">
        <x:v>0</x:v>
      </x:c>
      <x:c r="D511" s="184" t="n">
        <x:v>0</x:v>
      </x:c>
      <x:c r="E511" s="184" t="n">
        <x:v>0</x:v>
      </x:c>
      <x:c r="F511" s="184" t="n">
        <x:v>0</x:v>
      </x:c>
      <x:c r="G511" s="184" t="n">
        <x:v>0</x:v>
      </x:c>
      <x:c r="H511" s="193" t="n">
        <x:v>0</x:v>
      </x:c>
      <x:c r="I511" s="185" t="n">
        <x:v>0</x:v>
      </x:c>
      <x:c r="J511" s="185" t="n">
        <x:v>0</x:v>
      </x:c>
      <x:c r="K511" s="289" t="n">
        <x:v>7541</x:v>
      </x:c>
    </x:row>
    <x:row r="512" s="117" customFormat="1" hidden="1">
      <x:c r="A512" s="184" t="inlineStr">
        <x:is>
          <x:t xml:space="preserve">EMPTEFEXP026</x:t>
        </x:is>
      </x:c>
      <x:c r="B512" s="184" t="inlineStr">
        <x:is>
          <x:t xml:space="preserve">EMPAQUETADURA PTFE EXP FF 1/8 DN2 S/PLANO  PTTP22PTFF01</x:t>
        </x:is>
      </x:c>
      <x:c r="C512" s="184" t="n">
        <x:v>0</x:v>
      </x:c>
      <x:c r="D512" s="184" t="n">
        <x:v>0</x:v>
      </x:c>
      <x:c r="E512" s="184" t="n">
        <x:v>0</x:v>
      </x:c>
      <x:c r="F512" s="184" t="n">
        <x:v>0</x:v>
      </x:c>
      <x:c r="G512" s="184" t="n">
        <x:v>0</x:v>
      </x:c>
      <x:c r="H512" s="193" t="n">
        <x:v>0</x:v>
      </x:c>
      <x:c r="I512" s="185" t="n">
        <x:v>0</x:v>
      </x:c>
      <x:c r="J512" s="185" t="n">
        <x:v>0</x:v>
      </x:c>
      <x:c r="K512" s="289" t="n">
        <x:v>2328</x:v>
      </x:c>
    </x:row>
    <x:row r="513" s="117" customFormat="1" hidden="1">
      <x:c r="A513" s="184" t="inlineStr">
        <x:is>
          <x:t xml:space="preserve">EMPTEFEXP027</x:t>
        </x:is>
      </x:c>
      <x:c r="B513" s="184" t="inlineStr">
        <x:is>
          <x:t xml:space="preserve">EMPAQUETADURA PTFE EXP FF 1/8 DN10 S/PLANO  PTTP22PTFF03</x:t>
        </x:is>
      </x:c>
      <x:c r="C513" s="184" t="n">
        <x:v>0</x:v>
      </x:c>
      <x:c r="D513" s="184" t="n">
        <x:v>0</x:v>
      </x:c>
      <x:c r="E513" s="184" t="n">
        <x:v>0</x:v>
      </x:c>
      <x:c r="F513" s="184" t="n">
        <x:v>0</x:v>
      </x:c>
      <x:c r="G513" s="184" t="n">
        <x:v>0</x:v>
      </x:c>
      <x:c r="H513" s="193" t="n">
        <x:v>0</x:v>
      </x:c>
      <x:c r="I513" s="185" t="n">
        <x:v>0</x:v>
      </x:c>
      <x:c r="J513" s="185" t="n">
        <x:v>0</x:v>
      </x:c>
      <x:c r="K513" s="289" t="n">
        <x:v>20951</x:v>
      </x:c>
    </x:row>
    <x:row r="514" s="117" customFormat="1" hidden="1">
      <x:c r="A514" s="184" t="inlineStr">
        <x:is>
          <x:t xml:space="preserve">EMPTEFEXP028</x:t>
        </x:is>
      </x:c>
      <x:c r="B514" s="184" t="inlineStr">
        <x:is>
          <x:t xml:space="preserve">EMPAQUETADURA PTFE EXP FF 1/8 DN4 S/PLANO  PTTP22PTRF00</x:t>
        </x:is>
      </x:c>
      <x:c r="C514" s="184" t="n">
        <x:v>0</x:v>
      </x:c>
      <x:c r="D514" s="184" t="n">
        <x:v>0</x:v>
      </x:c>
      <x:c r="E514" s="184" t="n">
        <x:v>0</x:v>
      </x:c>
      <x:c r="F514" s="184" t="n">
        <x:v>0</x:v>
      </x:c>
      <x:c r="G514" s="184" t="n">
        <x:v>0</x:v>
      </x:c>
      <x:c r="H514" s="193" t="n">
        <x:v>0</x:v>
      </x:c>
      <x:c r="I514" s="185" t="n">
        <x:v>0</x:v>
      </x:c>
      <x:c r="J514" s="185" t="n">
        <x:v>0</x:v>
      </x:c>
      <x:c r="K514" s="289" t="n">
        <x:v>5236</x:v>
      </x:c>
    </x:row>
    <x:row r="515" s="117" customFormat="1" hidden="1">
      <x:c r="A515" s="184" t="inlineStr">
        <x:is>
          <x:t xml:space="preserve">EMPTEFEXP029</x:t>
        </x:is>
      </x:c>
      <x:c r="B515" s="184" t="inlineStr">
        <x:is>
          <x:t xml:space="preserve">EMPAQUETADURA PTFE EXP FF 1/8 DN3 S/PLANO  PTTP22PTFF03</x:t>
        </x:is>
      </x:c>
      <x:c r="C515" s="184" t="n">
        <x:v>0</x:v>
      </x:c>
      <x:c r="D515" s="184" t="n">
        <x:v>0</x:v>
      </x:c>
      <x:c r="E515" s="184" t="n">
        <x:v>0</x:v>
      </x:c>
      <x:c r="F515" s="184" t="n">
        <x:v>0</x:v>
      </x:c>
      <x:c r="G515" s="184" t="n">
        <x:v>0</x:v>
      </x:c>
      <x:c r="H515" s="193" t="n">
        <x:v>0</x:v>
      </x:c>
      <x:c r="I515" s="185" t="n">
        <x:v>0</x:v>
      </x:c>
      <x:c r="J515" s="185" t="n">
        <x:v>0</x:v>
      </x:c>
      <x:c r="K515" s="289" t="n">
        <x:v>3854</x:v>
      </x:c>
    </x:row>
    <x:row r="516" s="117" customFormat="1" hidden="1">
      <x:c r="A516" s="184" t="inlineStr">
        <x:is>
          <x:t xml:space="preserve">EMPTEFEXP030</x:t>
        </x:is>
      </x:c>
      <x:c r="B516" s="184" t="inlineStr">
        <x:is>
          <x:t xml:space="preserve">EMPAQUETADURA PTFE EXP DN 20 TIPO RF CLASE 150</x:t>
        </x:is>
      </x:c>
      <x:c r="C516" s="184" t="n">
        <x:v>0</x:v>
      </x:c>
      <x:c r="D516" s="184" t="n">
        <x:v>0</x:v>
      </x:c>
      <x:c r="E516" s="184" t="n">
        <x:v>0</x:v>
      </x:c>
      <x:c r="F516" s="184" t="n">
        <x:v>0</x:v>
      </x:c>
      <x:c r="G516" s="184" t="n">
        <x:v>0</x:v>
      </x:c>
      <x:c r="H516" s="193" t="n">
        <x:v>0</x:v>
      </x:c>
      <x:c r="I516" s="185" t="n">
        <x:v>0</x:v>
      </x:c>
      <x:c r="J516" s="185" t="n">
        <x:v>0</x:v>
      </x:c>
      <x:c r="K516" s="289" t="n">
        <x:v>35460</x:v>
      </x:c>
    </x:row>
    <x:row r="517" s="117" customFormat="1" hidden="1">
      <x:c r="A517" s="184" t="inlineStr">
        <x:is>
          <x:t xml:space="preserve">EMPTEFEXP031</x:t>
        </x:is>
      </x:c>
      <x:c r="B517" s="184" t="inlineStr">
        <x:is>
          <x:t xml:space="preserve">EMPAQUETADURA PTFE EXP DN 18 RF CLASE 150</x:t>
        </x:is>
      </x:c>
      <x:c r="C517" s="184" t="n">
        <x:v>0</x:v>
      </x:c>
      <x:c r="D517" s="184" t="n">
        <x:v>0</x:v>
      </x:c>
      <x:c r="E517" s="184" t="n">
        <x:v>0</x:v>
      </x:c>
      <x:c r="F517" s="184" t="n">
        <x:v>0</x:v>
      </x:c>
      <x:c r="G517" s="184" t="n">
        <x:v>0</x:v>
      </x:c>
      <x:c r="H517" s="193" t="n">
        <x:v>0</x:v>
      </x:c>
      <x:c r="I517" s="185" t="n">
        <x:v>0</x:v>
      </x:c>
      <x:c r="J517" s="185" t="n">
        <x:v>0</x:v>
      </x:c>
      <x:c r="K517" s="289" t="n">
        <x:v>36266</x:v>
      </x:c>
    </x:row>
    <x:row r="518" s="117" customFormat="1" hidden="1">
      <x:c r="A518" s="184" t="inlineStr">
        <x:is>
          <x:t xml:space="preserve">EMPTEFEXP032</x:t>
        </x:is>
      </x:c>
      <x:c r="B518" s="184" t="inlineStr">
        <x:is>
          <x:t xml:space="preserve">EMPAQUETADURA PTFE-EXP DN8 ESP 3 MM NORMA DIN S/PLANO PPT022PTF005</x:t>
        </x:is>
      </x:c>
      <x:c r="C518" s="184" t="n">
        <x:v>0</x:v>
      </x:c>
      <x:c r="D518" s="184" t="n">
        <x:v>0</x:v>
      </x:c>
      <x:c r="E518" s="184" t="n">
        <x:v>0</x:v>
      </x:c>
      <x:c r="F518" s="184" t="n">
        <x:v>0</x:v>
      </x:c>
      <x:c r="G518" s="184" t="n">
        <x:v>0</x:v>
      </x:c>
      <x:c r="H518" s="193" t="n">
        <x:v>0</x:v>
      </x:c>
      <x:c r="I518" s="185" t="n">
        <x:v>0</x:v>
      </x:c>
      <x:c r="J518" s="185" t="n">
        <x:v>0</x:v>
      </x:c>
      <x:c r="K518" s="289" t="n">
        <x:v>3662</x:v>
      </x:c>
    </x:row>
    <x:row r="519" s="117" customFormat="1" hidden="1">
      <x:c r="A519" s="184" t="inlineStr">
        <x:is>
          <x:t xml:space="preserve">EMPTEFEXP033</x:t>
        </x:is>
      </x:c>
      <x:c r="B519" s="184" t="inlineStr">
        <x:is>
          <x:t xml:space="preserve">EMPAQUETADURA PTFE EXP DN 2 PLG ESP  3 MM FF NORMA ANSI</x:t>
        </x:is>
      </x:c>
      <x:c r="C519" s="184" t="n">
        <x:v>0</x:v>
      </x:c>
      <x:c r="D519" s="184" t="n">
        <x:v>0</x:v>
      </x:c>
      <x:c r="E519" s="184" t="n">
        <x:v>0</x:v>
      </x:c>
      <x:c r="F519" s="184" t="n">
        <x:v>0</x:v>
      </x:c>
      <x:c r="G519" s="184" t="n">
        <x:v>0</x:v>
      </x:c>
      <x:c r="H519" s="193" t="n">
        <x:v>0</x:v>
      </x:c>
      <x:c r="I519" s="185" t="n">
        <x:v>0</x:v>
      </x:c>
      <x:c r="J519" s="185" t="n">
        <x:v>0</x:v>
      </x:c>
      <x:c r="K519" s="289" t="n">
        <x:v>1428</x:v>
      </x:c>
    </x:row>
    <x:row r="520" s="117" customFormat="1" hidden="1">
      <x:c r="A520" s="184" t="inlineStr">
        <x:is>
          <x:t xml:space="preserve">EMPTEFEXP034</x:t>
        </x:is>
      </x:c>
      <x:c r="B520" s="184" t="inlineStr">
        <x:is>
          <x:t xml:space="preserve">EMPAQUETADURA PTFE-EXP DN 8 ESP.3 MM FF NORMA DIN S/PLANO PPT022PTF005</x:t>
        </x:is>
      </x:c>
      <x:c r="C520" s="184" t="n">
        <x:v>0</x:v>
      </x:c>
      <x:c r="D520" s="184" t="n">
        <x:v>0</x:v>
      </x:c>
      <x:c r="E520" s="184" t="n">
        <x:v>0</x:v>
      </x:c>
      <x:c r="F520" s="184" t="n">
        <x:v>0</x:v>
      </x:c>
      <x:c r="G520" s="184" t="n">
        <x:v>0</x:v>
      </x:c>
      <x:c r="H520" s="193" t="n">
        <x:v>0</x:v>
      </x:c>
      <x:c r="I520" s="185" t="n">
        <x:v>0</x:v>
      </x:c>
      <x:c r="J520" s="185" t="n">
        <x:v>0</x:v>
      </x:c>
      <x:c r="K520" s="289" t="n">
        <x:v>11825</x:v>
      </x:c>
    </x:row>
    <x:row r="521" s="117" customFormat="1" hidden="1">
      <x:c r="A521" s="184" t="inlineStr">
        <x:is>
          <x:t xml:space="preserve">EMPTRE100001</x:t>
        </x:is>
      </x:c>
      <x:c r="B521" s="184" t="inlineStr">
        <x:is>
          <x:t xml:space="preserve">EMPAQUETADURAS TRENZADAS ESTILO 1000 DE 3/4 SECCION</x:t>
        </x:is>
      </x:c>
      <x:c r="C521" s="184" t="n">
        <x:v>0</x:v>
      </x:c>
      <x:c r="D521" s="184" t="n">
        <x:v>0</x:v>
      </x:c>
      <x:c r="E521" s="184" t="n">
        <x:v>0</x:v>
      </x:c>
      <x:c r="F521" s="184" t="n">
        <x:v>0</x:v>
      </x:c>
      <x:c r="G521" s="184" t="n">
        <x:v>0</x:v>
      </x:c>
      <x:c r="H521" s="193" t="n">
        <x:v>0</x:v>
      </x:c>
      <x:c r="I521" s="185" t="n">
        <x:v>0</x:v>
      </x:c>
      <x:c r="J521" s="185" t="n">
        <x:v>0</x:v>
      </x:c>
      <x:c r="K521" s="289" t="n">
        <x:v>0</x:v>
      </x:c>
    </x:row>
    <x:row r="522" s="117" customFormat="1" hidden="1">
      <x:c r="A522" s="184" t="inlineStr">
        <x:is>
          <x:t xml:space="preserve">EMPTRE210001</x:t>
        </x:is>
      </x:c>
      <x:c r="B522" s="184" t="inlineStr">
        <x:is>
          <x:t xml:space="preserve">EMPAQUETADURAS TRENZADAS ESTILO 2100 DE 1 SECCION</x:t>
        </x:is>
      </x:c>
      <x:c r="C522" s="184" t="n">
        <x:v>74</x:v>
      </x:c>
      <x:c r="D522" s="184" t="n">
        <x:v>0</x:v>
      </x:c>
      <x:c r="E522" s="184" t="n">
        <x:v>0</x:v>
      </x:c>
      <x:c r="F522" s="184" t="n">
        <x:v>74</x:v>
      </x:c>
      <x:c r="G522" s="184" t="n">
        <x:v>3209899</x:v>
      </x:c>
      <x:c r="H522" s="193" t="n">
        <x:v>0</x:v>
      </x:c>
      <x:c r="I522" s="185" t="n">
        <x:v>0</x:v>
      </x:c>
      <x:c r="J522" s="185" t="n">
        <x:v>3209899</x:v>
      </x:c>
      <x:c r="K522" s="289" t="n">
        <x:v>43377.005478</x:v>
      </x:c>
    </x:row>
    <x:row r="523" s="117" customFormat="1" hidden="1">
      <x:c r="A523" s="184" t="inlineStr">
        <x:is>
          <x:t xml:space="preserve">EMPTRE210002</x:t>
        </x:is>
      </x:c>
      <x:c r="B523" s="184" t="inlineStr">
        <x:is>
          <x:t xml:space="preserve">EMPAQUETADURAS TRENZADAS ESTILO 2100 DE 3/4 SECCION</x:t>
        </x:is>
      </x:c>
      <x:c r="C523" s="184" t="n">
        <x:v>28</x:v>
      </x:c>
      <x:c r="D523" s="184" t="n">
        <x:v>0</x:v>
      </x:c>
      <x:c r="E523" s="184" t="n">
        <x:v>0</x:v>
      </x:c>
      <x:c r="F523" s="184" t="n">
        <x:v>28</x:v>
      </x:c>
      <x:c r="G523" s="184" t="n">
        <x:v>1153456</x:v>
      </x:c>
      <x:c r="H523" s="193" t="n">
        <x:v>0</x:v>
      </x:c>
      <x:c r="I523" s="185" t="n">
        <x:v>0</x:v>
      </x:c>
      <x:c r="J523" s="185" t="n">
        <x:v>1153456</x:v>
      </x:c>
      <x:c r="K523" s="289" t="n">
        <x:v>41194.92019403</x:v>
      </x:c>
    </x:row>
    <x:row r="524" s="117" customFormat="1" hidden="1">
      <x:c r="A524" s="184" t="inlineStr">
        <x:is>
          <x:t xml:space="preserve">EMPTRE210003</x:t>
        </x:is>
      </x:c>
      <x:c r="B524" s="184" t="inlineStr">
        <x:is>
          <x:t xml:space="preserve">EMPAQUETADURAS TRENZADAS ESTILO 2100 DE 5/8 SECCION</x:t>
        </x:is>
      </x:c>
      <x:c r="C524" s="184" t="n">
        <x:v>21</x:v>
      </x:c>
      <x:c r="D524" s="184" t="n">
        <x:v>0</x:v>
      </x:c>
      <x:c r="E524" s="184" t="n">
        <x:v>0</x:v>
      </x:c>
      <x:c r="F524" s="184" t="n">
        <x:v>21</x:v>
      </x:c>
      <x:c r="G524" s="184" t="n">
        <x:v>599508</x:v>
      </x:c>
      <x:c r="H524" s="193" t="n">
        <x:v>0</x:v>
      </x:c>
      <x:c r="I524" s="185" t="n">
        <x:v>0</x:v>
      </x:c>
      <x:c r="J524" s="185" t="n">
        <x:v>599508</x:v>
      </x:c>
      <x:c r="K524" s="289" t="n">
        <x:v>28548</x:v>
      </x:c>
    </x:row>
    <x:row r="525" s="117" customFormat="1" hidden="1">
      <x:c r="A525" s="184" t="inlineStr">
        <x:is>
          <x:t xml:space="preserve">EMPTRE210004</x:t>
        </x:is>
      </x:c>
      <x:c r="B525" s="184" t="inlineStr">
        <x:is>
          <x:t xml:space="preserve">EMPAQUETADURAS TRENZADAS ESTILO 2100 DE 1/2 SECCION</x:t>
        </x:is>
      </x:c>
      <x:c r="C525" s="184" t="n">
        <x:v>27</x:v>
      </x:c>
      <x:c r="D525" s="184" t="n">
        <x:v>0</x:v>
      </x:c>
      <x:c r="E525" s="184" t="n">
        <x:v>0</x:v>
      </x:c>
      <x:c r="F525" s="184" t="n">
        <x:v>27</x:v>
      </x:c>
      <x:c r="G525" s="184" t="n">
        <x:v>1555875</x:v>
      </x:c>
      <x:c r="H525" s="193" t="n">
        <x:v>0</x:v>
      </x:c>
      <x:c r="I525" s="185" t="n">
        <x:v>0</x:v>
      </x:c>
      <x:c r="J525" s="185" t="n">
        <x:v>1555875</x:v>
      </x:c>
      <x:c r="K525" s="289" t="n">
        <x:v>57625</x:v>
      </x:c>
    </x:row>
    <x:row r="526" s="117" customFormat="1" hidden="1">
      <x:c r="A526" s="184" t="inlineStr">
        <x:is>
          <x:t xml:space="preserve">EMPTRE210005</x:t>
        </x:is>
      </x:c>
      <x:c r="B526" s="184" t="inlineStr">
        <x:is>
          <x:t xml:space="preserve">EMPAQUETADURA TRENZADA ESTILO 2100 7/16 PLG SECCION</x:t>
        </x:is>
      </x:c>
      <x:c r="C526" s="184" t="n">
        <x:v>0</x:v>
      </x:c>
      <x:c r="D526" s="184" t="n">
        <x:v>0</x:v>
      </x:c>
      <x:c r="E526" s="184" t="n">
        <x:v>0</x:v>
      </x:c>
      <x:c r="F526" s="184" t="n">
        <x:v>0</x:v>
      </x:c>
      <x:c r="G526" s="184" t="n">
        <x:v>0</x:v>
      </x:c>
      <x:c r="H526" s="193" t="n">
        <x:v>0</x:v>
      </x:c>
      <x:c r="I526" s="185" t="n">
        <x:v>0</x:v>
      </x:c>
      <x:c r="J526" s="185" t="n">
        <x:v>0</x:v>
      </x:c>
      <x:c r="K526" s="289" t="n">
        <x:v>43476</x:v>
      </x:c>
    </x:row>
    <x:row r="527" s="117" customFormat="1" hidden="1">
      <x:c r="A527" s="184" t="inlineStr">
        <x:is>
          <x:t xml:space="preserve">EMPTRE210006</x:t>
        </x:is>
      </x:c>
      <x:c r="B527" s="184" t="inlineStr">
        <x:is>
          <x:t xml:space="preserve">EMPAQUETADURAS TRENZADAS ESTILO 2100 DE 3/8 PLG SECCION</x:t>
        </x:is>
      </x:c>
      <x:c r="C527" s="184" t="n">
        <x:v>0</x:v>
      </x:c>
      <x:c r="D527" s="184" t="n">
        <x:v>0</x:v>
      </x:c>
      <x:c r="E527" s="184" t="n">
        <x:v>0</x:v>
      </x:c>
      <x:c r="F527" s="184" t="n">
        <x:v>0</x:v>
      </x:c>
      <x:c r="G527" s="184" t="n">
        <x:v>0</x:v>
      </x:c>
      <x:c r="H527" s="193" t="n">
        <x:v>0</x:v>
      </x:c>
      <x:c r="I527" s="185" t="n">
        <x:v>0</x:v>
      </x:c>
      <x:c r="J527" s="185" t="n">
        <x:v>0</x:v>
      </x:c>
      <x:c r="K527" s="289" t="n">
        <x:v>28548</x:v>
      </x:c>
    </x:row>
    <x:row r="528" s="117" customFormat="1" hidden="1">
      <x:c r="A528" s="184" t="inlineStr">
        <x:is>
          <x:t xml:space="preserve">EMPTRE400001</x:t>
        </x:is>
      </x:c>
      <x:c r="B528" s="184" t="inlineStr">
        <x:is>
          <x:t xml:space="preserve">EMPAQUETADURAS TRENZADAS ESTILO 400 1/4 SECCION</x:t>
        </x:is>
      </x:c>
      <x:c r="C528" s="184" t="n">
        <x:v>0</x:v>
      </x:c>
      <x:c r="D528" s="184" t="n">
        <x:v>0</x:v>
      </x:c>
      <x:c r="E528" s="184" t="n">
        <x:v>0</x:v>
      </x:c>
      <x:c r="F528" s="184" t="n">
        <x:v>0</x:v>
      </x:c>
      <x:c r="G528" s="184" t="n">
        <x:v>0</x:v>
      </x:c>
      <x:c r="H528" s="193" t="n">
        <x:v>0</x:v>
      </x:c>
      <x:c r="I528" s="185" t="n">
        <x:v>0</x:v>
      </x:c>
      <x:c r="J528" s="185" t="n">
        <x:v>0</x:v>
      </x:c>
      <x:c r="K528" s="289" t="n">
        <x:v>14300</x:v>
      </x:c>
    </x:row>
    <x:row r="529" s="117" customFormat="1" hidden="1">
      <x:c r="A529" s="184" t="inlineStr">
        <x:is>
          <x:t xml:space="preserve">EMPTRE400002</x:t>
        </x:is>
      </x:c>
      <x:c r="B529" s="184" t="inlineStr">
        <x:is>
          <x:t xml:space="preserve">EMPAQUETADURAS TRENZADAS ESTILO 400 1/2 SECCION</x:t>
        </x:is>
      </x:c>
      <x:c r="C529" s="184" t="n">
        <x:v>0</x:v>
      </x:c>
      <x:c r="D529" s="184" t="n">
        <x:v>0</x:v>
      </x:c>
      <x:c r="E529" s="184" t="n">
        <x:v>0</x:v>
      </x:c>
      <x:c r="F529" s="184" t="n">
        <x:v>0</x:v>
      </x:c>
      <x:c r="G529" s="184" t="n">
        <x:v>0</x:v>
      </x:c>
      <x:c r="H529" s="193" t="n">
        <x:v>0</x:v>
      </x:c>
      <x:c r="I529" s="185" t="n">
        <x:v>0</x:v>
      </x:c>
      <x:c r="J529" s="185" t="n">
        <x:v>0</x:v>
      </x:c>
      <x:c r="K529" s="289" t="n">
        <x:v>14300</x:v>
      </x:c>
    </x:row>
    <x:row r="530" s="117" customFormat="1" hidden="1">
      <x:c r="A530" s="184" t="inlineStr">
        <x:is>
          <x:t xml:space="preserve">EMPTRE400003</x:t>
        </x:is>
      </x:c>
      <x:c r="B530" s="184" t="inlineStr">
        <x:is>
          <x:t xml:space="preserve">EMPAQUETADURAS TRENZADAS ESTILO 400 5/8 SECCION</x:t>
        </x:is>
      </x:c>
      <x:c r="C530" s="184" t="n">
        <x:v>2</x:v>
      </x:c>
      <x:c r="D530" s="184" t="n">
        <x:v>0</x:v>
      </x:c>
      <x:c r="E530" s="184" t="n">
        <x:v>0</x:v>
      </x:c>
      <x:c r="F530" s="184" t="n">
        <x:v>2</x:v>
      </x:c>
      <x:c r="G530" s="184" t="n">
        <x:v>28600</x:v>
      </x:c>
      <x:c r="H530" s="193" t="n">
        <x:v>0</x:v>
      </x:c>
      <x:c r="I530" s="185" t="n">
        <x:v>0</x:v>
      </x:c>
      <x:c r="J530" s="185" t="n">
        <x:v>28600</x:v>
      </x:c>
      <x:c r="K530" s="289" t="n">
        <x:v>14300</x:v>
      </x:c>
    </x:row>
    <x:row r="531" s="117" customFormat="1" hidden="1">
      <x:c r="A531" s="184" t="inlineStr">
        <x:is>
          <x:t xml:space="preserve">EMPTRE430001</x:t>
        </x:is>
      </x:c>
      <x:c r="B531" s="184" t="inlineStr">
        <x:is>
          <x:t xml:space="preserve">EMPAQUETADURAS TRENZADAS ESTILO 430 3/8 SECCION</x:t>
        </x:is>
      </x:c>
      <x:c r="C531" s="184" t="n">
        <x:v>61</x:v>
      </x:c>
      <x:c r="D531" s="184" t="n">
        <x:v>0</x:v>
      </x:c>
      <x:c r="E531" s="184" t="n">
        <x:v>0</x:v>
      </x:c>
      <x:c r="F531" s="184" t="n">
        <x:v>61</x:v>
      </x:c>
      <x:c r="G531" s="184" t="n">
        <x:v>1347493</x:v>
      </x:c>
      <x:c r="H531" s="193" t="n">
        <x:v>0</x:v>
      </x:c>
      <x:c r="I531" s="185" t="n">
        <x:v>0</x:v>
      </x:c>
      <x:c r="J531" s="185" t="n">
        <x:v>1347493</x:v>
      </x:c>
      <x:c r="K531" s="289" t="n">
        <x:v>22090.03626785</x:v>
      </x:c>
    </x:row>
    <x:row r="532" s="117" customFormat="1" hidden="1">
      <x:c r="A532" s="184" t="inlineStr">
        <x:is>
          <x:t xml:space="preserve">EMPTRE430002</x:t>
        </x:is>
      </x:c>
      <x:c r="B532" s="184" t="inlineStr">
        <x:is>
          <x:t xml:space="preserve">EMPAQUETADURAS TRENZADAS ESTILO 430 1/4 SECCION</x:t>
        </x:is>
      </x:c>
      <x:c r="C532" s="184" t="n">
        <x:v>0</x:v>
      </x:c>
      <x:c r="D532" s="184" t="n">
        <x:v>0</x:v>
      </x:c>
      <x:c r="E532" s="184" t="n">
        <x:v>0</x:v>
      </x:c>
      <x:c r="F532" s="184" t="n">
        <x:v>0</x:v>
      </x:c>
      <x:c r="G532" s="184" t="n">
        <x:v>0</x:v>
      </x:c>
      <x:c r="H532" s="193" t="n">
        <x:v>0</x:v>
      </x:c>
      <x:c r="I532" s="185" t="n">
        <x:v>0</x:v>
      </x:c>
      <x:c r="J532" s="185" t="n">
        <x:v>0</x:v>
      </x:c>
      <x:c r="K532" s="289" t="n">
        <x:v>20491</x:v>
      </x:c>
    </x:row>
    <x:row r="533" s="117" customFormat="1" hidden="1">
      <x:c r="A533" s="184" t="inlineStr">
        <x:is>
          <x:t xml:space="preserve">EMPTRE430003</x:t>
        </x:is>
      </x:c>
      <x:c r="B533" s="184" t="inlineStr">
        <x:is>
          <x:t xml:space="preserve">EMPAQUETADURAS TRENZADAS ESTILO 430 DE 5/8 SECCION</x:t>
        </x:is>
      </x:c>
      <x:c r="C533" s="184" t="n">
        <x:v>138</x:v>
      </x:c>
      <x:c r="D533" s="184" t="n">
        <x:v>0</x:v>
      </x:c>
      <x:c r="E533" s="184" t="n">
        <x:v>0</x:v>
      </x:c>
      <x:c r="F533" s="184" t="n">
        <x:v>138</x:v>
      </x:c>
      <x:c r="G533" s="184" t="n">
        <x:v>2779596</x:v>
      </x:c>
      <x:c r="H533" s="193" t="n">
        <x:v>0</x:v>
      </x:c>
      <x:c r="I533" s="185" t="n">
        <x:v>0</x:v>
      </x:c>
      <x:c r="J533" s="185" t="n">
        <x:v>2779596</x:v>
      </x:c>
      <x:c r="K533" s="289" t="n">
        <x:v>20142</x:v>
      </x:c>
    </x:row>
    <x:row r="534" s="117" customFormat="1" hidden="1">
      <x:c r="A534" s="184" t="inlineStr">
        <x:is>
          <x:t xml:space="preserve">EMPTRE430004</x:t>
        </x:is>
      </x:c>
      <x:c r="B534" s="184" t="inlineStr">
        <x:is>
          <x:t xml:space="preserve">EMPAQUETADURAS TRENZADAS ESTILO 430 1/2 SECCION</x:t>
        </x:is>
      </x:c>
      <x:c r="C534" s="184" t="n">
        <x:v>54</x:v>
      </x:c>
      <x:c r="D534" s="184" t="n">
        <x:v>0</x:v>
      </x:c>
      <x:c r="E534" s="184" t="n">
        <x:v>5</x:v>
      </x:c>
      <x:c r="F534" s="184" t="n">
        <x:v>49</x:v>
      </x:c>
      <x:c r="G534" s="184" t="n">
        <x:v>1106518</x:v>
      </x:c>
      <x:c r="H534" s="193" t="n">
        <x:v>0</x:v>
      </x:c>
      <x:c r="I534" s="185" t="n">
        <x:v>102455</x:v>
      </x:c>
      <x:c r="J534" s="185" t="n">
        <x:v>1004063</x:v>
      </x:c>
      <x:c r="K534" s="289" t="n">
        <x:v>20491</x:v>
      </x:c>
    </x:row>
    <x:row r="535" s="117" customFormat="1" hidden="1">
      <x:c r="A535" s="184" t="inlineStr">
        <x:is>
          <x:t xml:space="preserve">EMPTRE430005</x:t>
        </x:is>
      </x:c>
      <x:c r="B535" s="184" t="inlineStr">
        <x:is>
          <x:t xml:space="preserve">EMPAQUETADURAS TRENZADAS ESTILO 430 7/8 SECCION</x:t>
        </x:is>
      </x:c>
      <x:c r="C535" s="184" t="n">
        <x:v>46</x:v>
      </x:c>
      <x:c r="D535" s="184" t="n">
        <x:v>0</x:v>
      </x:c>
      <x:c r="E535" s="184" t="n">
        <x:v>0</x:v>
      </x:c>
      <x:c r="F535" s="184" t="n">
        <x:v>46</x:v>
      </x:c>
      <x:c r="G535" s="184" t="n">
        <x:v>942585</x:v>
      </x:c>
      <x:c r="H535" s="193" t="n">
        <x:v>0</x:v>
      </x:c>
      <x:c r="I535" s="185" t="n">
        <x:v>0</x:v>
      </x:c>
      <x:c r="J535" s="185" t="n">
        <x:v>942585</x:v>
      </x:c>
      <x:c r="K535" s="289" t="n">
        <x:v>20491</x:v>
      </x:c>
    </x:row>
    <x:row r="536" s="117" customFormat="1" hidden="1">
      <x:c r="A536" s="184" t="inlineStr">
        <x:is>
          <x:t xml:space="preserve">EMPTRE430006</x:t>
        </x:is>
      </x:c>
      <x:c r="B536" s="184" t="inlineStr">
        <x:is>
          <x:t xml:space="preserve">EMPAQUETADURAS TRENZADAS ESTILO 430 3/4 SECCION</x:t>
        </x:is>
      </x:c>
      <x:c r="C536" s="184" t="n">
        <x:v>130</x:v>
      </x:c>
      <x:c r="D536" s="184" t="n">
        <x:v>0</x:v>
      </x:c>
      <x:c r="E536" s="184" t="n">
        <x:v>0</x:v>
      </x:c>
      <x:c r="F536" s="184" t="n">
        <x:v>130</x:v>
      </x:c>
      <x:c r="G536" s="184" t="n">
        <x:v>2766686</x:v>
      </x:c>
      <x:c r="H536" s="193" t="n">
        <x:v>0</x:v>
      </x:c>
      <x:c r="I536" s="185" t="n">
        <x:v>0</x:v>
      </x:c>
      <x:c r="J536" s="185" t="n">
        <x:v>2766686</x:v>
      </x:c>
      <x:c r="K536" s="289" t="n">
        <x:v>21282.2</x:v>
      </x:c>
    </x:row>
    <x:row r="537" s="117" customFormat="1" hidden="1">
      <x:c r="A537" s="184" t="inlineStr">
        <x:is>
          <x:t xml:space="preserve">EMPTRE430007</x:t>
        </x:is>
      </x:c>
      <x:c r="B537" s="184" t="inlineStr">
        <x:is>
          <x:t xml:space="preserve">EMPAQUETADURAS TRENZADAS ESTILO 430  DE 1 SECCION</x:t>
        </x:is>
      </x:c>
      <x:c r="C537" s="184" t="n">
        <x:v>33</x:v>
      </x:c>
      <x:c r="D537" s="184" t="n">
        <x:v>0</x:v>
      </x:c>
      <x:c r="E537" s="184" t="n">
        <x:v>0</x:v>
      </x:c>
      <x:c r="F537" s="184" t="n">
        <x:v>33</x:v>
      </x:c>
      <x:c r="G537" s="184" t="n">
        <x:v>920820</x:v>
      </x:c>
      <x:c r="H537" s="193" t="n">
        <x:v>0</x:v>
      </x:c>
      <x:c r="I537" s="185" t="n">
        <x:v>0</x:v>
      </x:c>
      <x:c r="J537" s="185" t="n">
        <x:v>920820</x:v>
      </x:c>
      <x:c r="K537" s="289" t="n">
        <x:v>27903.65217391</x:v>
      </x:c>
    </x:row>
    <x:row r="538" s="117" customFormat="1" hidden="1">
      <x:c r="A538" s="184" t="inlineStr">
        <x:is>
          <x:t xml:space="preserve">EMPTRE430008</x:t>
        </x:is>
      </x:c>
      <x:c r="B538" s="184" t="inlineStr">
        <x:is>
          <x:t xml:space="preserve">EMPAQUETADURA TRENZADA KEVLON 1 PLG SECCION</x:t>
        </x:is>
      </x:c>
      <x:c r="C538" s="184" t="n">
        <x:v>22</x:v>
      </x:c>
      <x:c r="D538" s="184" t="n">
        <x:v>0</x:v>
      </x:c>
      <x:c r="E538" s="184" t="n">
        <x:v>0</x:v>
      </x:c>
      <x:c r="F538" s="184" t="n">
        <x:v>22</x:v>
      </x:c>
      <x:c r="G538" s="184" t="n">
        <x:v>829554</x:v>
      </x:c>
      <x:c r="H538" s="193" t="n">
        <x:v>0</x:v>
      </x:c>
      <x:c r="I538" s="185" t="n">
        <x:v>0</x:v>
      </x:c>
      <x:c r="J538" s="185" t="n">
        <x:v>829554</x:v>
      </x:c>
      <x:c r="K538" s="289" t="n">
        <x:v>37707</x:v>
      </x:c>
    </x:row>
    <x:row r="539" s="117" customFormat="1" hidden="1">
      <x:c r="A539" s="184" t="inlineStr">
        <x:is>
          <x:t xml:space="preserve">EMPTRE430009</x:t>
        </x:is>
      </x:c>
      <x:c r="B539" s="184" t="inlineStr">
        <x:is>
          <x:t xml:space="preserve">EMPAQUETADURA TRENZADA KEVLON 5/8 PLG SECCION</x:t>
        </x:is>
      </x:c>
      <x:c r="C539" s="184" t="n">
        <x:v>0</x:v>
      </x:c>
      <x:c r="D539" s="184" t="n">
        <x:v>0</x:v>
      </x:c>
      <x:c r="E539" s="184" t="n">
        <x:v>0</x:v>
      </x:c>
      <x:c r="F539" s="184" t="n">
        <x:v>0</x:v>
      </x:c>
      <x:c r="G539" s="184" t="n">
        <x:v>0</x:v>
      </x:c>
      <x:c r="H539" s="193" t="n">
        <x:v>0</x:v>
      </x:c>
      <x:c r="I539" s="185" t="n">
        <x:v>0</x:v>
      </x:c>
      <x:c r="J539" s="185" t="n">
        <x:v>0</x:v>
      </x:c>
      <x:c r="K539" s="289" t="n">
        <x:v>26130</x:v>
      </x:c>
    </x:row>
    <x:row r="540" s="117" customFormat="1" hidden="1">
      <x:c r="A540" s="184" t="inlineStr">
        <x:is>
          <x:t xml:space="preserve">EMPTRE430010</x:t>
        </x:is>
      </x:c>
      <x:c r="B540" s="184" t="inlineStr">
        <x:is>
          <x:t xml:space="preserve">EMPAQUETADURA TRENZADA KEVLON 3/4 PLG SECCION</x:t>
        </x:is>
      </x:c>
      <x:c r="C540" s="184" t="n">
        <x:v>0</x:v>
      </x:c>
      <x:c r="D540" s="184" t="n">
        <x:v>0</x:v>
      </x:c>
      <x:c r="E540" s="184" t="n">
        <x:v>0</x:v>
      </x:c>
      <x:c r="F540" s="184" t="n">
        <x:v>0</x:v>
      </x:c>
      <x:c r="G540" s="184" t="n">
        <x:v>0</x:v>
      </x:c>
      <x:c r="H540" s="193" t="n">
        <x:v>0</x:v>
      </x:c>
      <x:c r="I540" s="185" t="n">
        <x:v>0</x:v>
      </x:c>
      <x:c r="J540" s="185" t="n">
        <x:v>0</x:v>
      </x:c>
      <x:c r="K540" s="289" t="n">
        <x:v>26130</x:v>
      </x:c>
    </x:row>
    <x:row r="541" s="117" customFormat="1" hidden="1">
      <x:c r="A541" s="184" t="inlineStr">
        <x:is>
          <x:t xml:space="preserve">EMPTRE430011</x:t>
        </x:is>
      </x:c>
      <x:c r="B541" s="184" t="inlineStr">
        <x:is>
          <x:t xml:space="preserve">EMPAQUETADURAS TRENZADAS ESTILO 430 5/16 PLG SECCION CUADRADA</x:t>
        </x:is>
      </x:c>
      <x:c r="C541" s="184" t="n">
        <x:v>17</x:v>
      </x:c>
      <x:c r="D541" s="184" t="n">
        <x:v>0</x:v>
      </x:c>
      <x:c r="E541" s="184" t="n">
        <x:v>0</x:v>
      </x:c>
      <x:c r="F541" s="184" t="n">
        <x:v>17</x:v>
      </x:c>
      <x:c r="G541" s="184" t="n">
        <x:v>378188</x:v>
      </x:c>
      <x:c r="H541" s="193" t="n">
        <x:v>0</x:v>
      </x:c>
      <x:c r="I541" s="185" t="n">
        <x:v>0</x:v>
      </x:c>
      <x:c r="J541" s="185" t="n">
        <x:v>378188</x:v>
      </x:c>
      <x:c r="K541" s="289" t="n">
        <x:v>22246.35294118</x:v>
      </x:c>
    </x:row>
    <x:row r="542" s="117" customFormat="1" hidden="1">
      <x:c r="A542" s="184" t="inlineStr">
        <x:is>
          <x:t xml:space="preserve">EMPTRE430012</x:t>
        </x:is>
      </x:c>
      <x:c r="B542" s="184" t="inlineStr">
        <x:is>
          <x:t xml:space="preserve">EMPAQUETADURA TRENZADA ESTILO KEVLON DE 1 PLG SECCION CUADRADA</x:t>
        </x:is>
      </x:c>
      <x:c r="C542" s="184" t="n">
        <x:v>0</x:v>
      </x:c>
      <x:c r="D542" s="184" t="n">
        <x:v>0</x:v>
      </x:c>
      <x:c r="E542" s="184" t="n">
        <x:v>0</x:v>
      </x:c>
      <x:c r="F542" s="184" t="n">
        <x:v>0</x:v>
      </x:c>
      <x:c r="G542" s="184" t="n">
        <x:v>0</x:v>
      </x:c>
      <x:c r="H542" s="193" t="n">
        <x:v>0</x:v>
      </x:c>
      <x:c r="I542" s="185" t="n">
        <x:v>0</x:v>
      </x:c>
      <x:c r="J542" s="185" t="n">
        <x:v>0</x:v>
      </x:c>
      <x:c r="K542" s="289" t="n">
        <x:v>32181</x:v>
      </x:c>
    </x:row>
    <x:row r="543" s="117" customFormat="1" hidden="1">
      <x:c r="A543" s="184" t="inlineStr">
        <x:is>
          <x:t xml:space="preserve">EMPTRE430I01</x:t>
        </x:is>
      </x:c>
      <x:c r="B543" s="184" t="inlineStr">
        <x:is>
          <x:t xml:space="preserve">EMPAQUETADURA TRENZADA GFO 7/8 (IMPORTADA)</x:t>
        </x:is>
      </x:c>
      <x:c r="C543" s="184" t="n">
        <x:v>200</x:v>
      </x:c>
      <x:c r="D543" s="184" t="n">
        <x:v>0</x:v>
      </x:c>
      <x:c r="E543" s="184" t="n">
        <x:v>0</x:v>
      </x:c>
      <x:c r="F543" s="184" t="n">
        <x:v>200</x:v>
      </x:c>
      <x:c r="G543" s="184" t="n">
        <x:v>5003600</x:v>
      </x:c>
      <x:c r="H543" s="193" t="n">
        <x:v>0</x:v>
      </x:c>
      <x:c r="I543" s="185" t="n">
        <x:v>0</x:v>
      </x:c>
      <x:c r="J543" s="185" t="n">
        <x:v>5003600</x:v>
      </x:c>
      <x:c r="K543" s="289" t="n">
        <x:v>25018</x:v>
      </x:c>
    </x:row>
    <x:row r="544" s="117" customFormat="1" hidden="1">
      <x:c r="A544" s="184" t="inlineStr">
        <x:is>
          <x:t xml:space="preserve">EMPTRE430I02</x:t>
        </x:is>
      </x:c>
      <x:c r="B544" s="184" t="inlineStr">
        <x:is>
          <x:t xml:space="preserve">EMPAQUETADURA TRENZADA GFO 3/4 (IMPORTADA)</x:t>
        </x:is>
      </x:c>
      <x:c r="C544" s="184" t="n">
        <x:v>60</x:v>
      </x:c>
      <x:c r="D544" s="184" t="n">
        <x:v>0</x:v>
      </x:c>
      <x:c r="E544" s="184" t="n">
        <x:v>0</x:v>
      </x:c>
      <x:c r="F544" s="184" t="n">
        <x:v>60</x:v>
      </x:c>
      <x:c r="G544" s="184" t="n">
        <x:v>1501080</x:v>
      </x:c>
      <x:c r="H544" s="193" t="n">
        <x:v>0</x:v>
      </x:c>
      <x:c r="I544" s="185" t="n">
        <x:v>0</x:v>
      </x:c>
      <x:c r="J544" s="185" t="n">
        <x:v>1501080</x:v>
      </x:c>
      <x:c r="K544" s="289" t="n">
        <x:v>25018</x:v>
      </x:c>
    </x:row>
    <x:row r="545" s="117" customFormat="1" hidden="1">
      <x:c r="A545" s="184" t="inlineStr">
        <x:is>
          <x:t xml:space="preserve">EMPTRE555001</x:t>
        </x:is>
      </x:c>
      <x:c r="B545" s="184" t="inlineStr">
        <x:is>
          <x:t xml:space="preserve">EMPAQUETADURAS TRENZADAS ESTILO 55-55 DE 7/8 SECCION</x:t>
        </x:is>
      </x:c>
      <x:c r="C545" s="184" t="n">
        <x:v>0</x:v>
      </x:c>
      <x:c r="D545" s="184" t="n">
        <x:v>0</x:v>
      </x:c>
      <x:c r="E545" s="184" t="n">
        <x:v>0</x:v>
      </x:c>
      <x:c r="F545" s="184" t="n">
        <x:v>0</x:v>
      </x:c>
      <x:c r="G545" s="184" t="n">
        <x:v>-1</x:v>
      </x:c>
      <x:c r="H545" s="193" t="n">
        <x:v>0</x:v>
      </x:c>
      <x:c r="I545" s="185" t="n">
        <x:v>0</x:v>
      </x:c>
      <x:c r="J545" s="185" t="n">
        <x:v>-1</x:v>
      </x:c>
      <x:c r="K545" s="289" t="n">
        <x:v>9973</x:v>
      </x:c>
    </x:row>
    <x:row r="546" s="117" customFormat="1" hidden="1">
      <x:c r="A546" s="184" t="inlineStr">
        <x:is>
          <x:t xml:space="preserve">EMPTRE555002</x:t>
        </x:is>
      </x:c>
      <x:c r="B546" s="184" t="inlineStr">
        <x:is>
          <x:t xml:space="preserve">EMPAQUETADURAS TRENZADAS ESTILO 55-55 DE 3/8 SECCION</x:t>
        </x:is>
      </x:c>
      <x:c r="C546" s="184" t="n">
        <x:v>83</x:v>
      </x:c>
      <x:c r="D546" s="184" t="n">
        <x:v>0</x:v>
      </x:c>
      <x:c r="E546" s="184" t="n">
        <x:v>0</x:v>
      </x:c>
      <x:c r="F546" s="184" t="n">
        <x:v>83</x:v>
      </x:c>
      <x:c r="G546" s="184" t="n">
        <x:v>889843</x:v>
      </x:c>
      <x:c r="H546" s="193" t="n">
        <x:v>0</x:v>
      </x:c>
      <x:c r="I546" s="185" t="n">
        <x:v>0</x:v>
      </x:c>
      <x:c r="J546" s="185" t="n">
        <x:v>889843</x:v>
      </x:c>
      <x:c r="K546" s="289" t="n">
        <x:v>10721</x:v>
      </x:c>
    </x:row>
    <x:row r="547" s="117" customFormat="1" hidden="1">
      <x:c r="A547" s="184" t="inlineStr">
        <x:is>
          <x:t xml:space="preserve">EMPTRE555003</x:t>
        </x:is>
      </x:c>
      <x:c r="B547" s="184" t="inlineStr">
        <x:is>
          <x:t xml:space="preserve">EMPAQUETADURAS TRENZADAS ESTILO 55-55 DE 1/2 SECCION</x:t>
        </x:is>
      </x:c>
      <x:c r="C547" s="184" t="n">
        <x:v>31.7</x:v>
      </x:c>
      <x:c r="D547" s="184" t="n">
        <x:v>0</x:v>
      </x:c>
      <x:c r="E547" s="184" t="n">
        <x:v>0</x:v>
      </x:c>
      <x:c r="F547" s="184" t="n">
        <x:v>31.7</x:v>
      </x:c>
      <x:c r="G547" s="184" t="n">
        <x:v>339855</x:v>
      </x:c>
      <x:c r="H547" s="193" t="n">
        <x:v>0</x:v>
      </x:c>
      <x:c r="I547" s="185" t="n">
        <x:v>0</x:v>
      </x:c>
      <x:c r="J547" s="185" t="n">
        <x:v>339855</x:v>
      </x:c>
      <x:c r="K547" s="289" t="n">
        <x:v>10720.97568866</x:v>
      </x:c>
    </x:row>
    <x:row r="548" s="117" customFormat="1" hidden="1">
      <x:c r="A548" s="184" t="inlineStr">
        <x:is>
          <x:t xml:space="preserve">EMPTRE555004</x:t>
        </x:is>
      </x:c>
      <x:c r="B548" s="184" t="inlineStr">
        <x:is>
          <x:t xml:space="preserve">EMPAQUETADURAS TRENZADAS ESTILO 55-55 3/4 SECCION</x:t>
        </x:is>
      </x:c>
      <x:c r="C548" s="184" t="n">
        <x:v>205.8</x:v>
      </x:c>
      <x:c r="D548" s="184" t="n">
        <x:v>0</x:v>
      </x:c>
      <x:c r="E548" s="184" t="n">
        <x:v>0</x:v>
      </x:c>
      <x:c r="F548" s="184" t="n">
        <x:v>205.8</x:v>
      </x:c>
      <x:c r="G548" s="184" t="n">
        <x:v>2212355</x:v>
      </x:c>
      <x:c r="H548" s="193" t="n">
        <x:v>0</x:v>
      </x:c>
      <x:c r="I548" s="185" t="n">
        <x:v>0</x:v>
      </x:c>
      <x:c r="J548" s="185" t="n">
        <x:v>2212355</x:v>
      </x:c>
      <x:c r="K548" s="289" t="n">
        <x:v>10750.01694981</x:v>
      </x:c>
    </x:row>
    <x:row r="549" s="117" customFormat="1" hidden="1">
      <x:c r="A549" s="184" t="inlineStr">
        <x:is>
          <x:t xml:space="preserve">EMPTRE555005</x:t>
        </x:is>
      </x:c>
      <x:c r="B549" s="184" t="inlineStr">
        <x:is>
          <x:t xml:space="preserve">EMPAQUETADURAS TRENZADAS ESTILO 55-55 5/8 SECCION</x:t>
        </x:is>
      </x:c>
      <x:c r="C549" s="184" t="n">
        <x:v>145.56</x:v>
      </x:c>
      <x:c r="D549" s="184" t="n">
        <x:v>0</x:v>
      </x:c>
      <x:c r="E549" s="184" t="n">
        <x:v>0</x:v>
      </x:c>
      <x:c r="F549" s="184" t="n">
        <x:v>145.56</x:v>
      </x:c>
      <x:c r="G549" s="184" t="n">
        <x:v>1677431</x:v>
      </x:c>
      <x:c r="H549" s="193" t="n">
        <x:v>0</x:v>
      </x:c>
      <x:c r="I549" s="185" t="n">
        <x:v>0</x:v>
      </x:c>
      <x:c r="J549" s="185" t="n">
        <x:v>1677431</x:v>
      </x:c>
      <x:c r="K549" s="289" t="n">
        <x:v>11523.99523729</x:v>
      </x:c>
    </x:row>
    <x:row r="550" s="117" customFormat="1" hidden="1">
      <x:c r="A550" s="184" t="inlineStr">
        <x:is>
          <x:t xml:space="preserve">EMPTRE555006</x:t>
        </x:is>
      </x:c>
      <x:c r="B550" s="184" t="inlineStr">
        <x:is>
          <x:t xml:space="preserve">EMPAQUETADURAS TRENZADAS 55-55 DE 1 SECCION</x:t>
        </x:is>
      </x:c>
      <x:c r="C550" s="184" t="n">
        <x:v>202</x:v>
      </x:c>
      <x:c r="D550" s="184" t="n">
        <x:v>0</x:v>
      </x:c>
      <x:c r="E550" s="184" t="n">
        <x:v>0</x:v>
      </x:c>
      <x:c r="F550" s="184" t="n">
        <x:v>202</x:v>
      </x:c>
      <x:c r="G550" s="184" t="n">
        <x:v>2370350</x:v>
      </x:c>
      <x:c r="H550" s="193" t="n">
        <x:v>0</x:v>
      </x:c>
      <x:c r="I550" s="185" t="n">
        <x:v>0</x:v>
      </x:c>
      <x:c r="J550" s="185" t="n">
        <x:v>2370350</x:v>
      </x:c>
      <x:c r="K550" s="289" t="n">
        <x:v>11734.40129801</x:v>
      </x:c>
    </x:row>
    <x:row r="551" s="117" customFormat="1" hidden="1">
      <x:c r="A551" s="184" t="inlineStr">
        <x:is>
          <x:t xml:space="preserve">EMPTRE555007</x:t>
        </x:is>
      </x:c>
      <x:c r="B551" s="184" t="inlineStr">
        <x:is>
          <x:t xml:space="preserve">EMPAQUETADURAS TRENZADAS ESTILO 55-55 DE 1.1/8 SECCION</x:t>
        </x:is>
      </x:c>
      <x:c r="C551" s="184" t="n">
        <x:v>0</x:v>
      </x:c>
      <x:c r="D551" s="184" t="n">
        <x:v>0</x:v>
      </x:c>
      <x:c r="E551" s="184" t="n">
        <x:v>0</x:v>
      </x:c>
      <x:c r="F551" s="184" t="n">
        <x:v>0</x:v>
      </x:c>
      <x:c r="G551" s="184" t="n">
        <x:v>0</x:v>
      </x:c>
      <x:c r="H551" s="193" t="n">
        <x:v>0</x:v>
      </x:c>
      <x:c r="I551" s="185" t="n">
        <x:v>0</x:v>
      </x:c>
      <x:c r="J551" s="185" t="n">
        <x:v>0</x:v>
      </x:c>
      <x:c r="K551" s="289" t="n">
        <x:v>9373</x:v>
      </x:c>
    </x:row>
    <x:row r="552" s="117" customFormat="1" hidden="1">
      <x:c r="A552" s="184" t="inlineStr">
        <x:is>
          <x:t xml:space="preserve">EMPTRE555008</x:t>
        </x:is>
      </x:c>
      <x:c r="B552" s="184" t="inlineStr">
        <x:is>
          <x:t xml:space="preserve">EMPAQUETADURA  TRENZADA ESTILO 55-55 3/16 PLG SECCION</x:t>
        </x:is>
      </x:c>
      <x:c r="C552" s="184" t="n">
        <x:v>0</x:v>
      </x:c>
      <x:c r="D552" s="184" t="n">
        <x:v>0</x:v>
      </x:c>
      <x:c r="E552" s="184" t="n">
        <x:v>0</x:v>
      </x:c>
      <x:c r="F552" s="184" t="n">
        <x:v>0</x:v>
      </x:c>
      <x:c r="G552" s="184" t="n">
        <x:v>0</x:v>
      </x:c>
      <x:c r="H552" s="193" t="n">
        <x:v>0</x:v>
      </x:c>
      <x:c r="I552" s="185" t="n">
        <x:v>0</x:v>
      </x:c>
      <x:c r="J552" s="185" t="n">
        <x:v>0</x:v>
      </x:c>
      <x:c r="K552" s="289" t="n">
        <x:v>10874</x:v>
      </x:c>
    </x:row>
    <x:row r="553" s="117" customFormat="1" hidden="1">
      <x:c r="A553" s="184" t="inlineStr">
        <x:is>
          <x:t xml:space="preserve">EMPTRE555009</x:t>
        </x:is>
      </x:c>
      <x:c r="B553" s="184" t="inlineStr">
        <x:is>
          <x:t xml:space="preserve">EMPAQUETADURA TRENZADAS ESTILO 55-55 1/4 PLG SECCION</x:t>
        </x:is>
      </x:c>
      <x:c r="C553" s="184" t="n">
        <x:v>12</x:v>
      </x:c>
      <x:c r="D553" s="184" t="n">
        <x:v>0</x:v>
      </x:c>
      <x:c r="E553" s="184" t="n">
        <x:v>0</x:v>
      </x:c>
      <x:c r="F553" s="184" t="n">
        <x:v>12</x:v>
      </x:c>
      <x:c r="G553" s="184" t="n">
        <x:v>140091</x:v>
      </x:c>
      <x:c r="H553" s="193" t="n">
        <x:v>0</x:v>
      </x:c>
      <x:c r="I553" s="185" t="n">
        <x:v>0</x:v>
      </x:c>
      <x:c r="J553" s="185" t="n">
        <x:v>140091</x:v>
      </x:c>
      <x:c r="K553" s="289" t="n">
        <x:v>11674.10756419</x:v>
      </x:c>
    </x:row>
    <x:row r="554" s="117" customFormat="1" hidden="1">
      <x:c r="A554" s="184" t="inlineStr">
        <x:is>
          <x:t xml:space="preserve">EMPTRE555010</x:t>
        </x:is>
      </x:c>
      <x:c r="B554" s="184" t="inlineStr">
        <x:is>
          <x:t xml:space="preserve">EMPAQUETADURA TRENZADA ESTILO 55-55 DE 1.1/2 SECCIÓN</x:t>
        </x:is>
      </x:c>
      <x:c r="C554" s="184" t="n">
        <x:v>0</x:v>
      </x:c>
      <x:c r="D554" s="184" t="n">
        <x:v>0</x:v>
      </x:c>
      <x:c r="E554" s="184" t="n">
        <x:v>0</x:v>
      </x:c>
      <x:c r="F554" s="184" t="n">
        <x:v>0</x:v>
      </x:c>
      <x:c r="G554" s="184" t="n">
        <x:v>0</x:v>
      </x:c>
      <x:c r="H554" s="193" t="n">
        <x:v>0</x:v>
      </x:c>
      <x:c r="I554" s="185" t="n">
        <x:v>0</x:v>
      </x:c>
      <x:c r="J554" s="185" t="n">
        <x:v>0</x:v>
      </x:c>
      <x:c r="K554" s="289" t="n">
        <x:v>9373</x:v>
      </x:c>
    </x:row>
    <x:row r="555" s="117" customFormat="1" hidden="1">
      <x:c r="A555" s="184" t="inlineStr">
        <x:is>
          <x:t xml:space="preserve">EMPTREGAR001</x:t>
        </x:is>
      </x:c>
      <x:c r="B555" s="184" t="inlineStr">
        <x:is>
          <x:t xml:space="preserve">EMPAQUETADURA TRENZADA GARLOCK ESTILO 5000 9/16 PLG SECCION</x:t>
        </x:is>
      </x:c>
      <x:c r="C555" s="184" t="n">
        <x:v>0</x:v>
      </x:c>
      <x:c r="D555" s="184" t="n">
        <x:v>0</x:v>
      </x:c>
      <x:c r="E555" s="184" t="n">
        <x:v>0</x:v>
      </x:c>
      <x:c r="F555" s="184" t="n">
        <x:v>0</x:v>
      </x:c>
      <x:c r="G555" s="184" t="n">
        <x:v>0</x:v>
      </x:c>
      <x:c r="H555" s="193" t="n">
        <x:v>0</x:v>
      </x:c>
      <x:c r="I555" s="185" t="n">
        <x:v>0</x:v>
      </x:c>
      <x:c r="J555" s="185" t="n">
        <x:v>0</x:v>
      </x:c>
      <x:c r="K555" s="289" t="n">
        <x:v>2500</x:v>
      </x:c>
    </x:row>
    <x:row r="556" s="117" customFormat="1" hidden="1">
      <x:c r="A556" s="184" t="inlineStr">
        <x:is>
          <x:t xml:space="preserve">EMPTREGAR002</x:t>
        </x:is>
      </x:c>
      <x:c r="B556" s="184" t="inlineStr">
        <x:is>
          <x:t xml:space="preserve">EMPAQUETADURA TRENZADA GARLOCK ESTILO 5000 11/16 PLG SECCION</x:t>
        </x:is>
      </x:c>
      <x:c r="C556" s="184" t="n">
        <x:v>0</x:v>
      </x:c>
      <x:c r="D556" s="184" t="n">
        <x:v>0</x:v>
      </x:c>
      <x:c r="E556" s="184" t="n">
        <x:v>0</x:v>
      </x:c>
      <x:c r="F556" s="184" t="n">
        <x:v>0</x:v>
      </x:c>
      <x:c r="G556" s="184" t="n">
        <x:v>0</x:v>
      </x:c>
      <x:c r="H556" s="193" t="n">
        <x:v>0</x:v>
      </x:c>
      <x:c r="I556" s="185" t="n">
        <x:v>0</x:v>
      </x:c>
      <x:c r="J556" s="185" t="n">
        <x:v>0</x:v>
      </x:c>
      <x:c r="K556" s="289" t="n">
        <x:v>2500</x:v>
      </x:c>
    </x:row>
    <x:row r="557" s="117" customFormat="1" hidden="1">
      <x:c r="A557" s="184" t="inlineStr">
        <x:is>
          <x:t xml:space="preserve">EMPTREGAR003</x:t>
        </x:is>
      </x:c>
      <x:c r="B557" s="184" t="inlineStr">
        <x:is>
          <x:t xml:space="preserve">EMPAQUETADURA TRENZADA GARLOCK ESTILO 5000 3/4 PLG SECCION</x:t>
        </x:is>
      </x:c>
      <x:c r="C557" s="184" t="n">
        <x:v>0</x:v>
      </x:c>
      <x:c r="D557" s="184" t="n">
        <x:v>0</x:v>
      </x:c>
      <x:c r="E557" s="184" t="n">
        <x:v>0</x:v>
      </x:c>
      <x:c r="F557" s="184" t="n">
        <x:v>0</x:v>
      </x:c>
      <x:c r="G557" s="184" t="n">
        <x:v>0</x:v>
      </x:c>
      <x:c r="H557" s="193" t="n">
        <x:v>0</x:v>
      </x:c>
      <x:c r="I557" s="185" t="n">
        <x:v>0</x:v>
      </x:c>
      <x:c r="J557" s="185" t="n">
        <x:v>0</x:v>
      </x:c>
      <x:c r="K557" s="289" t="n">
        <x:v>2500</x:v>
      </x:c>
    </x:row>
    <x:row r="558" s="117" customFormat="1" hidden="1">
      <x:c r="A558" s="184" t="inlineStr">
        <x:is>
          <x:t xml:space="preserve">EMPTREGAR004</x:t>
        </x:is>
      </x:c>
      <x:c r="B558" s="184" t="inlineStr">
        <x:is>
          <x:t xml:space="preserve">EMPAQUETADURA TRENZADA GARLOCK ESTILO 5000 5/8 PLG SECCION</x:t>
        </x:is>
      </x:c>
      <x:c r="C558" s="184" t="n">
        <x:v>0</x:v>
      </x:c>
      <x:c r="D558" s="184" t="n">
        <x:v>0</x:v>
      </x:c>
      <x:c r="E558" s="184" t="n">
        <x:v>0</x:v>
      </x:c>
      <x:c r="F558" s="184" t="n">
        <x:v>0</x:v>
      </x:c>
      <x:c r="G558" s="184" t="n">
        <x:v>0</x:v>
      </x:c>
      <x:c r="H558" s="193" t="n">
        <x:v>0</x:v>
      </x:c>
      <x:c r="I558" s="185" t="n">
        <x:v>0</x:v>
      </x:c>
      <x:c r="J558" s="185" t="n">
        <x:v>0</x:v>
      </x:c>
      <x:c r="K558" s="289" t="n">
        <x:v>2500</x:v>
      </x:c>
    </x:row>
    <x:row r="559" s="117" customFormat="1" hidden="1">
      <x:c r="A559" s="184" t="inlineStr">
        <x:is>
          <x:t xml:space="preserve">EMPTRELIN001</x:t>
        </x:is>
      </x:c>
      <x:c r="B559" s="184" t="inlineStr">
        <x:is>
          <x:t xml:space="preserve">EMPAQUETADURA TRENZADA LINOFLON DE 1/2 PLG SECCION</x:t>
        </x:is>
      </x:c>
      <x:c r="C559" s="184" t="n">
        <x:v>0</x:v>
      </x:c>
      <x:c r="D559" s="184" t="n">
        <x:v>0</x:v>
      </x:c>
      <x:c r="E559" s="184" t="n">
        <x:v>0</x:v>
      </x:c>
      <x:c r="F559" s="184" t="n">
        <x:v>0</x:v>
      </x:c>
      <x:c r="G559" s="184" t="n">
        <x:v>0</x:v>
      </x:c>
      <x:c r="H559" s="193" t="n">
        <x:v>0</x:v>
      </x:c>
      <x:c r="I559" s="185" t="n">
        <x:v>0</x:v>
      </x:c>
      <x:c r="J559" s="185" t="n">
        <x:v>0</x:v>
      </x:c>
      <x:c r="K559" s="289" t="n">
        <x:v>2500</x:v>
      </x:c>
    </x:row>
    <x:row r="560" s="117" customFormat="1" hidden="1">
      <x:c r="A560" s="184" t="inlineStr">
        <x:is>
          <x:t xml:space="preserve">EMPVIT150001</x:t>
        </x:is>
      </x:c>
      <x:c r="B560" s="184" t="inlineStr">
        <x:is>
          <x:t xml:space="preserve">EMPAQUETADURA 1/2 PLG TIPO FF CLASE 150 NORMA B16,5 VITON FKM</x:t>
        </x:is>
      </x:c>
      <x:c r="C560" s="184" t="n">
        <x:v>0</x:v>
      </x:c>
      <x:c r="D560" s="184" t="n">
        <x:v>0</x:v>
      </x:c>
      <x:c r="E560" s="184" t="n">
        <x:v>0</x:v>
      </x:c>
      <x:c r="F560" s="184" t="n">
        <x:v>0</x:v>
      </x:c>
      <x:c r="G560" s="184" t="n">
        <x:v>0</x:v>
      </x:c>
      <x:c r="H560" s="193" t="n">
        <x:v>0</x:v>
      </x:c>
      <x:c r="I560" s="185" t="n">
        <x:v>0</x:v>
      </x:c>
      <x:c r="J560" s="185" t="n">
        <x:v>0</x:v>
      </x:c>
      <x:c r="K560" s="289" t="n">
        <x:v>2548</x:v>
      </x:c>
    </x:row>
    <x:row r="561" s="117" customFormat="1" hidden="1">
      <x:c r="A561" s="184" t="inlineStr">
        <x:is>
          <x:t xml:space="preserve">EMPVIT150002</x:t>
        </x:is>
      </x:c>
      <x:c r="B561" s="184" t="inlineStr">
        <x:is>
          <x:t xml:space="preserve">EMPAQUETADURA 1 PLG TIPO FF CLASE 150 NORMA B16,5 VITON FKM</x:t>
        </x:is>
      </x:c>
      <x:c r="C561" s="184" t="n">
        <x:v>0</x:v>
      </x:c>
      <x:c r="D561" s="184" t="n">
        <x:v>0</x:v>
      </x:c>
      <x:c r="E561" s="184" t="n">
        <x:v>0</x:v>
      </x:c>
      <x:c r="F561" s="184" t="n">
        <x:v>0</x:v>
      </x:c>
      <x:c r="G561" s="184" t="n">
        <x:v>0</x:v>
      </x:c>
      <x:c r="H561" s="193" t="n">
        <x:v>0</x:v>
      </x:c>
      <x:c r="I561" s="185" t="n">
        <x:v>0</x:v>
      </x:c>
      <x:c r="J561" s="185" t="n">
        <x:v>0</x:v>
      </x:c>
      <x:c r="K561" s="289" t="n">
        <x:v>1250</x:v>
      </x:c>
    </x:row>
    <x:row r="562" s="117" customFormat="1" hidden="1">
      <x:c r="A562" s="184" t="inlineStr">
        <x:is>
          <x:t xml:space="preserve">EMPVIT150003</x:t>
        </x:is>
      </x:c>
      <x:c r="B562" s="184" t="inlineStr">
        <x:is>
          <x:t xml:space="preserve">EMPAQUETADURA 1.1/2  PLG TIPO FF CLASE 150 NORMA B16,5 VITON FKM</x:t>
        </x:is>
      </x:c>
      <x:c r="C562" s="184" t="n">
        <x:v>0</x:v>
      </x:c>
      <x:c r="D562" s="184" t="n">
        <x:v>0</x:v>
      </x:c>
      <x:c r="E562" s="184" t="n">
        <x:v>0</x:v>
      </x:c>
      <x:c r="F562" s="184" t="n">
        <x:v>0</x:v>
      </x:c>
      <x:c r="G562" s="184" t="n">
        <x:v>0</x:v>
      </x:c>
      <x:c r="H562" s="193" t="n">
        <x:v>0</x:v>
      </x:c>
      <x:c r="I562" s="185" t="n">
        <x:v>0</x:v>
      </x:c>
      <x:c r="J562" s="185" t="n">
        <x:v>0</x:v>
      </x:c>
      <x:c r="K562" s="289" t="n">
        <x:v>1910</x:v>
      </x:c>
    </x:row>
    <x:row r="563" s="117" customFormat="1" hidden="1">
      <x:c r="A563" s="184" t="inlineStr">
        <x:is>
          <x:t xml:space="preserve">EMPVIT150004</x:t>
        </x:is>
      </x:c>
      <x:c r="B563" s="184" t="inlineStr">
        <x:is>
          <x:t xml:space="preserve">EMPAQUETADURA 2 PLG TIPO FF CLASE 150 NORMA B16,5 VITON FKM</x:t>
        </x:is>
      </x:c>
      <x:c r="C563" s="184" t="n">
        <x:v>0</x:v>
      </x:c>
      <x:c r="D563" s="184" t="n">
        <x:v>0</x:v>
      </x:c>
      <x:c r="E563" s="184" t="n">
        <x:v>0</x:v>
      </x:c>
      <x:c r="F563" s="184" t="n">
        <x:v>0</x:v>
      </x:c>
      <x:c r="G563" s="184" t="n">
        <x:v>0</x:v>
      </x:c>
      <x:c r="H563" s="193" t="n">
        <x:v>0</x:v>
      </x:c>
      <x:c r="I563" s="185" t="n">
        <x:v>0</x:v>
      </x:c>
      <x:c r="J563" s="185" t="n">
        <x:v>0</x:v>
      </x:c>
      <x:c r="K563" s="289" t="n">
        <x:v>3139</x:v>
      </x:c>
    </x:row>
    <x:row r="564" s="117" customFormat="1" hidden="1">
      <x:c r="A564" s="184" t="inlineStr">
        <x:is>
          <x:t xml:space="preserve">EMPVIT150005</x:t>
        </x:is>
      </x:c>
      <x:c r="B564" s="184" t="inlineStr">
        <x:is>
          <x:t xml:space="preserve">EMPAQ.VITON 3 MM DN 3 PLG RF CL 15 ANSI  B16,5</x:t>
        </x:is>
      </x:c>
      <x:c r="C564" s="184" t="n">
        <x:v>0</x:v>
      </x:c>
      <x:c r="D564" s="184" t="n">
        <x:v>0</x:v>
      </x:c>
      <x:c r="E564" s="184" t="n">
        <x:v>0</x:v>
      </x:c>
      <x:c r="F564" s="184" t="n">
        <x:v>0</x:v>
      </x:c>
      <x:c r="G564" s="184" t="n">
        <x:v>0</x:v>
      </x:c>
      <x:c r="H564" s="193" t="n">
        <x:v>0</x:v>
      </x:c>
      <x:c r="I564" s="185" t="n">
        <x:v>0</x:v>
      </x:c>
      <x:c r="J564" s="185" t="n">
        <x:v>0</x:v>
      </x:c>
      <x:c r="K564" s="289" t="n">
        <x:v>5693</x:v>
      </x:c>
    </x:row>
    <x:row r="565" s="117" customFormat="1" hidden="1">
      <x:c r="A565" s="184" t="inlineStr">
        <x:is>
          <x:t xml:space="preserve">EMPVIT150006</x:t>
        </x:is>
      </x:c>
      <x:c r="B565" s="184" t="inlineStr">
        <x:is>
          <x:t xml:space="preserve">EMPAQ.VITON 3 MM DN 2.1/2 PLG RF CL 15 ANSI  B16,5</x:t>
        </x:is>
      </x:c>
      <x:c r="C565" s="184" t="n">
        <x:v>0</x:v>
      </x:c>
      <x:c r="D565" s="184" t="n">
        <x:v>0</x:v>
      </x:c>
      <x:c r="E565" s="184" t="n">
        <x:v>0</x:v>
      </x:c>
      <x:c r="F565" s="184" t="n">
        <x:v>0</x:v>
      </x:c>
      <x:c r="G565" s="184" t="n">
        <x:v>0</x:v>
      </x:c>
      <x:c r="H565" s="193" t="n">
        <x:v>0</x:v>
      </x:c>
      <x:c r="I565" s="185" t="n">
        <x:v>0</x:v>
      </x:c>
      <x:c r="J565" s="185" t="n">
        <x:v>0</x:v>
      </x:c>
      <x:c r="K565" s="289" t="n">
        <x:v>4005</x:v>
      </x:c>
    </x:row>
    <x:row r="566" s="117" customFormat="1" hidden="1">
      <x:c r="A566" s="184" t="inlineStr">
        <x:is>
          <x:t xml:space="preserve">EMPVIT150007</x:t>
        </x:is>
      </x:c>
      <x:c r="B566" s="184" t="inlineStr">
        <x:is>
          <x:t xml:space="preserve">EMPAQ.VITON 3 MM DN 2  PLG RF CL 15 ANSI  B16,5</x:t>
        </x:is>
      </x:c>
      <x:c r="C566" s="184" t="n">
        <x:v>0</x:v>
      </x:c>
      <x:c r="D566" s="184" t="n">
        <x:v>0</x:v>
      </x:c>
      <x:c r="E566" s="184" t="n">
        <x:v>0</x:v>
      </x:c>
      <x:c r="F566" s="184" t="n">
        <x:v>0</x:v>
      </x:c>
      <x:c r="G566" s="184" t="n">
        <x:v>0</x:v>
      </x:c>
      <x:c r="H566" s="193" t="n">
        <x:v>0</x:v>
      </x:c>
      <x:c r="I566" s="185" t="n">
        <x:v>0</x:v>
      </x:c>
      <x:c r="J566" s="185" t="n">
        <x:v>0</x:v>
      </x:c>
      <x:c r="K566" s="289" t="n">
        <x:v>2341</x:v>
      </x:c>
    </x:row>
    <x:row r="567" s="117" customFormat="1" hidden="1">
      <x:c r="A567" s="184" t="inlineStr">
        <x:is>
          <x:t xml:space="preserve">EMPVIT150008</x:t>
        </x:is>
      </x:c>
      <x:c r="B567" s="184" t="inlineStr">
        <x:is>
          <x:t xml:space="preserve">EMPAQ.VITON 3 MM DN 1.1/2 PLG RF CL 15 ANSI  B16,5</x:t>
        </x:is>
      </x:c>
      <x:c r="C567" s="184" t="n">
        <x:v>0</x:v>
      </x:c>
      <x:c r="D567" s="184" t="n">
        <x:v>0</x:v>
      </x:c>
      <x:c r="E567" s="184" t="n">
        <x:v>0</x:v>
      </x:c>
      <x:c r="F567" s="184" t="n">
        <x:v>0</x:v>
      </x:c>
      <x:c r="G567" s="184" t="n">
        <x:v>0</x:v>
      </x:c>
      <x:c r="H567" s="193" t="n">
        <x:v>0</x:v>
      </x:c>
      <x:c r="I567" s="185" t="n">
        <x:v>0</x:v>
      </x:c>
      <x:c r="J567" s="185" t="n">
        <x:v>0</x:v>
      </x:c>
      <x:c r="K567" s="289" t="n">
        <x:v>1872</x:v>
      </x:c>
    </x:row>
    <x:row r="568" s="117" customFormat="1" hidden="1">
      <x:c r="A568" s="184" t="inlineStr">
        <x:is>
          <x:t xml:space="preserve">EMPVIT150009</x:t>
        </x:is>
      </x:c>
      <x:c r="B568" s="184" t="inlineStr">
        <x:is>
          <x:t xml:space="preserve">EMPAQ.VITON 3 MM DN 4 PLG RF CL 15 ANSI  B16,5</x:t>
        </x:is>
      </x:c>
      <x:c r="C568" s="184" t="n">
        <x:v>0</x:v>
      </x:c>
      <x:c r="D568" s="184" t="n">
        <x:v>0</x:v>
      </x:c>
      <x:c r="E568" s="184" t="n">
        <x:v>0</x:v>
      </x:c>
      <x:c r="F568" s="184" t="n">
        <x:v>0</x:v>
      </x:c>
      <x:c r="G568" s="184" t="n">
        <x:v>0</x:v>
      </x:c>
      <x:c r="H568" s="193" t="n">
        <x:v>0</x:v>
      </x:c>
      <x:c r="I568" s="185" t="n">
        <x:v>0</x:v>
      </x:c>
      <x:c r="J568" s="185" t="n">
        <x:v>0</x:v>
      </x:c>
      <x:c r="K568" s="289" t="n">
        <x:v>5693</x:v>
      </x:c>
    </x:row>
    <x:row r="569" s="117" customFormat="1" hidden="1">
      <x:c r="A569" s="184" t="inlineStr">
        <x:is>
          <x:t xml:space="preserve">EPPGENPTA001</x:t>
        </x:is>
      </x:c>
      <x:c r="B569" s="184" t="inlineStr">
        <x:is>
          <x:t xml:space="preserve">FILTRO STEELPRO</x:t>
        </x:is>
      </x:c>
      <x:c r="C569" s="184" t="n">
        <x:v>0</x:v>
      </x:c>
      <x:c r="D569" s="184" t="n">
        <x:v>0</x:v>
      </x:c>
      <x:c r="E569" s="184" t="n">
        <x:v>0</x:v>
      </x:c>
      <x:c r="F569" s="184" t="n">
        <x:v>0</x:v>
      </x:c>
      <x:c r="G569" s="184" t="n">
        <x:v>1</x:v>
      </x:c>
      <x:c r="H569" s="193" t="n">
        <x:v>0</x:v>
      </x:c>
      <x:c r="I569" s="185" t="n">
        <x:v>0</x:v>
      </x:c>
      <x:c r="J569" s="185" t="n">
        <x:v>1</x:v>
      </x:c>
      <x:c r="K569" s="289" t="n">
        <x:v>12600</x:v>
      </x:c>
    </x:row>
    <x:row r="570" s="117" customFormat="1" hidden="1">
      <x:c r="A570" s="184" t="inlineStr">
        <x:is>
          <x:t xml:space="preserve">EPPGENPTA002</x:t>
        </x:is>
      </x:c>
      <x:c r="B570" s="184" t="inlineStr">
        <x:is>
          <x:t xml:space="preserve">RESPIRADOR 2 VIAS STEELPRO</x:t>
        </x:is>
      </x:c>
      <x:c r="C570" s="184" t="n">
        <x:v>0</x:v>
      </x:c>
      <x:c r="D570" s="184" t="n">
        <x:v>0</x:v>
      </x:c>
      <x:c r="E570" s="184" t="n">
        <x:v>0</x:v>
      </x:c>
      <x:c r="F570" s="184" t="n">
        <x:v>0</x:v>
      </x:c>
      <x:c r="G570" s="184" t="n">
        <x:v>0</x:v>
      </x:c>
      <x:c r="H570" s="193" t="n">
        <x:v>0</x:v>
      </x:c>
      <x:c r="I570" s="185" t="n">
        <x:v>0</x:v>
      </x:c>
      <x:c r="J570" s="185" t="n">
        <x:v>0</x:v>
      </x:c>
      <x:c r="K570" s="289" t="n">
        <x:v>8900</x:v>
      </x:c>
    </x:row>
    <x:row r="571" s="117" customFormat="1" hidden="1">
      <x:c r="A571" s="184" t="inlineStr">
        <x:is>
          <x:t xml:space="preserve">EPPGENPTA003</x:t>
        </x:is>
      </x:c>
      <x:c r="B571" s="184" t="inlineStr">
        <x:is>
          <x:t xml:space="preserve">GUANTES DE CABRITILLA SIN FORRO T-M  (ESTANDAR)</x:t>
        </x:is>
      </x:c>
      <x:c r="C571" s="184" t="n">
        <x:v>10</x:v>
      </x:c>
      <x:c r="D571" s="184" t="n">
        <x:v>0</x:v>
      </x:c>
      <x:c r="E571" s="184" t="n">
        <x:v>10</x:v>
      </x:c>
      <x:c r="F571" s="184" t="n">
        <x:v>0</x:v>
      </x:c>
      <x:c r="G571" s="184" t="n">
        <x:v>15671</x:v>
      </x:c>
      <x:c r="H571" s="193" t="n">
        <x:v>0</x:v>
      </x:c>
      <x:c r="I571" s="185" t="n">
        <x:v>11214</x:v>
      </x:c>
      <x:c r="J571" s="185" t="n">
        <x:v>4457</x:v>
      </x:c>
      <x:c r="K571" s="289" t="n">
        <x:v>1121.42623463</x:v>
      </x:c>
    </x:row>
    <x:row r="572" s="117" customFormat="1" hidden="1">
      <x:c r="A572" s="184" t="inlineStr">
        <x:is>
          <x:t xml:space="preserve">EPPGENPTA004</x:t>
        </x:is>
      </x:c>
      <x:c r="B572" s="184" t="inlineStr">
        <x:is>
          <x:t xml:space="preserve">LENTES DE SEGURIDAD CLAROS</x:t>
        </x:is>
      </x:c>
      <x:c r="C572" s="184" t="n">
        <x:v>0</x:v>
      </x:c>
      <x:c r="D572" s="184" t="n">
        <x:v>0</x:v>
      </x:c>
      <x:c r="E572" s="184" t="n">
        <x:v>0</x:v>
      </x:c>
      <x:c r="F572" s="184" t="n">
        <x:v>0</x:v>
      </x:c>
      <x:c r="G572" s="184" t="n">
        <x:v>-4</x:v>
      </x:c>
      <x:c r="H572" s="193" t="n">
        <x:v>0</x:v>
      </x:c>
      <x:c r="I572" s="185" t="n">
        <x:v>0</x:v>
      </x:c>
      <x:c r="J572" s="185" t="n">
        <x:v>-4</x:v>
      </x:c>
      <x:c r="K572" s="289" t="n">
        <x:v>1107</x:v>
      </x:c>
    </x:row>
    <x:row r="573" s="117" customFormat="1" hidden="1">
      <x:c r="A573" s="184" t="inlineStr">
        <x:is>
          <x:t xml:space="preserve">EPPGENPTA005</x:t>
        </x:is>
      </x:c>
      <x:c r="B573" s="184" t="inlineStr">
        <x:is>
          <x:t xml:space="preserve">BUZO DE PAPEL TIPO TIVEK TALLA M</x:t>
        </x:is>
      </x:c>
      <x:c r="C573" s="184" t="n">
        <x:v>0</x:v>
      </x:c>
      <x:c r="D573" s="184" t="n">
        <x:v>0</x:v>
      </x:c>
      <x:c r="E573" s="184" t="n">
        <x:v>0</x:v>
      </x:c>
      <x:c r="F573" s="184" t="n">
        <x:v>0</x:v>
      </x:c>
      <x:c r="G573" s="184" t="n">
        <x:v>3</x:v>
      </x:c>
      <x:c r="H573" s="193" t="n">
        <x:v>0</x:v>
      </x:c>
      <x:c r="I573" s="185" t="n">
        <x:v>0</x:v>
      </x:c>
      <x:c r="J573" s="185" t="n">
        <x:v>3</x:v>
      </x:c>
      <x:c r="K573" s="289" t="n">
        <x:v>1046.28571429</x:v>
      </x:c>
    </x:row>
    <x:row r="574" s="117" customFormat="1" hidden="1">
      <x:c r="A574" s="184" t="inlineStr">
        <x:is>
          <x:t xml:space="preserve">EPPGENPTA006</x:t>
        </x:is>
      </x:c>
      <x:c r="B574" s="184" t="inlineStr">
        <x:is>
          <x:t xml:space="preserve">BUZO DE PAPEL TIPO TIVEK TALLA L</x:t>
        </x:is>
      </x:c>
      <x:c r="C574" s="184" t="n">
        <x:v>0</x:v>
      </x:c>
      <x:c r="D574" s="184" t="n">
        <x:v>0</x:v>
      </x:c>
      <x:c r="E574" s="184" t="n">
        <x:v>0</x:v>
      </x:c>
      <x:c r="F574" s="184" t="n">
        <x:v>0</x:v>
      </x:c>
      <x:c r="G574" s="184" t="n">
        <x:v>1</x:v>
      </x:c>
      <x:c r="H574" s="193" t="n">
        <x:v>0</x:v>
      </x:c>
      <x:c r="I574" s="185" t="n">
        <x:v>0</x:v>
      </x:c>
      <x:c r="J574" s="185" t="n">
        <x:v>1</x:v>
      </x:c>
      <x:c r="K574" s="289" t="n">
        <x:v>1890</x:v>
      </x:c>
    </x:row>
    <x:row r="575" s="117" customFormat="1" hidden="1">
      <x:c r="A575" s="184" t="inlineStr">
        <x:is>
          <x:t xml:space="preserve">EPPGENPTA007</x:t>
        </x:is>
      </x:c>
      <x:c r="B575" s="184" t="inlineStr">
        <x:is>
          <x:t xml:space="preserve">BUZO DE PAPEL TIPO TIVEK TALLA XL</x:t>
        </x:is>
      </x:c>
      <x:c r="C575" s="184" t="n">
        <x:v>0</x:v>
      </x:c>
      <x:c r="D575" s="184" t="n">
        <x:v>0</x:v>
      </x:c>
      <x:c r="E575" s="184" t="n">
        <x:v>0</x:v>
      </x:c>
      <x:c r="F575" s="184" t="n">
        <x:v>0</x:v>
      </x:c>
      <x:c r="G575" s="184" t="n">
        <x:v>19</x:v>
      </x:c>
      <x:c r="H575" s="193" t="n">
        <x:v>0</x:v>
      </x:c>
      <x:c r="I575" s="185" t="n">
        <x:v>0</x:v>
      </x:c>
      <x:c r="J575" s="185" t="n">
        <x:v>19</x:v>
      </x:c>
      <x:c r="K575" s="289" t="n">
        <x:v>1637.2624221</x:v>
      </x:c>
    </x:row>
    <x:row r="576" s="117" customFormat="1" hidden="1">
      <x:c r="A576" s="184" t="inlineStr">
        <x:is>
          <x:t xml:space="preserve">EPPGENPTA008</x:t>
        </x:is>
      </x:c>
      <x:c r="B576" s="184" t="inlineStr">
        <x:is>
          <x:t xml:space="preserve">BUZO DE PAPEL TIPO TIVEK TALLA XXL</x:t>
        </x:is>
      </x:c>
      <x:c r="C576" s="184" t="n">
        <x:v>0</x:v>
      </x:c>
      <x:c r="D576" s="184" t="n">
        <x:v>0</x:v>
      </x:c>
      <x:c r="E576" s="184" t="n">
        <x:v>0</x:v>
      </x:c>
      <x:c r="F576" s="184" t="n">
        <x:v>0</x:v>
      </x:c>
      <x:c r="G576" s="184" t="n">
        <x:v>-3</x:v>
      </x:c>
      <x:c r="H576" s="193" t="n">
        <x:v>0</x:v>
      </x:c>
      <x:c r="I576" s="185" t="n">
        <x:v>0</x:v>
      </x:c>
      <x:c r="J576" s="185" t="n">
        <x:v>-3</x:v>
      </x:c>
      <x:c r="K576" s="289" t="n">
        <x:v>1128</x:v>
      </x:c>
    </x:row>
    <x:row r="577" s="117" customFormat="1" hidden="1">
      <x:c r="A577" s="184" t="inlineStr">
        <x:is>
          <x:t xml:space="preserve">EPPGENPTA009</x:t>
        </x:is>
      </x:c>
      <x:c r="B577" s="184" t="inlineStr">
        <x:is>
          <x:t xml:space="preserve">LENTES DE SEGURIDAD GRIS</x:t>
        </x:is>
      </x:c>
      <x:c r="C577" s="184" t="n">
        <x:v>0</x:v>
      </x:c>
      <x:c r="D577" s="184" t="n">
        <x:v>0</x:v>
      </x:c>
      <x:c r="E577" s="184" t="n">
        <x:v>0</x:v>
      </x:c>
      <x:c r="F577" s="184" t="n">
        <x:v>0</x:v>
      </x:c>
      <x:c r="G577" s="184" t="n">
        <x:v>-6</x:v>
      </x:c>
      <x:c r="H577" s="193" t="n">
        <x:v>0</x:v>
      </x:c>
      <x:c r="I577" s="185" t="n">
        <x:v>0</x:v>
      </x:c>
      <x:c r="J577" s="185" t="n">
        <x:v>-6</x:v>
      </x:c>
      <x:c r="K577" s="289" t="n">
        <x:v>2423.63427377</x:v>
      </x:c>
    </x:row>
    <x:row r="578" s="117" customFormat="1" hidden="1">
      <x:c r="A578" s="184" t="inlineStr">
        <x:is>
          <x:t xml:space="preserve">EPPGENPTA010</x:t>
        </x:is>
      </x:c>
      <x:c r="B578" s="184" t="inlineStr">
        <x:is>
          <x:t xml:space="preserve">SOBRE LENTE CLARO</x:t>
        </x:is>
      </x:c>
      <x:c r="C578" s="184" t="n">
        <x:v>47</x:v>
      </x:c>
      <x:c r="D578" s="184" t="n">
        <x:v>0</x:v>
      </x:c>
      <x:c r="E578" s="184" t="n">
        <x:v>0</x:v>
      </x:c>
      <x:c r="F578" s="184" t="n">
        <x:v>47</x:v>
      </x:c>
      <x:c r="G578" s="184" t="n">
        <x:v>122667</x:v>
      </x:c>
      <x:c r="H578" s="193" t="n">
        <x:v>0</x:v>
      </x:c>
      <x:c r="I578" s="185" t="n">
        <x:v>0</x:v>
      </x:c>
      <x:c r="J578" s="185" t="n">
        <x:v>122667</x:v>
      </x:c>
      <x:c r="K578" s="289" t="n">
        <x:v>2583.72531838</x:v>
      </x:c>
    </x:row>
    <x:row r="579" s="117" customFormat="1" hidden="1">
      <x:c r="A579" s="184" t="inlineStr">
        <x:is>
          <x:t xml:space="preserve">EPPGENPTA011</x:t>
        </x:is>
      </x:c>
      <x:c r="B579" s="184" t="inlineStr">
        <x:is>
          <x:t xml:space="preserve">MASCARILLA DESECHABLE (CAJAS 20 UNIDADES)</x:t>
        </x:is>
      </x:c>
      <x:c r="C579" s="184" t="n">
        <x:v>0</x:v>
      </x:c>
      <x:c r="D579" s="184" t="n">
        <x:v>0</x:v>
      </x:c>
      <x:c r="E579" s="184" t="n">
        <x:v>0</x:v>
      </x:c>
      <x:c r="F579" s="184" t="n">
        <x:v>0</x:v>
      </x:c>
      <x:c r="G579" s="184" t="n">
        <x:v>0</x:v>
      </x:c>
      <x:c r="H579" s="193" t="n">
        <x:v>0</x:v>
      </x:c>
      <x:c r="I579" s="185" t="n">
        <x:v>0</x:v>
      </x:c>
      <x:c r="J579" s="185" t="n">
        <x:v>0</x:v>
      </x:c>
      <x:c r="K579" s="289" t="n">
        <x:v>9800</x:v>
      </x:c>
    </x:row>
    <x:row r="580" s="117" customFormat="1" hidden="1">
      <x:c r="A580" s="184" t="inlineStr">
        <x:is>
          <x:t xml:space="preserve">EPPGENPTA012</x:t>
        </x:is>
      </x:c>
      <x:c r="B580" s="184" t="inlineStr">
        <x:is>
          <x:t xml:space="preserve">RESPIRADOR MEDIO ROSTRO 3M 6200 TALLA - M</x:t>
        </x:is>
      </x:c>
      <x:c r="C580" s="184" t="n">
        <x:v>24</x:v>
      </x:c>
      <x:c r="D580" s="184" t="n">
        <x:v>0</x:v>
      </x:c>
      <x:c r="E580" s="184" t="n">
        <x:v>4</x:v>
      </x:c>
      <x:c r="F580" s="184" t="n">
        <x:v>20</x:v>
      </x:c>
      <x:c r="G580" s="184" t="n">
        <x:v>232779</x:v>
      </x:c>
      <x:c r="H580" s="193" t="n">
        <x:v>0</x:v>
      </x:c>
      <x:c r="I580" s="185" t="n">
        <x:v>38796</x:v>
      </x:c>
      <x:c r="J580" s="185" t="n">
        <x:v>193983</x:v>
      </x:c>
      <x:c r="K580" s="289" t="n">
        <x:v>9699.081122449999</x:v>
      </x:c>
    </x:row>
    <x:row r="581" s="117" customFormat="1" hidden="1">
      <x:c r="A581" s="184" t="inlineStr">
        <x:is>
          <x:t xml:space="preserve">EPPGENPTA013</x:t>
        </x:is>
      </x:c>
      <x:c r="B581" s="184" t="inlineStr">
        <x:is>
          <x:t xml:space="preserve">FILTRO 3M MIXTO PARA POLVO Y GASES 60923</x:t>
        </x:is>
      </x:c>
      <x:c r="C581" s="184" t="n">
        <x:v>97</x:v>
      </x:c>
      <x:c r="D581" s="184" t="n">
        <x:v>0</x:v>
      </x:c>
      <x:c r="E581" s="184" t="n">
        <x:v>5</x:v>
      </x:c>
      <x:c r="F581" s="184" t="n">
        <x:v>92</x:v>
      </x:c>
      <x:c r="G581" s="184" t="n">
        <x:v>2109968</x:v>
      </x:c>
      <x:c r="H581" s="193" t="n">
        <x:v>0</x:v>
      </x:c>
      <x:c r="I581" s="185" t="n">
        <x:v>108761</x:v>
      </x:c>
      <x:c r="J581" s="185" t="n">
        <x:v>2001207</x:v>
      </x:c>
      <x:c r="K581" s="289" t="n">
        <x:v>21752.17383583</x:v>
      </x:c>
    </x:row>
    <x:row r="582" s="117" customFormat="1" hidden="1">
      <x:c r="A582" s="184" t="inlineStr">
        <x:is>
          <x:t xml:space="preserve">EPPGENPTA014</x:t>
        </x:is>
      </x:c>
      <x:c r="B582" s="184" t="inlineStr">
        <x:is>
          <x:t xml:space="preserve">GUANTES QUIRURGICOS AZULES PURESHIELD  (CAJA DE 50 UNID) XXL</x:t>
        </x:is>
      </x:c>
      <x:c r="C582" s="184" t="n">
        <x:v>0</x:v>
      </x:c>
      <x:c r="D582" s="184" t="n">
        <x:v>0</x:v>
      </x:c>
      <x:c r="E582" s="184" t="n">
        <x:v>0</x:v>
      </x:c>
      <x:c r="F582" s="184" t="n">
        <x:v>0</x:v>
      </x:c>
      <x:c r="G582" s="184" t="n">
        <x:v>-22</x:v>
      </x:c>
      <x:c r="H582" s="193" t="n">
        <x:v>0</x:v>
      </x:c>
      <x:c r="I582" s="185" t="n">
        <x:v>0</x:v>
      </x:c>
      <x:c r="J582" s="185" t="n">
        <x:v>-22</x:v>
      </x:c>
      <x:c r="K582" s="289" t="n">
        <x:v>1000</x:v>
      </x:c>
    </x:row>
    <x:row r="583" s="117" customFormat="1" hidden="1">
      <x:c r="A583" s="184" t="inlineStr">
        <x:is>
          <x:t xml:space="preserve">EPPGENPTA015</x:t>
        </x:is>
      </x:c>
      <x:c r="B583" s="184" t="inlineStr">
        <x:is>
          <x:t xml:space="preserve">PROTECTORES AUDITIVOS DESECHABLES 3M</x:t>
        </x:is>
      </x:c>
      <x:c r="C583" s="184" t="n">
        <x:v>26</x:v>
      </x:c>
      <x:c r="D583" s="184" t="n">
        <x:v>0</x:v>
      </x:c>
      <x:c r="E583" s="184" t="n">
        <x:v>0</x:v>
      </x:c>
      <x:c r="F583" s="184" t="n">
        <x:v>26</x:v>
      </x:c>
      <x:c r="G583" s="184" t="n">
        <x:v>1534</x:v>
      </x:c>
      <x:c r="H583" s="193" t="n">
        <x:v>0</x:v>
      </x:c>
      <x:c r="I583" s="185" t="n">
        <x:v>0</x:v>
      </x:c>
      <x:c r="J583" s="185" t="n">
        <x:v>1534</x:v>
      </x:c>
      <x:c r="K583" s="289" t="n">
        <x:v>59</x:v>
      </x:c>
    </x:row>
    <x:row r="584" s="117" customFormat="1" hidden="1">
      <x:c r="A584" s="184" t="inlineStr">
        <x:is>
          <x:t xml:space="preserve">EPPGENPTA016</x:t>
        </x:is>
      </x:c>
      <x:c r="B584" s="184" t="inlineStr">
        <x:is>
          <x:t xml:space="preserve">RODILLERA POLIESTER</x:t>
        </x:is>
      </x:c>
      <x:c r="C584" s="184" t="n">
        <x:v>0</x:v>
      </x:c>
      <x:c r="D584" s="184" t="n">
        <x:v>0</x:v>
      </x:c>
      <x:c r="E584" s="184" t="n">
        <x:v>0</x:v>
      </x:c>
      <x:c r="F584" s="184" t="n">
        <x:v>0</x:v>
      </x:c>
      <x:c r="G584" s="184" t="n">
        <x:v>0</x:v>
      </x:c>
      <x:c r="H584" s="193" t="n">
        <x:v>0</x:v>
      </x:c>
      <x:c r="I584" s="185" t="n">
        <x:v>0</x:v>
      </x:c>
      <x:c r="J584" s="185" t="n">
        <x:v>0</x:v>
      </x:c>
      <x:c r="K584" s="289" t="n">
        <x:v>2837.60416666</x:v>
      </x:c>
    </x:row>
    <x:row r="585" s="117" customFormat="1" hidden="1">
      <x:c r="A585" s="184" t="inlineStr">
        <x:is>
          <x:t xml:space="preserve">EPPGENPTA017</x:t>
        </x:is>
      </x:c>
      <x:c r="B585" s="184" t="inlineStr">
        <x:is>
          <x:t xml:space="preserve">ALCOHOL GEL 1 LT</x:t>
        </x:is>
      </x:c>
      <x:c r="C585" s="184" t="n">
        <x:v>2</x:v>
      </x:c>
      <x:c r="D585" s="184" t="n">
        <x:v>0</x:v>
      </x:c>
      <x:c r="E585" s="184" t="n">
        <x:v>0</x:v>
      </x:c>
      <x:c r="F585" s="184" t="n">
        <x:v>2</x:v>
      </x:c>
      <x:c r="G585" s="184" t="n">
        <x:v>9980</x:v>
      </x:c>
      <x:c r="H585" s="193" t="n">
        <x:v>0</x:v>
      </x:c>
      <x:c r="I585" s="185" t="n">
        <x:v>0</x:v>
      </x:c>
      <x:c r="J585" s="185" t="n">
        <x:v>9980</x:v>
      </x:c>
      <x:c r="K585" s="289" t="n">
        <x:v>4990</x:v>
      </x:c>
    </x:row>
    <x:row r="586" s="117" customFormat="1" hidden="1">
      <x:c r="A586" s="184" t="inlineStr">
        <x:is>
          <x:t xml:space="preserve">EPPGENPTA018</x:t>
        </x:is>
      </x:c>
      <x:c r="B586" s="184" t="inlineStr">
        <x:is>
          <x:t xml:space="preserve">MU?EQUERA PORTA HERRAMIENTAS</x:t>
        </x:is>
      </x:c>
      <x:c r="C586" s="184" t="n">
        <x:v>30</x:v>
      </x:c>
      <x:c r="D586" s="184" t="n">
        <x:v>0</x:v>
      </x:c>
      <x:c r="E586" s="184" t="n">
        <x:v>0</x:v>
      </x:c>
      <x:c r="F586" s="184" t="n">
        <x:v>30</x:v>
      </x:c>
      <x:c r="G586" s="184" t="n">
        <x:v>56700</x:v>
      </x:c>
      <x:c r="H586" s="193" t="n">
        <x:v>0</x:v>
      </x:c>
      <x:c r="I586" s="185" t="n">
        <x:v>0</x:v>
      </x:c>
      <x:c r="J586" s="185" t="n">
        <x:v>56700</x:v>
      </x:c>
      <x:c r="K586" s="289" t="n">
        <x:v>1890</x:v>
      </x:c>
    </x:row>
    <x:row r="587" s="117" customFormat="1" hidden="1">
      <x:c r="A587" s="184" t="inlineStr">
        <x:is>
          <x:t xml:space="preserve">EPPGENPTA019</x:t>
        </x:is>
      </x:c>
      <x:c r="B587" s="184" t="inlineStr">
        <x:is>
          <x:t xml:space="preserve">PIJAMA TERMICO POLYESTER TALLA M</x:t>
        </x:is>
      </x:c>
      <x:c r="C587" s="184" t="n">
        <x:v>0</x:v>
      </x:c>
      <x:c r="D587" s="184" t="n">
        <x:v>0</x:v>
      </x:c>
      <x:c r="E587" s="184" t="n">
        <x:v>0</x:v>
      </x:c>
      <x:c r="F587" s="184" t="n">
        <x:v>0</x:v>
      </x:c>
      <x:c r="G587" s="184" t="n">
        <x:v>0</x:v>
      </x:c>
      <x:c r="H587" s="193" t="n">
        <x:v>0</x:v>
      </x:c>
      <x:c r="I587" s="185" t="n">
        <x:v>0</x:v>
      </x:c>
      <x:c r="J587" s="185" t="n">
        <x:v>0</x:v>
      </x:c>
      <x:c r="K587" s="289" t="n">
        <x:v>4800</x:v>
      </x:c>
    </x:row>
    <x:row r="588" s="117" customFormat="1" hidden="1">
      <x:c r="A588" s="184" t="inlineStr">
        <x:is>
          <x:t xml:space="preserve">EPPGENPTA020</x:t>
        </x:is>
      </x:c>
      <x:c r="B588" s="184" t="inlineStr">
        <x:is>
          <x:t xml:space="preserve">PIJAMA TERMICO POLYESTER TALLA L</x:t>
        </x:is>
      </x:c>
      <x:c r="C588" s="184" t="n">
        <x:v>0</x:v>
      </x:c>
      <x:c r="D588" s="184" t="n">
        <x:v>0</x:v>
      </x:c>
      <x:c r="E588" s="184" t="n">
        <x:v>0</x:v>
      </x:c>
      <x:c r="F588" s="184" t="n">
        <x:v>0</x:v>
      </x:c>
      <x:c r="G588" s="184" t="n">
        <x:v>0</x:v>
      </x:c>
      <x:c r="H588" s="193" t="n">
        <x:v>0</x:v>
      </x:c>
      <x:c r="I588" s="185" t="n">
        <x:v>0</x:v>
      </x:c>
      <x:c r="J588" s="185" t="n">
        <x:v>0</x:v>
      </x:c>
      <x:c r="K588" s="289" t="n">
        <x:v>4800</x:v>
      </x:c>
    </x:row>
    <x:row r="589" s="117" customFormat="1" hidden="1">
      <x:c r="A589" s="184" t="inlineStr">
        <x:is>
          <x:t xml:space="preserve">EPPGENPTA021</x:t>
        </x:is>
      </x:c>
      <x:c r="B589" s="184" t="inlineStr">
        <x:is>
          <x:t xml:space="preserve">PIJAMA TERMICO POLYESTER TALLA XL</x:t>
        </x:is>
      </x:c>
      <x:c r="C589" s="184" t="n">
        <x:v>0</x:v>
      </x:c>
      <x:c r="D589" s="184" t="n">
        <x:v>0</x:v>
      </x:c>
      <x:c r="E589" s="184" t="n">
        <x:v>0</x:v>
      </x:c>
      <x:c r="F589" s="184" t="n">
        <x:v>0</x:v>
      </x:c>
      <x:c r="G589" s="184" t="n">
        <x:v>0</x:v>
      </x:c>
      <x:c r="H589" s="193" t="n">
        <x:v>0</x:v>
      </x:c>
      <x:c r="I589" s="185" t="n">
        <x:v>0</x:v>
      </x:c>
      <x:c r="J589" s="185" t="n">
        <x:v>0</x:v>
      </x:c>
      <x:c r="K589" s="289" t="n">
        <x:v>4800</x:v>
      </x:c>
    </x:row>
    <x:row r="590" s="117" customFormat="1" hidden="1">
      <x:c r="A590" s="184" t="inlineStr">
        <x:is>
          <x:t xml:space="preserve">EPPGENPTA022</x:t>
        </x:is>
      </x:c>
      <x:c r="B590" s="184" t="inlineStr">
        <x:is>
          <x:t xml:space="preserve">PIJAMA TERMICO POLYESTER TALLA XXL</x:t>
        </x:is>
      </x:c>
      <x:c r="C590" s="184" t="n">
        <x:v>0</x:v>
      </x:c>
      <x:c r="D590" s="184" t="n">
        <x:v>0</x:v>
      </x:c>
      <x:c r="E590" s="184" t="n">
        <x:v>0</x:v>
      </x:c>
      <x:c r="F590" s="184" t="n">
        <x:v>0</x:v>
      </x:c>
      <x:c r="G590" s="184" t="n">
        <x:v>0</x:v>
      </x:c>
      <x:c r="H590" s="193" t="n">
        <x:v>0</x:v>
      </x:c>
      <x:c r="I590" s="185" t="n">
        <x:v>0</x:v>
      </x:c>
      <x:c r="J590" s="185" t="n">
        <x:v>0</x:v>
      </x:c>
      <x:c r="K590" s="289" t="n">
        <x:v>4800</x:v>
      </x:c>
    </x:row>
    <x:row r="591" s="117" customFormat="1" hidden="1">
      <x:c r="A591" s="184" t="inlineStr">
        <x:is>
          <x:t xml:space="preserve">EPPGENPTA023</x:t>
        </x:is>
      </x:c>
      <x:c r="B591" s="184" t="inlineStr">
        <x:is>
          <x:t xml:space="preserve">PROTECTOR SOLAR 1 KG</x:t>
        </x:is>
      </x:c>
      <x:c r="C591" s="184" t="n">
        <x:v>0</x:v>
      </x:c>
      <x:c r="D591" s="184" t="n">
        <x:v>0</x:v>
      </x:c>
      <x:c r="E591" s="184" t="n">
        <x:v>0</x:v>
      </x:c>
      <x:c r="F591" s="184" t="n">
        <x:v>0</x:v>
      </x:c>
      <x:c r="G591" s="184" t="n">
        <x:v>0</x:v>
      </x:c>
      <x:c r="H591" s="193" t="n">
        <x:v>0</x:v>
      </x:c>
      <x:c r="I591" s="185" t="n">
        <x:v>0</x:v>
      </x:c>
      <x:c r="J591" s="185" t="n">
        <x:v>0</x:v>
      </x:c>
      <x:c r="K591" s="289" t="n">
        <x:v>8692</x:v>
      </x:c>
    </x:row>
    <x:row r="592" s="117" customFormat="1" hidden="1">
      <x:c r="A592" s="184" t="inlineStr">
        <x:is>
          <x:t xml:space="preserve">EPPGENPTA024</x:t>
        </x:is>
      </x:c>
      <x:c r="B592" s="184" t="inlineStr">
        <x:is>
          <x:t xml:space="preserve">GUANTE NINJA TOUCH TALLA 9 (CAJA 100)</x:t>
        </x:is>
      </x:c>
      <x:c r="C592" s="184" t="n">
        <x:v>0</x:v>
      </x:c>
      <x:c r="D592" s="184" t="n">
        <x:v>0</x:v>
      </x:c>
      <x:c r="E592" s="184" t="n">
        <x:v>0</x:v>
      </x:c>
      <x:c r="F592" s="184" t="n">
        <x:v>0</x:v>
      </x:c>
      <x:c r="G592" s="184" t="n">
        <x:v>0</x:v>
      </x:c>
      <x:c r="H592" s="193" t="n">
        <x:v>0</x:v>
      </x:c>
      <x:c r="I592" s="185" t="n">
        <x:v>0</x:v>
      </x:c>
      <x:c r="J592" s="185" t="n">
        <x:v>0</x:v>
      </x:c>
      <x:c r="K592" s="289" t="n">
        <x:v>7923</x:v>
      </x:c>
    </x:row>
    <x:row r="593" s="117" customFormat="1" hidden="1">
      <x:c r="A593" s="184" t="inlineStr">
        <x:is>
          <x:t xml:space="preserve">EPPGENPTA025</x:t>
        </x:is>
      </x:c>
      <x:c r="B593" s="184" t="inlineStr">
        <x:is>
          <x:t xml:space="preserve">BOTA PVC C/PTA COLOR N 39</x:t>
        </x:is>
      </x:c>
      <x:c r="C593" s="184" t="n">
        <x:v>0</x:v>
      </x:c>
      <x:c r="D593" s="184" t="n">
        <x:v>0</x:v>
      </x:c>
      <x:c r="E593" s="184" t="n">
        <x:v>0</x:v>
      </x:c>
      <x:c r="F593" s="184" t="n">
        <x:v>0</x:v>
      </x:c>
      <x:c r="G593" s="184" t="n">
        <x:v>0</x:v>
      </x:c>
      <x:c r="H593" s="193" t="n">
        <x:v>0</x:v>
      </x:c>
      <x:c r="I593" s="185" t="n">
        <x:v>0</x:v>
      </x:c>
      <x:c r="J593" s="185" t="n">
        <x:v>0</x:v>
      </x:c>
      <x:c r="K593" s="289" t="n">
        <x:v>0</x:v>
      </x:c>
    </x:row>
    <x:row r="594" s="117" customFormat="1" hidden="1">
      <x:c r="A594" s="184" t="inlineStr">
        <x:is>
          <x:t xml:space="preserve">EPPGENPTA026</x:t>
        </x:is>
      </x:c>
      <x:c r="B594" s="184" t="inlineStr">
        <x:is>
          <x:t xml:space="preserve">BOTA PVC C/PTA COLOR N 40</x:t>
        </x:is>
      </x:c>
      <x:c r="C594" s="184" t="n">
        <x:v>8</x:v>
      </x:c>
      <x:c r="D594" s="184" t="n">
        <x:v>0</x:v>
      </x:c>
      <x:c r="E594" s="184" t="n">
        <x:v>0</x:v>
      </x:c>
      <x:c r="F594" s="184" t="n">
        <x:v>8</x:v>
      </x:c>
      <x:c r="G594" s="184" t="n">
        <x:v>148800</x:v>
      </x:c>
      <x:c r="H594" s="193" t="n">
        <x:v>0</x:v>
      </x:c>
      <x:c r="I594" s="185" t="n">
        <x:v>0</x:v>
      </x:c>
      <x:c r="J594" s="185" t="n">
        <x:v>148800</x:v>
      </x:c>
      <x:c r="K594" s="289" t="n">
        <x:v>18600</x:v>
      </x:c>
    </x:row>
    <x:row r="595" s="117" customFormat="1" hidden="1">
      <x:c r="A595" s="184" t="inlineStr">
        <x:is>
          <x:t xml:space="preserve">EPPGENPTA027</x:t>
        </x:is>
      </x:c>
      <x:c r="B595" s="184" t="inlineStr">
        <x:is>
          <x:t xml:space="preserve">BOTA PVC C/PTA COLOR N 41</x:t>
        </x:is>
      </x:c>
      <x:c r="C595" s="184" t="n">
        <x:v>0</x:v>
      </x:c>
      <x:c r="D595" s="184" t="n">
        <x:v>0</x:v>
      </x:c>
      <x:c r="E595" s="184" t="n">
        <x:v>0</x:v>
      </x:c>
      <x:c r="F595" s="184" t="n">
        <x:v>0</x:v>
      </x:c>
      <x:c r="G595" s="184" t="n">
        <x:v>0</x:v>
      </x:c>
      <x:c r="H595" s="193" t="n">
        <x:v>0</x:v>
      </x:c>
      <x:c r="I595" s="185" t="n">
        <x:v>0</x:v>
      </x:c>
      <x:c r="J595" s="185" t="n">
        <x:v>0</x:v>
      </x:c>
      <x:c r="K595" s="289" t="n">
        <x:v>26970</x:v>
      </x:c>
    </x:row>
    <x:row r="596" s="117" customFormat="1" hidden="1">
      <x:c r="A596" s="184" t="inlineStr">
        <x:is>
          <x:t xml:space="preserve">EPPGENPTA028</x:t>
        </x:is>
      </x:c>
      <x:c r="B596" s="184" t="inlineStr">
        <x:is>
          <x:t xml:space="preserve">BOTA PVC C/PTA COLOR N 42</x:t>
        </x:is>
      </x:c>
      <x:c r="C596" s="184" t="n">
        <x:v>8</x:v>
      </x:c>
      <x:c r="D596" s="184" t="n">
        <x:v>0</x:v>
      </x:c>
      <x:c r="E596" s="184" t="n">
        <x:v>0</x:v>
      </x:c>
      <x:c r="F596" s="184" t="n">
        <x:v>8</x:v>
      </x:c>
      <x:c r="G596" s="184" t="n">
        <x:v>215760</x:v>
      </x:c>
      <x:c r="H596" s="193" t="n">
        <x:v>0</x:v>
      </x:c>
      <x:c r="I596" s="185" t="n">
        <x:v>0</x:v>
      </x:c>
      <x:c r="J596" s="185" t="n">
        <x:v>215760</x:v>
      </x:c>
      <x:c r="K596" s="289" t="n">
        <x:v>26970</x:v>
      </x:c>
    </x:row>
    <x:row r="597" s="117" customFormat="1" hidden="1">
      <x:c r="A597" s="184" t="inlineStr">
        <x:is>
          <x:t xml:space="preserve">EPPGENPTA029</x:t>
        </x:is>
      </x:c>
      <x:c r="B597" s="184" t="inlineStr">
        <x:is>
          <x:t xml:space="preserve">BOTA PVC C/PTA COLOR N 43</x:t>
        </x:is>
      </x:c>
      <x:c r="C597" s="184" t="n">
        <x:v>7</x:v>
      </x:c>
      <x:c r="D597" s="184" t="n">
        <x:v>0</x:v>
      </x:c>
      <x:c r="E597" s="184" t="n">
        <x:v>0</x:v>
      </x:c>
      <x:c r="F597" s="184" t="n">
        <x:v>7</x:v>
      </x:c>
      <x:c r="G597" s="184" t="n">
        <x:v>130200</x:v>
      </x:c>
      <x:c r="H597" s="193" t="n">
        <x:v>0</x:v>
      </x:c>
      <x:c r="I597" s="185" t="n">
        <x:v>0</x:v>
      </x:c>
      <x:c r="J597" s="185" t="n">
        <x:v>130200</x:v>
      </x:c>
      <x:c r="K597" s="289" t="n">
        <x:v>18600</x:v>
      </x:c>
    </x:row>
    <x:row r="598" s="117" customFormat="1" hidden="1">
      <x:c r="A598" s="184" t="inlineStr">
        <x:is>
          <x:t xml:space="preserve">EPPGENPTA030</x:t>
        </x:is>
      </x:c>
      <x:c r="B598" s="184" t="inlineStr">
        <x:is>
          <x:t xml:space="preserve">BOTA PVC C/PTA COLOR N 44</x:t>
        </x:is>
      </x:c>
      <x:c r="C598" s="184" t="n">
        <x:v>8</x:v>
      </x:c>
      <x:c r="D598" s="184" t="n">
        <x:v>0</x:v>
      </x:c>
      <x:c r="E598" s="184" t="n">
        <x:v>0</x:v>
      </x:c>
      <x:c r="F598" s="184" t="n">
        <x:v>8</x:v>
      </x:c>
      <x:c r="G598" s="184" t="n">
        <x:v>137600</x:v>
      </x:c>
      <x:c r="H598" s="193" t="n">
        <x:v>0</x:v>
      </x:c>
      <x:c r="I598" s="185" t="n">
        <x:v>0</x:v>
      </x:c>
      <x:c r="J598" s="185" t="n">
        <x:v>137600</x:v>
      </x:c>
      <x:c r="K598" s="289" t="n">
        <x:v>17200</x:v>
      </x:c>
    </x:row>
    <x:row r="599" s="117" customFormat="1" hidden="1">
      <x:c r="A599" s="184" t="inlineStr">
        <x:is>
          <x:t xml:space="preserve">EPPGENPTA031</x:t>
        </x:is>
      </x:c>
      <x:c r="B599" s="184" t="inlineStr">
        <x:is>
          <x:t xml:space="preserve">BOTA PVC C/PTA COLOR N 45</x:t>
        </x:is>
      </x:c>
      <x:c r="C599" s="184" t="n">
        <x:v>0</x:v>
      </x:c>
      <x:c r="D599" s="184" t="n">
        <x:v>0</x:v>
      </x:c>
      <x:c r="E599" s="184" t="n">
        <x:v>0</x:v>
      </x:c>
      <x:c r="F599" s="184" t="n">
        <x:v>0</x:v>
      </x:c>
      <x:c r="G599" s="184" t="n">
        <x:v>0</x:v>
      </x:c>
      <x:c r="H599" s="193" t="n">
        <x:v>0</x:v>
      </x:c>
      <x:c r="I599" s="185" t="n">
        <x:v>0</x:v>
      </x:c>
      <x:c r="J599" s="185" t="n">
        <x:v>0</x:v>
      </x:c>
      <x:c r="K599" s="289" t="n">
        <x:v>0</x:v>
      </x:c>
    </x:row>
    <x:row r="600" s="117" customFormat="1" hidden="1">
      <x:c r="A600" s="184" t="inlineStr">
        <x:is>
          <x:t xml:space="preserve">EPPGENPTA032</x:t>
        </x:is>
      </x:c>
      <x:c r="B600" s="184" t="inlineStr">
        <x:is>
          <x:t xml:space="preserve">TAPON OIDO STEELPRO DESECHABLE CON CORDON</x:t>
        </x:is>
      </x:c>
      <x:c r="C600" s="184" t="n">
        <x:v>1</x:v>
      </x:c>
      <x:c r="D600" s="184" t="n">
        <x:v>0</x:v>
      </x:c>
      <x:c r="E600" s="184" t="n">
        <x:v>0</x:v>
      </x:c>
      <x:c r="F600" s="184" t="n">
        <x:v>1</x:v>
      </x:c>
      <x:c r="G600" s="184" t="n">
        <x:v>19990</x:v>
      </x:c>
      <x:c r="H600" s="193" t="n">
        <x:v>0</x:v>
      </x:c>
      <x:c r="I600" s="185" t="n">
        <x:v>0</x:v>
      </x:c>
      <x:c r="J600" s="185" t="n">
        <x:v>19990</x:v>
      </x:c>
      <x:c r="K600" s="289" t="n">
        <x:v>19990</x:v>
      </x:c>
    </x:row>
    <x:row r="601" s="117" customFormat="1" hidden="1">
      <x:c r="A601" s="184" t="inlineStr">
        <x:is>
          <x:t xml:space="preserve">EPPGENPTA033</x:t>
        </x:is>
      </x:c>
      <x:c r="B601" s="184" t="inlineStr">
        <x:is>
          <x:t xml:space="preserve">TAPON OIDO 3M</x:t>
        </x:is>
      </x:c>
      <x:c r="C601" s="184" t="n">
        <x:v>638</x:v>
      </x:c>
      <x:c r="D601" s="184" t="n">
        <x:v>0</x:v>
      </x:c>
      <x:c r="E601" s="184" t="n">
        <x:v>10</x:v>
      </x:c>
      <x:c r="F601" s="184" t="n">
        <x:v>628</x:v>
      </x:c>
      <x:c r="G601" s="184" t="n">
        <x:v>118701</x:v>
      </x:c>
      <x:c r="H601" s="193" t="n">
        <x:v>0</x:v>
      </x:c>
      <x:c r="I601" s="185" t="n">
        <x:v>1860</x:v>
      </x:c>
      <x:c r="J601" s="185" t="n">
        <x:v>116841</x:v>
      </x:c>
      <x:c r="K601" s="289" t="n">
        <x:v>186.04559367</x:v>
      </x:c>
    </x:row>
    <x:row r="602" s="117" customFormat="1" hidden="1">
      <x:c r="A602" s="184" t="inlineStr">
        <x:is>
          <x:t xml:space="preserve">EPPGENPTA034</x:t>
        </x:is>
      </x:c>
      <x:c r="B602" s="184" t="inlineStr">
        <x:is>
          <x:t xml:space="preserve">COLETO DE CUERO SOLDADOR</x:t>
        </x:is>
      </x:c>
      <x:c r="C602" s="184" t="n">
        <x:v>0</x:v>
      </x:c>
      <x:c r="D602" s="184" t="n">
        <x:v>0</x:v>
      </x:c>
      <x:c r="E602" s="184" t="n">
        <x:v>0</x:v>
      </x:c>
      <x:c r="F602" s="184" t="n">
        <x:v>0</x:v>
      </x:c>
      <x:c r="G602" s="184" t="n">
        <x:v>0</x:v>
      </x:c>
      <x:c r="H602" s="193" t="n">
        <x:v>0</x:v>
      </x:c>
      <x:c r="I602" s="185" t="n">
        <x:v>0</x:v>
      </x:c>
      <x:c r="J602" s="185" t="n">
        <x:v>0</x:v>
      </x:c>
      <x:c r="K602" s="289" t="n">
        <x:v>6980</x:v>
      </x:c>
    </x:row>
    <x:row r="603" s="117" customFormat="1" hidden="1">
      <x:c r="A603" s="184" t="inlineStr">
        <x:is>
          <x:t xml:space="preserve">EPPGENPTA035</x:t>
        </x:is>
      </x:c>
      <x:c r="B603" s="184" t="inlineStr">
        <x:is>
          <x:t xml:space="preserve">MASCARA FULL FACE 3M TALLA M</x:t>
        </x:is>
      </x:c>
      <x:c r="C603" s="184" t="n">
        <x:v>2</x:v>
      </x:c>
      <x:c r="D603" s="184" t="n">
        <x:v>0</x:v>
      </x:c>
      <x:c r="E603" s="184" t="n">
        <x:v>0</x:v>
      </x:c>
      <x:c r="F603" s="184" t="n">
        <x:v>2</x:v>
      </x:c>
      <x:c r="G603" s="184" t="n">
        <x:v>149224</x:v>
      </x:c>
      <x:c r="H603" s="193" t="n">
        <x:v>0</x:v>
      </x:c>
      <x:c r="I603" s="185" t="n">
        <x:v>0</x:v>
      </x:c>
      <x:c r="J603" s="185" t="n">
        <x:v>149224</x:v>
      </x:c>
      <x:c r="K603" s="289" t="n">
        <x:v>74612</x:v>
      </x:c>
    </x:row>
    <x:row r="604" s="117" customFormat="1" hidden="1">
      <x:c r="A604" s="184" t="inlineStr">
        <x:is>
          <x:t xml:space="preserve">EPPGENPTA036</x:t>
        </x:is>
      </x:c>
      <x:c r="B604" s="184" t="inlineStr">
        <x:is>
          <x:t xml:space="preserve">MASCARA FULL FACE 3M TALLA L</x:t>
        </x:is>
      </x:c>
      <x:c r="C604" s="184" t="n">
        <x:v>0</x:v>
      </x:c>
      <x:c r="D604" s="184" t="n">
        <x:v>0</x:v>
      </x:c>
      <x:c r="E604" s="184" t="n">
        <x:v>0</x:v>
      </x:c>
      <x:c r="F604" s="184" t="n">
        <x:v>0</x:v>
      </x:c>
      <x:c r="G604" s="184" t="n">
        <x:v>0</x:v>
      </x:c>
      <x:c r="H604" s="193" t="n">
        <x:v>0</x:v>
      </x:c>
      <x:c r="I604" s="185" t="n">
        <x:v>0</x:v>
      </x:c>
      <x:c r="J604" s="185" t="n">
        <x:v>0</x:v>
      </x:c>
      <x:c r="K604" s="289" t="n">
        <x:v>0</x:v>
      </x:c>
    </x:row>
    <x:row r="605" s="117" customFormat="1" hidden="1">
      <x:c r="A605" s="184" t="inlineStr">
        <x:is>
          <x:t xml:space="preserve">EPPGENPTA037</x:t>
        </x:is>
      </x:c>
      <x:c r="B605" s="184" t="inlineStr">
        <x:is>
          <x:t xml:space="preserve">LAMINAS PROTECTORAS PARA FULL FACE 3M CJ 25 UN</x:t>
        </x:is>
      </x:c>
      <x:c r="C605" s="184" t="n">
        <x:v>2</x:v>
      </x:c>
      <x:c r="D605" s="184" t="n">
        <x:v>0</x:v>
      </x:c>
      <x:c r="E605" s="184" t="n">
        <x:v>2</x:v>
      </x:c>
      <x:c r="F605" s="184" t="n">
        <x:v>0</x:v>
      </x:c>
      <x:c r="G605" s="184" t="n">
        <x:v>68486</x:v>
      </x:c>
      <x:c r="H605" s="193" t="n">
        <x:v>0</x:v>
      </x:c>
      <x:c r="I605" s="185" t="n">
        <x:v>68486</x:v>
      </x:c>
      <x:c r="J605" s="185" t="n">
        <x:v>0</x:v>
      </x:c>
      <x:c r="K605" s="289" t="n">
        <x:v>34243</x:v>
      </x:c>
    </x:row>
    <x:row r="606" s="117" customFormat="1" hidden="1">
      <x:c r="A606" s="184" t="inlineStr">
        <x:is>
          <x:t xml:space="preserve">EPPGENPTA038</x:t>
        </x:is>
      </x:c>
      <x:c r="B606" s="184" t="inlineStr">
        <x:is>
          <x:t xml:space="preserve">ARNES DE SEGURIDAD 4 ARGOLLAS CHILESIN TALLA L</x:t>
        </x:is>
      </x:c>
      <x:c r="C606" s="184" t="n">
        <x:v>0</x:v>
      </x:c>
      <x:c r="D606" s="184" t="n">
        <x:v>0</x:v>
      </x:c>
      <x:c r="E606" s="184" t="n">
        <x:v>0</x:v>
      </x:c>
      <x:c r="F606" s="184" t="n">
        <x:v>0</x:v>
      </x:c>
      <x:c r="G606" s="184" t="n">
        <x:v>0</x:v>
      </x:c>
      <x:c r="H606" s="193" t="n">
        <x:v>0</x:v>
      </x:c>
      <x:c r="I606" s="185" t="n">
        <x:v>0</x:v>
      </x:c>
      <x:c r="J606" s="185" t="n">
        <x:v>0</x:v>
      </x:c>
      <x:c r="K606" s="289" t="n">
        <x:v>10000</x:v>
      </x:c>
    </x:row>
    <x:row r="607" s="117" customFormat="1" hidden="1">
      <x:c r="A607" s="184" t="inlineStr">
        <x:is>
          <x:t xml:space="preserve">EPPGENPTA039</x:t>
        </x:is>
      </x:c>
      <x:c r="B607" s="184" t="inlineStr">
        <x:is>
          <x:t xml:space="preserve">ARNES DE SEGURIDAD 4 ARGOLLAS CHILESIN TALLA XL</x:t>
        </x:is>
      </x:c>
      <x:c r="C607" s="184" t="n">
        <x:v>0</x:v>
      </x:c>
      <x:c r="D607" s="184" t="n">
        <x:v>0</x:v>
      </x:c>
      <x:c r="E607" s="184" t="n">
        <x:v>0</x:v>
      </x:c>
      <x:c r="F607" s="184" t="n">
        <x:v>0</x:v>
      </x:c>
      <x:c r="G607" s="184" t="n">
        <x:v>0</x:v>
      </x:c>
      <x:c r="H607" s="193" t="n">
        <x:v>0</x:v>
      </x:c>
      <x:c r="I607" s="185" t="n">
        <x:v>0</x:v>
      </x:c>
      <x:c r="J607" s="185" t="n">
        <x:v>0</x:v>
      </x:c>
      <x:c r="K607" s="289" t="n">
        <x:v>0</x:v>
      </x:c>
    </x:row>
    <x:row r="608" s="117" customFormat="1" hidden="1">
      <x:c r="A608" s="184" t="inlineStr">
        <x:is>
          <x:t xml:space="preserve">EPPGENPTA040</x:t>
        </x:is>
      </x:c>
      <x:c r="B608" s="184" t="inlineStr">
        <x:is>
          <x:t xml:space="preserve">ARNES DE SEGURIDAD 3 ARGOLLAS CHILESIN TALLA L</x:t>
        </x:is>
      </x:c>
      <x:c r="C608" s="184" t="n">
        <x:v>0</x:v>
      </x:c>
      <x:c r="D608" s="184" t="n">
        <x:v>0</x:v>
      </x:c>
      <x:c r="E608" s="184" t="n">
        <x:v>0</x:v>
      </x:c>
      <x:c r="F608" s="184" t="n">
        <x:v>0</x:v>
      </x:c>
      <x:c r="G608" s="184" t="n">
        <x:v>0</x:v>
      </x:c>
      <x:c r="H608" s="193" t="n">
        <x:v>0</x:v>
      </x:c>
      <x:c r="I608" s="185" t="n">
        <x:v>0</x:v>
      </x:c>
      <x:c r="J608" s="185" t="n">
        <x:v>0</x:v>
      </x:c>
      <x:c r="K608" s="289" t="n">
        <x:v>7630</x:v>
      </x:c>
    </x:row>
    <x:row r="609" s="117" customFormat="1" hidden="1">
      <x:c r="A609" s="184" t="inlineStr">
        <x:is>
          <x:t xml:space="preserve">EPPGENPTA041</x:t>
        </x:is>
      </x:c>
      <x:c r="B609" s="184" t="inlineStr">
        <x:is>
          <x:t xml:space="preserve">ARNES DE SEGURIDAD 3 ARGOLLAS CHILESIN TALLA XL</x:t>
        </x:is>
      </x:c>
      <x:c r="C609" s="184" t="n">
        <x:v>0</x:v>
      </x:c>
      <x:c r="D609" s="184" t="n">
        <x:v>0</x:v>
      </x:c>
      <x:c r="E609" s="184" t="n">
        <x:v>0</x:v>
      </x:c>
      <x:c r="F609" s="184" t="n">
        <x:v>0</x:v>
      </x:c>
      <x:c r="G609" s="184" t="n">
        <x:v>0</x:v>
      </x:c>
      <x:c r="H609" s="193" t="n">
        <x:v>0</x:v>
      </x:c>
      <x:c r="I609" s="185" t="n">
        <x:v>0</x:v>
      </x:c>
      <x:c r="J609" s="185" t="n">
        <x:v>0</x:v>
      </x:c>
      <x:c r="K609" s="289" t="n">
        <x:v>7630</x:v>
      </x:c>
    </x:row>
    <x:row r="610" s="117" customFormat="1" hidden="1">
      <x:c r="A610" s="184" t="inlineStr">
        <x:is>
          <x:t xml:space="preserve">EPPGENPTA042</x:t>
        </x:is>
      </x:c>
      <x:c r="B610" s="184" t="inlineStr">
        <x:is>
          <x:t xml:space="preserve">COLA DE ARNES TIPO MOSQUETERO</x:t>
        </x:is>
      </x:c>
      <x:c r="C610" s="184" t="n">
        <x:v>0</x:v>
      </x:c>
      <x:c r="D610" s="184" t="n">
        <x:v>0</x:v>
      </x:c>
      <x:c r="E610" s="184" t="n">
        <x:v>0</x:v>
      </x:c>
      <x:c r="F610" s="184" t="n">
        <x:v>0</x:v>
      </x:c>
      <x:c r="G610" s="184" t="n">
        <x:v>0</x:v>
      </x:c>
      <x:c r="H610" s="193" t="n">
        <x:v>0</x:v>
      </x:c>
      <x:c r="I610" s="185" t="n">
        <x:v>0</x:v>
      </x:c>
      <x:c r="J610" s="185" t="n">
        <x:v>0</x:v>
      </x:c>
      <x:c r="K610" s="289" t="n">
        <x:v>7761</x:v>
      </x:c>
    </x:row>
    <x:row r="611" s="117" customFormat="1" hidden="1">
      <x:c r="A611" s="184" t="inlineStr">
        <x:is>
          <x:t xml:space="preserve">EPPGENPTA043</x:t>
        </x:is>
      </x:c>
      <x:c r="B611" s="184" t="inlineStr">
        <x:is>
          <x:t xml:space="preserve">CUERDA DE VIDA METRO</x:t>
        </x:is>
      </x:c>
      <x:c r="C611" s="184" t="n">
        <x:v>0</x:v>
      </x:c>
      <x:c r="D611" s="184" t="n">
        <x:v>0</x:v>
      </x:c>
      <x:c r="E611" s="184" t="n">
        <x:v>0</x:v>
      </x:c>
      <x:c r="F611" s="184" t="n">
        <x:v>0</x:v>
      </x:c>
      <x:c r="G611" s="184" t="n">
        <x:v>0</x:v>
      </x:c>
      <x:c r="H611" s="193" t="n">
        <x:v>0</x:v>
      </x:c>
      <x:c r="I611" s="185" t="n">
        <x:v>0</x:v>
      </x:c>
      <x:c r="J611" s="185" t="n">
        <x:v>0</x:v>
      </x:c>
      <x:c r="K611" s="289" t="n">
        <x:v>0</x:v>
      </x:c>
    </x:row>
    <x:row r="612" s="117" customFormat="1" hidden="1">
      <x:c r="A612" s="184" t="inlineStr">
        <x:is>
          <x:t xml:space="preserve">EPPGENPTA044</x:t>
        </x:is>
      </x:c>
      <x:c r="B612" s="184" t="inlineStr">
        <x:is>
          <x:t xml:space="preserve">CINTA ANTITRAUMA PARA ARNES</x:t>
        </x:is>
      </x:c>
      <x:c r="C612" s="184" t="n">
        <x:v>72</x:v>
      </x:c>
      <x:c r="D612" s="184" t="n">
        <x:v>0</x:v>
      </x:c>
      <x:c r="E612" s="184" t="n">
        <x:v>0</x:v>
      </x:c>
      <x:c r="F612" s="184" t="n">
        <x:v>72</x:v>
      </x:c>
      <x:c r="G612" s="184" t="n">
        <x:v>330780</x:v>
      </x:c>
      <x:c r="H612" s="193" t="n">
        <x:v>0</x:v>
      </x:c>
      <x:c r="I612" s="185" t="n">
        <x:v>0</x:v>
      </x:c>
      <x:c r="J612" s="185" t="n">
        <x:v>330780</x:v>
      </x:c>
      <x:c r="K612" s="289" t="n">
        <x:v>4594.16666667</x:v>
      </x:c>
    </x:row>
    <x:row r="613" s="117" customFormat="1" hidden="1">
      <x:c r="A613" s="184" t="inlineStr">
        <x:is>
          <x:t xml:space="preserve">EPPGENPTA045</x:t>
        </x:is>
      </x:c>
      <x:c r="B613" s="184" t="inlineStr">
        <x:is>
          <x:t xml:space="preserve">PROTECTOR AUDITIVO PARA CASCO</x:t>
        </x:is>
      </x:c>
      <x:c r="C613" s="184" t="n">
        <x:v>3</x:v>
      </x:c>
      <x:c r="D613" s="184" t="n">
        <x:v>0</x:v>
      </x:c>
      <x:c r="E613" s="184" t="n">
        <x:v>0</x:v>
      </x:c>
      <x:c r="F613" s="184" t="n">
        <x:v>3</x:v>
      </x:c>
      <x:c r="G613" s="184" t="n">
        <x:v>19261</x:v>
      </x:c>
      <x:c r="H613" s="193" t="n">
        <x:v>0</x:v>
      </x:c>
      <x:c r="I613" s="185" t="n">
        <x:v>0</x:v>
      </x:c>
      <x:c r="J613" s="185" t="n">
        <x:v>19261</x:v>
      </x:c>
      <x:c r="K613" s="289" t="n">
        <x:v>6420.42857143</x:v>
      </x:c>
    </x:row>
    <x:row r="614" s="117" customFormat="1" hidden="1">
      <x:c r="A614" s="184" t="inlineStr">
        <x:is>
          <x:t xml:space="preserve">EPPGENPTA046</x:t>
        </x:is>
      </x:c>
      <x:c r="B614" s="184" t="inlineStr">
        <x:is>
          <x:t xml:space="preserve">PROTECTOR AUDITIVO TIPO CINTILLO</x:t>
        </x:is>
      </x:c>
      <x:c r="C614" s="184" t="n">
        <x:v>6</x:v>
      </x:c>
      <x:c r="D614" s="184" t="n">
        <x:v>0</x:v>
      </x:c>
      <x:c r="E614" s="184" t="n">
        <x:v>0</x:v>
      </x:c>
      <x:c r="F614" s="184" t="n">
        <x:v>6</x:v>
      </x:c>
      <x:c r="G614" s="184" t="n">
        <x:v>63600</x:v>
      </x:c>
      <x:c r="H614" s="193" t="n">
        <x:v>0</x:v>
      </x:c>
      <x:c r="I614" s="185" t="n">
        <x:v>0</x:v>
      </x:c>
      <x:c r="J614" s="185" t="n">
        <x:v>63600</x:v>
      </x:c>
      <x:c r="K614" s="289" t="n">
        <x:v>10600</x:v>
      </x:c>
    </x:row>
    <x:row r="615" s="117" customFormat="1" hidden="1">
      <x:c r="A615" s="184" t="inlineStr">
        <x:is>
          <x:t xml:space="preserve">EPPGENPTA047</x:t>
        </x:is>
      </x:c>
      <x:c r="B615" s="184" t="inlineStr">
        <x:is>
          <x:t xml:space="preserve">BLISTER BALSAMO LABIAL</x:t>
        </x:is>
      </x:c>
      <x:c r="C615" s="184" t="n">
        <x:v>0</x:v>
      </x:c>
      <x:c r="D615" s="184" t="n">
        <x:v>0</x:v>
      </x:c>
      <x:c r="E615" s="184" t="n">
        <x:v>0</x:v>
      </x:c>
      <x:c r="F615" s="184" t="n">
        <x:v>0</x:v>
      </x:c>
      <x:c r="G615" s="184" t="n">
        <x:v>0</x:v>
      </x:c>
      <x:c r="H615" s="193" t="n">
        <x:v>0</x:v>
      </x:c>
      <x:c r="I615" s="185" t="n">
        <x:v>0</x:v>
      </x:c>
      <x:c r="J615" s="185" t="n">
        <x:v>0</x:v>
      </x:c>
      <x:c r="K615" s="289" t="n">
        <x:v>960</x:v>
      </x:c>
    </x:row>
    <x:row r="616" s="117" customFormat="1" hidden="1">
      <x:c r="A616" s="184" t="inlineStr">
        <x:is>
          <x:t xml:space="preserve">EPPGENPTA048</x:t>
        </x:is>
      </x:c>
      <x:c r="B616" s="184" t="inlineStr">
        <x:is>
          <x:t xml:space="preserve">BOTA DE AGUA PUNTA DE ACERO N 37</x:t>
        </x:is>
      </x:c>
      <x:c r="C616" s="184" t="n">
        <x:v>0</x:v>
      </x:c>
      <x:c r="D616" s="184" t="n">
        <x:v>0</x:v>
      </x:c>
      <x:c r="E616" s="184" t="n">
        <x:v>0</x:v>
      </x:c>
      <x:c r="F616" s="184" t="n">
        <x:v>0</x:v>
      </x:c>
      <x:c r="G616" s="184" t="n">
        <x:v>0</x:v>
      </x:c>
      <x:c r="H616" s="193" t="n">
        <x:v>0</x:v>
      </x:c>
      <x:c r="I616" s="185" t="n">
        <x:v>0</x:v>
      </x:c>
      <x:c r="J616" s="185" t="n">
        <x:v>0</x:v>
      </x:c>
      <x:c r="K616" s="289" t="n">
        <x:v>7890</x:v>
      </x:c>
    </x:row>
    <x:row r="617" s="117" customFormat="1" hidden="1">
      <x:c r="A617" s="184" t="inlineStr">
        <x:is>
          <x:t xml:space="preserve">EPPGENPTA049</x:t>
        </x:is>
      </x:c>
      <x:c r="B617" s="184" t="inlineStr">
        <x:is>
          <x:t xml:space="preserve">BOTA DE AGUA PUNTA DE ACERO N 38</x:t>
        </x:is>
      </x:c>
      <x:c r="C617" s="184" t="n">
        <x:v>0</x:v>
      </x:c>
      <x:c r="D617" s="184" t="n">
        <x:v>0</x:v>
      </x:c>
      <x:c r="E617" s="184" t="n">
        <x:v>0</x:v>
      </x:c>
      <x:c r="F617" s="184" t="n">
        <x:v>0</x:v>
      </x:c>
      <x:c r="G617" s="184" t="n">
        <x:v>0</x:v>
      </x:c>
      <x:c r="H617" s="193" t="n">
        <x:v>0</x:v>
      </x:c>
      <x:c r="I617" s="185" t="n">
        <x:v>0</x:v>
      </x:c>
      <x:c r="J617" s="185" t="n">
        <x:v>0</x:v>
      </x:c>
      <x:c r="K617" s="289" t="n">
        <x:v>0</x:v>
      </x:c>
    </x:row>
    <x:row r="618" s="117" customFormat="1" hidden="1">
      <x:c r="A618" s="184" t="inlineStr">
        <x:is>
          <x:t xml:space="preserve">EPPGENPTA050</x:t>
        </x:is>
      </x:c>
      <x:c r="B618" s="184" t="inlineStr">
        <x:is>
          <x:t xml:space="preserve">BOTA DE AGUA PUNTA DE ACERO N 39</x:t>
        </x:is>
      </x:c>
      <x:c r="C618" s="184" t="n">
        <x:v>0</x:v>
      </x:c>
      <x:c r="D618" s="184" t="n">
        <x:v>0</x:v>
      </x:c>
      <x:c r="E618" s="184" t="n">
        <x:v>0</x:v>
      </x:c>
      <x:c r="F618" s="184" t="n">
        <x:v>0</x:v>
      </x:c>
      <x:c r="G618" s="184" t="n">
        <x:v>0</x:v>
      </x:c>
      <x:c r="H618" s="193" t="n">
        <x:v>0</x:v>
      </x:c>
      <x:c r="I618" s="185" t="n">
        <x:v>0</x:v>
      </x:c>
      <x:c r="J618" s="185" t="n">
        <x:v>0</x:v>
      </x:c>
      <x:c r="K618" s="289" t="n">
        <x:v>0</x:v>
      </x:c>
    </x:row>
    <x:row r="619" s="117" customFormat="1" hidden="1">
      <x:c r="A619" s="184" t="inlineStr">
        <x:is>
          <x:t xml:space="preserve">EPPGENPTA051</x:t>
        </x:is>
      </x:c>
      <x:c r="B619" s="184" t="inlineStr">
        <x:is>
          <x:t xml:space="preserve">BOTA DE AGUA PUNTA DE ACERO N 40</x:t>
        </x:is>
      </x:c>
      <x:c r="C619" s="184" t="n">
        <x:v>0</x:v>
      </x:c>
      <x:c r="D619" s="184" t="n">
        <x:v>0</x:v>
      </x:c>
      <x:c r="E619" s="184" t="n">
        <x:v>0</x:v>
      </x:c>
      <x:c r="F619" s="184" t="n">
        <x:v>0</x:v>
      </x:c>
      <x:c r="G619" s="184" t="n">
        <x:v>0</x:v>
      </x:c>
      <x:c r="H619" s="193" t="n">
        <x:v>0</x:v>
      </x:c>
      <x:c r="I619" s="185" t="n">
        <x:v>0</x:v>
      </x:c>
      <x:c r="J619" s="185" t="n">
        <x:v>0</x:v>
      </x:c>
      <x:c r="K619" s="289" t="n">
        <x:v>0</x:v>
      </x:c>
    </x:row>
    <x:row r="620" s="117" customFormat="1" hidden="1">
      <x:c r="A620" s="184" t="inlineStr">
        <x:is>
          <x:t xml:space="preserve">EPPGENPTA052</x:t>
        </x:is>
      </x:c>
      <x:c r="B620" s="184" t="inlineStr">
        <x:is>
          <x:t xml:space="preserve">BOTA DE AGUA PUNTA DE ACERO N 41</x:t>
        </x:is>
      </x:c>
      <x:c r="C620" s="184" t="n">
        <x:v>0</x:v>
      </x:c>
      <x:c r="D620" s="184" t="n">
        <x:v>0</x:v>
      </x:c>
      <x:c r="E620" s="184" t="n">
        <x:v>0</x:v>
      </x:c>
      <x:c r="F620" s="184" t="n">
        <x:v>0</x:v>
      </x:c>
      <x:c r="G620" s="184" t="n">
        <x:v>0</x:v>
      </x:c>
      <x:c r="H620" s="193" t="n">
        <x:v>0</x:v>
      </x:c>
      <x:c r="I620" s="185" t="n">
        <x:v>0</x:v>
      </x:c>
      <x:c r="J620" s="185" t="n">
        <x:v>0</x:v>
      </x:c>
      <x:c r="K620" s="289" t="n">
        <x:v>0</x:v>
      </x:c>
    </x:row>
    <x:row r="621" s="117" customFormat="1" hidden="1">
      <x:c r="A621" s="184" t="inlineStr">
        <x:is>
          <x:t xml:space="preserve">EPPGENPTA053</x:t>
        </x:is>
      </x:c>
      <x:c r="B621" s="184" t="inlineStr">
        <x:is>
          <x:t xml:space="preserve">BOTA DE AGUA PUNTA DE ACERO N 42</x:t>
        </x:is>
      </x:c>
      <x:c r="C621" s="184" t="n">
        <x:v>0</x:v>
      </x:c>
      <x:c r="D621" s="184" t="n">
        <x:v>0</x:v>
      </x:c>
      <x:c r="E621" s="184" t="n">
        <x:v>0</x:v>
      </x:c>
      <x:c r="F621" s="184" t="n">
        <x:v>0</x:v>
      </x:c>
      <x:c r="G621" s="184" t="n">
        <x:v>0</x:v>
      </x:c>
      <x:c r="H621" s="193" t="n">
        <x:v>0</x:v>
      </x:c>
      <x:c r="I621" s="185" t="n">
        <x:v>0</x:v>
      </x:c>
      <x:c r="J621" s="185" t="n">
        <x:v>0</x:v>
      </x:c>
      <x:c r="K621" s="289" t="n">
        <x:v>0</x:v>
      </x:c>
    </x:row>
    <x:row r="622" s="117" customFormat="1" hidden="1">
      <x:c r="A622" s="184" t="inlineStr">
        <x:is>
          <x:t xml:space="preserve">EPPGENPTA054</x:t>
        </x:is>
      </x:c>
      <x:c r="B622" s="184" t="inlineStr">
        <x:is>
          <x:t xml:space="preserve">BOTA DE AGUA PUNTA DE ACERO N 43</x:t>
        </x:is>
      </x:c>
      <x:c r="C622" s="184" t="n">
        <x:v>0</x:v>
      </x:c>
      <x:c r="D622" s="184" t="n">
        <x:v>0</x:v>
      </x:c>
      <x:c r="E622" s="184" t="n">
        <x:v>0</x:v>
      </x:c>
      <x:c r="F622" s="184" t="n">
        <x:v>0</x:v>
      </x:c>
      <x:c r="G622" s="184" t="n">
        <x:v>0</x:v>
      </x:c>
      <x:c r="H622" s="193" t="n">
        <x:v>0</x:v>
      </x:c>
      <x:c r="I622" s="185" t="n">
        <x:v>0</x:v>
      </x:c>
      <x:c r="J622" s="185" t="n">
        <x:v>0</x:v>
      </x:c>
      <x:c r="K622" s="289" t="n">
        <x:v>0</x:v>
      </x:c>
    </x:row>
    <x:row r="623" s="117" customFormat="1" hidden="1">
      <x:c r="A623" s="184" t="inlineStr">
        <x:is>
          <x:t xml:space="preserve">EPPGENPTA055</x:t>
        </x:is>
      </x:c>
      <x:c r="B623" s="184" t="inlineStr">
        <x:is>
          <x:t xml:space="preserve">BOTA DE AGUA PUNTA DE ACERO N 44</x:t>
        </x:is>
      </x:c>
      <x:c r="C623" s="184" t="n">
        <x:v>0</x:v>
      </x:c>
      <x:c r="D623" s="184" t="n">
        <x:v>0</x:v>
      </x:c>
      <x:c r="E623" s="184" t="n">
        <x:v>0</x:v>
      </x:c>
      <x:c r="F623" s="184" t="n">
        <x:v>0</x:v>
      </x:c>
      <x:c r="G623" s="184" t="n">
        <x:v>0</x:v>
      </x:c>
      <x:c r="H623" s="193" t="n">
        <x:v>0</x:v>
      </x:c>
      <x:c r="I623" s="185" t="n">
        <x:v>0</x:v>
      </x:c>
      <x:c r="J623" s="185" t="n">
        <x:v>0</x:v>
      </x:c>
      <x:c r="K623" s="289" t="n">
        <x:v>0</x:v>
      </x:c>
    </x:row>
    <x:row r="624" s="117" customFormat="1" hidden="1">
      <x:c r="A624" s="184" t="inlineStr">
        <x:is>
          <x:t xml:space="preserve">EPPGENPTA056</x:t>
        </x:is>
      </x:c>
      <x:c r="B624" s="184" t="inlineStr">
        <x:is>
          <x:t xml:space="preserve">BOTA DE AGUA PUNTA DE ACERO N 45</x:t>
        </x:is>
      </x:c>
      <x:c r="C624" s="184" t="n">
        <x:v>0</x:v>
      </x:c>
      <x:c r="D624" s="184" t="n">
        <x:v>0</x:v>
      </x:c>
      <x:c r="E624" s="184" t="n">
        <x:v>0</x:v>
      </x:c>
      <x:c r="F624" s="184" t="n">
        <x:v>0</x:v>
      </x:c>
      <x:c r="G624" s="184" t="n">
        <x:v>0</x:v>
      </x:c>
      <x:c r="H624" s="193" t="n">
        <x:v>0</x:v>
      </x:c>
      <x:c r="I624" s="185" t="n">
        <x:v>0</x:v>
      </x:c>
      <x:c r="J624" s="185" t="n">
        <x:v>0</x:v>
      </x:c>
      <x:c r="K624" s="289" t="n">
        <x:v>0</x:v>
      </x:c>
    </x:row>
    <x:row r="625" s="117" customFormat="1" hidden="1">
      <x:c r="A625" s="184" t="inlineStr">
        <x:is>
          <x:t xml:space="preserve">EPPGENPTA057</x:t>
        </x:is>
      </x:c>
      <x:c r="B625" s="184" t="inlineStr">
        <x:is>
          <x:t xml:space="preserve">BOTIN DE SEGURIDAD PUNTA DE ACERO ANTICLAVO N36</x:t>
        </x:is>
      </x:c>
      <x:c r="C625" s="184" t="n">
        <x:v>0</x:v>
      </x:c>
      <x:c r="D625" s="184" t="n">
        <x:v>0</x:v>
      </x:c>
      <x:c r="E625" s="184" t="n">
        <x:v>0</x:v>
      </x:c>
      <x:c r="F625" s="184" t="n">
        <x:v>0</x:v>
      </x:c>
      <x:c r="G625" s="184" t="n">
        <x:v>0</x:v>
      </x:c>
      <x:c r="H625" s="193" t="n">
        <x:v>0</x:v>
      </x:c>
      <x:c r="I625" s="185" t="n">
        <x:v>0</x:v>
      </x:c>
      <x:c r="J625" s="185" t="n">
        <x:v>0</x:v>
      </x:c>
      <x:c r="K625" s="289" t="n">
        <x:v>0</x:v>
      </x:c>
    </x:row>
    <x:row r="626" s="117" customFormat="1" hidden="1">
      <x:c r="A626" s="184" t="inlineStr">
        <x:is>
          <x:t xml:space="preserve">EPPGENPTA058</x:t>
        </x:is>
      </x:c>
      <x:c r="B626" s="184" t="inlineStr">
        <x:is>
          <x:t xml:space="preserve">BOTIN DE SEGURIDAD PUNTA DE ACERO ANTICLAVO N 37</x:t>
        </x:is>
      </x:c>
      <x:c r="C626" s="184" t="n">
        <x:v>0</x:v>
      </x:c>
      <x:c r="D626" s="184" t="n">
        <x:v>0</x:v>
      </x:c>
      <x:c r="E626" s="184" t="n">
        <x:v>0</x:v>
      </x:c>
      <x:c r="F626" s="184" t="n">
        <x:v>0</x:v>
      </x:c>
      <x:c r="G626" s="184" t="n">
        <x:v>0</x:v>
      </x:c>
      <x:c r="H626" s="193" t="n">
        <x:v>0</x:v>
      </x:c>
      <x:c r="I626" s="185" t="n">
        <x:v>0</x:v>
      </x:c>
      <x:c r="J626" s="185" t="n">
        <x:v>0</x:v>
      </x:c>
      <x:c r="K626" s="289" t="n">
        <x:v>0</x:v>
      </x:c>
    </x:row>
    <x:row r="627" s="117" customFormat="1" hidden="1">
      <x:c r="A627" s="184" t="inlineStr">
        <x:is>
          <x:t xml:space="preserve">EPPGENPTA059</x:t>
        </x:is>
      </x:c>
      <x:c r="B627" s="184" t="inlineStr">
        <x:is>
          <x:t xml:space="preserve">BOTIN DE SEGURIDAD PUNTA DE ACERO / ANTICLAVO N 38</x:t>
        </x:is>
      </x:c>
      <x:c r="C627" s="184" t="n">
        <x:v>0</x:v>
      </x:c>
      <x:c r="D627" s="184" t="n">
        <x:v>0</x:v>
      </x:c>
      <x:c r="E627" s="184" t="n">
        <x:v>0</x:v>
      </x:c>
      <x:c r="F627" s="184" t="n">
        <x:v>0</x:v>
      </x:c>
      <x:c r="G627" s="184" t="n">
        <x:v>0</x:v>
      </x:c>
      <x:c r="H627" s="193" t="n">
        <x:v>0</x:v>
      </x:c>
      <x:c r="I627" s="185" t="n">
        <x:v>0</x:v>
      </x:c>
      <x:c r="J627" s="185" t="n">
        <x:v>0</x:v>
      </x:c>
      <x:c r="K627" s="289" t="n">
        <x:v>0</x:v>
      </x:c>
    </x:row>
    <x:row r="628" s="117" customFormat="1" hidden="1">
      <x:c r="A628" s="184" t="inlineStr">
        <x:is>
          <x:t xml:space="preserve">EPPGENPTA060</x:t>
        </x:is>
      </x:c>
      <x:c r="B628" s="184" t="inlineStr">
        <x:is>
          <x:t xml:space="preserve">BOTIN DE SEGURIDAD PUNTA DE ACERO / ANTICLAVO N 39</x:t>
        </x:is>
      </x:c>
      <x:c r="C628" s="184" t="n">
        <x:v>0</x:v>
      </x:c>
      <x:c r="D628" s="184" t="n">
        <x:v>0</x:v>
      </x:c>
      <x:c r="E628" s="184" t="n">
        <x:v>0</x:v>
      </x:c>
      <x:c r="F628" s="184" t="n">
        <x:v>0</x:v>
      </x:c>
      <x:c r="G628" s="184" t="n">
        <x:v>0</x:v>
      </x:c>
      <x:c r="H628" s="193" t="n">
        <x:v>0</x:v>
      </x:c>
      <x:c r="I628" s="185" t="n">
        <x:v>0</x:v>
      </x:c>
      <x:c r="J628" s="185" t="n">
        <x:v>0</x:v>
      </x:c>
      <x:c r="K628" s="289" t="n">
        <x:v>19490</x:v>
      </x:c>
    </x:row>
    <x:row r="629" s="117" customFormat="1" hidden="1">
      <x:c r="A629" s="184" t="inlineStr">
        <x:is>
          <x:t xml:space="preserve">EPPGENPTA061</x:t>
        </x:is>
      </x:c>
      <x:c r="B629" s="184" t="inlineStr">
        <x:is>
          <x:t xml:space="preserve">BOTIN DE SEGURIDAD PUNTA DE ACERO / ANTICLAVO N 40</x:t>
        </x:is>
      </x:c>
      <x:c r="C629" s="184" t="n">
        <x:v>0</x:v>
      </x:c>
      <x:c r="D629" s="184" t="n">
        <x:v>0</x:v>
      </x:c>
      <x:c r="E629" s="184" t="n">
        <x:v>0</x:v>
      </x:c>
      <x:c r="F629" s="184" t="n">
        <x:v>0</x:v>
      </x:c>
      <x:c r="G629" s="184" t="n">
        <x:v>0</x:v>
      </x:c>
      <x:c r="H629" s="193" t="n">
        <x:v>0</x:v>
      </x:c>
      <x:c r="I629" s="185" t="n">
        <x:v>0</x:v>
      </x:c>
      <x:c r="J629" s="185" t="n">
        <x:v>0</x:v>
      </x:c>
      <x:c r="K629" s="289" t="n">
        <x:v>19490</x:v>
      </x:c>
    </x:row>
    <x:row r="630" s="117" customFormat="1" hidden="1">
      <x:c r="A630" s="184" t="inlineStr">
        <x:is>
          <x:t xml:space="preserve">EPPGENPTA062</x:t>
        </x:is>
      </x:c>
      <x:c r="B630" s="184" t="inlineStr">
        <x:is>
          <x:t xml:space="preserve">BOTIN DE SEGURIDAD PUNTA DE ACERO / ANTICLAVO N 41</x:t>
        </x:is>
      </x:c>
      <x:c r="C630" s="184" t="n">
        <x:v>0</x:v>
      </x:c>
      <x:c r="D630" s="184" t="n">
        <x:v>0</x:v>
      </x:c>
      <x:c r="E630" s="184" t="n">
        <x:v>0</x:v>
      </x:c>
      <x:c r="F630" s="184" t="n">
        <x:v>0</x:v>
      </x:c>
      <x:c r="G630" s="184" t="n">
        <x:v>0</x:v>
      </x:c>
      <x:c r="H630" s="193" t="n">
        <x:v>0</x:v>
      </x:c>
      <x:c r="I630" s="185" t="n">
        <x:v>0</x:v>
      </x:c>
      <x:c r="J630" s="185" t="n">
        <x:v>0</x:v>
      </x:c>
      <x:c r="K630" s="289" t="n">
        <x:v>19490</x:v>
      </x:c>
    </x:row>
    <x:row r="631" s="117" customFormat="1" hidden="1">
      <x:c r="A631" s="184" t="inlineStr">
        <x:is>
          <x:t xml:space="preserve">EPPGENPTA063</x:t>
        </x:is>
      </x:c>
      <x:c r="B631" s="184" t="inlineStr">
        <x:is>
          <x:t xml:space="preserve">BOTIN DE SEGURIDAD PUNTA DE ACERO / ANTICLAVO N 42</x:t>
        </x:is>
      </x:c>
      <x:c r="C631" s="184" t="n">
        <x:v>0</x:v>
      </x:c>
      <x:c r="D631" s="184" t="n">
        <x:v>0</x:v>
      </x:c>
      <x:c r="E631" s="184" t="n">
        <x:v>0</x:v>
      </x:c>
      <x:c r="F631" s="184" t="n">
        <x:v>0</x:v>
      </x:c>
      <x:c r="G631" s="184" t="n">
        <x:v>0</x:v>
      </x:c>
      <x:c r="H631" s="193" t="n">
        <x:v>0</x:v>
      </x:c>
      <x:c r="I631" s="185" t="n">
        <x:v>0</x:v>
      </x:c>
      <x:c r="J631" s="185" t="n">
        <x:v>0</x:v>
      </x:c>
      <x:c r="K631" s="289" t="n">
        <x:v>19490</x:v>
      </x:c>
    </x:row>
    <x:row r="632" s="117" customFormat="1" hidden="1">
      <x:c r="A632" s="184" t="inlineStr">
        <x:is>
          <x:t xml:space="preserve">EPPGENPTA064</x:t>
        </x:is>
      </x:c>
      <x:c r="B632" s="184" t="inlineStr">
        <x:is>
          <x:t xml:space="preserve">BOTIN DE SEGURIDAD PUNTA DE ACERO / ANTICLAVO N 43</x:t>
        </x:is>
      </x:c>
      <x:c r="C632" s="184" t="n">
        <x:v>0</x:v>
      </x:c>
      <x:c r="D632" s="184" t="n">
        <x:v>0</x:v>
      </x:c>
      <x:c r="E632" s="184" t="n">
        <x:v>0</x:v>
      </x:c>
      <x:c r="F632" s="184" t="n">
        <x:v>0</x:v>
      </x:c>
      <x:c r="G632" s="184" t="n">
        <x:v>0</x:v>
      </x:c>
      <x:c r="H632" s="193" t="n">
        <x:v>0</x:v>
      </x:c>
      <x:c r="I632" s="185" t="n">
        <x:v>0</x:v>
      </x:c>
      <x:c r="J632" s="185" t="n">
        <x:v>0</x:v>
      </x:c>
      <x:c r="K632" s="289" t="n">
        <x:v>19490</x:v>
      </x:c>
    </x:row>
    <x:row r="633" s="117" customFormat="1" hidden="1">
      <x:c r="A633" s="184" t="inlineStr">
        <x:is>
          <x:t xml:space="preserve">EPPGENPTA065</x:t>
        </x:is>
      </x:c>
      <x:c r="B633" s="184" t="inlineStr">
        <x:is>
          <x:t xml:space="preserve">BOTIN DE SEGURIDAD PUNTA DE ACERO / ANTICLAVO N 44</x:t>
        </x:is>
      </x:c>
      <x:c r="C633" s="184" t="n">
        <x:v>0</x:v>
      </x:c>
      <x:c r="D633" s="184" t="n">
        <x:v>0</x:v>
      </x:c>
      <x:c r="E633" s="184" t="n">
        <x:v>0</x:v>
      </x:c>
      <x:c r="F633" s="184" t="n">
        <x:v>0</x:v>
      </x:c>
      <x:c r="G633" s="184" t="n">
        <x:v>0</x:v>
      </x:c>
      <x:c r="H633" s="193" t="n">
        <x:v>0</x:v>
      </x:c>
      <x:c r="I633" s="185" t="n">
        <x:v>0</x:v>
      </x:c>
      <x:c r="J633" s="185" t="n">
        <x:v>0</x:v>
      </x:c>
      <x:c r="K633" s="289" t="n">
        <x:v>19490</x:v>
      </x:c>
    </x:row>
    <x:row r="634" s="117" customFormat="1" hidden="1">
      <x:c r="A634" s="184" t="inlineStr">
        <x:is>
          <x:t xml:space="preserve">EPPGENPTA066</x:t>
        </x:is>
      </x:c>
      <x:c r="B634" s="184" t="inlineStr">
        <x:is>
          <x:t xml:space="preserve">BOTIN DE SEGURIDAD PUNTA DE ACERO / ANTICLAVO N 45</x:t>
        </x:is>
      </x:c>
      <x:c r="C634" s="184" t="n">
        <x:v>0</x:v>
      </x:c>
      <x:c r="D634" s="184" t="n">
        <x:v>0</x:v>
      </x:c>
      <x:c r="E634" s="184" t="n">
        <x:v>0</x:v>
      </x:c>
      <x:c r="F634" s="184" t="n">
        <x:v>0</x:v>
      </x:c>
      <x:c r="G634" s="184" t="n">
        <x:v>0</x:v>
      </x:c>
      <x:c r="H634" s="193" t="n">
        <x:v>0</x:v>
      </x:c>
      <x:c r="I634" s="185" t="n">
        <x:v>0</x:v>
      </x:c>
      <x:c r="J634" s="185" t="n">
        <x:v>0</x:v>
      </x:c>
      <x:c r="K634" s="289" t="n">
        <x:v>0</x:v>
      </x:c>
    </x:row>
    <x:row r="635" s="117" customFormat="1" hidden="1">
      <x:c r="A635" s="184" t="inlineStr">
        <x:is>
          <x:t xml:space="preserve">EPPGENPTA067</x:t>
        </x:is>
      </x:c>
      <x:c r="B635" s="184" t="inlineStr">
        <x:is>
          <x:t xml:space="preserve">BOTIQUIN PRIMEROS AUXILIOS 25 PERSONAS</x:t>
        </x:is>
      </x:c>
      <x:c r="C635" s="184" t="n">
        <x:v>0</x:v>
      </x:c>
      <x:c r="D635" s="184" t="n">
        <x:v>0</x:v>
      </x:c>
      <x:c r="E635" s="184" t="n">
        <x:v>0</x:v>
      </x:c>
      <x:c r="F635" s="184" t="n">
        <x:v>0</x:v>
      </x:c>
      <x:c r="G635" s="184" t="n">
        <x:v>0</x:v>
      </x:c>
      <x:c r="H635" s="193" t="n">
        <x:v>0</x:v>
      </x:c>
      <x:c r="I635" s="185" t="n">
        <x:v>0</x:v>
      </x:c>
      <x:c r="J635" s="185" t="n">
        <x:v>0</x:v>
      </x:c>
      <x:c r="K635" s="289" t="n">
        <x:v>15390</x:v>
      </x:c>
    </x:row>
    <x:row r="636" s="117" customFormat="1" hidden="1">
      <x:c r="A636" s="184" t="inlineStr">
        <x:is>
          <x:t xml:space="preserve">EPPGENPTA068</x:t>
        </x:is>
      </x:c>
      <x:c r="B636" s="184" t="inlineStr">
        <x:is>
          <x:t xml:space="preserve">BOTIQUIN PRIMEROS AUXILIOS 10 PERSONAS</x:t>
        </x:is>
      </x:c>
      <x:c r="C636" s="184" t="n">
        <x:v>0</x:v>
      </x:c>
      <x:c r="D636" s="184" t="n">
        <x:v>0</x:v>
      </x:c>
      <x:c r="E636" s="184" t="n">
        <x:v>0</x:v>
      </x:c>
      <x:c r="F636" s="184" t="n">
        <x:v>0</x:v>
      </x:c>
      <x:c r="G636" s="184" t="n">
        <x:v>0</x:v>
      </x:c>
      <x:c r="H636" s="193" t="n">
        <x:v>0</x:v>
      </x:c>
      <x:c r="I636" s="185" t="n">
        <x:v>0</x:v>
      </x:c>
      <x:c r="J636" s="185" t="n">
        <x:v>0</x:v>
      </x:c>
      <x:c r="K636" s="289" t="n">
        <x:v>0</x:v>
      </x:c>
    </x:row>
    <x:row r="637" s="117" customFormat="1" hidden="1">
      <x:c r="A637" s="184" t="inlineStr">
        <x:is>
          <x:t xml:space="preserve">EPPGENPTA069</x:t>
        </x:is>
      </x:c>
      <x:c r="B637" s="184" t="inlineStr">
        <x:is>
          <x:t xml:space="preserve">BUZO ANTIACIDO CON REFLECTANTE TALLA M</x:t>
        </x:is>
      </x:c>
      <x:c r="C637" s="184" t="n">
        <x:v>0</x:v>
      </x:c>
      <x:c r="D637" s="184" t="n">
        <x:v>0</x:v>
      </x:c>
      <x:c r="E637" s="184" t="n">
        <x:v>0</x:v>
      </x:c>
      <x:c r="F637" s="184" t="n">
        <x:v>0</x:v>
      </x:c>
      <x:c r="G637" s="184" t="n">
        <x:v>0</x:v>
      </x:c>
      <x:c r="H637" s="193" t="n">
        <x:v>0</x:v>
      </x:c>
      <x:c r="I637" s="185" t="n">
        <x:v>0</x:v>
      </x:c>
      <x:c r="J637" s="185" t="n">
        <x:v>0</x:v>
      </x:c>
      <x:c r="K637" s="289" t="n">
        <x:v>14500</x:v>
      </x:c>
    </x:row>
    <x:row r="638" s="117" customFormat="1" hidden="1">
      <x:c r="A638" s="184" t="inlineStr">
        <x:is>
          <x:t xml:space="preserve">EPPGENPTA070</x:t>
        </x:is>
      </x:c>
      <x:c r="B638" s="184" t="inlineStr">
        <x:is>
          <x:t xml:space="preserve">BUZO ANTIACIDO CON REFLECTANTE TALLA L</x:t>
        </x:is>
      </x:c>
      <x:c r="C638" s="184" t="n">
        <x:v>12</x:v>
      </x:c>
      <x:c r="D638" s="184" t="n">
        <x:v>0</x:v>
      </x:c>
      <x:c r="E638" s="184" t="n">
        <x:v>0</x:v>
      </x:c>
      <x:c r="F638" s="184" t="n">
        <x:v>12</x:v>
      </x:c>
      <x:c r="G638" s="184" t="n">
        <x:v>171076</x:v>
      </x:c>
      <x:c r="H638" s="193" t="n">
        <x:v>0</x:v>
      </x:c>
      <x:c r="I638" s="185" t="n">
        <x:v>0</x:v>
      </x:c>
      <x:c r="J638" s="185" t="n">
        <x:v>171076</x:v>
      </x:c>
      <x:c r="K638" s="289" t="n">
        <x:v>14256.25</x:v>
      </x:c>
    </x:row>
    <x:row r="639" s="117" customFormat="1" hidden="1">
      <x:c r="A639" s="184" t="inlineStr">
        <x:is>
          <x:t xml:space="preserve">EPPGENPTA071</x:t>
        </x:is>
      </x:c>
      <x:c r="B639" s="184" t="inlineStr">
        <x:is>
          <x:t xml:space="preserve">BUZO ANTIACIDO CON REFLECTANTE TALLA XL</x:t>
        </x:is>
      </x:c>
      <x:c r="C639" s="184" t="n">
        <x:v>30</x:v>
      </x:c>
      <x:c r="D639" s="184" t="n">
        <x:v>0</x:v>
      </x:c>
      <x:c r="E639" s="184" t="n">
        <x:v>0</x:v>
      </x:c>
      <x:c r="F639" s="184" t="n">
        <x:v>30</x:v>
      </x:c>
      <x:c r="G639" s="184" t="n">
        <x:v>428777</x:v>
      </x:c>
      <x:c r="H639" s="193" t="n">
        <x:v>0</x:v>
      </x:c>
      <x:c r="I639" s="185" t="n">
        <x:v>0</x:v>
      </x:c>
      <x:c r="J639" s="185" t="n">
        <x:v>428777</x:v>
      </x:c>
      <x:c r="K639" s="289" t="n">
        <x:v>14292.55319149</x:v>
      </x:c>
    </x:row>
    <x:row r="640" s="117" customFormat="1" hidden="1">
      <x:c r="A640" s="184" t="inlineStr">
        <x:is>
          <x:t xml:space="preserve">EPPGENPTA072</x:t>
        </x:is>
      </x:c>
      <x:c r="B640" s="184" t="inlineStr">
        <x:is>
          <x:t xml:space="preserve">BUZO ANTIACIDO CON REFLECTANTE TALLA XXL</x:t>
        </x:is>
      </x:c>
      <x:c r="C640" s="184" t="n">
        <x:v>24</x:v>
      </x:c>
      <x:c r="D640" s="184" t="n">
        <x:v>0</x:v>
      </x:c>
      <x:c r="E640" s="184" t="n">
        <x:v>0</x:v>
      </x:c>
      <x:c r="F640" s="184" t="n">
        <x:v>24</x:v>
      </x:c>
      <x:c r="G640" s="184" t="n">
        <x:v>218063</x:v>
      </x:c>
      <x:c r="H640" s="193" t="n">
        <x:v>0</x:v>
      </x:c>
      <x:c r="I640" s="185" t="n">
        <x:v>0</x:v>
      </x:c>
      <x:c r="J640" s="185" t="n">
        <x:v>218063</x:v>
      </x:c>
      <x:c r="K640" s="289" t="n">
        <x:v>9085.964500309999</x:v>
      </x:c>
    </x:row>
    <x:row r="641" s="117" customFormat="1" hidden="1">
      <x:c r="A641" s="184" t="inlineStr">
        <x:is>
          <x:t xml:space="preserve">EPPGENPTA073</x:t>
        </x:is>
      </x:c>
      <x:c r="B641" s="184" t="inlineStr">
        <x:is>
          <x:t xml:space="preserve">BUZO CHEMAX TALLA M</x:t>
        </x:is>
      </x:c>
      <x:c r="C641" s="184" t="n">
        <x:v>24</x:v>
      </x:c>
      <x:c r="D641" s="184" t="n">
        <x:v>0</x:v>
      </x:c>
      <x:c r="E641" s="184" t="n">
        <x:v>0</x:v>
      </x:c>
      <x:c r="F641" s="184" t="n">
        <x:v>24</x:v>
      </x:c>
      <x:c r="G641" s="184" t="n">
        <x:v>1365600</x:v>
      </x:c>
      <x:c r="H641" s="193" t="n">
        <x:v>0</x:v>
      </x:c>
      <x:c r="I641" s="185" t="n">
        <x:v>0</x:v>
      </x:c>
      <x:c r="J641" s="185" t="n">
        <x:v>1365600</x:v>
      </x:c>
      <x:c r="K641" s="289" t="n">
        <x:v>56900</x:v>
      </x:c>
    </x:row>
    <x:row r="642" s="117" customFormat="1" hidden="1">
      <x:c r="A642" s="184" t="inlineStr">
        <x:is>
          <x:t xml:space="preserve">EPPGENPTA074</x:t>
        </x:is>
      </x:c>
      <x:c r="B642" s="184" t="inlineStr">
        <x:is>
          <x:t xml:space="preserve">BUZO CHEMAX TALLA L</x:t>
        </x:is>
      </x:c>
      <x:c r="C642" s="184" t="n">
        <x:v>6</x:v>
      </x:c>
      <x:c r="D642" s="184" t="n">
        <x:v>0</x:v>
      </x:c>
      <x:c r="E642" s="184" t="n">
        <x:v>0</x:v>
      </x:c>
      <x:c r="F642" s="184" t="n">
        <x:v>6</x:v>
      </x:c>
      <x:c r="G642" s="184" t="n">
        <x:v>339634</x:v>
      </x:c>
      <x:c r="H642" s="193" t="n">
        <x:v>0</x:v>
      </x:c>
      <x:c r="I642" s="185" t="n">
        <x:v>0</x:v>
      </x:c>
      <x:c r="J642" s="185" t="n">
        <x:v>339634</x:v>
      </x:c>
      <x:c r="K642" s="289" t="n">
        <x:v>56605.88235294</x:v>
      </x:c>
    </x:row>
    <x:row r="643" s="117" customFormat="1" hidden="1">
      <x:c r="A643" s="184" t="inlineStr">
        <x:is>
          <x:t xml:space="preserve">EPPGENPTA075</x:t>
        </x:is>
      </x:c>
      <x:c r="B643" s="184" t="inlineStr">
        <x:is>
          <x:t xml:space="preserve">BUZO CHEMAX TALLA XL</x:t>
        </x:is>
      </x:c>
      <x:c r="C643" s="184" t="n">
        <x:v>48</x:v>
      </x:c>
      <x:c r="D643" s="184" t="n">
        <x:v>0</x:v>
      </x:c>
      <x:c r="E643" s="184" t="n">
        <x:v>0</x:v>
      </x:c>
      <x:c r="F643" s="184" t="n">
        <x:v>48</x:v>
      </x:c>
      <x:c r="G643" s="184" t="n">
        <x:v>2299980</x:v>
      </x:c>
      <x:c r="H643" s="193" t="n">
        <x:v>0</x:v>
      </x:c>
      <x:c r="I643" s="185" t="n">
        <x:v>0</x:v>
      </x:c>
      <x:c r="J643" s="185" t="n">
        <x:v>2299980</x:v>
      </x:c>
      <x:c r="K643" s="289" t="n">
        <x:v>47916.25</x:v>
      </x:c>
    </x:row>
    <x:row r="644" s="117" customFormat="1" hidden="1">
      <x:c r="A644" s="184" t="inlineStr">
        <x:is>
          <x:t xml:space="preserve">EPPGENPTA076</x:t>
        </x:is>
      </x:c>
      <x:c r="B644" s="184" t="inlineStr">
        <x:is>
          <x:t xml:space="preserve">BUZO CHEMAX TALLA XXL</x:t>
        </x:is>
      </x:c>
      <x:c r="C644" s="184" t="n">
        <x:v>0</x:v>
      </x:c>
      <x:c r="D644" s="184" t="n">
        <x:v>0</x:v>
      </x:c>
      <x:c r="E644" s="184" t="n">
        <x:v>0</x:v>
      </x:c>
      <x:c r="F644" s="184" t="n">
        <x:v>0</x:v>
      </x:c>
      <x:c r="G644" s="184" t="n">
        <x:v>0</x:v>
      </x:c>
      <x:c r="H644" s="193" t="n">
        <x:v>0</x:v>
      </x:c>
      <x:c r="I644" s="185" t="n">
        <x:v>0</x:v>
      </x:c>
      <x:c r="J644" s="185" t="n">
        <x:v>0</x:v>
      </x:c>
      <x:c r="K644" s="289" t="n">
        <x:v>0</x:v>
      </x:c>
    </x:row>
    <x:row r="645" s="117" customFormat="1" hidden="1">
      <x:c r="A645" s="184" t="inlineStr">
        <x:is>
          <x:t xml:space="preserve">EPPGENPTA077</x:t>
        </x:is>
      </x:c>
      <x:c r="B645" s="184" t="inlineStr">
        <x:is>
          <x:t xml:space="preserve">BUZO OVEROL TIPO PILOTO TALLA M</x:t>
        </x:is>
      </x:c>
      <x:c r="C645" s="184" t="n">
        <x:v>3</x:v>
      </x:c>
      <x:c r="D645" s="184" t="n">
        <x:v>0</x:v>
      </x:c>
      <x:c r="E645" s="184" t="n">
        <x:v>0</x:v>
      </x:c>
      <x:c r="F645" s="184" t="n">
        <x:v>3</x:v>
      </x:c>
      <x:c r="G645" s="184" t="n">
        <x:v>16080</x:v>
      </x:c>
      <x:c r="H645" s="193" t="n">
        <x:v>0</x:v>
      </x:c>
      <x:c r="I645" s="185" t="n">
        <x:v>0</x:v>
      </x:c>
      <x:c r="J645" s="185" t="n">
        <x:v>16080</x:v>
      </x:c>
      <x:c r="K645" s="289" t="n">
        <x:v>5360</x:v>
      </x:c>
    </x:row>
    <x:row r="646" s="117" customFormat="1" hidden="1">
      <x:c r="A646" s="184" t="inlineStr">
        <x:is>
          <x:t xml:space="preserve">EPPGENPTA078</x:t>
        </x:is>
      </x:c>
      <x:c r="B646" s="184" t="inlineStr">
        <x:is>
          <x:t xml:space="preserve">BUZO OVEROL TIPO PILOTO TALLA L</x:t>
        </x:is>
      </x:c>
      <x:c r="C646" s="184" t="n">
        <x:v>2</x:v>
      </x:c>
      <x:c r="D646" s="184" t="n">
        <x:v>0</x:v>
      </x:c>
      <x:c r="E646" s="184" t="n">
        <x:v>0</x:v>
      </x:c>
      <x:c r="F646" s="184" t="n">
        <x:v>2</x:v>
      </x:c>
      <x:c r="G646" s="184" t="n">
        <x:v>10720</x:v>
      </x:c>
      <x:c r="H646" s="193" t="n">
        <x:v>0</x:v>
      </x:c>
      <x:c r="I646" s="185" t="n">
        <x:v>0</x:v>
      </x:c>
      <x:c r="J646" s="185" t="n">
        <x:v>10720</x:v>
      </x:c>
      <x:c r="K646" s="289" t="n">
        <x:v>5360</x:v>
      </x:c>
    </x:row>
    <x:row r="647" s="117" customFormat="1" hidden="1">
      <x:c r="A647" s="184" t="inlineStr">
        <x:is>
          <x:t xml:space="preserve">EPPGENPTA079</x:t>
        </x:is>
      </x:c>
      <x:c r="B647" s="184" t="inlineStr">
        <x:is>
          <x:t xml:space="preserve">BUZO OVEROL TIPO PILOTO TALLA XL</x:t>
        </x:is>
      </x:c>
      <x:c r="C647" s="184" t="n">
        <x:v>2</x:v>
      </x:c>
      <x:c r="D647" s="184" t="n">
        <x:v>0</x:v>
      </x:c>
      <x:c r="E647" s="184" t="n">
        <x:v>0</x:v>
      </x:c>
      <x:c r="F647" s="184" t="n">
        <x:v>2</x:v>
      </x:c>
      <x:c r="G647" s="184" t="n">
        <x:v>10580</x:v>
      </x:c>
      <x:c r="H647" s="193" t="n">
        <x:v>0</x:v>
      </x:c>
      <x:c r="I647" s="185" t="n">
        <x:v>0</x:v>
      </x:c>
      <x:c r="J647" s="185" t="n">
        <x:v>10580</x:v>
      </x:c>
      <x:c r="K647" s="289" t="n">
        <x:v>5290</x:v>
      </x:c>
    </x:row>
    <x:row r="648" s="117" customFormat="1" hidden="1">
      <x:c r="A648" s="184" t="inlineStr">
        <x:is>
          <x:t xml:space="preserve">EPPGENPTA080</x:t>
        </x:is>
      </x:c>
      <x:c r="B648" s="184" t="inlineStr">
        <x:is>
          <x:t xml:space="preserve">BUZO OVEROL TIPO PILOTO TALLA XXL</x:t>
        </x:is>
      </x:c>
      <x:c r="C648" s="184" t="n">
        <x:v>4</x:v>
      </x:c>
      <x:c r="D648" s="184" t="n">
        <x:v>0</x:v>
      </x:c>
      <x:c r="E648" s="184" t="n">
        <x:v>0</x:v>
      </x:c>
      <x:c r="F648" s="184" t="n">
        <x:v>4</x:v>
      </x:c>
      <x:c r="G648" s="184" t="n">
        <x:v>19960</x:v>
      </x:c>
      <x:c r="H648" s="193" t="n">
        <x:v>0</x:v>
      </x:c>
      <x:c r="I648" s="185" t="n">
        <x:v>0</x:v>
      </x:c>
      <x:c r="J648" s="185" t="n">
        <x:v>19960</x:v>
      </x:c>
      <x:c r="K648" s="289" t="n">
        <x:v>4990</x:v>
      </x:c>
    </x:row>
    <x:row r="649" s="117" customFormat="1" hidden="1">
      <x:c r="A649" s="184" t="inlineStr">
        <x:is>
          <x:t xml:space="preserve">EPPGENPTA081</x:t>
        </x:is>
      </x:c>
      <x:c r="B649" s="184" t="inlineStr">
        <x:is>
          <x:t xml:space="preserve">BARBOQUEJO PARA CASCO</x:t>
        </x:is>
      </x:c>
      <x:c r="C649" s="184" t="n">
        <x:v>40</x:v>
      </x:c>
      <x:c r="D649" s="184" t="n">
        <x:v>0</x:v>
      </x:c>
      <x:c r="E649" s="184" t="n">
        <x:v>4</x:v>
      </x:c>
      <x:c r="F649" s="184" t="n">
        <x:v>36</x:v>
      </x:c>
      <x:c r="G649" s="184" t="n">
        <x:v>7199</x:v>
      </x:c>
      <x:c r="H649" s="193" t="n">
        <x:v>0</x:v>
      </x:c>
      <x:c r="I649" s="185" t="n">
        <x:v>720</x:v>
      </x:c>
      <x:c r="J649" s="185" t="n">
        <x:v>6479</x:v>
      </x:c>
      <x:c r="K649" s="289" t="n">
        <x:v>180</x:v>
      </x:c>
    </x:row>
    <x:row r="650" s="117" customFormat="1" hidden="1">
      <x:c r="A650" s="184" t="inlineStr">
        <x:is>
          <x:t xml:space="preserve">EPPGENPTA082</x:t>
        </x:is>
      </x:c>
      <x:c r="B650" s="184" t="inlineStr">
        <x:is>
          <x:t xml:space="preserve">PORTA CARETA FACIAL PARA CASCO (CINTILLO)</x:t>
        </x:is>
      </x:c>
      <x:c r="C650" s="184" t="n">
        <x:v>0</x:v>
      </x:c>
      <x:c r="D650" s="184" t="n">
        <x:v>0</x:v>
      </x:c>
      <x:c r="E650" s="184" t="n">
        <x:v>0</x:v>
      </x:c>
      <x:c r="F650" s="184" t="n">
        <x:v>0</x:v>
      </x:c>
      <x:c r="G650" s="184" t="n">
        <x:v>0</x:v>
      </x:c>
      <x:c r="H650" s="193" t="n">
        <x:v>0</x:v>
      </x:c>
      <x:c r="I650" s="185" t="n">
        <x:v>0</x:v>
      </x:c>
      <x:c r="J650" s="185" t="n">
        <x:v>0</x:v>
      </x:c>
      <x:c r="K650" s="289" t="n">
        <x:v>3600</x:v>
      </x:c>
    </x:row>
    <x:row r="651" s="117" customFormat="1" hidden="1">
      <x:c r="A651" s="184" t="inlineStr">
        <x:is>
          <x:t xml:space="preserve">EPPGENPTA083</x:t>
        </x:is>
      </x:c>
      <x:c r="B651" s="184" t="inlineStr">
        <x:is>
          <x:t xml:space="preserve">CARETA FACIAL PARA CASCO</x:t>
        </x:is>
      </x:c>
      <x:c r="C651" s="184" t="n">
        <x:v>0</x:v>
      </x:c>
      <x:c r="D651" s="184" t="n">
        <x:v>0</x:v>
      </x:c>
      <x:c r="E651" s="184" t="n">
        <x:v>0</x:v>
      </x:c>
      <x:c r="F651" s="184" t="n">
        <x:v>0</x:v>
      </x:c>
      <x:c r="G651" s="184" t="n">
        <x:v>0</x:v>
      </x:c>
      <x:c r="H651" s="193" t="n">
        <x:v>0</x:v>
      </x:c>
      <x:c r="I651" s="185" t="n">
        <x:v>0</x:v>
      </x:c>
      <x:c r="J651" s="185" t="n">
        <x:v>0</x:v>
      </x:c>
      <x:c r="K651" s="289" t="n">
        <x:v>2500</x:v>
      </x:c>
    </x:row>
    <x:row r="652" s="117" customFormat="1" hidden="1">
      <x:c r="A652" s="184" t="inlineStr">
        <x:is>
          <x:t xml:space="preserve">EPPGENPTA084</x:t>
        </x:is>
      </x:c>
      <x:c r="B652" s="184" t="inlineStr">
        <x:is>
          <x:t xml:space="preserve">LINTERNA PARA CASCO</x:t>
        </x:is>
      </x:c>
      <x:c r="C652" s="184" t="n">
        <x:v>0</x:v>
      </x:c>
      <x:c r="D652" s="184" t="n">
        <x:v>0</x:v>
      </x:c>
      <x:c r="E652" s="184" t="n">
        <x:v>0</x:v>
      </x:c>
      <x:c r="F652" s="184" t="n">
        <x:v>0</x:v>
      </x:c>
      <x:c r="G652" s="184" t="n">
        <x:v>0</x:v>
      </x:c>
      <x:c r="H652" s="193" t="n">
        <x:v>0</x:v>
      </x:c>
      <x:c r="I652" s="185" t="n">
        <x:v>0</x:v>
      </x:c>
      <x:c r="J652" s="185" t="n">
        <x:v>0</x:v>
      </x:c>
      <x:c r="K652" s="289" t="n">
        <x:v>10500</x:v>
      </x:c>
    </x:row>
    <x:row r="653" s="117" customFormat="1" hidden="1">
      <x:c r="A653" s="184" t="inlineStr">
        <x:is>
          <x:t xml:space="preserve">EPPGENPTA085</x:t>
        </x:is>
      </x:c>
      <x:c r="B653" s="184" t="inlineStr">
        <x:is>
          <x:t xml:space="preserve">CASCO MSA V-GARD POLIE COLOR AZUL</x:t>
        </x:is>
      </x:c>
      <x:c r="C653" s="184" t="n">
        <x:v>0</x:v>
      </x:c>
      <x:c r="D653" s="184" t="n">
        <x:v>0</x:v>
      </x:c>
      <x:c r="E653" s="184" t="n">
        <x:v>0</x:v>
      </x:c>
      <x:c r="F653" s="184" t="n">
        <x:v>0</x:v>
      </x:c>
      <x:c r="G653" s="184" t="n">
        <x:v>0</x:v>
      </x:c>
      <x:c r="H653" s="193" t="n">
        <x:v>0</x:v>
      </x:c>
      <x:c r="I653" s="185" t="n">
        <x:v>0</x:v>
      </x:c>
      <x:c r="J653" s="185" t="n">
        <x:v>0</x:v>
      </x:c>
      <x:c r="K653" s="289" t="n">
        <x:v>1290</x:v>
      </x:c>
    </x:row>
    <x:row r="654" s="117" customFormat="1" hidden="1">
      <x:c r="A654" s="184" t="inlineStr">
        <x:is>
          <x:t xml:space="preserve">EPPGENPTA086</x:t>
        </x:is>
      </x:c>
      <x:c r="B654" s="184" t="inlineStr">
        <x:is>
          <x:t xml:space="preserve">CASCO MSA V-GARD POLIE COLOR AMARILLO</x:t>
        </x:is>
      </x:c>
      <x:c r="C654" s="184" t="n">
        <x:v>0</x:v>
      </x:c>
      <x:c r="D654" s="184" t="n">
        <x:v>0</x:v>
      </x:c>
      <x:c r="E654" s="184" t="n">
        <x:v>0</x:v>
      </x:c>
      <x:c r="F654" s="184" t="n">
        <x:v>0</x:v>
      </x:c>
      <x:c r="G654" s="184" t="n">
        <x:v>0</x:v>
      </x:c>
      <x:c r="H654" s="193" t="n">
        <x:v>0</x:v>
      </x:c>
      <x:c r="I654" s="185" t="n">
        <x:v>0</x:v>
      </x:c>
      <x:c r="J654" s="185" t="n">
        <x:v>0</x:v>
      </x:c>
      <x:c r="K654" s="289" t="n">
        <x:v>0</x:v>
      </x:c>
    </x:row>
    <x:row r="655" s="117" customFormat="1" hidden="1">
      <x:c r="A655" s="184" t="inlineStr">
        <x:is>
          <x:t xml:space="preserve">EPPGENPTA087</x:t>
        </x:is>
      </x:c>
      <x:c r="B655" s="184" t="inlineStr">
        <x:is>
          <x:t xml:space="preserve">CASCO MSA V-GARD POLIE COLOR ROJO</x:t>
        </x:is>
      </x:c>
      <x:c r="C655" s="184" t="n">
        <x:v>0</x:v>
      </x:c>
      <x:c r="D655" s="184" t="n">
        <x:v>0</x:v>
      </x:c>
      <x:c r="E655" s="184" t="n">
        <x:v>0</x:v>
      </x:c>
      <x:c r="F655" s="184" t="n">
        <x:v>0</x:v>
      </x:c>
      <x:c r="G655" s="184" t="n">
        <x:v>0</x:v>
      </x:c>
      <x:c r="H655" s="193" t="n">
        <x:v>0</x:v>
      </x:c>
      <x:c r="I655" s="185" t="n">
        <x:v>0</x:v>
      </x:c>
      <x:c r="J655" s="185" t="n">
        <x:v>0</x:v>
      </x:c>
      <x:c r="K655" s="289" t="n">
        <x:v>0</x:v>
      </x:c>
    </x:row>
    <x:row r="656" s="117" customFormat="1" hidden="1">
      <x:c r="A656" s="184" t="inlineStr">
        <x:is>
          <x:t xml:space="preserve">EPPGENPTA088</x:t>
        </x:is>
      </x:c>
      <x:c r="B656" s="184" t="inlineStr">
        <x:is>
          <x:t xml:space="preserve">CASCO MSA V-GARD POLIE COLOR BLANCO</x:t>
        </x:is>
      </x:c>
      <x:c r="C656" s="184" t="n">
        <x:v>0</x:v>
      </x:c>
      <x:c r="D656" s="184" t="n">
        <x:v>0</x:v>
      </x:c>
      <x:c r="E656" s="184" t="n">
        <x:v>0</x:v>
      </x:c>
      <x:c r="F656" s="184" t="n">
        <x:v>0</x:v>
      </x:c>
      <x:c r="G656" s="184" t="n">
        <x:v>0</x:v>
      </x:c>
      <x:c r="H656" s="193" t="n">
        <x:v>0</x:v>
      </x:c>
      <x:c r="I656" s="185" t="n">
        <x:v>0</x:v>
      </x:c>
      <x:c r="J656" s="185" t="n">
        <x:v>0</x:v>
      </x:c>
      <x:c r="K656" s="289" t="n">
        <x:v>5900</x:v>
      </x:c>
    </x:row>
    <x:row r="657" s="117" customFormat="1" hidden="1">
      <x:c r="A657" s="184" t="inlineStr">
        <x:is>
          <x:t xml:space="preserve">EPPGENPTA089</x:t>
        </x:is>
      </x:c>
      <x:c r="B657" s="184" t="inlineStr">
        <x:is>
          <x:t xml:space="preserve">CHALECO GEOLOGO NARANJA TALLA L</x:t>
        </x:is>
      </x:c>
      <x:c r="C657" s="184" t="n">
        <x:v>3</x:v>
      </x:c>
      <x:c r="D657" s="184" t="n">
        <x:v>0</x:v>
      </x:c>
      <x:c r="E657" s="184" t="n">
        <x:v>0</x:v>
      </x:c>
      <x:c r="F657" s="184" t="n">
        <x:v>3</x:v>
      </x:c>
      <x:c r="G657" s="184" t="n">
        <x:v>17651</x:v>
      </x:c>
      <x:c r="H657" s="193" t="n">
        <x:v>0</x:v>
      </x:c>
      <x:c r="I657" s="185" t="n">
        <x:v>0</x:v>
      </x:c>
      <x:c r="J657" s="185" t="n">
        <x:v>17651</x:v>
      </x:c>
      <x:c r="K657" s="289" t="n">
        <x:v>5884.17582418</x:v>
      </x:c>
    </x:row>
    <x:row r="658" s="117" customFormat="1" hidden="1">
      <x:c r="A658" s="184" t="inlineStr">
        <x:is>
          <x:t xml:space="preserve">EPPGENPTA090</x:t>
        </x:is>
      </x:c>
      <x:c r="B658" s="184" t="inlineStr">
        <x:is>
          <x:t xml:space="preserve">CHALECO GEOLOGO NARANJA TALLA XL</x:t>
        </x:is>
      </x:c>
      <x:c r="C658" s="184" t="n">
        <x:v>11</x:v>
      </x:c>
      <x:c r="D658" s="184" t="n">
        <x:v>0</x:v>
      </x:c>
      <x:c r="E658" s="184" t="n">
        <x:v>0</x:v>
      </x:c>
      <x:c r="F658" s="184" t="n">
        <x:v>11</x:v>
      </x:c>
      <x:c r="G658" s="184" t="n">
        <x:v>62468</x:v>
      </x:c>
      <x:c r="H658" s="193" t="n">
        <x:v>0</x:v>
      </x:c>
      <x:c r="I658" s="185" t="n">
        <x:v>0</x:v>
      </x:c>
      <x:c r="J658" s="185" t="n">
        <x:v>62468</x:v>
      </x:c>
      <x:c r="K658" s="289" t="n">
        <x:v>5678.83527127</x:v>
      </x:c>
    </x:row>
    <x:row r="659" s="117" customFormat="1" hidden="1">
      <x:c r="A659" s="184" t="inlineStr">
        <x:is>
          <x:t xml:space="preserve">EPPGENPTA091</x:t>
        </x:is>
      </x:c>
      <x:c r="B659" s="184" t="inlineStr">
        <x:is>
          <x:t xml:space="preserve">CHALECO GEOLOGO NARANJA TALLA XXL</x:t>
        </x:is>
      </x:c>
      <x:c r="C659" s="184" t="n">
        <x:v>0</x:v>
      </x:c>
      <x:c r="D659" s="184" t="n">
        <x:v>0</x:v>
      </x:c>
      <x:c r="E659" s="184" t="n">
        <x:v>0</x:v>
      </x:c>
      <x:c r="F659" s="184" t="n">
        <x:v>0</x:v>
      </x:c>
      <x:c r="G659" s="184" t="n">
        <x:v>0</x:v>
      </x:c>
      <x:c r="H659" s="193" t="n">
        <x:v>0</x:v>
      </x:c>
      <x:c r="I659" s="185" t="n">
        <x:v>0</x:v>
      </x:c>
      <x:c r="J659" s="185" t="n">
        <x:v>0</x:v>
      </x:c>
      <x:c r="K659" s="289" t="n">
        <x:v>6290</x:v>
      </x:c>
    </x:row>
    <x:row r="660" s="117" customFormat="1" hidden="1">
      <x:c r="A660" s="184" t="inlineStr">
        <x:is>
          <x:t xml:space="preserve">EPPGENPTA092</x:t>
        </x:is>
      </x:c>
      <x:c r="B660" s="184" t="inlineStr">
        <x:is>
          <x:t xml:space="preserve">CHALECO REFLECTANTE NARANJA TALLA L</x:t>
        </x:is>
      </x:c>
      <x:c r="C660" s="184" t="n">
        <x:v>0</x:v>
      </x:c>
      <x:c r="D660" s="184" t="n">
        <x:v>0</x:v>
      </x:c>
      <x:c r="E660" s="184" t="n">
        <x:v>0</x:v>
      </x:c>
      <x:c r="F660" s="184" t="n">
        <x:v>0</x:v>
      </x:c>
      <x:c r="G660" s="184" t="n">
        <x:v>0</x:v>
      </x:c>
      <x:c r="H660" s="193" t="n">
        <x:v>0</x:v>
      </x:c>
      <x:c r="I660" s="185" t="n">
        <x:v>0</x:v>
      </x:c>
      <x:c r="J660" s="185" t="n">
        <x:v>0</x:v>
      </x:c>
      <x:c r="K660" s="289" t="n">
        <x:v>0</x:v>
      </x:c>
    </x:row>
    <x:row r="661" s="117" customFormat="1" hidden="1">
      <x:c r="A661" s="184" t="inlineStr">
        <x:is>
          <x:t xml:space="preserve">EPPGENPTA093</x:t>
        </x:is>
      </x:c>
      <x:c r="B661" s="184" t="inlineStr">
        <x:is>
          <x:t xml:space="preserve">CHALECO REFLECTANTE NARANJA TALLA XL</x:t>
        </x:is>
      </x:c>
      <x:c r="C661" s="184" t="n">
        <x:v>0</x:v>
      </x:c>
      <x:c r="D661" s="184" t="n">
        <x:v>0</x:v>
      </x:c>
      <x:c r="E661" s="184" t="n">
        <x:v>0</x:v>
      </x:c>
      <x:c r="F661" s="184" t="n">
        <x:v>0</x:v>
      </x:c>
      <x:c r="G661" s="184" t="n">
        <x:v>0</x:v>
      </x:c>
      <x:c r="H661" s="193" t="n">
        <x:v>0</x:v>
      </x:c>
      <x:c r="I661" s="185" t="n">
        <x:v>0</x:v>
      </x:c>
      <x:c r="J661" s="185" t="n">
        <x:v>0</x:v>
      </x:c>
      <x:c r="K661" s="289" t="n">
        <x:v>0</x:v>
      </x:c>
    </x:row>
    <x:row r="662" s="117" customFormat="1" hidden="1">
      <x:c r="A662" s="184" t="inlineStr">
        <x:is>
          <x:t xml:space="preserve">EPPGENPTA094</x:t>
        </x:is>
      </x:c>
      <x:c r="B662" s="184" t="inlineStr">
        <x:is>
          <x:t xml:space="preserve">CHALECO REFLECTANTE NARANJA TALLA XXL</x:t>
        </x:is>
      </x:c>
      <x:c r="C662" s="184" t="n">
        <x:v>0</x:v>
      </x:c>
      <x:c r="D662" s="184" t="n">
        <x:v>0</x:v>
      </x:c>
      <x:c r="E662" s="184" t="n">
        <x:v>0</x:v>
      </x:c>
      <x:c r="F662" s="184" t="n">
        <x:v>0</x:v>
      </x:c>
      <x:c r="G662" s="184" t="n">
        <x:v>0</x:v>
      </x:c>
      <x:c r="H662" s="193" t="n">
        <x:v>0</x:v>
      </x:c>
      <x:c r="I662" s="185" t="n">
        <x:v>0</x:v>
      </x:c>
      <x:c r="J662" s="185" t="n">
        <x:v>0</x:v>
      </x:c>
      <x:c r="K662" s="289" t="n">
        <x:v>0</x:v>
      </x:c>
    </x:row>
    <x:row r="663" s="117" customFormat="1" hidden="1">
      <x:c r="A663" s="184" t="inlineStr">
        <x:is>
          <x:t xml:space="preserve">EPPGENPTA095</x:t>
        </x:is>
      </x:c>
      <x:c r="B663" s="184" t="inlineStr">
        <x:is>
          <x:t xml:space="preserve">EXTINTOR DE INCENDIOS 6KG</x:t>
        </x:is>
      </x:c>
      <x:c r="C663" s="184" t="n">
        <x:v>0</x:v>
      </x:c>
      <x:c r="D663" s="184" t="n">
        <x:v>0</x:v>
      </x:c>
      <x:c r="E663" s="184" t="n">
        <x:v>0</x:v>
      </x:c>
      <x:c r="F663" s="184" t="n">
        <x:v>0</x:v>
      </x:c>
      <x:c r="G663" s="184" t="n">
        <x:v>0</x:v>
      </x:c>
      <x:c r="H663" s="193" t="n">
        <x:v>0</x:v>
      </x:c>
      <x:c r="I663" s="185" t="n">
        <x:v>0</x:v>
      </x:c>
      <x:c r="J663" s="185" t="n">
        <x:v>0</x:v>
      </x:c>
      <x:c r="K663" s="289" t="n">
        <x:v>0</x:v>
      </x:c>
    </x:row>
    <x:row r="664" s="117" customFormat="1" hidden="1">
      <x:c r="A664" s="184" t="inlineStr">
        <x:is>
          <x:t xml:space="preserve">EPPGENPTA096</x:t>
        </x:is>
      </x:c>
      <x:c r="B664" s="184" t="inlineStr">
        <x:is>
          <x:t xml:space="preserve">EXTINTOR DE INCENDIOS 10KG</x:t>
        </x:is>
      </x:c>
      <x:c r="C664" s="184" t="n">
        <x:v>0</x:v>
      </x:c>
      <x:c r="D664" s="184" t="n">
        <x:v>0</x:v>
      </x:c>
      <x:c r="E664" s="184" t="n">
        <x:v>0</x:v>
      </x:c>
      <x:c r="F664" s="184" t="n">
        <x:v>0</x:v>
      </x:c>
      <x:c r="G664" s="184" t="n">
        <x:v>0</x:v>
      </x:c>
      <x:c r="H664" s="193" t="n">
        <x:v>0</x:v>
      </x:c>
      <x:c r="I664" s="185" t="n">
        <x:v>0</x:v>
      </x:c>
      <x:c r="J664" s="185" t="n">
        <x:v>0</x:v>
      </x:c>
      <x:c r="K664" s="289" t="n">
        <x:v>36766.11111111</x:v>
      </x:c>
    </x:row>
    <x:row r="665" s="117" customFormat="1" hidden="1">
      <x:c r="A665" s="184" t="inlineStr">
        <x:is>
          <x:t xml:space="preserve">EPPGENPTA097</x:t>
        </x:is>
      </x:c>
      <x:c r="B665" s="184" t="inlineStr">
        <x:is>
          <x:t xml:space="preserve">GUANTE NITRILO TALLA 8</x:t>
        </x:is>
      </x:c>
      <x:c r="C665" s="184" t="n">
        <x:v>0</x:v>
      </x:c>
      <x:c r="D665" s="184" t="n">
        <x:v>0</x:v>
      </x:c>
      <x:c r="E665" s="184" t="n">
        <x:v>0</x:v>
      </x:c>
      <x:c r="F665" s="184" t="n">
        <x:v>0</x:v>
      </x:c>
      <x:c r="G665" s="184" t="n">
        <x:v>0</x:v>
      </x:c>
      <x:c r="H665" s="193" t="n">
        <x:v>0</x:v>
      </x:c>
      <x:c r="I665" s="185" t="n">
        <x:v>0</x:v>
      </x:c>
      <x:c r="J665" s="185" t="n">
        <x:v>0</x:v>
      </x:c>
      <x:c r="K665" s="289" t="n">
        <x:v>990</x:v>
      </x:c>
    </x:row>
    <x:row r="666" s="117" customFormat="1" hidden="1">
      <x:c r="A666" s="184" t="inlineStr">
        <x:is>
          <x:t xml:space="preserve">EPPGENPTA098</x:t>
        </x:is>
      </x:c>
      <x:c r="B666" s="184" t="inlineStr">
        <x:is>
          <x:t xml:space="preserve">GUANTE NITRILO TALLA 9</x:t>
        </x:is>
      </x:c>
      <x:c r="C666" s="184" t="n">
        <x:v>0</x:v>
      </x:c>
      <x:c r="D666" s="184" t="n">
        <x:v>0</x:v>
      </x:c>
      <x:c r="E666" s="184" t="n">
        <x:v>0</x:v>
      </x:c>
      <x:c r="F666" s="184" t="n">
        <x:v>0</x:v>
      </x:c>
      <x:c r="G666" s="184" t="n">
        <x:v>1</x:v>
      </x:c>
      <x:c r="H666" s="193" t="n">
        <x:v>0</x:v>
      </x:c>
      <x:c r="I666" s="185" t="n">
        <x:v>0</x:v>
      </x:c>
      <x:c r="J666" s="185" t="n">
        <x:v>1</x:v>
      </x:c>
      <x:c r="K666" s="289" t="n">
        <x:v>980</x:v>
      </x:c>
    </x:row>
    <x:row r="667" s="117" customFormat="1" hidden="1">
      <x:c r="A667" s="184" t="inlineStr">
        <x:is>
          <x:t xml:space="preserve">EPPGENPTA099</x:t>
        </x:is>
      </x:c>
      <x:c r="B667" s="184" t="inlineStr">
        <x:is>
          <x:t xml:space="preserve">GUANTE NITRILO TALLA 10</x:t>
        </x:is>
      </x:c>
      <x:c r="C667" s="184" t="n">
        <x:v>0</x:v>
      </x:c>
      <x:c r="D667" s="184" t="n">
        <x:v>0</x:v>
      </x:c>
      <x:c r="E667" s="184" t="n">
        <x:v>0</x:v>
      </x:c>
      <x:c r="F667" s="184" t="n">
        <x:v>0</x:v>
      </x:c>
      <x:c r="G667" s="184" t="n">
        <x:v>0</x:v>
      </x:c>
      <x:c r="H667" s="193" t="n">
        <x:v>0</x:v>
      </x:c>
      <x:c r="I667" s="185" t="n">
        <x:v>0</x:v>
      </x:c>
      <x:c r="J667" s="185" t="n">
        <x:v>0</x:v>
      </x:c>
      <x:c r="K667" s="289" t="n">
        <x:v>436</x:v>
      </x:c>
    </x:row>
    <x:row r="668" s="117" customFormat="1" hidden="1">
      <x:c r="A668" s="184" t="inlineStr">
        <x:is>
          <x:t xml:space="preserve">EPPGENPTA100</x:t>
        </x:is>
      </x:c>
      <x:c r="B668" s="184" t="inlineStr">
        <x:is>
          <x:t xml:space="preserve">PAÑO WYPALL INDUSTRIAL REGULAR ROLL</x:t>
        </x:is>
      </x:c>
      <x:c r="C668" s="184" t="n">
        <x:v>0</x:v>
      </x:c>
      <x:c r="D668" s="184" t="n">
        <x:v>0</x:v>
      </x:c>
      <x:c r="E668" s="184" t="n">
        <x:v>0</x:v>
      </x:c>
      <x:c r="F668" s="184" t="n">
        <x:v>0</x:v>
      </x:c>
      <x:c r="G668" s="184" t="n">
        <x:v>0</x:v>
      </x:c>
      <x:c r="H668" s="193" t="n">
        <x:v>0</x:v>
      </x:c>
      <x:c r="I668" s="185" t="n">
        <x:v>0</x:v>
      </x:c>
      <x:c r="J668" s="185" t="n">
        <x:v>0</x:v>
      </x:c>
      <x:c r="K668" s="289" t="n">
        <x:v>5108</x:v>
      </x:c>
    </x:row>
    <x:row r="669" s="117" customFormat="1" hidden="1">
      <x:c r="A669" s="184" t="inlineStr">
        <x:is>
          <x:t xml:space="preserve">EPPGENPTA101</x:t>
        </x:is>
      </x:c>
      <x:c r="B669" s="184" t="inlineStr">
        <x:is>
          <x:t xml:space="preserve">PIJAMA DE ALGODÓN 2 PIEZAS BLANCO TALLA M</x:t>
        </x:is>
      </x:c>
      <x:c r="C669" s="184" t="n">
        <x:v>0</x:v>
      </x:c>
      <x:c r="D669" s="184" t="n">
        <x:v>0</x:v>
      </x:c>
      <x:c r="E669" s="184" t="n">
        <x:v>0</x:v>
      </x:c>
      <x:c r="F669" s="184" t="n">
        <x:v>0</x:v>
      </x:c>
      <x:c r="G669" s="184" t="n">
        <x:v>0</x:v>
      </x:c>
      <x:c r="H669" s="193" t="n">
        <x:v>0</x:v>
      </x:c>
      <x:c r="I669" s="185" t="n">
        <x:v>0</x:v>
      </x:c>
      <x:c r="J669" s="185" t="n">
        <x:v>0</x:v>
      </x:c>
      <x:c r="K669" s="289" t="n">
        <x:v>0</x:v>
      </x:c>
    </x:row>
    <x:row r="670" s="117" customFormat="1" hidden="1">
      <x:c r="A670" s="184" t="inlineStr">
        <x:is>
          <x:t xml:space="preserve">EPPGENPTA102</x:t>
        </x:is>
      </x:c>
      <x:c r="B670" s="184" t="inlineStr">
        <x:is>
          <x:t xml:space="preserve">PIJAMA DE ALGODÓN 2 PIEZAS BLANCO TALLA L</x:t>
        </x:is>
      </x:c>
      <x:c r="C670" s="184" t="n">
        <x:v>0</x:v>
      </x:c>
      <x:c r="D670" s="184" t="n">
        <x:v>0</x:v>
      </x:c>
      <x:c r="E670" s="184" t="n">
        <x:v>0</x:v>
      </x:c>
      <x:c r="F670" s="184" t="n">
        <x:v>0</x:v>
      </x:c>
      <x:c r="G670" s="184" t="n">
        <x:v>0</x:v>
      </x:c>
      <x:c r="H670" s="193" t="n">
        <x:v>0</x:v>
      </x:c>
      <x:c r="I670" s="185" t="n">
        <x:v>0</x:v>
      </x:c>
      <x:c r="J670" s="185" t="n">
        <x:v>0</x:v>
      </x:c>
      <x:c r="K670" s="289" t="n">
        <x:v>0</x:v>
      </x:c>
    </x:row>
    <x:row r="671" s="117" customFormat="1" hidden="1">
      <x:c r="A671" s="184" t="inlineStr">
        <x:is>
          <x:t xml:space="preserve">EPPGENPTA103</x:t>
        </x:is>
      </x:c>
      <x:c r="B671" s="184" t="inlineStr">
        <x:is>
          <x:t xml:space="preserve">PIJAMA DE ALGODÓN 2 PIEZAS BLANCO TALLA XL</x:t>
        </x:is>
      </x:c>
      <x:c r="C671" s="184" t="n">
        <x:v>0</x:v>
      </x:c>
      <x:c r="D671" s="184" t="n">
        <x:v>0</x:v>
      </x:c>
      <x:c r="E671" s="184" t="n">
        <x:v>0</x:v>
      </x:c>
      <x:c r="F671" s="184" t="n">
        <x:v>0</x:v>
      </x:c>
      <x:c r="G671" s="184" t="n">
        <x:v>0</x:v>
      </x:c>
      <x:c r="H671" s="193" t="n">
        <x:v>0</x:v>
      </x:c>
      <x:c r="I671" s="185" t="n">
        <x:v>0</x:v>
      </x:c>
      <x:c r="J671" s="185" t="n">
        <x:v>0</x:v>
      </x:c>
      <x:c r="K671" s="289" t="n">
        <x:v>0</x:v>
      </x:c>
    </x:row>
    <x:row r="672" s="117" customFormat="1" hidden="1">
      <x:c r="A672" s="184" t="inlineStr">
        <x:is>
          <x:t xml:space="preserve">EPPGENPTA104</x:t>
        </x:is>
      </x:c>
      <x:c r="B672" s="184" t="inlineStr">
        <x:is>
          <x:t xml:space="preserve">PIJAMA DE ALGODÓN 2 PIEZAS BLANCO TALLA XXL</x:t>
        </x:is>
      </x:c>
      <x:c r="C672" s="184" t="n">
        <x:v>0</x:v>
      </x:c>
      <x:c r="D672" s="184" t="n">
        <x:v>0</x:v>
      </x:c>
      <x:c r="E672" s="184" t="n">
        <x:v>0</x:v>
      </x:c>
      <x:c r="F672" s="184" t="n">
        <x:v>0</x:v>
      </x:c>
      <x:c r="G672" s="184" t="n">
        <x:v>0</x:v>
      </x:c>
      <x:c r="H672" s="193" t="n">
        <x:v>0</x:v>
      </x:c>
      <x:c r="I672" s="185" t="n">
        <x:v>0</x:v>
      </x:c>
      <x:c r="J672" s="185" t="n">
        <x:v>0</x:v>
      </x:c>
      <x:c r="K672" s="289" t="n">
        <x:v>0</x:v>
      </x:c>
    </x:row>
    <x:row r="673" s="117" customFormat="1" hidden="1">
      <x:c r="A673" s="184" t="inlineStr">
        <x:is>
          <x:t xml:space="preserve">EPPGENPTA105</x:t>
        </x:is>
      </x:c>
      <x:c r="B673" s="184" t="inlineStr">
        <x:is>
          <x:t xml:space="preserve">CANDADO DE BLOQUEO COLOR ROJO</x:t>
        </x:is>
      </x:c>
      <x:c r="C673" s="184" t="n">
        <x:v>50</x:v>
      </x:c>
      <x:c r="D673" s="184" t="n">
        <x:v>0</x:v>
      </x:c>
      <x:c r="E673" s="184" t="n">
        <x:v>0</x:v>
      </x:c>
      <x:c r="F673" s="184" t="n">
        <x:v>50</x:v>
      </x:c>
      <x:c r="G673" s="184" t="n">
        <x:v>311268</x:v>
      </x:c>
      <x:c r="H673" s="193" t="n">
        <x:v>0</x:v>
      </x:c>
      <x:c r="I673" s="185" t="n">
        <x:v>0</x:v>
      </x:c>
      <x:c r="J673" s="185" t="n">
        <x:v>311268</x:v>
      </x:c>
      <x:c r="K673" s="289" t="n">
        <x:v>6225.33333334</x:v>
      </x:c>
    </x:row>
    <x:row r="674" s="117" customFormat="1" hidden="1">
      <x:c r="A674" s="184" t="inlineStr">
        <x:is>
          <x:t xml:space="preserve">EPPGENPTA106</x:t>
        </x:is>
      </x:c>
      <x:c r="B674" s="184" t="inlineStr">
        <x:is>
          <x:t xml:space="preserve">CANDADO DE BLOQUEO COLOR AZUL</x:t>
        </x:is>
      </x:c>
      <x:c r="C674" s="184" t="n">
        <x:v>0</x:v>
      </x:c>
      <x:c r="D674" s="184" t="n">
        <x:v>0</x:v>
      </x:c>
      <x:c r="E674" s="184" t="n">
        <x:v>0</x:v>
      </x:c>
      <x:c r="F674" s="184" t="n">
        <x:v>0</x:v>
      </x:c>
      <x:c r="G674" s="184" t="n">
        <x:v>0</x:v>
      </x:c>
      <x:c r="H674" s="193" t="n">
        <x:v>0</x:v>
      </x:c>
      <x:c r="I674" s="185" t="n">
        <x:v>0</x:v>
      </x:c>
      <x:c r="J674" s="185" t="n">
        <x:v>0</x:v>
      </x:c>
      <x:c r="K674" s="289" t="n">
        <x:v>7300</x:v>
      </x:c>
    </x:row>
    <x:row r="675" s="117" customFormat="1" hidden="1">
      <x:c r="A675" s="184" t="inlineStr">
        <x:is>
          <x:t xml:space="preserve">EPPGENPTA107</x:t>
        </x:is>
      </x:c>
      <x:c r="B675" s="184" t="inlineStr">
        <x:is>
          <x:t xml:space="preserve">PINZAS DE BLOQUEO COLOR ROJO</x:t>
        </x:is>
      </x:c>
      <x:c r="C675" s="184" t="n">
        <x:v>0</x:v>
      </x:c>
      <x:c r="D675" s="184" t="n">
        <x:v>0</x:v>
      </x:c>
      <x:c r="E675" s="184" t="n">
        <x:v>0</x:v>
      </x:c>
      <x:c r="F675" s="184" t="n">
        <x:v>0</x:v>
      </x:c>
      <x:c r="G675" s="184" t="n">
        <x:v>0</x:v>
      </x:c>
      <x:c r="H675" s="193" t="n">
        <x:v>0</x:v>
      </x:c>
      <x:c r="I675" s="185" t="n">
        <x:v>0</x:v>
      </x:c>
      <x:c r="J675" s="185" t="n">
        <x:v>0</x:v>
      </x:c>
      <x:c r="K675" s="289" t="n">
        <x:v>2388</x:v>
      </x:c>
    </x:row>
    <x:row r="676" s="117" customFormat="1" hidden="1">
      <x:c r="A676" s="184" t="inlineStr">
        <x:is>
          <x:t xml:space="preserve">EPPGENPTA108</x:t>
        </x:is>
      </x:c>
      <x:c r="B676" s="184" t="inlineStr">
        <x:is>
          <x:t xml:space="preserve">PINZAS DE BLOQUEO COLOR AZUL</x:t>
        </x:is>
      </x:c>
      <x:c r="C676" s="184" t="n">
        <x:v>0</x:v>
      </x:c>
      <x:c r="D676" s="184" t="n">
        <x:v>0</x:v>
      </x:c>
      <x:c r="E676" s="184" t="n">
        <x:v>0</x:v>
      </x:c>
      <x:c r="F676" s="184" t="n">
        <x:v>0</x:v>
      </x:c>
      <x:c r="G676" s="184" t="n">
        <x:v>0</x:v>
      </x:c>
      <x:c r="H676" s="193" t="n">
        <x:v>0</x:v>
      </x:c>
      <x:c r="I676" s="185" t="n">
        <x:v>0</x:v>
      </x:c>
      <x:c r="J676" s="185" t="n">
        <x:v>0</x:v>
      </x:c>
      <x:c r="K676" s="289" t="n">
        <x:v>0</x:v>
      </x:c>
    </x:row>
    <x:row r="677" s="117" customFormat="1" hidden="1">
      <x:c r="A677" s="184" t="inlineStr">
        <x:is>
          <x:t xml:space="preserve">EPPGENPTA109</x:t>
        </x:is>
      </x:c>
      <x:c r="B677" s="184" t="inlineStr">
        <x:is>
          <x:t xml:space="preserve">CAJA DE BLOQUEO</x:t>
        </x:is>
      </x:c>
      <x:c r="C677" s="184" t="n">
        <x:v>0</x:v>
      </x:c>
      <x:c r="D677" s="184" t="n">
        <x:v>0</x:v>
      </x:c>
      <x:c r="E677" s="184" t="n">
        <x:v>0</x:v>
      </x:c>
      <x:c r="F677" s="184" t="n">
        <x:v>0</x:v>
      </x:c>
      <x:c r="G677" s="184" t="n">
        <x:v>0</x:v>
      </x:c>
      <x:c r="H677" s="193" t="n">
        <x:v>0</x:v>
      </x:c>
      <x:c r="I677" s="185" t="n">
        <x:v>0</x:v>
      </x:c>
      <x:c r="J677" s="185" t="n">
        <x:v>0</x:v>
      </x:c>
      <x:c r="K677" s="289" t="n">
        <x:v>16226</x:v>
      </x:c>
    </x:row>
    <x:row r="678" s="117" customFormat="1" hidden="1">
      <x:c r="A678" s="184" t="inlineStr">
        <x:is>
          <x:t xml:space="preserve">EPPGENPTA110</x:t>
        </x:is>
      </x:c>
      <x:c r="B678" s="184" t="inlineStr">
        <x:is>
          <x:t xml:space="preserve">MASCARA SOLDADOR VISOR ALZABLE</x:t>
        </x:is>
      </x:c>
      <x:c r="C678" s="184" t="n">
        <x:v>0</x:v>
      </x:c>
      <x:c r="D678" s="184" t="n">
        <x:v>0</x:v>
      </x:c>
      <x:c r="E678" s="184" t="n">
        <x:v>0</x:v>
      </x:c>
      <x:c r="F678" s="184" t="n">
        <x:v>0</x:v>
      </x:c>
      <x:c r="G678" s="184" t="n">
        <x:v>0</x:v>
      </x:c>
      <x:c r="H678" s="193" t="n">
        <x:v>0</x:v>
      </x:c>
      <x:c r="I678" s="185" t="n">
        <x:v>0</x:v>
      </x:c>
      <x:c r="J678" s="185" t="n">
        <x:v>0</x:v>
      </x:c>
      <x:c r="K678" s="289" t="n">
        <x:v>0</x:v>
      </x:c>
    </x:row>
    <x:row r="679" s="117" customFormat="1" hidden="1">
      <x:c r="A679" s="184" t="inlineStr">
        <x:is>
          <x:t xml:space="preserve">EPPGENPTA111</x:t>
        </x:is>
      </x:c>
      <x:c r="B679" s="184" t="inlineStr">
        <x:is>
          <x:t xml:space="preserve">MASCARA SOLDADOR FOTOSENSIBLE</x:t>
        </x:is>
      </x:c>
      <x:c r="C679" s="184" t="n">
        <x:v>0</x:v>
      </x:c>
      <x:c r="D679" s="184" t="n">
        <x:v>0</x:v>
      </x:c>
      <x:c r="E679" s="184" t="n">
        <x:v>0</x:v>
      </x:c>
      <x:c r="F679" s="184" t="n">
        <x:v>0</x:v>
      </x:c>
      <x:c r="G679" s="184" t="n">
        <x:v>0</x:v>
      </x:c>
      <x:c r="H679" s="193" t="n">
        <x:v>0</x:v>
      </x:c>
      <x:c r="I679" s="185" t="n">
        <x:v>0</x:v>
      </x:c>
      <x:c r="J679" s="185" t="n">
        <x:v>0</x:v>
      </x:c>
      <x:c r="K679" s="289" t="n">
        <x:v>0</x:v>
      </x:c>
    </x:row>
    <x:row r="680" s="117" customFormat="1" hidden="1">
      <x:c r="A680" s="184" t="inlineStr">
        <x:is>
          <x:t xml:space="preserve">EPPGENPTA112</x:t>
        </x:is>
      </x:c>
      <x:c r="B680" s="184" t="inlineStr">
        <x:is>
          <x:t xml:space="preserve">VIDRIO PARA MASCARA DE SOLDAR TRANSPARENTE</x:t>
        </x:is>
      </x:c>
      <x:c r="C680" s="184" t="n">
        <x:v>0</x:v>
      </x:c>
      <x:c r="D680" s="184" t="n">
        <x:v>0</x:v>
      </x:c>
      <x:c r="E680" s="184" t="n">
        <x:v>0</x:v>
      </x:c>
      <x:c r="F680" s="184" t="n">
        <x:v>0</x:v>
      </x:c>
      <x:c r="G680" s="184" t="n">
        <x:v>0</x:v>
      </x:c>
      <x:c r="H680" s="193" t="n">
        <x:v>0</x:v>
      </x:c>
      <x:c r="I680" s="185" t="n">
        <x:v>0</x:v>
      </x:c>
      <x:c r="J680" s="185" t="n">
        <x:v>0</x:v>
      </x:c>
      <x:c r="K680" s="289" t="n">
        <x:v>0</x:v>
      </x:c>
    </x:row>
    <x:row r="681" s="117" customFormat="1" hidden="1">
      <x:c r="A681" s="184" t="inlineStr">
        <x:is>
          <x:t xml:space="preserve">EPPGENPTA113</x:t>
        </x:is>
      </x:c>
      <x:c r="B681" s="184" t="inlineStr">
        <x:is>
          <x:t xml:space="preserve">VIDRIO PARA MASCARA DE SOLDAR NEGRO</x:t>
        </x:is>
      </x:c>
      <x:c r="C681" s="184" t="n">
        <x:v>0</x:v>
      </x:c>
      <x:c r="D681" s="184" t="n">
        <x:v>0</x:v>
      </x:c>
      <x:c r="E681" s="184" t="n">
        <x:v>0</x:v>
      </x:c>
      <x:c r="F681" s="184" t="n">
        <x:v>0</x:v>
      </x:c>
      <x:c r="G681" s="184" t="n">
        <x:v>0</x:v>
      </x:c>
      <x:c r="H681" s="193" t="n">
        <x:v>0</x:v>
      </x:c>
      <x:c r="I681" s="185" t="n">
        <x:v>0</x:v>
      </x:c>
      <x:c r="J681" s="185" t="n">
        <x:v>0</x:v>
      </x:c>
      <x:c r="K681" s="289" t="n">
        <x:v>0</x:v>
      </x:c>
    </x:row>
    <x:row r="682" s="117" customFormat="1" hidden="1">
      <x:c r="A682" s="184" t="inlineStr">
        <x:is>
          <x:t xml:space="preserve">EPPGENPTA114</x:t>
        </x:is>
      </x:c>
      <x:c r="B682" s="184" t="inlineStr">
        <x:is>
          <x:t xml:space="preserve">GORRO DE CUERO PARA SOLDADOR</x:t>
        </x:is>
      </x:c>
      <x:c r="C682" s="184" t="n">
        <x:v>0</x:v>
      </x:c>
      <x:c r="D682" s="184" t="n">
        <x:v>0</x:v>
      </x:c>
      <x:c r="E682" s="184" t="n">
        <x:v>0</x:v>
      </x:c>
      <x:c r="F682" s="184" t="n">
        <x:v>0</x:v>
      </x:c>
      <x:c r="G682" s="184" t="n">
        <x:v>0</x:v>
      </x:c>
      <x:c r="H682" s="193" t="n">
        <x:v>0</x:v>
      </x:c>
      <x:c r="I682" s="185" t="n">
        <x:v>0</x:v>
      </x:c>
      <x:c r="J682" s="185" t="n">
        <x:v>0</x:v>
      </x:c>
      <x:c r="K682" s="289" t="n">
        <x:v>5813</x:v>
      </x:c>
    </x:row>
    <x:row r="683" s="117" customFormat="1" hidden="1">
      <x:c r="A683" s="184" t="inlineStr">
        <x:is>
          <x:t xml:space="preserve">EPPGENPTA115</x:t>
        </x:is>
      </x:c>
      <x:c r="B683" s="184" t="inlineStr">
        <x:is>
          <x:t xml:space="preserve">POLAINA DE CUERO PARA SOLDADOR</x:t>
        </x:is>
      </x:c>
      <x:c r="C683" s="184" t="n">
        <x:v>0</x:v>
      </x:c>
      <x:c r="D683" s="184" t="n">
        <x:v>0</x:v>
      </x:c>
      <x:c r="E683" s="184" t="n">
        <x:v>0</x:v>
      </x:c>
      <x:c r="F683" s="184" t="n">
        <x:v>0</x:v>
      </x:c>
      <x:c r="G683" s="184" t="n">
        <x:v>0</x:v>
      </x:c>
      <x:c r="H683" s="193" t="n">
        <x:v>0</x:v>
      </x:c>
      <x:c r="I683" s="185" t="n">
        <x:v>0</x:v>
      </x:c>
      <x:c r="J683" s="185" t="n">
        <x:v>0</x:v>
      </x:c>
      <x:c r="K683" s="289" t="n">
        <x:v>4988</x:v>
      </x:c>
    </x:row>
    <x:row r="684" s="117" customFormat="1" hidden="1">
      <x:c r="A684" s="184" t="inlineStr">
        <x:is>
          <x:t xml:space="preserve">EPPGENPTA116</x:t>
        </x:is>
      </x:c>
      <x:c r="B684" s="184" t="inlineStr">
        <x:is>
          <x:t xml:space="preserve">PANTALON DE CUERO PARA SOLDADOR XL</x:t>
        </x:is>
      </x:c>
      <x:c r="C684" s="184" t="n">
        <x:v>0</x:v>
      </x:c>
      <x:c r="D684" s="184" t="n">
        <x:v>0</x:v>
      </x:c>
      <x:c r="E684" s="184" t="n">
        <x:v>0</x:v>
      </x:c>
      <x:c r="F684" s="184" t="n">
        <x:v>0</x:v>
      </x:c>
      <x:c r="G684" s="184" t="n">
        <x:v>0</x:v>
      </x:c>
      <x:c r="H684" s="193" t="n">
        <x:v>0</x:v>
      </x:c>
      <x:c r="I684" s="185" t="n">
        <x:v>0</x:v>
      </x:c>
      <x:c r="J684" s="185" t="n">
        <x:v>0</x:v>
      </x:c>
      <x:c r="K684" s="289" t="n">
        <x:v>14363</x:v>
      </x:c>
    </x:row>
    <x:row r="685" s="117" customFormat="1" hidden="1">
      <x:c r="A685" s="184" t="inlineStr">
        <x:is>
          <x:t xml:space="preserve">EPPGENPTA117</x:t>
        </x:is>
      </x:c>
      <x:c r="B685" s="184" t="inlineStr">
        <x:is>
          <x:t xml:space="preserve">CHAQUETA DE CUERO PARA SOLDADOR XL</x:t>
        </x:is>
      </x:c>
      <x:c r="C685" s="184" t="n">
        <x:v>0</x:v>
      </x:c>
      <x:c r="D685" s="184" t="n">
        <x:v>0</x:v>
      </x:c>
      <x:c r="E685" s="184" t="n">
        <x:v>0</x:v>
      </x:c>
      <x:c r="F685" s="184" t="n">
        <x:v>0</x:v>
      </x:c>
      <x:c r="G685" s="184" t="n">
        <x:v>0</x:v>
      </x:c>
      <x:c r="H685" s="193" t="n">
        <x:v>0</x:v>
      </x:c>
      <x:c r="I685" s="185" t="n">
        <x:v>0</x:v>
      </x:c>
      <x:c r="J685" s="185" t="n">
        <x:v>0</x:v>
      </x:c>
      <x:c r="K685" s="289" t="n">
        <x:v>14363</x:v>
      </x:c>
    </x:row>
    <x:row r="686" s="117" customFormat="1" hidden="1">
      <x:c r="A686" s="184" t="inlineStr">
        <x:is>
          <x:t xml:space="preserve">EPPGENPTA118</x:t>
        </x:is>
      </x:c>
      <x:c r="B686" s="184" t="inlineStr">
        <x:is>
          <x:t xml:space="preserve">GUANTE DE CUERO SOLDADOR</x:t>
        </x:is>
      </x:c>
      <x:c r="C686" s="184" t="n">
        <x:v>0</x:v>
      </x:c>
      <x:c r="D686" s="184" t="n">
        <x:v>0</x:v>
      </x:c>
      <x:c r="E686" s="184" t="n">
        <x:v>0</x:v>
      </x:c>
      <x:c r="F686" s="184" t="n">
        <x:v>0</x:v>
      </x:c>
      <x:c r="G686" s="184" t="n">
        <x:v>0</x:v>
      </x:c>
      <x:c r="H686" s="193" t="n">
        <x:v>0</x:v>
      </x:c>
      <x:c r="I686" s="185" t="n">
        <x:v>0</x:v>
      </x:c>
      <x:c r="J686" s="185" t="n">
        <x:v>0</x:v>
      </x:c>
      <x:c r="K686" s="289" t="n">
        <x:v>3990</x:v>
      </x:c>
    </x:row>
    <x:row r="687" s="117" customFormat="1" hidden="1">
      <x:c r="A687" s="184" t="inlineStr">
        <x:is>
          <x:t xml:space="preserve">EPPGENPTA119</x:t>
        </x:is>
      </x:c>
      <x:c r="B687" s="184" t="inlineStr">
        <x:is>
          <x:t xml:space="preserve">LEGIONARIO CUBRENUCAS COLOR NARANJA</x:t>
        </x:is>
      </x:c>
      <x:c r="C687" s="184" t="n">
        <x:v>30</x:v>
      </x:c>
      <x:c r="D687" s="184" t="n">
        <x:v>0</x:v>
      </x:c>
      <x:c r="E687" s="184" t="n">
        <x:v>0</x:v>
      </x:c>
      <x:c r="F687" s="184" t="n">
        <x:v>30</x:v>
      </x:c>
      <x:c r="G687" s="184" t="n">
        <x:v>16501</x:v>
      </x:c>
      <x:c r="H687" s="193" t="n">
        <x:v>0</x:v>
      </x:c>
      <x:c r="I687" s="185" t="n">
        <x:v>0</x:v>
      </x:c>
      <x:c r="J687" s="185" t="n">
        <x:v>16501</x:v>
      </x:c>
      <x:c r="K687" s="289" t="n">
        <x:v>550</x:v>
      </x:c>
    </x:row>
    <x:row r="688" s="117" customFormat="1" hidden="1">
      <x:c r="A688" s="184" t="inlineStr">
        <x:is>
          <x:t xml:space="preserve">EPPGENPTA120</x:t>
        </x:is>
      </x:c>
      <x:c r="B688" s="184" t="inlineStr">
        <x:is>
          <x:t xml:space="preserve">LAVA OJOS PORTATIL STEELPRO</x:t>
        </x:is>
      </x:c>
      <x:c r="C688" s="184" t="n">
        <x:v>0</x:v>
      </x:c>
      <x:c r="D688" s="184" t="n">
        <x:v>0</x:v>
      </x:c>
      <x:c r="E688" s="184" t="n">
        <x:v>0</x:v>
      </x:c>
      <x:c r="F688" s="184" t="n">
        <x:v>0</x:v>
      </x:c>
      <x:c r="G688" s="184" t="n">
        <x:v>0</x:v>
      </x:c>
      <x:c r="H688" s="193" t="n">
        <x:v>0</x:v>
      </x:c>
      <x:c r="I688" s="185" t="n">
        <x:v>0</x:v>
      </x:c>
      <x:c r="J688" s="185" t="n">
        <x:v>0</x:v>
      </x:c>
      <x:c r="K688" s="289" t="n">
        <x:v>0</x:v>
      </x:c>
    </x:row>
    <x:row r="689" s="117" customFormat="1" hidden="1">
      <x:c r="A689" s="184" t="inlineStr">
        <x:is>
          <x:t xml:space="preserve">EPPGENPTA121</x:t>
        </x:is>
      </x:c>
      <x:c r="B689" s="184" t="inlineStr">
        <x:is>
          <x:t xml:space="preserve">CASCO GENERICO COLOR AZUL</x:t>
        </x:is>
      </x:c>
      <x:c r="C689" s="184" t="n">
        <x:v>45</x:v>
      </x:c>
      <x:c r="D689" s="184" t="n">
        <x:v>0</x:v>
      </x:c>
      <x:c r="E689" s="184" t="n">
        <x:v>0</x:v>
      </x:c>
      <x:c r="F689" s="184" t="n">
        <x:v>45</x:v>
      </x:c>
      <x:c r="G689" s="184" t="n">
        <x:v>85051</x:v>
      </x:c>
      <x:c r="H689" s="193" t="n">
        <x:v>0</x:v>
      </x:c>
      <x:c r="I689" s="185" t="n">
        <x:v>0</x:v>
      </x:c>
      <x:c r="J689" s="185" t="n">
        <x:v>85051</x:v>
      </x:c>
      <x:c r="K689" s="289" t="n">
        <x:v>1890</x:v>
      </x:c>
    </x:row>
    <x:row r="690" s="117" customFormat="1" hidden="1">
      <x:c r="A690" s="184" t="inlineStr">
        <x:is>
          <x:t xml:space="preserve">EPPGENPTA122</x:t>
        </x:is>
      </x:c>
      <x:c r="B690" s="184" t="inlineStr">
        <x:is>
          <x:t xml:space="preserve">CASCO GENERICO COLOR AMARILLO</x:t>
        </x:is>
      </x:c>
      <x:c r="C690" s="184" t="n">
        <x:v>0</x:v>
      </x:c>
      <x:c r="D690" s="184" t="n">
        <x:v>0</x:v>
      </x:c>
      <x:c r="E690" s="184" t="n">
        <x:v>0</x:v>
      </x:c>
      <x:c r="F690" s="184" t="n">
        <x:v>0</x:v>
      </x:c>
      <x:c r="G690" s="184" t="n">
        <x:v>0</x:v>
      </x:c>
      <x:c r="H690" s="193" t="n">
        <x:v>0</x:v>
      </x:c>
      <x:c r="I690" s="185" t="n">
        <x:v>0</x:v>
      </x:c>
      <x:c r="J690" s="185" t="n">
        <x:v>0</x:v>
      </x:c>
      <x:c r="K690" s="289" t="n">
        <x:v>0</x:v>
      </x:c>
    </x:row>
    <x:row r="691" s="117" customFormat="1" hidden="1">
      <x:c r="A691" s="184" t="inlineStr">
        <x:is>
          <x:t xml:space="preserve">EPPGENPTA123</x:t>
        </x:is>
      </x:c>
      <x:c r="B691" s="184" t="inlineStr">
        <x:is>
          <x:t xml:space="preserve">CASCO GENERICO COLOR ROJO</x:t>
        </x:is>
      </x:c>
      <x:c r="C691" s="184" t="n">
        <x:v>0</x:v>
      </x:c>
      <x:c r="D691" s="184" t="n">
        <x:v>0</x:v>
      </x:c>
      <x:c r="E691" s="184" t="n">
        <x:v>0</x:v>
      </x:c>
      <x:c r="F691" s="184" t="n">
        <x:v>0</x:v>
      </x:c>
      <x:c r="G691" s="184" t="n">
        <x:v>0</x:v>
      </x:c>
      <x:c r="H691" s="193" t="n">
        <x:v>0</x:v>
      </x:c>
      <x:c r="I691" s="185" t="n">
        <x:v>0</x:v>
      </x:c>
      <x:c r="J691" s="185" t="n">
        <x:v>0</x:v>
      </x:c>
      <x:c r="K691" s="289" t="n">
        <x:v>0</x:v>
      </x:c>
    </x:row>
    <x:row r="692" s="117" customFormat="1" hidden="1">
      <x:c r="A692" s="184" t="inlineStr">
        <x:is>
          <x:t xml:space="preserve">EPPGENPTA124</x:t>
        </x:is>
      </x:c>
      <x:c r="B692" s="184" t="inlineStr">
        <x:is>
          <x:t xml:space="preserve">CASCO GENERICO COLOR BLANCO</x:t>
        </x:is>
      </x:c>
      <x:c r="C692" s="184" t="n">
        <x:v>12</x:v>
      </x:c>
      <x:c r="D692" s="184" t="n">
        <x:v>0</x:v>
      </x:c>
      <x:c r="E692" s="184" t="n">
        <x:v>0</x:v>
      </x:c>
      <x:c r="F692" s="184" t="n">
        <x:v>12</x:v>
      </x:c>
      <x:c r="G692" s="184" t="n">
        <x:v>20885</x:v>
      </x:c>
      <x:c r="H692" s="193" t="n">
        <x:v>0</x:v>
      </x:c>
      <x:c r="I692" s="185" t="n">
        <x:v>0</x:v>
      </x:c>
      <x:c r="J692" s="185" t="n">
        <x:v>20885</x:v>
      </x:c>
      <x:c r="K692" s="289" t="n">
        <x:v>1740.45454546</x:v>
      </x:c>
    </x:row>
    <x:row r="693" s="117" customFormat="1" hidden="1">
      <x:c r="A693" s="184" t="inlineStr">
        <x:is>
          <x:t xml:space="preserve">EPPGENPTA125</x:t>
        </x:is>
      </x:c>
      <x:c r="B693" s="184" t="inlineStr">
        <x:is>
          <x:t xml:space="preserve">LENTE STEELPRO SPY-FLEX ANTIFOG IN/OUT</x:t>
        </x:is>
      </x:c>
      <x:c r="C693" s="184" t="n">
        <x:v>0</x:v>
      </x:c>
      <x:c r="D693" s="184" t="n">
        <x:v>0</x:v>
      </x:c>
      <x:c r="E693" s="184" t="n">
        <x:v>0</x:v>
      </x:c>
      <x:c r="F693" s="184" t="n">
        <x:v>0</x:v>
      </x:c>
      <x:c r="G693" s="184" t="n">
        <x:v>0</x:v>
      </x:c>
      <x:c r="H693" s="193" t="n">
        <x:v>0</x:v>
      </x:c>
      <x:c r="I693" s="185" t="n">
        <x:v>0</x:v>
      </x:c>
      <x:c r="J693" s="185" t="n">
        <x:v>0</x:v>
      </x:c>
      <x:c r="K693" s="289" t="n">
        <x:v>1530</x:v>
      </x:c>
    </x:row>
    <x:row r="694" s="117" customFormat="1" hidden="1">
      <x:c r="A694" s="184" t="inlineStr">
        <x:is>
          <x:t xml:space="preserve">EPPGENPTA126</x:t>
        </x:is>
      </x:c>
      <x:c r="B694" s="184" t="inlineStr">
        <x:is>
          <x:t xml:space="preserve">LENTE SPY CLARO U.S. EAGLE</x:t>
        </x:is>
      </x:c>
      <x:c r="C694" s="184" t="n">
        <x:v>0</x:v>
      </x:c>
      <x:c r="D694" s="184" t="n">
        <x:v>0</x:v>
      </x:c>
      <x:c r="E694" s="184" t="n">
        <x:v>0</x:v>
      </x:c>
      <x:c r="F694" s="184" t="n">
        <x:v>0</x:v>
      </x:c>
      <x:c r="G694" s="184" t="n">
        <x:v>0</x:v>
      </x:c>
      <x:c r="H694" s="193" t="n">
        <x:v>0</x:v>
      </x:c>
      <x:c r="I694" s="185" t="n">
        <x:v>0</x:v>
      </x:c>
      <x:c r="J694" s="185" t="n">
        <x:v>0</x:v>
      </x:c>
      <x:c r="K694" s="289" t="n">
        <x:v>0</x:v>
      </x:c>
    </x:row>
    <x:row r="695" s="117" customFormat="1" hidden="1">
      <x:c r="A695" s="184" t="inlineStr">
        <x:is>
          <x:t xml:space="preserve">EPPGENPTA127</x:t>
        </x:is>
      </x:c>
      <x:c r="B695" s="184" t="inlineStr">
        <x:is>
          <x:t xml:space="preserve">PAÑO DE LIMPIEZA X KG</x:t>
        </x:is>
      </x:c>
      <x:c r="C695" s="184" t="n">
        <x:v>199</x:v>
      </x:c>
      <x:c r="D695" s="184" t="n">
        <x:v>100</x:v>
      </x:c>
      <x:c r="E695" s="184" t="n">
        <x:v>23</x:v>
      </x:c>
      <x:c r="F695" s="184" t="n">
        <x:v>276</x:v>
      </x:c>
      <x:c r="G695" s="184" t="n">
        <x:v>378085</x:v>
      </x:c>
      <x:c r="H695" s="193" t="n">
        <x:v>190000</x:v>
      </x:c>
      <x:c r="I695" s="185" t="n">
        <x:v>43700</x:v>
      </x:c>
      <x:c r="J695" s="185" t="n">
        <x:v>524385</x:v>
      </x:c>
      <x:c r="K695" s="289" t="n">
        <x:v>1900</x:v>
      </x:c>
    </x:row>
    <x:row r="696" s="117" customFormat="1" hidden="1">
      <x:c r="A696" s="184" t="inlineStr">
        <x:is>
          <x:t xml:space="preserve">EPPGENPTA128</x:t>
        </x:is>
      </x:c>
      <x:c r="B696" s="184" t="inlineStr">
        <x:is>
          <x:t xml:space="preserve">ALCOHOL ISOPROPILICO</x:t>
        </x:is>
      </x:c>
      <x:c r="C696" s="184" t="n">
        <x:v>16</x:v>
      </x:c>
      <x:c r="D696" s="184" t="n">
        <x:v>0</x:v>
      </x:c>
      <x:c r="E696" s="184" t="n">
        <x:v>3</x:v>
      </x:c>
      <x:c r="F696" s="184" t="n">
        <x:v>13</x:v>
      </x:c>
      <x:c r="G696" s="184" t="n">
        <x:v>51188</x:v>
      </x:c>
      <x:c r="H696" s="193" t="n">
        <x:v>0</x:v>
      </x:c>
      <x:c r="I696" s="185" t="n">
        <x:v>9600</x:v>
      </x:c>
      <x:c r="J696" s="185" t="n">
        <x:v>41588</x:v>
      </x:c>
      <x:c r="K696" s="289" t="n">
        <x:v>3199.64372797</x:v>
      </x:c>
    </x:row>
    <x:row r="697" s="117" customFormat="1" hidden="1">
      <x:c r="A697" s="184" t="inlineStr">
        <x:is>
          <x:t xml:space="preserve">EPPGENPTA129</x:t>
        </x:is>
      </x:c>
      <x:c r="B697" s="184" t="inlineStr">
        <x:is>
          <x:t xml:space="preserve">HOMBRERAS</x:t>
        </x:is>
      </x:c>
      <x:c r="C697" s="184" t="n">
        <x:v>0</x:v>
      </x:c>
      <x:c r="D697" s="184" t="n">
        <x:v>0</x:v>
      </x:c>
      <x:c r="E697" s="184" t="n">
        <x:v>0</x:v>
      </x:c>
      <x:c r="F697" s="184" t="n">
        <x:v>0</x:v>
      </x:c>
      <x:c r="G697" s="184" t="n">
        <x:v>0</x:v>
      </x:c>
      <x:c r="H697" s="193" t="n">
        <x:v>0</x:v>
      </x:c>
      <x:c r="I697" s="185" t="n">
        <x:v>0</x:v>
      </x:c>
      <x:c r="J697" s="185" t="n">
        <x:v>0</x:v>
      </x:c>
      <x:c r="K697" s="289" t="n">
        <x:v>0</x:v>
      </x:c>
    </x:row>
    <x:row r="698" s="117" customFormat="1" hidden="1">
      <x:c r="A698" s="184" t="inlineStr">
        <x:is>
          <x:t xml:space="preserve">EPPGENPTA130</x:t>
        </x:is>
      </x:c>
      <x:c r="B698" s="184" t="inlineStr">
        <x:is>
          <x:t xml:space="preserve">GUANTE NITRILO TALLA 7</x:t>
        </x:is>
      </x:c>
      <x:c r="C698" s="184" t="n">
        <x:v>0</x:v>
      </x:c>
      <x:c r="D698" s="184" t="n">
        <x:v>0</x:v>
      </x:c>
      <x:c r="E698" s="184" t="n">
        <x:v>0</x:v>
      </x:c>
      <x:c r="F698" s="184" t="n">
        <x:v>0</x:v>
      </x:c>
      <x:c r="G698" s="184" t="n">
        <x:v>0</x:v>
      </x:c>
      <x:c r="H698" s="193" t="n">
        <x:v>0</x:v>
      </x:c>
      <x:c r="I698" s="185" t="n">
        <x:v>0</x:v>
      </x:c>
      <x:c r="J698" s="185" t="n">
        <x:v>0</x:v>
      </x:c>
      <x:c r="K698" s="289" t="n">
        <x:v>0</x:v>
      </x:c>
    </x:row>
    <x:row r="699" s="117" customFormat="1" hidden="1">
      <x:c r="A699" s="184" t="inlineStr">
        <x:is>
          <x:t xml:space="preserve">EPPGENPTA131</x:t>
        </x:is>
      </x:c>
      <x:c r="B699" s="184" t="inlineStr">
        <x:is>
          <x:t xml:space="preserve">LENTE SPY ULTRATECH GRIS C/CORDON</x:t>
        </x:is>
      </x:c>
      <x:c r="C699" s="184" t="n">
        <x:v>0</x:v>
      </x:c>
      <x:c r="D699" s="184" t="n">
        <x:v>0</x:v>
      </x:c>
      <x:c r="E699" s="184" t="n">
        <x:v>0</x:v>
      </x:c>
      <x:c r="F699" s="184" t="n">
        <x:v>0</x:v>
      </x:c>
      <x:c r="G699" s="184" t="n">
        <x:v>0</x:v>
      </x:c>
      <x:c r="H699" s="193" t="n">
        <x:v>0</x:v>
      </x:c>
      <x:c r="I699" s="185" t="n">
        <x:v>0</x:v>
      </x:c>
      <x:c r="J699" s="185" t="n">
        <x:v>0</x:v>
      </x:c>
      <x:c r="K699" s="289" t="n">
        <x:v>3500</x:v>
      </x:c>
    </x:row>
    <x:row r="700" s="117" customFormat="1" hidden="1">
      <x:c r="A700" s="184" t="inlineStr">
        <x:is>
          <x:t xml:space="preserve">EPPGENPTA132</x:t>
        </x:is>
      </x:c>
      <x:c r="B700" s="184" t="inlineStr">
        <x:is>
          <x:t xml:space="preserve">LENTE SPY ULTRATECH CLARO C/CORDON</x:t>
        </x:is>
      </x:c>
      <x:c r="C700" s="184" t="n">
        <x:v>0</x:v>
      </x:c>
      <x:c r="D700" s="184" t="n">
        <x:v>0</x:v>
      </x:c>
      <x:c r="E700" s="184" t="n">
        <x:v>0</x:v>
      </x:c>
      <x:c r="F700" s="184" t="n">
        <x:v>0</x:v>
      </x:c>
      <x:c r="G700" s="184" t="n">
        <x:v>0</x:v>
      </x:c>
      <x:c r="H700" s="193" t="n">
        <x:v>0</x:v>
      </x:c>
      <x:c r="I700" s="185" t="n">
        <x:v>0</x:v>
      </x:c>
      <x:c r="J700" s="185" t="n">
        <x:v>0</x:v>
      </x:c>
      <x:c r="K700" s="289" t="n">
        <x:v>3500</x:v>
      </x:c>
    </x:row>
    <x:row r="701" s="117" customFormat="1" hidden="1">
      <x:c r="A701" s="184" t="inlineStr">
        <x:is>
          <x:t xml:space="preserve">EPPGENPTA133</x:t>
        </x:is>
      </x:c>
      <x:c r="B701" s="184" t="inlineStr">
        <x:is>
          <x:t xml:space="preserve">CAPUCHA FULL FACE BLS 5700C (ANTIACIDA)</x:t>
        </x:is>
      </x:c>
      <x:c r="C701" s="184" t="n">
        <x:v>27</x:v>
      </x:c>
      <x:c r="D701" s="184" t="n">
        <x:v>0</x:v>
      </x:c>
      <x:c r="E701" s="184" t="n">
        <x:v>0</x:v>
      </x:c>
      <x:c r="F701" s="184" t="n">
        <x:v>27</x:v>
      </x:c>
      <x:c r="G701" s="184" t="n">
        <x:v>6086957</x:v>
      </x:c>
      <x:c r="H701" s="193" t="n">
        <x:v>0</x:v>
      </x:c>
      <x:c r="I701" s="185" t="n">
        <x:v>0</x:v>
      </x:c>
      <x:c r="J701" s="185" t="n">
        <x:v>6086957</x:v>
      </x:c>
      <x:c r="K701" s="289" t="n">
        <x:v>225442.80918889</x:v>
      </x:c>
    </x:row>
    <x:row r="702" s="117" customFormat="1" hidden="1">
      <x:c r="A702" s="184" t="inlineStr">
        <x:is>
          <x:t xml:space="preserve">EPPGENPTA134</x:t>
        </x:is>
      </x:c>
      <x:c r="B702" s="184" t="inlineStr">
        <x:is>
          <x:t xml:space="preserve">TAPON DE OIDOS REUSABLES (CAJA 100 PARES)</x:t>
        </x:is>
      </x:c>
      <x:c r="C702" s="184" t="n">
        <x:v>1</x:v>
      </x:c>
      <x:c r="D702" s="184" t="n">
        <x:v>0</x:v>
      </x:c>
      <x:c r="E702" s="184" t="n">
        <x:v>0</x:v>
      </x:c>
      <x:c r="F702" s="184" t="n">
        <x:v>1</x:v>
      </x:c>
      <x:c r="G702" s="184" t="n">
        <x:v>25000</x:v>
      </x:c>
      <x:c r="H702" s="193" t="n">
        <x:v>0</x:v>
      </x:c>
      <x:c r="I702" s="185" t="n">
        <x:v>0</x:v>
      </x:c>
      <x:c r="J702" s="185" t="n">
        <x:v>25000</x:v>
      </x:c>
      <x:c r="K702" s="289" t="n">
        <x:v>25000</x:v>
      </x:c>
    </x:row>
    <x:row r="703" s="117" customFormat="1" hidden="1">
      <x:c r="A703" s="184" t="inlineStr">
        <x:is>
          <x:t xml:space="preserve">EPPGENPTA135</x:t>
        </x:is>
      </x:c>
      <x:c r="B703" s="184" t="inlineStr">
        <x:is>
          <x:t xml:space="preserve">RESPIRADOR ROSTRO COMPLETO 3M 6800 TALLA - M</x:t>
        </x:is>
      </x:c>
      <x:c r="C703" s="184" t="n">
        <x:v>0</x:v>
      </x:c>
      <x:c r="D703" s="184" t="n">
        <x:v>0</x:v>
      </x:c>
      <x:c r="E703" s="184" t="n">
        <x:v>0</x:v>
      </x:c>
      <x:c r="F703" s="184" t="n">
        <x:v>0</x:v>
      </x:c>
      <x:c r="G703" s="184" t="n">
        <x:v>0</x:v>
      </x:c>
      <x:c r="H703" s="193" t="n">
        <x:v>0</x:v>
      </x:c>
      <x:c r="I703" s="185" t="n">
        <x:v>0</x:v>
      </x:c>
      <x:c r="J703" s="185" t="n">
        <x:v>0</x:v>
      </x:c>
      <x:c r="K703" s="289" t="n">
        <x:v>0</x:v>
      </x:c>
    </x:row>
    <x:row r="704" s="117" customFormat="1" hidden="1">
      <x:c r="A704" s="184" t="inlineStr">
        <x:is>
          <x:t xml:space="preserve">EPPGENPTA136</x:t>
        </x:is>
      </x:c>
      <x:c r="B704" s="184" t="inlineStr">
        <x:is>
          <x:t xml:space="preserve">GUANTE ANTICORTE (MULTIPROTEC)</x:t>
        </x:is>
      </x:c>
      <x:c r="C704" s="184" t="n">
        <x:v>0</x:v>
      </x:c>
      <x:c r="D704" s="184" t="n">
        <x:v>0</x:v>
      </x:c>
      <x:c r="E704" s="184" t="n">
        <x:v>0</x:v>
      </x:c>
      <x:c r="F704" s="184" t="n">
        <x:v>0</x:v>
      </x:c>
      <x:c r="G704" s="184" t="n">
        <x:v>0</x:v>
      </x:c>
      <x:c r="H704" s="193" t="n">
        <x:v>0</x:v>
      </x:c>
      <x:c r="I704" s="185" t="n">
        <x:v>0</x:v>
      </x:c>
      <x:c r="J704" s="185" t="n">
        <x:v>0</x:v>
      </x:c>
      <x:c r="K704" s="289" t="n">
        <x:v>0</x:v>
      </x:c>
    </x:row>
    <x:row r="705" s="117" customFormat="1" hidden="1">
      <x:c r="A705" s="184" t="inlineStr">
        <x:is>
          <x:t xml:space="preserve">EPPGENPTA137</x:t>
        </x:is>
      </x:c>
      <x:c r="B705" s="184" t="inlineStr">
        <x:is>
          <x:t xml:space="preserve">GUANTES NITRILO QUIRURGICOS AZULES T/M  (CAJA 100 UNID)</x:t>
        </x:is>
      </x:c>
      <x:c r="C705" s="184" t="n">
        <x:v>6</x:v>
      </x:c>
      <x:c r="D705" s="184" t="n">
        <x:v>0</x:v>
      </x:c>
      <x:c r="E705" s="184" t="n">
        <x:v>1</x:v>
      </x:c>
      <x:c r="F705" s="184" t="n">
        <x:v>5</x:v>
      </x:c>
      <x:c r="G705" s="184" t="n">
        <x:v>16200</x:v>
      </x:c>
      <x:c r="H705" s="193" t="n">
        <x:v>0</x:v>
      </x:c>
      <x:c r="I705" s="185" t="n">
        <x:v>2700</x:v>
      </x:c>
      <x:c r="J705" s="185" t="n">
        <x:v>13500</x:v>
      </x:c>
      <x:c r="K705" s="289" t="n">
        <x:v>2700</x:v>
      </x:c>
    </x:row>
    <x:row r="706" s="117" customFormat="1" hidden="1">
      <x:c r="A706" s="184" t="inlineStr">
        <x:is>
          <x:t xml:space="preserve">EPPGENPTA138</x:t>
        </x:is>
      </x:c>
      <x:c r="B706" s="184" t="inlineStr">
        <x:is>
          <x:t xml:space="preserve">REPUESTO CARETA FACIAL (VISOR 8X16 CLARO)</x:t>
        </x:is>
      </x:c>
      <x:c r="C706" s="184" t="n">
        <x:v>38</x:v>
      </x:c>
      <x:c r="D706" s="184" t="n">
        <x:v>0</x:v>
      </x:c>
      <x:c r="E706" s="184" t="n">
        <x:v>0</x:v>
      </x:c>
      <x:c r="F706" s="184" t="n">
        <x:v>38</x:v>
      </x:c>
      <x:c r="G706" s="184" t="n">
        <x:v>37620</x:v>
      </x:c>
      <x:c r="H706" s="193" t="n">
        <x:v>0</x:v>
      </x:c>
      <x:c r="I706" s="185" t="n">
        <x:v>0</x:v>
      </x:c>
      <x:c r="J706" s="185" t="n">
        <x:v>37620</x:v>
      </x:c>
      <x:c r="K706" s="289" t="n">
        <x:v>990</x:v>
      </x:c>
    </x:row>
    <x:row r="707" s="117" customFormat="1" hidden="1">
      <x:c r="A707" s="184" t="inlineStr">
        <x:is>
          <x:t xml:space="preserve">EPPGENPTA139</x:t>
        </x:is>
      </x:c>
      <x:c r="B707" s="184" t="inlineStr">
        <x:is>
          <x:t xml:space="preserve">CASCO MASPROT MPC 221 C/ARNES AZUL</x:t>
        </x:is>
      </x:c>
      <x:c r="C707" s="184" t="n">
        <x:v>8</x:v>
      </x:c>
      <x:c r="D707" s="184" t="n">
        <x:v>0</x:v>
      </x:c>
      <x:c r="E707" s="184" t="n">
        <x:v>0</x:v>
      </x:c>
      <x:c r="F707" s="184" t="n">
        <x:v>8</x:v>
      </x:c>
      <x:c r="G707" s="184" t="n">
        <x:v>23120</x:v>
      </x:c>
      <x:c r="H707" s="193" t="n">
        <x:v>0</x:v>
      </x:c>
      <x:c r="I707" s="185" t="n">
        <x:v>0</x:v>
      </x:c>
      <x:c r="J707" s="185" t="n">
        <x:v>23120</x:v>
      </x:c>
      <x:c r="K707" s="289" t="n">
        <x:v>2890</x:v>
      </x:c>
    </x:row>
    <x:row r="708" s="117" customFormat="1" hidden="1">
      <x:c r="A708" s="184" t="inlineStr">
        <x:is>
          <x:t xml:space="preserve">EPPGENPTA140</x:t>
        </x:is>
      </x:c>
      <x:c r="B708" s="184" t="inlineStr">
        <x:is>
          <x:t xml:space="preserve">CASCO MASPROT MPC 221 C/ARNES AMARILLO</x:t>
        </x:is>
      </x:c>
      <x:c r="C708" s="184" t="n">
        <x:v>0</x:v>
      </x:c>
      <x:c r="D708" s="184" t="n">
        <x:v>0</x:v>
      </x:c>
      <x:c r="E708" s="184" t="n">
        <x:v>0</x:v>
      </x:c>
      <x:c r="F708" s="184" t="n">
        <x:v>0</x:v>
      </x:c>
      <x:c r="G708" s="184" t="n">
        <x:v>0</x:v>
      </x:c>
      <x:c r="H708" s="193" t="n">
        <x:v>0</x:v>
      </x:c>
      <x:c r="I708" s="185" t="n">
        <x:v>0</x:v>
      </x:c>
      <x:c r="J708" s="185" t="n">
        <x:v>0</x:v>
      </x:c>
      <x:c r="K708" s="289" t="n">
        <x:v>0</x:v>
      </x:c>
    </x:row>
    <x:row r="709" s="117" customFormat="1" hidden="1">
      <x:c r="A709" s="184" t="inlineStr">
        <x:is>
          <x:t xml:space="preserve">EPPGENPTA141</x:t>
        </x:is>
      </x:c>
      <x:c r="B709" s="184" t="inlineStr">
        <x:is>
          <x:t xml:space="preserve">CASCO MASPROT MPC 221 C/ARNES ROJO</x:t>
        </x:is>
      </x:c>
      <x:c r="C709" s="184" t="n">
        <x:v>0</x:v>
      </x:c>
      <x:c r="D709" s="184" t="n">
        <x:v>0</x:v>
      </x:c>
      <x:c r="E709" s="184" t="n">
        <x:v>0</x:v>
      </x:c>
      <x:c r="F709" s="184" t="n">
        <x:v>0</x:v>
      </x:c>
      <x:c r="G709" s="184" t="n">
        <x:v>0</x:v>
      </x:c>
      <x:c r="H709" s="193" t="n">
        <x:v>0</x:v>
      </x:c>
      <x:c r="I709" s="185" t="n">
        <x:v>0</x:v>
      </x:c>
      <x:c r="J709" s="185" t="n">
        <x:v>0</x:v>
      </x:c>
      <x:c r="K709" s="289" t="n">
        <x:v>0</x:v>
      </x:c>
    </x:row>
    <x:row r="710" s="117" customFormat="1" hidden="1">
      <x:c r="A710" s="184" t="inlineStr">
        <x:is>
          <x:t xml:space="preserve">EPPGENPTA142</x:t>
        </x:is>
      </x:c>
      <x:c r="B710" s="184" t="inlineStr">
        <x:is>
          <x:t xml:space="preserve">CASCO MASPROT MPC 221 C/ARNES BLANCO</x:t>
        </x:is>
      </x:c>
      <x:c r="C710" s="184" t="n">
        <x:v>3</x:v>
      </x:c>
      <x:c r="D710" s="184" t="n">
        <x:v>0</x:v>
      </x:c>
      <x:c r="E710" s="184" t="n">
        <x:v>0</x:v>
      </x:c>
      <x:c r="F710" s="184" t="n">
        <x:v>3</x:v>
      </x:c>
      <x:c r="G710" s="184" t="n">
        <x:v>8670</x:v>
      </x:c>
      <x:c r="H710" s="193" t="n">
        <x:v>0</x:v>
      </x:c>
      <x:c r="I710" s="185" t="n">
        <x:v>0</x:v>
      </x:c>
      <x:c r="J710" s="185" t="n">
        <x:v>8670</x:v>
      </x:c>
      <x:c r="K710" s="289" t="n">
        <x:v>2890</x:v>
      </x:c>
    </x:row>
    <x:row r="711" s="117" customFormat="1" hidden="1">
      <x:c r="A711" s="184" t="inlineStr">
        <x:is>
          <x:t xml:space="preserve">EPPGENPTA143</x:t>
        </x:is>
      </x:c>
      <x:c r="B711" s="184" t="inlineStr">
        <x:is>
          <x:t xml:space="preserve">SUSPENCION MASPROT MPC 221 PLASTICO CASCO</x:t>
        </x:is>
      </x:c>
      <x:c r="C711" s="184" t="n">
        <x:v>0</x:v>
      </x:c>
      <x:c r="D711" s="184" t="n">
        <x:v>0</x:v>
      </x:c>
      <x:c r="E711" s="184" t="n">
        <x:v>0</x:v>
      </x:c>
      <x:c r="F711" s="184" t="n">
        <x:v>0</x:v>
      </x:c>
      <x:c r="G711" s="184" t="n">
        <x:v>0</x:v>
      </x:c>
      <x:c r="H711" s="193" t="n">
        <x:v>0</x:v>
      </x:c>
      <x:c r="I711" s="185" t="n">
        <x:v>0</x:v>
      </x:c>
      <x:c r="J711" s="185" t="n">
        <x:v>0</x:v>
      </x:c>
      <x:c r="K711" s="289" t="n">
        <x:v>0</x:v>
      </x:c>
    </x:row>
    <x:row r="712" s="117" customFormat="1" hidden="1">
      <x:c r="A712" s="184" t="inlineStr">
        <x:is>
          <x:t xml:space="preserve">EPPGENPTA144</x:t>
        </x:is>
      </x:c>
      <x:c r="B712" s="184" t="inlineStr">
        <x:is>
          <x:t xml:space="preserve">CHALECO GEOLOGO NARANJA TALLA M</x:t>
        </x:is>
      </x:c>
      <x:c r="C712" s="184" t="n">
        <x:v>15</x:v>
      </x:c>
      <x:c r="D712" s="184" t="n">
        <x:v>0</x:v>
      </x:c>
      <x:c r="E712" s="184" t="n">
        <x:v>0</x:v>
      </x:c>
      <x:c r="F712" s="184" t="n">
        <x:v>15</x:v>
      </x:c>
      <x:c r="G712" s="184" t="n">
        <x:v>88459</x:v>
      </x:c>
      <x:c r="H712" s="193" t="n">
        <x:v>0</x:v>
      </x:c>
      <x:c r="I712" s="185" t="n">
        <x:v>0</x:v>
      </x:c>
      <x:c r="J712" s="185" t="n">
        <x:v>88459</x:v>
      </x:c>
      <x:c r="K712" s="289" t="n">
        <x:v>5897.29319328</x:v>
      </x:c>
    </x:row>
    <x:row r="713" s="117" customFormat="1" hidden="1">
      <x:c r="A713" s="184" t="inlineStr">
        <x:is>
          <x:t xml:space="preserve">EPPGENPTA145</x:t>
        </x:is>
      </x:c>
      <x:c r="B713" s="184" t="inlineStr">
        <x:is>
          <x:t xml:space="preserve">CHALECO REFLECTANTE NARANJA TALLA M</x:t>
        </x:is>
      </x:c>
      <x:c r="C713" s="184" t="n">
        <x:v>0</x:v>
      </x:c>
      <x:c r="D713" s="184" t="n">
        <x:v>0</x:v>
      </x:c>
      <x:c r="E713" s="184" t="n">
        <x:v>0</x:v>
      </x:c>
      <x:c r="F713" s="184" t="n">
        <x:v>0</x:v>
      </x:c>
      <x:c r="G713" s="184" t="n">
        <x:v>0</x:v>
      </x:c>
      <x:c r="H713" s="193" t="n">
        <x:v>0</x:v>
      </x:c>
      <x:c r="I713" s="185" t="n">
        <x:v>0</x:v>
      </x:c>
      <x:c r="J713" s="185" t="n">
        <x:v>0</x:v>
      </x:c>
      <x:c r="K713" s="289" t="n">
        <x:v>0</x:v>
      </x:c>
    </x:row>
    <x:row r="714" s="117" customFormat="1" hidden="1">
      <x:c r="A714" s="184" t="inlineStr">
        <x:is>
          <x:t xml:space="preserve">EPPGENPTA146</x:t>
        </x:is>
      </x:c>
      <x:c r="B714" s="184" t="inlineStr">
        <x:is>
          <x:t xml:space="preserve">COIPA TAPA BOCA NARANJA C/REFLECTANTE</x:t>
        </x:is>
      </x:c>
      <x:c r="C714" s="184" t="n">
        <x:v>0</x:v>
      </x:c>
      <x:c r="D714" s="184" t="n">
        <x:v>0</x:v>
      </x:c>
      <x:c r="E714" s="184" t="n">
        <x:v>0</x:v>
      </x:c>
      <x:c r="F714" s="184" t="n">
        <x:v>0</x:v>
      </x:c>
      <x:c r="G714" s="184" t="n">
        <x:v>0</x:v>
      </x:c>
      <x:c r="H714" s="193" t="n">
        <x:v>0</x:v>
      </x:c>
      <x:c r="I714" s="185" t="n">
        <x:v>0</x:v>
      </x:c>
      <x:c r="J714" s="185" t="n">
        <x:v>0</x:v>
      </x:c>
      <x:c r="K714" s="289" t="n">
        <x:v>1049.565218</x:v>
      </x:c>
    </x:row>
    <x:row r="715" s="117" customFormat="1" hidden="1">
      <x:c r="A715" s="184" t="inlineStr">
        <x:is>
          <x:t xml:space="preserve">EPPGENPTA147</x:t>
        </x:is>
      </x:c>
      <x:c r="B715" s="184" t="inlineStr">
        <x:is>
          <x:t xml:space="preserve">DERMABLOCK</x:t>
        </x:is>
      </x:c>
      <x:c r="C715" s="184" t="n">
        <x:v>0</x:v>
      </x:c>
      <x:c r="D715" s="184" t="n">
        <x:v>0</x:v>
      </x:c>
      <x:c r="E715" s="184" t="n">
        <x:v>0</x:v>
      </x:c>
      <x:c r="F715" s="184" t="n">
        <x:v>0</x:v>
      </x:c>
      <x:c r="G715" s="184" t="n">
        <x:v>0</x:v>
      </x:c>
      <x:c r="H715" s="193" t="n">
        <x:v>0</x:v>
      </x:c>
      <x:c r="I715" s="185" t="n">
        <x:v>0</x:v>
      </x:c>
      <x:c r="J715" s="185" t="n">
        <x:v>0</x:v>
      </x:c>
      <x:c r="K715" s="289" t="n">
        <x:v>6200</x:v>
      </x:c>
    </x:row>
    <x:row r="716" s="117" customFormat="1" hidden="1">
      <x:c r="A716" s="184" t="inlineStr">
        <x:is>
          <x:t xml:space="preserve">EPPGENPTA148</x:t>
        </x:is>
      </x:c>
      <x:c r="B716" s="184" t="inlineStr">
        <x:is>
          <x:t xml:space="preserve">PINZA METALICA LOCK OUT 1 1/2</x:t>
        </x:is>
      </x:c>
      <x:c r="C716" s="184" t="n">
        <x:v>0</x:v>
      </x:c>
      <x:c r="D716" s="184" t="n">
        <x:v>0</x:v>
      </x:c>
      <x:c r="E716" s="184" t="n">
        <x:v>0</x:v>
      </x:c>
      <x:c r="F716" s="184" t="n">
        <x:v>0</x:v>
      </x:c>
      <x:c r="G716" s="184" t="n">
        <x:v>0</x:v>
      </x:c>
      <x:c r="H716" s="193" t="n">
        <x:v>0</x:v>
      </x:c>
      <x:c r="I716" s="185" t="n">
        <x:v>0</x:v>
      </x:c>
      <x:c r="J716" s="185" t="n">
        <x:v>0</x:v>
      </x:c>
      <x:c r="K716" s="289" t="n">
        <x:v>3600</x:v>
      </x:c>
    </x:row>
    <x:row r="717" s="117" customFormat="1" hidden="1">
      <x:c r="A717" s="184" t="inlineStr">
        <x:is>
          <x:t xml:space="preserve">EPPGENPTA149</x:t>
        </x:is>
      </x:c>
      <x:c r="B717" s="184" t="inlineStr">
        <x:is>
          <x:t xml:space="preserve">RESPIRADOR ROSTRO COMPLETO 3M 6900 TALLA - L</x:t>
        </x:is>
      </x:c>
      <x:c r="C717" s="184" t="n">
        <x:v>0</x:v>
      </x:c>
      <x:c r="D717" s="184" t="n">
        <x:v>0</x:v>
      </x:c>
      <x:c r="E717" s="184" t="n">
        <x:v>0</x:v>
      </x:c>
      <x:c r="F717" s="184" t="n">
        <x:v>0</x:v>
      </x:c>
      <x:c r="G717" s="184" t="n">
        <x:v>0</x:v>
      </x:c>
      <x:c r="H717" s="193" t="n">
        <x:v>0</x:v>
      </x:c>
      <x:c r="I717" s="185" t="n">
        <x:v>0</x:v>
      </x:c>
      <x:c r="J717" s="185" t="n">
        <x:v>0</x:v>
      </x:c>
      <x:c r="K717" s="289" t="n">
        <x:v>125000</x:v>
      </x:c>
    </x:row>
    <x:row r="718" s="117" customFormat="1" hidden="1">
      <x:c r="A718" s="184" t="inlineStr">
        <x:is>
          <x:t xml:space="preserve">EPPGENPTA150</x:t>
        </x:is>
      </x:c>
      <x:c r="B718" s="184" t="inlineStr">
        <x:is>
          <x:t xml:space="preserve">BUZO MICROMAX NS BLANCO T/M</x:t>
        </x:is>
      </x:c>
      <x:c r="C718" s="184" t="n">
        <x:v>0</x:v>
      </x:c>
      <x:c r="D718" s="184" t="n">
        <x:v>0</x:v>
      </x:c>
      <x:c r="E718" s="184" t="n">
        <x:v>0</x:v>
      </x:c>
      <x:c r="F718" s="184" t="n">
        <x:v>0</x:v>
      </x:c>
      <x:c r="G718" s="184" t="n">
        <x:v>0</x:v>
      </x:c>
      <x:c r="H718" s="193" t="n">
        <x:v>0</x:v>
      </x:c>
      <x:c r="I718" s="185" t="n">
        <x:v>0</x:v>
      </x:c>
      <x:c r="J718" s="185" t="n">
        <x:v>0</x:v>
      </x:c>
      <x:c r="K718" s="289" t="n">
        <x:v>0</x:v>
      </x:c>
    </x:row>
    <x:row r="719" s="117" customFormat="1" hidden="1">
      <x:c r="A719" s="184" t="inlineStr">
        <x:is>
          <x:t xml:space="preserve">EPPGENPTA151</x:t>
        </x:is>
      </x:c>
      <x:c r="B719" s="184" t="inlineStr">
        <x:is>
          <x:t xml:space="preserve">BUZO MICROMAX NS BLANCO T/L</x:t>
        </x:is>
      </x:c>
      <x:c r="C719" s="184" t="n">
        <x:v>0</x:v>
      </x:c>
      <x:c r="D719" s="184" t="n">
        <x:v>0</x:v>
      </x:c>
      <x:c r="E719" s="184" t="n">
        <x:v>0</x:v>
      </x:c>
      <x:c r="F719" s="184" t="n">
        <x:v>0</x:v>
      </x:c>
      <x:c r="G719" s="184" t="n">
        <x:v>0</x:v>
      </x:c>
      <x:c r="H719" s="193" t="n">
        <x:v>0</x:v>
      </x:c>
      <x:c r="I719" s="185" t="n">
        <x:v>0</x:v>
      </x:c>
      <x:c r="J719" s="185" t="n">
        <x:v>0</x:v>
      </x:c>
      <x:c r="K719" s="289" t="n">
        <x:v>0</x:v>
      </x:c>
    </x:row>
    <x:row r="720" s="117" customFormat="1" hidden="1">
      <x:c r="A720" s="184" t="inlineStr">
        <x:is>
          <x:t xml:space="preserve">EPPGENPTA152</x:t>
        </x:is>
      </x:c>
      <x:c r="B720" s="184" t="inlineStr">
        <x:is>
          <x:t xml:space="preserve">BUZO MICROMAX NS BLANCO T/XL</x:t>
        </x:is>
      </x:c>
      <x:c r="C720" s="184" t="n">
        <x:v>0</x:v>
      </x:c>
      <x:c r="D720" s="184" t="n">
        <x:v>0</x:v>
      </x:c>
      <x:c r="E720" s="184" t="n">
        <x:v>0</x:v>
      </x:c>
      <x:c r="F720" s="184" t="n">
        <x:v>0</x:v>
      </x:c>
      <x:c r="G720" s="184" t="n">
        <x:v>0</x:v>
      </x:c>
      <x:c r="H720" s="193" t="n">
        <x:v>0</x:v>
      </x:c>
      <x:c r="I720" s="185" t="n">
        <x:v>0</x:v>
      </x:c>
      <x:c r="J720" s="185" t="n">
        <x:v>0</x:v>
      </x:c>
      <x:c r="K720" s="289" t="n">
        <x:v>0</x:v>
      </x:c>
    </x:row>
    <x:row r="721" s="117" customFormat="1" hidden="1">
      <x:c r="A721" s="184" t="inlineStr">
        <x:is>
          <x:t xml:space="preserve">EPPGENPTA153</x:t>
        </x:is>
      </x:c>
      <x:c r="B721" s="184" t="inlineStr">
        <x:is>
          <x:t xml:space="preserve">BUZO MICROMAX NS BLANCO T/XXL</x:t>
        </x:is>
      </x:c>
      <x:c r="C721" s="184" t="n">
        <x:v>0</x:v>
      </x:c>
      <x:c r="D721" s="184" t="n">
        <x:v>0</x:v>
      </x:c>
      <x:c r="E721" s="184" t="n">
        <x:v>0</x:v>
      </x:c>
      <x:c r="F721" s="184" t="n">
        <x:v>0</x:v>
      </x:c>
      <x:c r="G721" s="184" t="n">
        <x:v>0</x:v>
      </x:c>
      <x:c r="H721" s="193" t="n">
        <x:v>0</x:v>
      </x:c>
      <x:c r="I721" s="185" t="n">
        <x:v>0</x:v>
      </x:c>
      <x:c r="J721" s="185" t="n">
        <x:v>0</x:v>
      </x:c>
      <x:c r="K721" s="289" t="n">
        <x:v>0</x:v>
      </x:c>
    </x:row>
    <x:row r="722" s="117" customFormat="1" hidden="1">
      <x:c r="A722" s="184" t="inlineStr">
        <x:is>
          <x:t xml:space="preserve">EPPGENPTA154</x:t>
        </x:is>
      </x:c>
      <x:c r="B722" s="184" t="inlineStr">
        <x:is>
          <x:t xml:space="preserve">PROTECTOR DE MENTON RECTRACIL</x:t>
        </x:is>
      </x:c>
      <x:c r="C722" s="184" t="n">
        <x:v>0</x:v>
      </x:c>
      <x:c r="D722" s="184" t="n">
        <x:v>0</x:v>
      </x:c>
      <x:c r="E722" s="184" t="n">
        <x:v>0</x:v>
      </x:c>
      <x:c r="F722" s="184" t="n">
        <x:v>0</x:v>
      </x:c>
      <x:c r="G722" s="184" t="n">
        <x:v>0</x:v>
      </x:c>
      <x:c r="H722" s="193" t="n">
        <x:v>0</x:v>
      </x:c>
      <x:c r="I722" s="185" t="n">
        <x:v>0</x:v>
      </x:c>
      <x:c r="J722" s="185" t="n">
        <x:v>0</x:v>
      </x:c>
      <x:c r="K722" s="289" t="n">
        <x:v>0</x:v>
      </x:c>
    </x:row>
    <x:row r="723" s="117" customFormat="1" hidden="1">
      <x:c r="A723" s="184" t="inlineStr">
        <x:is>
          <x:t xml:space="preserve">EPPGENPTA155</x:t>
        </x:is>
      </x:c>
      <x:c r="B723" s="184" t="inlineStr">
        <x:is>
          <x:t xml:space="preserve">MASCARILLA 3M PARA POLVO (CAJA 20UN)</x:t>
        </x:is>
      </x:c>
      <x:c r="C723" s="184" t="n">
        <x:v>0</x:v>
      </x:c>
      <x:c r="D723" s="184" t="n">
        <x:v>0</x:v>
      </x:c>
      <x:c r="E723" s="184" t="n">
        <x:v>0</x:v>
      </x:c>
      <x:c r="F723" s="184" t="n">
        <x:v>0</x:v>
      </x:c>
      <x:c r="G723" s="184" t="n">
        <x:v>0</x:v>
      </x:c>
      <x:c r="H723" s="193" t="n">
        <x:v>0</x:v>
      </x:c>
      <x:c r="I723" s="185" t="n">
        <x:v>0</x:v>
      </x:c>
      <x:c r="J723" s="185" t="n">
        <x:v>0</x:v>
      </x:c>
      <x:c r="K723" s="289" t="n">
        <x:v>8900</x:v>
      </x:c>
    </x:row>
    <x:row r="724" s="117" customFormat="1" hidden="1">
      <x:c r="A724" s="184" t="inlineStr">
        <x:is>
          <x:t xml:space="preserve">EPPGENPTA156</x:t>
        </x:is>
      </x:c>
      <x:c r="B724" s="184" t="inlineStr">
        <x:is>
          <x:t xml:space="preserve">GUANTE ANTIDESLIZANTE MULTIFLEX</x:t>
        </x:is>
      </x:c>
      <x:c r="C724" s="184" t="n">
        <x:v>122</x:v>
      </x:c>
      <x:c r="D724" s="184" t="n">
        <x:v>0</x:v>
      </x:c>
      <x:c r="E724" s="184" t="n">
        <x:v>1</x:v>
      </x:c>
      <x:c r="F724" s="184" t="n">
        <x:v>121</x:v>
      </x:c>
      <x:c r="G724" s="184" t="n">
        <x:v>93402</x:v>
      </x:c>
      <x:c r="H724" s="193" t="n">
        <x:v>0</x:v>
      </x:c>
      <x:c r="I724" s="185" t="n">
        <x:v>765</x:v>
      </x:c>
      <x:c r="J724" s="185" t="n">
        <x:v>92637</x:v>
      </x:c>
      <x:c r="K724" s="289" t="n">
        <x:v>765.45778835</x:v>
      </x:c>
    </x:row>
    <x:row r="725" s="117" customFormat="1" hidden="1">
      <x:c r="A725" s="184" t="inlineStr">
        <x:is>
          <x:t xml:space="preserve">EPPGENPTA157</x:t>
        </x:is>
      </x:c>
      <x:c r="B725" s="184" t="inlineStr">
        <x:is>
          <x:t xml:space="preserve">GUANTE MALLA DE ACERO METÁLICO GREENWAY TALLA L</x:t>
        </x:is>
      </x:c>
      <x:c r="C725" s="184" t="n">
        <x:v>0</x:v>
      </x:c>
      <x:c r="D725" s="184" t="n">
        <x:v>0</x:v>
      </x:c>
      <x:c r="E725" s="184" t="n">
        <x:v>0</x:v>
      </x:c>
      <x:c r="F725" s="184" t="n">
        <x:v>0</x:v>
      </x:c>
      <x:c r="G725" s="184" t="n">
        <x:v>0</x:v>
      </x:c>
      <x:c r="H725" s="193" t="n">
        <x:v>0</x:v>
      </x:c>
      <x:c r="I725" s="185" t="n">
        <x:v>0</x:v>
      </x:c>
      <x:c r="J725" s="185" t="n">
        <x:v>0</x:v>
      </x:c>
      <x:c r="K725" s="289" t="n">
        <x:v>0</x:v>
      </x:c>
    </x:row>
    <x:row r="726" s="117" customFormat="1" hidden="1">
      <x:c r="A726" s="184" t="inlineStr">
        <x:is>
          <x:t xml:space="preserve">EPPGENPTA158</x:t>
        </x:is>
      </x:c>
      <x:c r="B726" s="184" t="inlineStr">
        <x:is>
          <x:t xml:space="preserve">CHALECO GEOLOGO AV G3 + LOGO INVENIO T/M</x:t>
        </x:is>
      </x:c>
      <x:c r="C726" s="184" t="n">
        <x:v>0</x:v>
      </x:c>
      <x:c r="D726" s="184" t="n">
        <x:v>0</x:v>
      </x:c>
      <x:c r="E726" s="184" t="n">
        <x:v>0</x:v>
      </x:c>
      <x:c r="F726" s="184" t="n">
        <x:v>0</x:v>
      </x:c>
      <x:c r="G726" s="184" t="n">
        <x:v>0</x:v>
      </x:c>
      <x:c r="H726" s="193" t="n">
        <x:v>0</x:v>
      </x:c>
      <x:c r="I726" s="185" t="n">
        <x:v>0</x:v>
      </x:c>
      <x:c r="J726" s="185" t="n">
        <x:v>0</x:v>
      </x:c>
      <x:c r="K726" s="289" t="n">
        <x:v>28500</x:v>
      </x:c>
    </x:row>
    <x:row r="727" s="117" customFormat="1" hidden="1">
      <x:c r="A727" s="184" t="inlineStr">
        <x:is>
          <x:t xml:space="preserve">EPPGENPTA159</x:t>
        </x:is>
      </x:c>
      <x:c r="B727" s="184" t="inlineStr">
        <x:is>
          <x:t xml:space="preserve">CHALECO GEOLOGO AV G3 + LOGO INVENIO T/L</x:t>
        </x:is>
      </x:c>
      <x:c r="C727" s="184" t="n">
        <x:v>0</x:v>
      </x:c>
      <x:c r="D727" s="184" t="n">
        <x:v>0</x:v>
      </x:c>
      <x:c r="E727" s="184" t="n">
        <x:v>0</x:v>
      </x:c>
      <x:c r="F727" s="184" t="n">
        <x:v>0</x:v>
      </x:c>
      <x:c r="G727" s="184" t="n">
        <x:v>0</x:v>
      </x:c>
      <x:c r="H727" s="193" t="n">
        <x:v>0</x:v>
      </x:c>
      <x:c r="I727" s="185" t="n">
        <x:v>0</x:v>
      </x:c>
      <x:c r="J727" s="185" t="n">
        <x:v>0</x:v>
      </x:c>
      <x:c r="K727" s="289" t="n">
        <x:v>28500</x:v>
      </x:c>
    </x:row>
    <x:row r="728" s="117" customFormat="1" hidden="1">
      <x:c r="A728" s="184" t="inlineStr">
        <x:is>
          <x:t xml:space="preserve">EPPGENPTA160</x:t>
        </x:is>
      </x:c>
      <x:c r="B728" s="184" t="inlineStr">
        <x:is>
          <x:t xml:space="preserve">CHALECO GEOLOGO AV G3 + LOGO INVENIO T/XL</x:t>
        </x:is>
      </x:c>
      <x:c r="C728" s="184" t="n">
        <x:v>0</x:v>
      </x:c>
      <x:c r="D728" s="184" t="n">
        <x:v>0</x:v>
      </x:c>
      <x:c r="E728" s="184" t="n">
        <x:v>0</x:v>
      </x:c>
      <x:c r="F728" s="184" t="n">
        <x:v>0</x:v>
      </x:c>
      <x:c r="G728" s="184" t="n">
        <x:v>0</x:v>
      </x:c>
      <x:c r="H728" s="193" t="n">
        <x:v>0</x:v>
      </x:c>
      <x:c r="I728" s="185" t="n">
        <x:v>0</x:v>
      </x:c>
      <x:c r="J728" s="185" t="n">
        <x:v>0</x:v>
      </x:c>
      <x:c r="K728" s="289" t="n">
        <x:v>28500</x:v>
      </x:c>
    </x:row>
    <x:row r="729" s="117" customFormat="1" hidden="1">
      <x:c r="A729" s="184" t="inlineStr">
        <x:is>
          <x:t xml:space="preserve">EPPGENPTA161</x:t>
        </x:is>
      </x:c>
      <x:c r="B729" s="184" t="inlineStr">
        <x:is>
          <x:t xml:space="preserve">CHALECO GEOLOGO AV G3 + LOGO INVENIO T/XXL</x:t>
        </x:is>
      </x:c>
      <x:c r="C729" s="184" t="n">
        <x:v>0</x:v>
      </x:c>
      <x:c r="D729" s="184" t="n">
        <x:v>0</x:v>
      </x:c>
      <x:c r="E729" s="184" t="n">
        <x:v>0</x:v>
      </x:c>
      <x:c r="F729" s="184" t="n">
        <x:v>0</x:v>
      </x:c>
      <x:c r="G729" s="184" t="n">
        <x:v>0</x:v>
      </x:c>
      <x:c r="H729" s="193" t="n">
        <x:v>0</x:v>
      </x:c>
      <x:c r="I729" s="185" t="n">
        <x:v>0</x:v>
      </x:c>
      <x:c r="J729" s="185" t="n">
        <x:v>0</x:v>
      </x:c>
      <x:c r="K729" s="289" t="n">
        <x:v>28500</x:v>
      </x:c>
    </x:row>
    <x:row r="730" s="117" customFormat="1" hidden="1">
      <x:c r="A730" s="184" t="inlineStr">
        <x:is>
          <x:t xml:space="preserve">EPPGENPTA162</x:t>
        </x:is>
      </x:c>
      <x:c r="B730" s="184" t="inlineStr">
        <x:is>
          <x:t xml:space="preserve">RESPIRADOR MEDIO ROSTRO 3M 6300 TALLA - L</x:t>
        </x:is>
      </x:c>
      <x:c r="C730" s="184" t="n">
        <x:v>61</x:v>
      </x:c>
      <x:c r="D730" s="184" t="n">
        <x:v>0</x:v>
      </x:c>
      <x:c r="E730" s="184" t="n">
        <x:v>0</x:v>
      </x:c>
      <x:c r="F730" s="184" t="n">
        <x:v>61</x:v>
      </x:c>
      <x:c r="G730" s="184" t="n">
        <x:v>591723</x:v>
      </x:c>
      <x:c r="H730" s="193" t="n">
        <x:v>0</x:v>
      </x:c>
      <x:c r="I730" s="185" t="n">
        <x:v>0</x:v>
      </x:c>
      <x:c r="J730" s="185" t="n">
        <x:v>591723</x:v>
      </x:c>
      <x:c r="K730" s="289" t="n">
        <x:v>9700.45648796</x:v>
      </x:c>
    </x:row>
    <x:row r="731" s="117" customFormat="1" hidden="1">
      <x:c r="A731" s="184" t="inlineStr">
        <x:is>
          <x:t xml:space="preserve">EPPGENPTA163</x:t>
        </x:is>
      </x:c>
      <x:c r="B731" s="184" t="inlineStr">
        <x:is>
          <x:t xml:space="preserve">GUANTE NINJA HERCULES TALLA 9</x:t>
        </x:is>
      </x:c>
      <x:c r="C731" s="184" t="n">
        <x:v>0</x:v>
      </x:c>
      <x:c r="D731" s="184" t="n">
        <x:v>0</x:v>
      </x:c>
      <x:c r="E731" s="184" t="n">
        <x:v>0</x:v>
      </x:c>
      <x:c r="F731" s="184" t="n">
        <x:v>0</x:v>
      </x:c>
      <x:c r="G731" s="184" t="n">
        <x:v>0</x:v>
      </x:c>
      <x:c r="H731" s="193" t="n">
        <x:v>0</x:v>
      </x:c>
      <x:c r="I731" s="185" t="n">
        <x:v>0</x:v>
      </x:c>
      <x:c r="J731" s="185" t="n">
        <x:v>0</x:v>
      </x:c>
      <x:c r="K731" s="289" t="n">
        <x:v>0</x:v>
      </x:c>
    </x:row>
    <x:row r="732" s="117" customFormat="1" hidden="1">
      <x:c r="A732" s="184" t="inlineStr">
        <x:is>
          <x:t xml:space="preserve">EPPGENPTA164</x:t>
        </x:is>
      </x:c>
      <x:c r="B732" s="184" t="inlineStr">
        <x:is>
          <x:t xml:space="preserve">GUANTE NINJA HERCULES TALLA 10</x:t>
        </x:is>
      </x:c>
      <x:c r="C732" s="184" t="n">
        <x:v>0</x:v>
      </x:c>
      <x:c r="D732" s="184" t="n">
        <x:v>0</x:v>
      </x:c>
      <x:c r="E732" s="184" t="n">
        <x:v>0</x:v>
      </x:c>
      <x:c r="F732" s="184" t="n">
        <x:v>0</x:v>
      </x:c>
      <x:c r="G732" s="184" t="n">
        <x:v>0</x:v>
      </x:c>
      <x:c r="H732" s="193" t="n">
        <x:v>0</x:v>
      </x:c>
      <x:c r="I732" s="185" t="n">
        <x:v>0</x:v>
      </x:c>
      <x:c r="J732" s="185" t="n">
        <x:v>0</x:v>
      </x:c>
      <x:c r="K732" s="289" t="n">
        <x:v>0</x:v>
      </x:c>
    </x:row>
    <x:row r="733" s="117" customFormat="1" hidden="1">
      <x:c r="A733" s="184" t="inlineStr">
        <x:is>
          <x:t xml:space="preserve">EPPGENPTA165</x:t>
        </x:is>
      </x:c>
      <x:c r="B733" s="184" t="inlineStr">
        <x:is>
          <x:t xml:space="preserve">OVEROL RESISTELA VERDE C/CTA REFL. T/M</x:t>
        </x:is>
      </x:c>
      <x:c r="C733" s="184" t="n">
        <x:v>34</x:v>
      </x:c>
      <x:c r="D733" s="184" t="n">
        <x:v>0</x:v>
      </x:c>
      <x:c r="E733" s="184" t="n">
        <x:v>0</x:v>
      </x:c>
      <x:c r="F733" s="184" t="n">
        <x:v>34</x:v>
      </x:c>
      <x:c r="G733" s="184" t="n">
        <x:v>388775</x:v>
      </x:c>
      <x:c r="H733" s="193" t="n">
        <x:v>0</x:v>
      </x:c>
      <x:c r="I733" s="185" t="n">
        <x:v>0</x:v>
      </x:c>
      <x:c r="J733" s="185" t="n">
        <x:v>388775</x:v>
      </x:c>
      <x:c r="K733" s="289" t="n">
        <x:v>11434.59459459</x:v>
      </x:c>
    </x:row>
    <x:row r="734" s="117" customFormat="1" hidden="1">
      <x:c r="A734" s="184" t="inlineStr">
        <x:is>
          <x:t xml:space="preserve">EPPGENPTA166</x:t>
        </x:is>
      </x:c>
      <x:c r="B734" s="184" t="inlineStr">
        <x:is>
          <x:t xml:space="preserve">OVEROL RESISTELA VERDE C/CTA REFL. T/L</x:t>
        </x:is>
      </x:c>
      <x:c r="C734" s="184" t="n">
        <x:v>45</x:v>
      </x:c>
      <x:c r="D734" s="184" t="n">
        <x:v>0</x:v>
      </x:c>
      <x:c r="E734" s="184" t="n">
        <x:v>0</x:v>
      </x:c>
      <x:c r="F734" s="184" t="n">
        <x:v>45</x:v>
      </x:c>
      <x:c r="G734" s="184" t="n">
        <x:v>509684</x:v>
      </x:c>
      <x:c r="H734" s="193" t="n">
        <x:v>0</x:v>
      </x:c>
      <x:c r="I734" s="185" t="n">
        <x:v>0</x:v>
      </x:c>
      <x:c r="J734" s="185" t="n">
        <x:v>509684</x:v>
      </x:c>
      <x:c r="K734" s="289" t="n">
        <x:v>11326.31111112</x:v>
      </x:c>
    </x:row>
    <x:row r="735" s="117" customFormat="1" hidden="1">
      <x:c r="A735" s="184" t="inlineStr">
        <x:is>
          <x:t xml:space="preserve">EPPGENPTA167</x:t>
        </x:is>
      </x:c>
      <x:c r="B735" s="184" t="inlineStr">
        <x:is>
          <x:t xml:space="preserve">OVEROL RESISTELA VERDE C/CTA REFL. T/XL</x:t>
        </x:is>
      </x:c>
      <x:c r="C735" s="184" t="n">
        <x:v>22</x:v>
      </x:c>
      <x:c r="D735" s="184" t="n">
        <x:v>0</x:v>
      </x:c>
      <x:c r="E735" s="184" t="n">
        <x:v>0</x:v>
      </x:c>
      <x:c r="F735" s="184" t="n">
        <x:v>22</x:v>
      </x:c>
      <x:c r="G735" s="184" t="n">
        <x:v>275580</x:v>
      </x:c>
      <x:c r="H735" s="193" t="n">
        <x:v>0</x:v>
      </x:c>
      <x:c r="I735" s="185" t="n">
        <x:v>0</x:v>
      </x:c>
      <x:c r="J735" s="185" t="n">
        <x:v>275580</x:v>
      </x:c>
      <x:c r="K735" s="289" t="n">
        <x:v>12526.35</x:v>
      </x:c>
    </x:row>
    <x:row r="736" s="117" customFormat="1" hidden="1">
      <x:c r="A736" s="184" t="inlineStr">
        <x:is>
          <x:t xml:space="preserve">EPPGENPTA168</x:t>
        </x:is>
      </x:c>
      <x:c r="B736" s="184" t="inlineStr">
        <x:is>
          <x:t xml:space="preserve">OVEROL RESISTELA VERDE C/CTA REFL. T/XXL</x:t>
        </x:is>
      </x:c>
      <x:c r="C736" s="184" t="n">
        <x:v>0</x:v>
      </x:c>
      <x:c r="D736" s="184" t="n">
        <x:v>0</x:v>
      </x:c>
      <x:c r="E736" s="184" t="n">
        <x:v>0</x:v>
      </x:c>
      <x:c r="F736" s="184" t="n">
        <x:v>0</x:v>
      </x:c>
      <x:c r="G736" s="184" t="n">
        <x:v>0</x:v>
      </x:c>
      <x:c r="H736" s="193" t="n">
        <x:v>0</x:v>
      </x:c>
      <x:c r="I736" s="185" t="n">
        <x:v>0</x:v>
      </x:c>
      <x:c r="J736" s="185" t="n">
        <x:v>0</x:v>
      </x:c>
      <x:c r="K736" s="289" t="n">
        <x:v>15860</x:v>
      </x:c>
    </x:row>
    <x:row r="737" s="117" customFormat="1" hidden="1">
      <x:c r="A737" s="184" t="inlineStr">
        <x:is>
          <x:t xml:space="preserve">EPPGENPTA169</x:t>
        </x:is>
      </x:c>
      <x:c r="B737" s="184" t="inlineStr">
        <x:is>
          <x:t xml:space="preserve">ADAPTADOR SEMI ALUMINIO P/CASCO</x:t>
        </x:is>
      </x:c>
      <x:c r="C737" s="184" t="n">
        <x:v>0</x:v>
      </x:c>
      <x:c r="D737" s="184" t="n">
        <x:v>0</x:v>
      </x:c>
      <x:c r="E737" s="184" t="n">
        <x:v>0</x:v>
      </x:c>
      <x:c r="F737" s="184" t="n">
        <x:v>0</x:v>
      </x:c>
      <x:c r="G737" s="184" t="n">
        <x:v>0</x:v>
      </x:c>
      <x:c r="H737" s="193" t="n">
        <x:v>0</x:v>
      </x:c>
      <x:c r="I737" s="185" t="n">
        <x:v>0</x:v>
      </x:c>
      <x:c r="J737" s="185" t="n">
        <x:v>0</x:v>
      </x:c>
      <x:c r="K737" s="289" t="n">
        <x:v>1590</x:v>
      </x:c>
    </x:row>
    <x:row r="738" s="117" customFormat="1" hidden="1">
      <x:c r="A738" s="184" t="inlineStr">
        <x:is>
          <x:t xml:space="preserve">EPPGENPTA170</x:t>
        </x:is>
      </x:c>
      <x:c r="B738" s="184" t="inlineStr">
        <x:is>
          <x:t xml:space="preserve">LENTE STEELPRO SPY-FLEX PLUS ANTIFOG CLARO</x:t>
        </x:is>
      </x:c>
      <x:c r="C738" s="184" t="n">
        <x:v>0</x:v>
      </x:c>
      <x:c r="D738" s="184" t="n">
        <x:v>0</x:v>
      </x:c>
      <x:c r="E738" s="184" t="n">
        <x:v>0</x:v>
      </x:c>
      <x:c r="F738" s="184" t="n">
        <x:v>0</x:v>
      </x:c>
      <x:c r="G738" s="184" t="n">
        <x:v>0</x:v>
      </x:c>
      <x:c r="H738" s="193" t="n">
        <x:v>0</x:v>
      </x:c>
      <x:c r="I738" s="185" t="n">
        <x:v>0</x:v>
      </x:c>
      <x:c r="J738" s="185" t="n">
        <x:v>0</x:v>
      </x:c>
      <x:c r="K738" s="289" t="n">
        <x:v>1800</x:v>
      </x:c>
    </x:row>
    <x:row r="739" s="117" customFormat="1" hidden="1">
      <x:c r="A739" s="184" t="inlineStr">
        <x:is>
          <x:t xml:space="preserve">EPPGENPTA171</x:t>
        </x:is>
      </x:c>
      <x:c r="B739" s="184" t="inlineStr">
        <x:is>
          <x:t xml:space="preserve">FILTRO 3M 7093 C P100 Y HF (PAR)</x:t>
        </x:is>
      </x:c>
      <x:c r="C739" s="184" t="n">
        <x:v>0</x:v>
      </x:c>
      <x:c r="D739" s="184" t="n">
        <x:v>0</x:v>
      </x:c>
      <x:c r="E739" s="184" t="n">
        <x:v>0</x:v>
      </x:c>
      <x:c r="F739" s="184" t="n">
        <x:v>0</x:v>
      </x:c>
      <x:c r="G739" s="184" t="n">
        <x:v>0</x:v>
      </x:c>
      <x:c r="H739" s="193" t="n">
        <x:v>0</x:v>
      </x:c>
      <x:c r="I739" s="185" t="n">
        <x:v>0</x:v>
      </x:c>
      <x:c r="J739" s="185" t="n">
        <x:v>0</x:v>
      </x:c>
      <x:c r="K739" s="289" t="n">
        <x:v>3990</x:v>
      </x:c>
    </x:row>
    <x:row r="740" s="117" customFormat="1" hidden="1">
      <x:c r="A740" s="184" t="inlineStr">
        <x:is>
          <x:t xml:space="preserve">EPPGENPTA172</x:t>
        </x:is>
      </x:c>
      <x:c r="B740" s="184" t="inlineStr">
        <x:is>
          <x:t xml:space="preserve">PROTECTOR 6885 DESECHABLE DE VISOR RESP. ROSTRO COMPLETO SERIE 6000</x:t>
        </x:is>
      </x:c>
      <x:c r="C740" s="184" t="n">
        <x:v>1</x:v>
      </x:c>
      <x:c r="D740" s="184" t="n">
        <x:v>0</x:v>
      </x:c>
      <x:c r="E740" s="184" t="n">
        <x:v>0</x:v>
      </x:c>
      <x:c r="F740" s="184" t="n">
        <x:v>1</x:v>
      </x:c>
      <x:c r="G740" s="184" t="n">
        <x:v>33970</x:v>
      </x:c>
      <x:c r="H740" s="193" t="n">
        <x:v>0</x:v>
      </x:c>
      <x:c r="I740" s="185" t="n">
        <x:v>0</x:v>
      </x:c>
      <x:c r="J740" s="185" t="n">
        <x:v>33970</x:v>
      </x:c>
      <x:c r="K740" s="289" t="n">
        <x:v>33970</x:v>
      </x:c>
    </x:row>
    <x:row r="741" s="117" customFormat="1" hidden="1">
      <x:c r="A741" s="184" t="inlineStr">
        <x:is>
          <x:t xml:space="preserve">EPPGENPTA173</x:t>
        </x:is>
      </x:c>
      <x:c r="B741" s="184" t="inlineStr">
        <x:is>
          <x:t xml:space="preserve">LENTE MSA DUAL FIT CLARO N/P</x:t>
        </x:is>
      </x:c>
      <x:c r="C741" s="184" t="n">
        <x:v>0</x:v>
      </x:c>
      <x:c r="D741" s="184" t="n">
        <x:v>0</x:v>
      </x:c>
      <x:c r="E741" s="184" t="n">
        <x:v>0</x:v>
      </x:c>
      <x:c r="F741" s="184" t="n">
        <x:v>0</x:v>
      </x:c>
      <x:c r="G741" s="184" t="n">
        <x:v>0</x:v>
      </x:c>
      <x:c r="H741" s="193" t="n">
        <x:v>0</x:v>
      </x:c>
      <x:c r="I741" s="185" t="n">
        <x:v>0</x:v>
      </x:c>
      <x:c r="J741" s="185" t="n">
        <x:v>0</x:v>
      </x:c>
      <x:c r="K741" s="289" t="n">
        <x:v>0</x:v>
      </x:c>
    </x:row>
    <x:row r="742" s="117" customFormat="1" hidden="1">
      <x:c r="A742" s="184" t="inlineStr">
        <x:is>
          <x:t xml:space="preserve">EPPGENPTA174</x:t>
        </x:is>
      </x:c>
      <x:c r="B742" s="184" t="inlineStr">
        <x:is>
          <x:t xml:space="preserve">LENTE MSA DUAL FIT COLOR GRIS N/P</x:t>
        </x:is>
      </x:c>
      <x:c r="C742" s="184" t="n">
        <x:v>0</x:v>
      </x:c>
      <x:c r="D742" s="184" t="n">
        <x:v>0</x:v>
      </x:c>
      <x:c r="E742" s="184" t="n">
        <x:v>0</x:v>
      </x:c>
      <x:c r="F742" s="184" t="n">
        <x:v>0</x:v>
      </x:c>
      <x:c r="G742" s="184" t="n">
        <x:v>0</x:v>
      </x:c>
      <x:c r="H742" s="193" t="n">
        <x:v>0</x:v>
      </x:c>
      <x:c r="I742" s="185" t="n">
        <x:v>0</x:v>
      </x:c>
      <x:c r="J742" s="185" t="n">
        <x:v>0</x:v>
      </x:c>
      <x:c r="K742" s="289" t="n">
        <x:v>0</x:v>
      </x:c>
    </x:row>
    <x:row r="743" s="117" customFormat="1" hidden="1">
      <x:c r="A743" s="184" t="inlineStr">
        <x:is>
          <x:t xml:space="preserve">EPPGENPTA175</x:t>
        </x:is>
      </x:c>
      <x:c r="B743" s="184" t="inlineStr">
        <x:is>
          <x:t xml:space="preserve">CAJA DE BLOQUEO 503 RED DEPARTAMENTAL MASTER LOCK NINGUNO</x:t>
        </x:is>
      </x:c>
      <x:c r="C743" s="184" t="n">
        <x:v>0</x:v>
      </x:c>
      <x:c r="D743" s="184" t="n">
        <x:v>0</x:v>
      </x:c>
      <x:c r="E743" s="184" t="n">
        <x:v>0</x:v>
      </x:c>
      <x:c r="F743" s="184" t="n">
        <x:v>0</x:v>
      </x:c>
      <x:c r="G743" s="184" t="n">
        <x:v>0</x:v>
      </x:c>
      <x:c r="H743" s="193" t="n">
        <x:v>0</x:v>
      </x:c>
      <x:c r="I743" s="185" t="n">
        <x:v>0</x:v>
      </x:c>
      <x:c r="J743" s="185" t="n">
        <x:v>0</x:v>
      </x:c>
      <x:c r="K743" s="289" t="n">
        <x:v>29800</x:v>
      </x:c>
    </x:row>
    <x:row r="744" s="117" customFormat="1" hidden="1">
      <x:c r="A744" s="184" t="inlineStr">
        <x:is>
          <x:t xml:space="preserve">EPPGENPTA176</x:t>
        </x:is>
      </x:c>
      <x:c r="B744" s="184" t="inlineStr">
        <x:is>
          <x:t xml:space="preserve">RESPIRADOR AIR COMPLETO FFS990M T/M</x:t>
        </x:is>
      </x:c>
      <x:c r="C744" s="184" t="n">
        <x:v>11</x:v>
      </x:c>
      <x:c r="D744" s="184" t="n">
        <x:v>0</x:v>
      </x:c>
      <x:c r="E744" s="184" t="n">
        <x:v>0</x:v>
      </x:c>
      <x:c r="F744" s="184" t="n">
        <x:v>11</x:v>
      </x:c>
      <x:c r="G744" s="184" t="n">
        <x:v>740103</x:v>
      </x:c>
      <x:c r="H744" s="193" t="n">
        <x:v>0</x:v>
      </x:c>
      <x:c r="I744" s="185" t="n">
        <x:v>0</x:v>
      </x:c>
      <x:c r="J744" s="185" t="n">
        <x:v>740103</x:v>
      </x:c>
      <x:c r="K744" s="289" t="n">
        <x:v>67282.10526316</x:v>
      </x:c>
    </x:row>
    <x:row r="745" s="117" customFormat="1" hidden="1">
      <x:c r="A745" s="184" t="inlineStr">
        <x:is>
          <x:t xml:space="preserve">EPPGENPTA177</x:t>
        </x:is>
      </x:c>
      <x:c r="B745" s="184" t="inlineStr">
        <x:is>
          <x:t xml:space="preserve">LAMINA PROTECTORA PARA FULL FACE AIR FFS600</x:t>
        </x:is>
      </x:c>
      <x:c r="C745" s="184" t="n">
        <x:v>169</x:v>
      </x:c>
      <x:c r="D745" s="184" t="n">
        <x:v>0</x:v>
      </x:c>
      <x:c r="E745" s="184" t="n">
        <x:v>0</x:v>
      </x:c>
      <x:c r="F745" s="184" t="n">
        <x:v>169</x:v>
      </x:c>
      <x:c r="G745" s="184" t="n">
        <x:v>316013</x:v>
      </x:c>
      <x:c r="H745" s="193" t="n">
        <x:v>0</x:v>
      </x:c>
      <x:c r="I745" s="185" t="n">
        <x:v>0</x:v>
      </x:c>
      <x:c r="J745" s="185" t="n">
        <x:v>316013</x:v>
      </x:c>
      <x:c r="K745" s="289" t="n">
        <x:v>1869.89940828</x:v>
      </x:c>
    </x:row>
    <x:row r="746" s="117" customFormat="1" hidden="1">
      <x:c r="A746" s="184" t="inlineStr">
        <x:is>
          <x:t xml:space="preserve">EPPGENPTA178</x:t>
        </x:is>
      </x:c>
      <x:c r="B746" s="184" t="inlineStr">
        <x:is>
          <x:t xml:space="preserve">JABON MECANICO ABRASIVO SAFEPRO 1 LITRO C/DISPENSADOR</x:t>
        </x:is>
      </x:c>
      <x:c r="C746" s="184" t="n">
        <x:v>0</x:v>
      </x:c>
      <x:c r="D746" s="184" t="n">
        <x:v>0</x:v>
      </x:c>
      <x:c r="E746" s="184" t="n">
        <x:v>0</x:v>
      </x:c>
      <x:c r="F746" s="184" t="n">
        <x:v>0</x:v>
      </x:c>
      <x:c r="G746" s="184" t="n">
        <x:v>0</x:v>
      </x:c>
      <x:c r="H746" s="193" t="n">
        <x:v>0</x:v>
      </x:c>
      <x:c r="I746" s="185" t="n">
        <x:v>0</x:v>
      </x:c>
      <x:c r="J746" s="185" t="n">
        <x:v>0</x:v>
      </x:c>
      <x:c r="K746" s="289" t="n">
        <x:v>3500</x:v>
      </x:c>
    </x:row>
    <x:row r="747" s="117" customFormat="1" hidden="1">
      <x:c r="A747" s="184" t="inlineStr">
        <x:is>
          <x:t xml:space="preserve">EPPGENPTA179</x:t>
        </x:is>
      </x:c>
      <x:c r="B747" s="184" t="inlineStr">
        <x:is>
          <x:t xml:space="preserve">CANDADO DE BLOQUEO COLOR NARANJO</x:t>
        </x:is>
      </x:c>
      <x:c r="C747" s="184" t="n">
        <x:v>0</x:v>
      </x:c>
      <x:c r="D747" s="184" t="n">
        <x:v>0</x:v>
      </x:c>
      <x:c r="E747" s="184" t="n">
        <x:v>0</x:v>
      </x:c>
      <x:c r="F747" s="184" t="n">
        <x:v>0</x:v>
      </x:c>
      <x:c r="G747" s="184" t="n">
        <x:v>0</x:v>
      </x:c>
      <x:c r="H747" s="193" t="n">
        <x:v>0</x:v>
      </x:c>
      <x:c r="I747" s="185" t="n">
        <x:v>0</x:v>
      </x:c>
      <x:c r="J747" s="185" t="n">
        <x:v>0</x:v>
      </x:c>
      <x:c r="K747" s="289" t="n">
        <x:v>6900</x:v>
      </x:c>
    </x:row>
    <x:row r="748" s="117" customFormat="1" hidden="1">
      <x:c r="A748" s="184" t="inlineStr">
        <x:is>
          <x:t xml:space="preserve">EPPGENPTA180</x:t>
        </x:is>
      </x:c>
      <x:c r="B748" s="184" t="inlineStr">
        <x:is>
          <x:t xml:space="preserve">RESPIRADOR AIR COMPLETO FFS990 L T/L</x:t>
        </x:is>
      </x:c>
      <x:c r="C748" s="184" t="n">
        <x:v>45</x:v>
      </x:c>
      <x:c r="D748" s="184" t="n">
        <x:v>0</x:v>
      </x:c>
      <x:c r="E748" s="184" t="n">
        <x:v>0</x:v>
      </x:c>
      <x:c r="F748" s="184" t="n">
        <x:v>45</x:v>
      </x:c>
      <x:c r="G748" s="184" t="n">
        <x:v>3008624</x:v>
      </x:c>
      <x:c r="H748" s="193" t="n">
        <x:v>0</x:v>
      </x:c>
      <x:c r="I748" s="185" t="n">
        <x:v>0</x:v>
      </x:c>
      <x:c r="J748" s="185" t="n">
        <x:v>3008624</x:v>
      </x:c>
      <x:c r="K748" s="289" t="n">
        <x:v>66858.2773967</x:v>
      </x:c>
    </x:row>
    <x:row r="749" s="117" customFormat="1" hidden="1">
      <x:c r="A749" s="184" t="inlineStr">
        <x:is>
          <x:t xml:space="preserve">EPPGENPTA181</x:t>
        </x:is>
      </x:c>
      <x:c r="B749" s="184" t="inlineStr">
        <x:is>
          <x:t xml:space="preserve">JOCKEY LEGIONARIO</x:t>
        </x:is>
      </x:c>
      <x:c r="C749" s="184" t="n">
        <x:v>28</x:v>
      </x:c>
      <x:c r="D749" s="184" t="n">
        <x:v>0</x:v>
      </x:c>
      <x:c r="E749" s="184" t="n">
        <x:v>0</x:v>
      </x:c>
      <x:c r="F749" s="184" t="n">
        <x:v>28</x:v>
      </x:c>
      <x:c r="G749" s="184" t="n">
        <x:v>54768</x:v>
      </x:c>
      <x:c r="H749" s="193" t="n">
        <x:v>0</x:v>
      </x:c>
      <x:c r="I749" s="185" t="n">
        <x:v>0</x:v>
      </x:c>
      <x:c r="J749" s="185" t="n">
        <x:v>54768</x:v>
      </x:c>
      <x:c r="K749" s="289" t="n">
        <x:v>1956</x:v>
      </x:c>
    </x:row>
    <x:row r="750" s="117" customFormat="1" hidden="1">
      <x:c r="A750" s="184" t="inlineStr">
        <x:is>
          <x:t xml:space="preserve">EPPGENPTA182</x:t>
        </x:is>
      </x:c>
      <x:c r="B750" s="184" t="inlineStr">
        <x:is>
          <x:t xml:space="preserve">REPUESTO VISOR TRANSPARENTE AIR FFS600</x:t>
        </x:is>
      </x:c>
      <x:c r="C750" s="184" t="n">
        <x:v>0</x:v>
      </x:c>
      <x:c r="D750" s="184" t="n">
        <x:v>0</x:v>
      </x:c>
      <x:c r="E750" s="184" t="n">
        <x:v>0</x:v>
      </x:c>
      <x:c r="F750" s="184" t="n">
        <x:v>0</x:v>
      </x:c>
      <x:c r="G750" s="184" t="n">
        <x:v>0</x:v>
      </x:c>
      <x:c r="H750" s="193" t="n">
        <x:v>0</x:v>
      </x:c>
      <x:c r="I750" s="185" t="n">
        <x:v>0</x:v>
      </x:c>
      <x:c r="J750" s="185" t="n">
        <x:v>0</x:v>
      </x:c>
      <x:c r="K750" s="289" t="n">
        <x:v>1690</x:v>
      </x:c>
    </x:row>
    <x:row r="751" s="117" customFormat="1" hidden="1">
      <x:c r="A751" s="184" t="inlineStr">
        <x:is>
          <x:t xml:space="preserve">EPPGENPTA183</x:t>
        </x:is>
      </x:c>
      <x:c r="B751" s="184" t="inlineStr">
        <x:is>
          <x:t xml:space="preserve">LENTE SPY GRIS U.S. EAGLE</x:t>
        </x:is>
      </x:c>
      <x:c r="C751" s="184" t="n">
        <x:v>18</x:v>
      </x:c>
      <x:c r="D751" s="184" t="n">
        <x:v>0</x:v>
      </x:c>
      <x:c r="E751" s="184" t="n">
        <x:v>1</x:v>
      </x:c>
      <x:c r="F751" s="184" t="n">
        <x:v>17</x:v>
      </x:c>
      <x:c r="G751" s="184" t="n">
        <x:v>15912</x:v>
      </x:c>
      <x:c r="H751" s="193" t="n">
        <x:v>0</x:v>
      </x:c>
      <x:c r="I751" s="185" t="n">
        <x:v>884</x:v>
      </x:c>
      <x:c r="J751" s="185" t="n">
        <x:v>15028</x:v>
      </x:c>
      <x:c r="K751" s="289" t="n">
        <x:v>884</x:v>
      </x:c>
    </x:row>
    <x:row r="752" s="117" customFormat="1" hidden="1">
      <x:c r="A752" s="184" t="inlineStr">
        <x:is>
          <x:t xml:space="preserve">EPPGENPTA184</x:t>
        </x:is>
      </x:c>
      <x:c r="B752" s="184" t="inlineStr">
        <x:is>
          <x:t xml:space="preserve">FILTRO ELIPSE PARA PARTICULAS P100/P3 (PAR) CJA 10UN</x:t>
        </x:is>
      </x:c>
      <x:c r="C752" s="184" t="n">
        <x:v>0</x:v>
      </x:c>
      <x:c r="D752" s="184" t="n">
        <x:v>0</x:v>
      </x:c>
      <x:c r="E752" s="184" t="n">
        <x:v>0</x:v>
      </x:c>
      <x:c r="F752" s="184" t="n">
        <x:v>0</x:v>
      </x:c>
      <x:c r="G752" s="184" t="n">
        <x:v>0</x:v>
      </x:c>
      <x:c r="H752" s="193" t="n">
        <x:v>0</x:v>
      </x:c>
      <x:c r="I752" s="185" t="n">
        <x:v>0</x:v>
      </x:c>
      <x:c r="J752" s="185" t="n">
        <x:v>0</x:v>
      </x:c>
      <x:c r="K752" s="289" t="n">
        <x:v>67000</x:v>
      </x:c>
    </x:row>
    <x:row r="753" s="117" customFormat="1" hidden="1">
      <x:c r="A753" s="184" t="inlineStr">
        <x:is>
          <x:t xml:space="preserve">EPPGENPTA185</x:t>
        </x:is>
      </x:c>
      <x:c r="B753" s="184" t="inlineStr">
        <x:is>
          <x:t xml:space="preserve">RESPIRADOR ELIPSE PARA PARTICULAS P3/P100 TALLA S/M</x:t>
        </x:is>
      </x:c>
      <x:c r="C753" s="184" t="n">
        <x:v>0</x:v>
      </x:c>
      <x:c r="D753" s="184" t="n">
        <x:v>0</x:v>
      </x:c>
      <x:c r="E753" s="184" t="n">
        <x:v>0</x:v>
      </x:c>
      <x:c r="F753" s="184" t="n">
        <x:v>0</x:v>
      </x:c>
      <x:c r="G753" s="184" t="n">
        <x:v>0</x:v>
      </x:c>
      <x:c r="H753" s="193" t="n">
        <x:v>0</x:v>
      </x:c>
      <x:c r="I753" s="185" t="n">
        <x:v>0</x:v>
      </x:c>
      <x:c r="J753" s="185" t="n">
        <x:v>0</x:v>
      </x:c>
      <x:c r="K753" s="289" t="n">
        <x:v>0</x:v>
      </x:c>
    </x:row>
    <x:row r="754" s="117" customFormat="1" hidden="1">
      <x:c r="A754" s="184" t="inlineStr">
        <x:is>
          <x:t xml:space="preserve">EPPGENPTA186</x:t>
        </x:is>
      </x:c>
      <x:c r="B754" s="184" t="inlineStr">
        <x:is>
          <x:t xml:space="preserve">RESPIRADOR ELIPSE PARA PARTICULAS P3/P100 TALLA M/L</x:t>
        </x:is>
      </x:c>
      <x:c r="C754" s="184" t="n">
        <x:v>0</x:v>
      </x:c>
      <x:c r="D754" s="184" t="n">
        <x:v>0</x:v>
      </x:c>
      <x:c r="E754" s="184" t="n">
        <x:v>0</x:v>
      </x:c>
      <x:c r="F754" s="184" t="n">
        <x:v>0</x:v>
      </x:c>
      <x:c r="G754" s="184" t="n">
        <x:v>0</x:v>
      </x:c>
      <x:c r="H754" s="193" t="n">
        <x:v>0</x:v>
      </x:c>
      <x:c r="I754" s="185" t="n">
        <x:v>0</x:v>
      </x:c>
      <x:c r="J754" s="185" t="n">
        <x:v>0</x:v>
      </x:c>
      <x:c r="K754" s="289" t="n">
        <x:v>0</x:v>
      </x:c>
    </x:row>
    <x:row r="755" s="117" customFormat="1" hidden="1">
      <x:c r="A755" s="184" t="inlineStr">
        <x:is>
          <x:t xml:space="preserve">EPPGENPTA187</x:t>
        </x:is>
      </x:c>
      <x:c r="B755" s="184" t="inlineStr">
        <x:is>
          <x:t xml:space="preserve">LENTE 3M VIRTUA SELLADO GRAY</x:t>
        </x:is>
      </x:c>
      <x:c r="C755" s="184" t="n">
        <x:v>0</x:v>
      </x:c>
      <x:c r="D755" s="184" t="n">
        <x:v>0</x:v>
      </x:c>
      <x:c r="E755" s="184" t="n">
        <x:v>0</x:v>
      </x:c>
      <x:c r="F755" s="184" t="n">
        <x:v>0</x:v>
      </x:c>
      <x:c r="G755" s="184" t="n">
        <x:v>0</x:v>
      </x:c>
      <x:c r="H755" s="193" t="n">
        <x:v>0</x:v>
      </x:c>
      <x:c r="I755" s="185" t="n">
        <x:v>0</x:v>
      </x:c>
      <x:c r="J755" s="185" t="n">
        <x:v>0</x:v>
      </x:c>
      <x:c r="K755" s="289" t="n">
        <x:v>2990</x:v>
      </x:c>
    </x:row>
    <x:row r="756" s="117" customFormat="1" hidden="1">
      <x:c r="A756" s="184" t="inlineStr">
        <x:is>
          <x:t xml:space="preserve">EPPGENPTA188</x:t>
        </x:is>
      </x:c>
      <x:c r="B756" s="184" t="inlineStr">
        <x:is>
          <x:t xml:space="preserve">OVEROL FYRBAN 7 OZ HRC2 8,9 CAL/CM2 (ARCOB5ANR)NARANJO-AZUL T/M</x:t>
        </x:is>
      </x:c>
      <x:c r="C756" s="184" t="n">
        <x:v>0</x:v>
      </x:c>
      <x:c r="D756" s="184" t="n">
        <x:v>0</x:v>
      </x:c>
      <x:c r="E756" s="184" t="n">
        <x:v>0</x:v>
      </x:c>
      <x:c r="F756" s="184" t="n">
        <x:v>0</x:v>
      </x:c>
      <x:c r="G756" s="184" t="n">
        <x:v>0</x:v>
      </x:c>
      <x:c r="H756" s="193" t="n">
        <x:v>0</x:v>
      </x:c>
      <x:c r="I756" s="185" t="n">
        <x:v>0</x:v>
      </x:c>
      <x:c r="J756" s="185" t="n">
        <x:v>0</x:v>
      </x:c>
      <x:c r="K756" s="289" t="n">
        <x:v>0</x:v>
      </x:c>
    </x:row>
    <x:row r="757" s="117" customFormat="1" hidden="1">
      <x:c r="A757" s="184" t="inlineStr">
        <x:is>
          <x:t xml:space="preserve">EPPGENPTA189</x:t>
        </x:is>
      </x:c>
      <x:c r="B757" s="184" t="inlineStr">
        <x:is>
          <x:t xml:space="preserve">OVEROL FYRBAN 7 OZ HRC2 8,9 CAL/CM2 (ARCOB5ANR)NARANJO-AZUL T/L</x:t>
        </x:is>
      </x:c>
      <x:c r="C757" s="184" t="n">
        <x:v>0</x:v>
      </x:c>
      <x:c r="D757" s="184" t="n">
        <x:v>0</x:v>
      </x:c>
      <x:c r="E757" s="184" t="n">
        <x:v>0</x:v>
      </x:c>
      <x:c r="F757" s="184" t="n">
        <x:v>0</x:v>
      </x:c>
      <x:c r="G757" s="184" t="n">
        <x:v>0</x:v>
      </x:c>
      <x:c r="H757" s="193" t="n">
        <x:v>0</x:v>
      </x:c>
      <x:c r="I757" s="185" t="n">
        <x:v>0</x:v>
      </x:c>
      <x:c r="J757" s="185" t="n">
        <x:v>0</x:v>
      </x:c>
      <x:c r="K757" s="289" t="n">
        <x:v>0</x:v>
      </x:c>
    </x:row>
    <x:row r="758" s="117" customFormat="1" hidden="1">
      <x:c r="A758" s="184" t="inlineStr">
        <x:is>
          <x:t xml:space="preserve">EPPGENPTA190</x:t>
        </x:is>
      </x:c>
      <x:c r="B758" s="184" t="inlineStr">
        <x:is>
          <x:t xml:space="preserve">OVEROL FYRBAN 7 OZ HRC2 8,9 CAL/CM2 (ARCOB5ANR)NARANJO-AZUL T/XL</x:t>
        </x:is>
      </x:c>
      <x:c r="C758" s="184" t="n">
        <x:v>0</x:v>
      </x:c>
      <x:c r="D758" s="184" t="n">
        <x:v>0</x:v>
      </x:c>
      <x:c r="E758" s="184" t="n">
        <x:v>0</x:v>
      </x:c>
      <x:c r="F758" s="184" t="n">
        <x:v>0</x:v>
      </x:c>
      <x:c r="G758" s="184" t="n">
        <x:v>0</x:v>
      </x:c>
      <x:c r="H758" s="193" t="n">
        <x:v>0</x:v>
      </x:c>
      <x:c r="I758" s="185" t="n">
        <x:v>0</x:v>
      </x:c>
      <x:c r="J758" s="185" t="n">
        <x:v>0</x:v>
      </x:c>
      <x:c r="K758" s="289" t="n">
        <x:v>0</x:v>
      </x:c>
    </x:row>
    <x:row r="759" s="117" customFormat="1" hidden="1">
      <x:c r="A759" s="184" t="inlineStr">
        <x:is>
          <x:t xml:space="preserve">EPPGENPTA191</x:t>
        </x:is>
      </x:c>
      <x:c r="B759" s="184" t="inlineStr">
        <x:is>
          <x:t xml:space="preserve">OVEROL FYRBAN 7 OZ HRC2 8,9 CAL/CM2 (ARCOB5ANR)NARANJO-AZUL T/XXL</x:t>
        </x:is>
      </x:c>
      <x:c r="C759" s="184" t="n">
        <x:v>0</x:v>
      </x:c>
      <x:c r="D759" s="184" t="n">
        <x:v>0</x:v>
      </x:c>
      <x:c r="E759" s="184" t="n">
        <x:v>0</x:v>
      </x:c>
      <x:c r="F759" s="184" t="n">
        <x:v>0</x:v>
      </x:c>
      <x:c r="G759" s="184" t="n">
        <x:v>0</x:v>
      </x:c>
      <x:c r="H759" s="193" t="n">
        <x:v>0</x:v>
      </x:c>
      <x:c r="I759" s="185" t="n">
        <x:v>0</x:v>
      </x:c>
      <x:c r="J759" s="185" t="n">
        <x:v>0</x:v>
      </x:c>
      <x:c r="K759" s="289" t="n">
        <x:v>0</x:v>
      </x:c>
    </x:row>
    <x:row r="760" s="117" customFormat="1" hidden="1">
      <x:c r="A760" s="184" t="inlineStr">
        <x:is>
          <x:t xml:space="preserve">EPPGENPTA192</x:t>
        </x:is>
      </x:c>
      <x:c r="B760" s="184" t="inlineStr">
        <x:is>
          <x:t xml:space="preserve">FILTRO AIR MIXTO PARA POLVOS Y GASES 6923</x:t>
        </x:is>
      </x:c>
      <x:c r="C760" s="184" t="n">
        <x:v>18</x:v>
      </x:c>
      <x:c r="D760" s="184" t="n">
        <x:v>0</x:v>
      </x:c>
      <x:c r="E760" s="184" t="n">
        <x:v>0</x:v>
      </x:c>
      <x:c r="F760" s="184" t="n">
        <x:v>18</x:v>
      </x:c>
      <x:c r="G760" s="184" t="n">
        <x:v>197819</x:v>
      </x:c>
      <x:c r="H760" s="193" t="n">
        <x:v>0</x:v>
      </x:c>
      <x:c r="I760" s="185" t="n">
        <x:v>0</x:v>
      </x:c>
      <x:c r="J760" s="185" t="n">
        <x:v>197819</x:v>
      </x:c>
      <x:c r="K760" s="289" t="n">
        <x:v>10990</x:v>
      </x:c>
    </x:row>
    <x:row r="761" s="117" customFormat="1" hidden="1">
      <x:c r="A761" s="184" t="inlineStr">
        <x:is>
          <x:t xml:space="preserve">EPPGENPTA193</x:t>
        </x:is>
      </x:c>
      <x:c r="B761" s="184" t="inlineStr">
        <x:is>
          <x:t xml:space="preserve">RESPIRADOR AIR 690 T/L</x:t>
        </x:is>
      </x:c>
      <x:c r="C761" s="184" t="n">
        <x:v>0</x:v>
      </x:c>
      <x:c r="D761" s="184" t="n">
        <x:v>0</x:v>
      </x:c>
      <x:c r="E761" s="184" t="n">
        <x:v>0</x:v>
      </x:c>
      <x:c r="F761" s="184" t="n">
        <x:v>0</x:v>
      </x:c>
      <x:c r="G761" s="184" t="n">
        <x:v>0</x:v>
      </x:c>
      <x:c r="H761" s="193" t="n">
        <x:v>0</x:v>
      </x:c>
      <x:c r="I761" s="185" t="n">
        <x:v>0</x:v>
      </x:c>
      <x:c r="J761" s="185" t="n">
        <x:v>0</x:v>
      </x:c>
      <x:c r="K761" s="289" t="n">
        <x:v>63000</x:v>
      </x:c>
    </x:row>
    <x:row r="762" s="117" customFormat="1" hidden="1">
      <x:c r="A762" s="184" t="inlineStr">
        <x:is>
          <x:t xml:space="preserve">EPPGENPTA194</x:t>
        </x:is>
      </x:c>
      <x:c r="B762" s="184" t="inlineStr">
        <x:is>
          <x:t xml:space="preserve">LAMINA PROTECTORA AIR 685</x:t>
        </x:is>
      </x:c>
      <x:c r="C762" s="184" t="n">
        <x:v>0</x:v>
      </x:c>
      <x:c r="D762" s="184" t="n">
        <x:v>0</x:v>
      </x:c>
      <x:c r="E762" s="184" t="n">
        <x:v>0</x:v>
      </x:c>
      <x:c r="F762" s="184" t="n">
        <x:v>0</x:v>
      </x:c>
      <x:c r="G762" s="184" t="n">
        <x:v>0</x:v>
      </x:c>
      <x:c r="H762" s="193" t="n">
        <x:v>0</x:v>
      </x:c>
      <x:c r="I762" s="185" t="n">
        <x:v>0</x:v>
      </x:c>
      <x:c r="J762" s="185" t="n">
        <x:v>0</x:v>
      </x:c>
      <x:c r="K762" s="289" t="n">
        <x:v>700</x:v>
      </x:c>
    </x:row>
    <x:row r="763" s="117" customFormat="1" hidden="1">
      <x:c r="A763" s="184" t="inlineStr">
        <x:is>
          <x:t xml:space="preserve">EPPGENPTA195</x:t>
        </x:is>
      </x:c>
      <x:c r="B763" s="184" t="inlineStr">
        <x:is>
          <x:t xml:space="preserve">BUZO CHEMMAX III TALLA M</x:t>
        </x:is>
      </x:c>
      <x:c r="C763" s="184" t="n">
        <x:v>0</x:v>
      </x:c>
      <x:c r="D763" s="184" t="n">
        <x:v>0</x:v>
      </x:c>
      <x:c r="E763" s="184" t="n">
        <x:v>0</x:v>
      </x:c>
      <x:c r="F763" s="184" t="n">
        <x:v>0</x:v>
      </x:c>
      <x:c r="G763" s="184" t="n">
        <x:v>0</x:v>
      </x:c>
      <x:c r="H763" s="193" t="n">
        <x:v>0</x:v>
      </x:c>
      <x:c r="I763" s="185" t="n">
        <x:v>0</x:v>
      </x:c>
      <x:c r="J763" s="185" t="n">
        <x:v>0</x:v>
      </x:c>
      <x:c r="K763" s="289" t="n">
        <x:v>61354.54545455</x:v>
      </x:c>
    </x:row>
    <x:row r="764" s="117" customFormat="1" hidden="1">
      <x:c r="A764" s="184" t="inlineStr">
        <x:is>
          <x:t xml:space="preserve">EPPGENPTA196</x:t>
        </x:is>
      </x:c>
      <x:c r="B764" s="184" t="inlineStr">
        <x:is>
          <x:t xml:space="preserve">BUZO CHEMMAX III TALLA L</x:t>
        </x:is>
      </x:c>
      <x:c r="C764" s="184" t="n">
        <x:v>28</x:v>
      </x:c>
      <x:c r="D764" s="184" t="n">
        <x:v>0</x:v>
      </x:c>
      <x:c r="E764" s="184" t="n">
        <x:v>0</x:v>
      </x:c>
      <x:c r="F764" s="184" t="n">
        <x:v>28</x:v>
      </x:c>
      <x:c r="G764" s="184" t="n">
        <x:v>1594406</x:v>
      </x:c>
      <x:c r="H764" s="193" t="n">
        <x:v>0</x:v>
      </x:c>
      <x:c r="I764" s="185" t="n">
        <x:v>0</x:v>
      </x:c>
      <x:c r="J764" s="185" t="n">
        <x:v>1594406</x:v>
      </x:c>
      <x:c r="K764" s="289" t="n">
        <x:v>56943.07692308</x:v>
      </x:c>
    </x:row>
    <x:row r="765" s="117" customFormat="1" hidden="1">
      <x:c r="A765" s="184" t="inlineStr">
        <x:is>
          <x:t xml:space="preserve">EPPGENPTA197</x:t>
        </x:is>
      </x:c>
      <x:c r="B765" s="184" t="inlineStr">
        <x:is>
          <x:t xml:space="preserve">BUZO CHEMMAX III TALLA XL</x:t>
        </x:is>
      </x:c>
      <x:c r="C765" s="184" t="n">
        <x:v>36</x:v>
      </x:c>
      <x:c r="D765" s="184" t="n">
        <x:v>0</x:v>
      </x:c>
      <x:c r="E765" s="184" t="n">
        <x:v>0</x:v>
      </x:c>
      <x:c r="F765" s="184" t="n">
        <x:v>36</x:v>
      </x:c>
      <x:c r="G765" s="184" t="n">
        <x:v>2065733</x:v>
      </x:c>
      <x:c r="H765" s="193" t="n">
        <x:v>0</x:v>
      </x:c>
      <x:c r="I765" s="185" t="n">
        <x:v>0</x:v>
      </x:c>
      <x:c r="J765" s="185" t="n">
        <x:v>2065733</x:v>
      </x:c>
      <x:c r="K765" s="289" t="n">
        <x:v>57381.48148148</x:v>
      </x:c>
    </x:row>
    <x:row r="766" s="117" customFormat="1" hidden="1">
      <x:c r="A766" s="184" t="inlineStr">
        <x:is>
          <x:t xml:space="preserve">EPPGENPTA198</x:t>
        </x:is>
      </x:c>
      <x:c r="B766" s="184" t="inlineStr">
        <x:is>
          <x:t xml:space="preserve">BUZO CHEMMAX III TALLA XXL</x:t>
        </x:is>
      </x:c>
      <x:c r="C766" s="184" t="n">
        <x:v>20</x:v>
      </x:c>
      <x:c r="D766" s="184" t="n">
        <x:v>0</x:v>
      </x:c>
      <x:c r="E766" s="184" t="n">
        <x:v>0</x:v>
      </x:c>
      <x:c r="F766" s="184" t="n">
        <x:v>20</x:v>
      </x:c>
      <x:c r="G766" s="184" t="n">
        <x:v>1118000</x:v>
      </x:c>
      <x:c r="H766" s="193" t="n">
        <x:v>0</x:v>
      </x:c>
      <x:c r="I766" s="185" t="n">
        <x:v>0</x:v>
      </x:c>
      <x:c r="J766" s="185" t="n">
        <x:v>1118000</x:v>
      </x:c>
      <x:c r="K766" s="289" t="n">
        <x:v>55900</x:v>
      </x:c>
    </x:row>
    <x:row r="767" s="117" customFormat="1" hidden="1">
      <x:c r="A767" s="184" t="inlineStr">
        <x:is>
          <x:t xml:space="preserve">EPPGENPTA199</x:t>
        </x:is>
      </x:c>
      <x:c r="B767" s="184" t="inlineStr">
        <x:is>
          <x:t xml:space="preserve">PANTALON CUERO SOLADOR IMPORTADO T/L</x:t>
        </x:is>
      </x:c>
      <x:c r="C767" s="184" t="n">
        <x:v>0</x:v>
      </x:c>
      <x:c r="D767" s="184" t="n">
        <x:v>0</x:v>
      </x:c>
      <x:c r="E767" s="184" t="n">
        <x:v>0</x:v>
      </x:c>
      <x:c r="F767" s="184" t="n">
        <x:v>0</x:v>
      </x:c>
      <x:c r="G767" s="184" t="n">
        <x:v>0</x:v>
      </x:c>
      <x:c r="H767" s="193" t="n">
        <x:v>0</x:v>
      </x:c>
      <x:c r="I767" s="185" t="n">
        <x:v>0</x:v>
      </x:c>
      <x:c r="J767" s="185" t="n">
        <x:v>0</x:v>
      </x:c>
      <x:c r="K767" s="289" t="n">
        <x:v>0</x:v>
      </x:c>
    </x:row>
    <x:row r="768" s="117" customFormat="1" hidden="1">
      <x:c r="A768" s="184" t="inlineStr">
        <x:is>
          <x:t xml:space="preserve">EPPGENPTA200</x:t>
        </x:is>
      </x:c>
      <x:c r="B768" s="184" t="inlineStr">
        <x:is>
          <x:t xml:space="preserve">CHAQUETA CUERO SOLDADOR IMPORTADA T/L</x:t>
        </x:is>
      </x:c>
      <x:c r="C768" s="184" t="n">
        <x:v>0</x:v>
      </x:c>
      <x:c r="D768" s="184" t="n">
        <x:v>0</x:v>
      </x:c>
      <x:c r="E768" s="184" t="n">
        <x:v>0</x:v>
      </x:c>
      <x:c r="F768" s="184" t="n">
        <x:v>0</x:v>
      </x:c>
      <x:c r="G768" s="184" t="n">
        <x:v>0</x:v>
      </x:c>
      <x:c r="H768" s="193" t="n">
        <x:v>0</x:v>
      </x:c>
      <x:c r="I768" s="185" t="n">
        <x:v>0</x:v>
      </x:c>
      <x:c r="J768" s="185" t="n">
        <x:v>0</x:v>
      </x:c>
      <x:c r="K768" s="289" t="n">
        <x:v>14400</x:v>
      </x:c>
    </x:row>
    <x:row r="769" s="117" customFormat="1" hidden="1">
      <x:c r="A769" s="184" t="inlineStr">
        <x:is>
          <x:t xml:space="preserve">EPPGENPTA201</x:t>
        </x:is>
      </x:c>
      <x:c r="B769" s="184" t="inlineStr">
        <x:is>
          <x:t xml:space="preserve">BOTIN NAZCA ROBLE NU-308 CAFE N°39</x:t>
        </x:is>
      </x:c>
      <x:c r="C769" s="184" t="n">
        <x:v>0</x:v>
      </x:c>
      <x:c r="D769" s="184" t="n">
        <x:v>0</x:v>
      </x:c>
      <x:c r="E769" s="184" t="n">
        <x:v>0</x:v>
      </x:c>
      <x:c r="F769" s="184" t="n">
        <x:v>0</x:v>
      </x:c>
      <x:c r="G769" s="184" t="n">
        <x:v>0</x:v>
      </x:c>
      <x:c r="H769" s="193" t="n">
        <x:v>0</x:v>
      </x:c>
      <x:c r="I769" s="185" t="n">
        <x:v>0</x:v>
      </x:c>
      <x:c r="J769" s="185" t="n">
        <x:v>0</x:v>
      </x:c>
      <x:c r="K769" s="289" t="n">
        <x:v>13790</x:v>
      </x:c>
    </x:row>
    <x:row r="770" s="117" customFormat="1" hidden="1">
      <x:c r="A770" s="184" t="inlineStr">
        <x:is>
          <x:t xml:space="preserve">EPPGENPTA202</x:t>
        </x:is>
      </x:c>
      <x:c r="B770" s="184" t="inlineStr">
        <x:is>
          <x:t xml:space="preserve">BOTIN NAZCA ROBLE NU-308 CAFE N°40</x:t>
        </x:is>
      </x:c>
      <x:c r="C770" s="184" t="n">
        <x:v>0</x:v>
      </x:c>
      <x:c r="D770" s="184" t="n">
        <x:v>0</x:v>
      </x:c>
      <x:c r="E770" s="184" t="n">
        <x:v>0</x:v>
      </x:c>
      <x:c r="F770" s="184" t="n">
        <x:v>0</x:v>
      </x:c>
      <x:c r="G770" s="184" t="n">
        <x:v>0</x:v>
      </x:c>
      <x:c r="H770" s="193" t="n">
        <x:v>0</x:v>
      </x:c>
      <x:c r="I770" s="185" t="n">
        <x:v>0</x:v>
      </x:c>
      <x:c r="J770" s="185" t="n">
        <x:v>0</x:v>
      </x:c>
      <x:c r="K770" s="289" t="n">
        <x:v>13790</x:v>
      </x:c>
    </x:row>
    <x:row r="771" s="117" customFormat="1" hidden="1">
      <x:c r="A771" s="184" t="inlineStr">
        <x:is>
          <x:t xml:space="preserve">EPPGENPTA203</x:t>
        </x:is>
      </x:c>
      <x:c r="B771" s="184" t="inlineStr">
        <x:is>
          <x:t xml:space="preserve">BOTIN NAZCA ROBLE NU-308 CAFE N°41</x:t>
        </x:is>
      </x:c>
      <x:c r="C771" s="184" t="n">
        <x:v>0</x:v>
      </x:c>
      <x:c r="D771" s="184" t="n">
        <x:v>0</x:v>
      </x:c>
      <x:c r="E771" s="184" t="n">
        <x:v>0</x:v>
      </x:c>
      <x:c r="F771" s="184" t="n">
        <x:v>0</x:v>
      </x:c>
      <x:c r="G771" s="184" t="n">
        <x:v>0</x:v>
      </x:c>
      <x:c r="H771" s="193" t="n">
        <x:v>0</x:v>
      </x:c>
      <x:c r="I771" s="185" t="n">
        <x:v>0</x:v>
      </x:c>
      <x:c r="J771" s="185" t="n">
        <x:v>0</x:v>
      </x:c>
      <x:c r="K771" s="289" t="n">
        <x:v>13790</x:v>
      </x:c>
    </x:row>
    <x:row r="772" s="117" customFormat="1" hidden="1">
      <x:c r="A772" s="184" t="inlineStr">
        <x:is>
          <x:t xml:space="preserve">EPPGENPTA204</x:t>
        </x:is>
      </x:c>
      <x:c r="B772" s="184" t="inlineStr">
        <x:is>
          <x:t xml:space="preserve">BOTIN NAZCA ROBLE NU-308 CAFE N°42</x:t>
        </x:is>
      </x:c>
      <x:c r="C772" s="184" t="n">
        <x:v>0</x:v>
      </x:c>
      <x:c r="D772" s="184" t="n">
        <x:v>0</x:v>
      </x:c>
      <x:c r="E772" s="184" t="n">
        <x:v>0</x:v>
      </x:c>
      <x:c r="F772" s="184" t="n">
        <x:v>0</x:v>
      </x:c>
      <x:c r="G772" s="184" t="n">
        <x:v>0</x:v>
      </x:c>
      <x:c r="H772" s="193" t="n">
        <x:v>0</x:v>
      </x:c>
      <x:c r="I772" s="185" t="n">
        <x:v>0</x:v>
      </x:c>
      <x:c r="J772" s="185" t="n">
        <x:v>0</x:v>
      </x:c>
      <x:c r="K772" s="289" t="n">
        <x:v>13790</x:v>
      </x:c>
    </x:row>
    <x:row r="773" s="117" customFormat="1" hidden="1">
      <x:c r="A773" s="184" t="inlineStr">
        <x:is>
          <x:t xml:space="preserve">EPPGENPTA205</x:t>
        </x:is>
      </x:c>
      <x:c r="B773" s="184" t="inlineStr">
        <x:is>
          <x:t xml:space="preserve">BOTIN NAZCA ROBLE NU-308 CAFE N°43</x:t>
        </x:is>
      </x:c>
      <x:c r="C773" s="184" t="n">
        <x:v>0</x:v>
      </x:c>
      <x:c r="D773" s="184" t="n">
        <x:v>0</x:v>
      </x:c>
      <x:c r="E773" s="184" t="n">
        <x:v>0</x:v>
      </x:c>
      <x:c r="F773" s="184" t="n">
        <x:v>0</x:v>
      </x:c>
      <x:c r="G773" s="184" t="n">
        <x:v>0</x:v>
      </x:c>
      <x:c r="H773" s="193" t="n">
        <x:v>0</x:v>
      </x:c>
      <x:c r="I773" s="185" t="n">
        <x:v>0</x:v>
      </x:c>
      <x:c r="J773" s="185" t="n">
        <x:v>0</x:v>
      </x:c>
      <x:c r="K773" s="289" t="n">
        <x:v>13790</x:v>
      </x:c>
    </x:row>
    <x:row r="774" s="117" customFormat="1" hidden="1">
      <x:c r="A774" s="184" t="inlineStr">
        <x:is>
          <x:t xml:space="preserve">EPPGENPTA206</x:t>
        </x:is>
      </x:c>
      <x:c r="B774" s="184" t="inlineStr">
        <x:is>
          <x:t xml:space="preserve">BOTIN NAZCA ROBLE NU-308 CAFE N°44</x:t>
        </x:is>
      </x:c>
      <x:c r="C774" s="184" t="n">
        <x:v>0</x:v>
      </x:c>
      <x:c r="D774" s="184" t="n">
        <x:v>0</x:v>
      </x:c>
      <x:c r="E774" s="184" t="n">
        <x:v>0</x:v>
      </x:c>
      <x:c r="F774" s="184" t="n">
        <x:v>0</x:v>
      </x:c>
      <x:c r="G774" s="184" t="n">
        <x:v>0</x:v>
      </x:c>
      <x:c r="H774" s="193" t="n">
        <x:v>0</x:v>
      </x:c>
      <x:c r="I774" s="185" t="n">
        <x:v>0</x:v>
      </x:c>
      <x:c r="J774" s="185" t="n">
        <x:v>0</x:v>
      </x:c>
      <x:c r="K774" s="289" t="n">
        <x:v>10150</x:v>
      </x:c>
    </x:row>
    <x:row r="775" s="117" customFormat="1" hidden="1">
      <x:c r="A775" s="184" t="inlineStr">
        <x:is>
          <x:t xml:space="preserve">EPPGENPTA207</x:t>
        </x:is>
      </x:c>
      <x:c r="B775" s="184" t="inlineStr">
        <x:is>
          <x:t xml:space="preserve">BOTIN NAZCA ROBLE NU-308 CAFE N°45</x:t>
        </x:is>
      </x:c>
      <x:c r="C775" s="184" t="n">
        <x:v>0</x:v>
      </x:c>
      <x:c r="D775" s="184" t="n">
        <x:v>0</x:v>
      </x:c>
      <x:c r="E775" s="184" t="n">
        <x:v>0</x:v>
      </x:c>
      <x:c r="F775" s="184" t="n">
        <x:v>0</x:v>
      </x:c>
      <x:c r="G775" s="184" t="n">
        <x:v>0</x:v>
      </x:c>
      <x:c r="H775" s="193" t="n">
        <x:v>0</x:v>
      </x:c>
      <x:c r="I775" s="185" t="n">
        <x:v>0</x:v>
      </x:c>
      <x:c r="J775" s="185" t="n">
        <x:v>0</x:v>
      </x:c>
      <x:c r="K775" s="289" t="n">
        <x:v>10150</x:v>
      </x:c>
    </x:row>
    <x:row r="776" s="117" customFormat="1" hidden="1">
      <x:c r="A776" s="184" t="inlineStr">
        <x:is>
          <x:t xml:space="preserve">EPPGENPTA208</x:t>
        </x:is>
      </x:c>
      <x:c r="B776" s="184" t="inlineStr">
        <x:is>
          <x:t xml:space="preserve">BOTA PVC GASOL AMARILLA 802-8086 P/A N° 39</x:t>
        </x:is>
      </x:c>
      <x:c r="C776" s="184" t="n">
        <x:v>0</x:v>
      </x:c>
      <x:c r="D776" s="184" t="n">
        <x:v>0</x:v>
      </x:c>
      <x:c r="E776" s="184" t="n">
        <x:v>0</x:v>
      </x:c>
      <x:c r="F776" s="184" t="n">
        <x:v>0</x:v>
      </x:c>
      <x:c r="G776" s="184" t="n">
        <x:v>0</x:v>
      </x:c>
      <x:c r="H776" s="193" t="n">
        <x:v>0</x:v>
      </x:c>
      <x:c r="I776" s="185" t="n">
        <x:v>0</x:v>
      </x:c>
      <x:c r="J776" s="185" t="n">
        <x:v>0</x:v>
      </x:c>
      <x:c r="K776" s="289" t="n">
        <x:v>10200</x:v>
      </x:c>
    </x:row>
    <x:row r="777" s="117" customFormat="1" hidden="1">
      <x:c r="A777" s="184" t="inlineStr">
        <x:is>
          <x:t xml:space="preserve">EPPGENPTA209</x:t>
        </x:is>
      </x:c>
      <x:c r="B777" s="184" t="inlineStr">
        <x:is>
          <x:t xml:space="preserve">BOTA PVC GASOL AMARILLA 802-8086 P/A N° 40</x:t>
        </x:is>
      </x:c>
      <x:c r="C777" s="184" t="n">
        <x:v>0</x:v>
      </x:c>
      <x:c r="D777" s="184" t="n">
        <x:v>0</x:v>
      </x:c>
      <x:c r="E777" s="184" t="n">
        <x:v>0</x:v>
      </x:c>
      <x:c r="F777" s="184" t="n">
        <x:v>0</x:v>
      </x:c>
      <x:c r="G777" s="184" t="n">
        <x:v>0</x:v>
      </x:c>
      <x:c r="H777" s="193" t="n">
        <x:v>0</x:v>
      </x:c>
      <x:c r="I777" s="185" t="n">
        <x:v>0</x:v>
      </x:c>
      <x:c r="J777" s="185" t="n">
        <x:v>0</x:v>
      </x:c>
      <x:c r="K777" s="289" t="n">
        <x:v>19600</x:v>
      </x:c>
    </x:row>
    <x:row r="778" s="117" customFormat="1" hidden="1">
      <x:c r="A778" s="184" t="inlineStr">
        <x:is>
          <x:t xml:space="preserve">EPPGENPTA210</x:t>
        </x:is>
      </x:c>
      <x:c r="B778" s="184" t="inlineStr">
        <x:is>
          <x:t xml:space="preserve">BOTA PVC GASOL AMARILLA 802-8086 P/A N° 41</x:t>
        </x:is>
      </x:c>
      <x:c r="C778" s="184" t="n">
        <x:v>0</x:v>
      </x:c>
      <x:c r="D778" s="184" t="n">
        <x:v>0</x:v>
      </x:c>
      <x:c r="E778" s="184" t="n">
        <x:v>0</x:v>
      </x:c>
      <x:c r="F778" s="184" t="n">
        <x:v>0</x:v>
      </x:c>
      <x:c r="G778" s="184" t="n">
        <x:v>0</x:v>
      </x:c>
      <x:c r="H778" s="193" t="n">
        <x:v>0</x:v>
      </x:c>
      <x:c r="I778" s="185" t="n">
        <x:v>0</x:v>
      </x:c>
      <x:c r="J778" s="185" t="n">
        <x:v>0</x:v>
      </x:c>
      <x:c r="K778" s="289" t="n">
        <x:v>19600</x:v>
      </x:c>
    </x:row>
    <x:row r="779" s="117" customFormat="1" hidden="1">
      <x:c r="A779" s="184" t="inlineStr">
        <x:is>
          <x:t xml:space="preserve">EPPGENPTA211</x:t>
        </x:is>
      </x:c>
      <x:c r="B779" s="184" t="inlineStr">
        <x:is>
          <x:t xml:space="preserve">BOTA PVC GASOL AMARILLA 802-8086 P/A N° 42</x:t>
        </x:is>
      </x:c>
      <x:c r="C779" s="184" t="n">
        <x:v>0</x:v>
      </x:c>
      <x:c r="D779" s="184" t="n">
        <x:v>0</x:v>
      </x:c>
      <x:c r="E779" s="184" t="n">
        <x:v>0</x:v>
      </x:c>
      <x:c r="F779" s="184" t="n">
        <x:v>0</x:v>
      </x:c>
      <x:c r="G779" s="184" t="n">
        <x:v>0</x:v>
      </x:c>
      <x:c r="H779" s="193" t="n">
        <x:v>0</x:v>
      </x:c>
      <x:c r="I779" s="185" t="n">
        <x:v>0</x:v>
      </x:c>
      <x:c r="J779" s="185" t="n">
        <x:v>0</x:v>
      </x:c>
      <x:c r="K779" s="289" t="n">
        <x:v>10200</x:v>
      </x:c>
    </x:row>
    <x:row r="780" s="117" customFormat="1" hidden="1">
      <x:c r="A780" s="184" t="inlineStr">
        <x:is>
          <x:t xml:space="preserve">EPPGENPTA212</x:t>
        </x:is>
      </x:c>
      <x:c r="B780" s="184" t="inlineStr">
        <x:is>
          <x:t xml:space="preserve">BOTA PVC GASOL AMARILLA 802-8086 P/A N° 43</x:t>
        </x:is>
      </x:c>
      <x:c r="C780" s="184" t="n">
        <x:v>0</x:v>
      </x:c>
      <x:c r="D780" s="184" t="n">
        <x:v>0</x:v>
      </x:c>
      <x:c r="E780" s="184" t="n">
        <x:v>0</x:v>
      </x:c>
      <x:c r="F780" s="184" t="n">
        <x:v>0</x:v>
      </x:c>
      <x:c r="G780" s="184" t="n">
        <x:v>0</x:v>
      </x:c>
      <x:c r="H780" s="193" t="n">
        <x:v>0</x:v>
      </x:c>
      <x:c r="I780" s="185" t="n">
        <x:v>0</x:v>
      </x:c>
      <x:c r="J780" s="185" t="n">
        <x:v>0</x:v>
      </x:c>
      <x:c r="K780" s="289" t="n">
        <x:v>0</x:v>
      </x:c>
    </x:row>
    <x:row r="781" s="117" customFormat="1" hidden="1">
      <x:c r="A781" s="184" t="inlineStr">
        <x:is>
          <x:t xml:space="preserve">EPPGENPTA213</x:t>
        </x:is>
      </x:c>
      <x:c r="B781" s="184" t="inlineStr">
        <x:is>
          <x:t xml:space="preserve">BOTA PVC GASOL AMARILLA 802-8086 P/A N° 44</x:t>
        </x:is>
      </x:c>
      <x:c r="C781" s="184" t="n">
        <x:v>0</x:v>
      </x:c>
      <x:c r="D781" s="184" t="n">
        <x:v>0</x:v>
      </x:c>
      <x:c r="E781" s="184" t="n">
        <x:v>0</x:v>
      </x:c>
      <x:c r="F781" s="184" t="n">
        <x:v>0</x:v>
      </x:c>
      <x:c r="G781" s="184" t="n">
        <x:v>0</x:v>
      </x:c>
      <x:c r="H781" s="193" t="n">
        <x:v>0</x:v>
      </x:c>
      <x:c r="I781" s="185" t="n">
        <x:v>0</x:v>
      </x:c>
      <x:c r="J781" s="185" t="n">
        <x:v>0</x:v>
      </x:c>
      <x:c r="K781" s="289" t="n">
        <x:v>10200</x:v>
      </x:c>
    </x:row>
    <x:row r="782" s="117" customFormat="1" hidden="1">
      <x:c r="A782" s="184" t="inlineStr">
        <x:is>
          <x:t xml:space="preserve">EPPGENPTA214</x:t>
        </x:is>
      </x:c>
      <x:c r="B782" s="184" t="inlineStr">
        <x:is>
          <x:t xml:space="preserve">BOTA PVC GASOL AMARILLA 802-8086 P/A N° 45</x:t>
        </x:is>
      </x:c>
      <x:c r="C782" s="184" t="n">
        <x:v>0</x:v>
      </x:c>
      <x:c r="D782" s="184" t="n">
        <x:v>0</x:v>
      </x:c>
      <x:c r="E782" s="184" t="n">
        <x:v>0</x:v>
      </x:c>
      <x:c r="F782" s="184" t="n">
        <x:v>0</x:v>
      </x:c>
      <x:c r="G782" s="184" t="n">
        <x:v>0</x:v>
      </x:c>
      <x:c r="H782" s="193" t="n">
        <x:v>0</x:v>
      </x:c>
      <x:c r="I782" s="185" t="n">
        <x:v>0</x:v>
      </x:c>
      <x:c r="J782" s="185" t="n">
        <x:v>0</x:v>
      </x:c>
      <x:c r="K782" s="289" t="n">
        <x:v>0</x:v>
      </x:c>
    </x:row>
    <x:row r="783" s="117" customFormat="1" hidden="1">
      <x:c r="A783" s="184" t="inlineStr">
        <x:is>
          <x:t xml:space="preserve">EPPGENPTA215</x:t>
        </x:is>
      </x:c>
      <x:c r="B783" s="184" t="inlineStr">
        <x:is>
          <x:t xml:space="preserve">OVEROL RESISTELA VERDE C/CTA REFL. T/S</x:t>
        </x:is>
      </x:c>
      <x:c r="C783" s="184" t="n">
        <x:v>7</x:v>
      </x:c>
      <x:c r="D783" s="184" t="n">
        <x:v>0</x:v>
      </x:c>
      <x:c r="E783" s="184" t="n">
        <x:v>0</x:v>
      </x:c>
      <x:c r="F783" s="184" t="n">
        <x:v>7</x:v>
      </x:c>
      <x:c r="G783" s="184" t="n">
        <x:v>80220</x:v>
      </x:c>
      <x:c r="H783" s="193" t="n">
        <x:v>0</x:v>
      </x:c>
      <x:c r="I783" s="185" t="n">
        <x:v>0</x:v>
      </x:c>
      <x:c r="J783" s="185" t="n">
        <x:v>80220</x:v>
      </x:c>
      <x:c r="K783" s="289" t="n">
        <x:v>11460</x:v>
      </x:c>
    </x:row>
    <x:row r="784" s="117" customFormat="1" hidden="1">
      <x:c r="A784" s="184" t="inlineStr">
        <x:is>
          <x:t xml:space="preserve">EPPGENPTA216</x:t>
        </x:is>
      </x:c>
      <x:c r="B784" s="184" t="inlineStr">
        <x:is>
          <x:t xml:space="preserve">GUANTE FORCE MASTER-PLUS ANTIVIBRACION L 9160 T/9</x:t>
        </x:is>
      </x:c>
      <x:c r="C784" s="184" t="n">
        <x:v>19</x:v>
      </x:c>
      <x:c r="D784" s="184" t="n">
        <x:v>0</x:v>
      </x:c>
      <x:c r="E784" s="184" t="n">
        <x:v>0</x:v>
      </x:c>
      <x:c r="F784" s="184" t="n">
        <x:v>19</x:v>
      </x:c>
      <x:c r="G784" s="184" t="n">
        <x:v>93009</x:v>
      </x:c>
      <x:c r="H784" s="193" t="n">
        <x:v>0</x:v>
      </x:c>
      <x:c r="I784" s="185" t="n">
        <x:v>0</x:v>
      </x:c>
      <x:c r="J784" s="185" t="n">
        <x:v>93009</x:v>
      </x:c>
      <x:c r="K784" s="289" t="n">
        <x:v>4895.21052632</x:v>
      </x:c>
    </x:row>
    <x:row r="785" s="117" customFormat="1" hidden="1">
      <x:c r="A785" s="184" t="inlineStr">
        <x:is>
          <x:t xml:space="preserve">EPPGENPTA217</x:t>
        </x:is>
      </x:c>
      <x:c r="B785" s="184" t="inlineStr">
        <x:is>
          <x:t xml:space="preserve">BUZO DESECHABLE ECX BLANCO T - M</x:t>
        </x:is>
      </x:c>
      <x:c r="C785" s="184" t="n">
        <x:v>0</x:v>
      </x:c>
      <x:c r="D785" s="184" t="n">
        <x:v>0</x:v>
      </x:c>
      <x:c r="E785" s="184" t="n">
        <x:v>0</x:v>
      </x:c>
      <x:c r="F785" s="184" t="n">
        <x:v>0</x:v>
      </x:c>
      <x:c r="G785" s="184" t="n">
        <x:v>0</x:v>
      </x:c>
      <x:c r="H785" s="193" t="n">
        <x:v>0</x:v>
      </x:c>
      <x:c r="I785" s="185" t="n">
        <x:v>0</x:v>
      </x:c>
      <x:c r="J785" s="185" t="n">
        <x:v>0</x:v>
      </x:c>
      <x:c r="K785" s="289" t="n">
        <x:v>0</x:v>
      </x:c>
    </x:row>
    <x:row r="786" s="117" customFormat="1" hidden="1">
      <x:c r="A786" s="184" t="inlineStr">
        <x:is>
          <x:t xml:space="preserve">EPPGENPTA218</x:t>
        </x:is>
      </x:c>
      <x:c r="B786" s="184" t="inlineStr">
        <x:is>
          <x:t xml:space="preserve">BUZO DESECHABLE ECX BLANCO T - L</x:t>
        </x:is>
      </x:c>
      <x:c r="C786" s="184" t="n">
        <x:v>0</x:v>
      </x:c>
      <x:c r="D786" s="184" t="n">
        <x:v>0</x:v>
      </x:c>
      <x:c r="E786" s="184" t="n">
        <x:v>0</x:v>
      </x:c>
      <x:c r="F786" s="184" t="n">
        <x:v>0</x:v>
      </x:c>
      <x:c r="G786" s="184" t="n">
        <x:v>0</x:v>
      </x:c>
      <x:c r="H786" s="193" t="n">
        <x:v>0</x:v>
      </x:c>
      <x:c r="I786" s="185" t="n">
        <x:v>0</x:v>
      </x:c>
      <x:c r="J786" s="185" t="n">
        <x:v>0</x:v>
      </x:c>
      <x:c r="K786" s="289" t="n">
        <x:v>0</x:v>
      </x:c>
    </x:row>
    <x:row r="787" s="117" customFormat="1" hidden="1">
      <x:c r="A787" s="184" t="inlineStr">
        <x:is>
          <x:t xml:space="preserve">EPPGENPTA219</x:t>
        </x:is>
      </x:c>
      <x:c r="B787" s="184" t="inlineStr">
        <x:is>
          <x:t xml:space="preserve">BUZO DESECHABLE ECX BLANCO T - XL</x:t>
        </x:is>
      </x:c>
      <x:c r="C787" s="184" t="n">
        <x:v>0</x:v>
      </x:c>
      <x:c r="D787" s="184" t="n">
        <x:v>0</x:v>
      </x:c>
      <x:c r="E787" s="184" t="n">
        <x:v>0</x:v>
      </x:c>
      <x:c r="F787" s="184" t="n">
        <x:v>0</x:v>
      </x:c>
      <x:c r="G787" s="184" t="n">
        <x:v>0</x:v>
      </x:c>
      <x:c r="H787" s="193" t="n">
        <x:v>0</x:v>
      </x:c>
      <x:c r="I787" s="185" t="n">
        <x:v>0</x:v>
      </x:c>
      <x:c r="J787" s="185" t="n">
        <x:v>0</x:v>
      </x:c>
      <x:c r="K787" s="289" t="n">
        <x:v>0</x:v>
      </x:c>
    </x:row>
    <x:row r="788" s="117" customFormat="1" hidden="1">
      <x:c r="A788" s="184" t="inlineStr">
        <x:is>
          <x:t xml:space="preserve">EPPGENPTA220</x:t>
        </x:is>
      </x:c>
      <x:c r="B788" s="184" t="inlineStr">
        <x:is>
          <x:t xml:space="preserve">BUZO DESECHABLE ECX BLANCO T - XXL</x:t>
        </x:is>
      </x:c>
      <x:c r="C788" s="184" t="n">
        <x:v>0</x:v>
      </x:c>
      <x:c r="D788" s="184" t="n">
        <x:v>0</x:v>
      </x:c>
      <x:c r="E788" s="184" t="n">
        <x:v>0</x:v>
      </x:c>
      <x:c r="F788" s="184" t="n">
        <x:v>0</x:v>
      </x:c>
      <x:c r="G788" s="184" t="n">
        <x:v>0</x:v>
      </x:c>
      <x:c r="H788" s="193" t="n">
        <x:v>0</x:v>
      </x:c>
      <x:c r="I788" s="185" t="n">
        <x:v>0</x:v>
      </x:c>
      <x:c r="J788" s="185" t="n">
        <x:v>0</x:v>
      </x:c>
      <x:c r="K788" s="289" t="n">
        <x:v>0</x:v>
      </x:c>
    </x:row>
    <x:row r="789" s="117" customFormat="1" hidden="1">
      <x:c r="A789" s="184" t="inlineStr">
        <x:is>
          <x:t xml:space="preserve">EPPGENPTA221</x:t>
        </x:is>
      </x:c>
      <x:c r="B789" s="184" t="inlineStr">
        <x:is>
          <x:t xml:space="preserve">BANDANA HEADWEAR HW NEGRO/GRIS</x:t>
        </x:is>
      </x:c>
      <x:c r="C789" s="184" t="n">
        <x:v>0</x:v>
      </x:c>
      <x:c r="D789" s="184" t="n">
        <x:v>0</x:v>
      </x:c>
      <x:c r="E789" s="184" t="n">
        <x:v>0</x:v>
      </x:c>
      <x:c r="F789" s="184" t="n">
        <x:v>0</x:v>
      </x:c>
      <x:c r="G789" s="184" t="n">
        <x:v>0</x:v>
      </x:c>
      <x:c r="H789" s="193" t="n">
        <x:v>0</x:v>
      </x:c>
      <x:c r="I789" s="185" t="n">
        <x:v>0</x:v>
      </x:c>
      <x:c r="J789" s="185" t="n">
        <x:v>0</x:v>
      </x:c>
      <x:c r="K789" s="289" t="n">
        <x:v>1800</x:v>
      </x:c>
    </x:row>
    <x:row r="790" s="117" customFormat="1" hidden="1">
      <x:c r="A790" s="184" t="inlineStr">
        <x:is>
          <x:t xml:space="preserve">EPPGENPTA222</x:t>
        </x:is>
      </x:c>
      <x:c r="B790" s="184" t="inlineStr">
        <x:is>
          <x:t xml:space="preserve">BOTIN NAZCA COLONO NC-695 CAFE N° 39</x:t>
        </x:is>
      </x:c>
      <x:c r="C790" s="184" t="n">
        <x:v>0</x:v>
      </x:c>
      <x:c r="D790" s="184" t="n">
        <x:v>0</x:v>
      </x:c>
      <x:c r="E790" s="184" t="n">
        <x:v>0</x:v>
      </x:c>
      <x:c r="F790" s="184" t="n">
        <x:v>0</x:v>
      </x:c>
      <x:c r="G790" s="184" t="n">
        <x:v>0</x:v>
      </x:c>
      <x:c r="H790" s="193" t="n">
        <x:v>0</x:v>
      </x:c>
      <x:c r="I790" s="185" t="n">
        <x:v>0</x:v>
      </x:c>
      <x:c r="J790" s="185" t="n">
        <x:v>0</x:v>
      </x:c>
      <x:c r="K790" s="289" t="n">
        <x:v>0</x:v>
      </x:c>
    </x:row>
    <x:row r="791" s="117" customFormat="1" hidden="1">
      <x:c r="A791" s="184" t="inlineStr">
        <x:is>
          <x:t xml:space="preserve">EPPGENPTA223</x:t>
        </x:is>
      </x:c>
      <x:c r="B791" s="184" t="inlineStr">
        <x:is>
          <x:t xml:space="preserve">BOTIN NAZCA COLONO NC-695 CAFE N° 40</x:t>
        </x:is>
      </x:c>
      <x:c r="C791" s="184" t="n">
        <x:v>0</x:v>
      </x:c>
      <x:c r="D791" s="184" t="n">
        <x:v>0</x:v>
      </x:c>
      <x:c r="E791" s="184" t="n">
        <x:v>0</x:v>
      </x:c>
      <x:c r="F791" s="184" t="n">
        <x:v>0</x:v>
      </x:c>
      <x:c r="G791" s="184" t="n">
        <x:v>0</x:v>
      </x:c>
      <x:c r="H791" s="193" t="n">
        <x:v>0</x:v>
      </x:c>
      <x:c r="I791" s="185" t="n">
        <x:v>0</x:v>
      </x:c>
      <x:c r="J791" s="185" t="n">
        <x:v>0</x:v>
      </x:c>
      <x:c r="K791" s="289" t="n">
        <x:v>0</x:v>
      </x:c>
    </x:row>
    <x:row r="792" s="117" customFormat="1" hidden="1">
      <x:c r="A792" s="184" t="inlineStr">
        <x:is>
          <x:t xml:space="preserve">EPPGENPTA224</x:t>
        </x:is>
      </x:c>
      <x:c r="B792" s="184" t="inlineStr">
        <x:is>
          <x:t xml:space="preserve">BOTIN NAZCA COLONO NC-695 CAFE N° 41</x:t>
        </x:is>
      </x:c>
      <x:c r="C792" s="184" t="n">
        <x:v>0</x:v>
      </x:c>
      <x:c r="D792" s="184" t="n">
        <x:v>0</x:v>
      </x:c>
      <x:c r="E792" s="184" t="n">
        <x:v>0</x:v>
      </x:c>
      <x:c r="F792" s="184" t="n">
        <x:v>0</x:v>
      </x:c>
      <x:c r="G792" s="184" t="n">
        <x:v>0</x:v>
      </x:c>
      <x:c r="H792" s="193" t="n">
        <x:v>0</x:v>
      </x:c>
      <x:c r="I792" s="185" t="n">
        <x:v>0</x:v>
      </x:c>
      <x:c r="J792" s="185" t="n">
        <x:v>0</x:v>
      </x:c>
      <x:c r="K792" s="289" t="n">
        <x:v>0</x:v>
      </x:c>
    </x:row>
    <x:row r="793" s="117" customFormat="1" hidden="1">
      <x:c r="A793" s="184" t="inlineStr">
        <x:is>
          <x:t xml:space="preserve">EPPGENPTA225</x:t>
        </x:is>
      </x:c>
      <x:c r="B793" s="184" t="inlineStr">
        <x:is>
          <x:t xml:space="preserve">BOTIN NAZCA COLONO NC-695 CAFE N° 42</x:t>
        </x:is>
      </x:c>
      <x:c r="C793" s="184" t="n">
        <x:v>0</x:v>
      </x:c>
      <x:c r="D793" s="184" t="n">
        <x:v>0</x:v>
      </x:c>
      <x:c r="E793" s="184" t="n">
        <x:v>0</x:v>
      </x:c>
      <x:c r="F793" s="184" t="n">
        <x:v>0</x:v>
      </x:c>
      <x:c r="G793" s="184" t="n">
        <x:v>0</x:v>
      </x:c>
      <x:c r="H793" s="193" t="n">
        <x:v>0</x:v>
      </x:c>
      <x:c r="I793" s="185" t="n">
        <x:v>0</x:v>
      </x:c>
      <x:c r="J793" s="185" t="n">
        <x:v>0</x:v>
      </x:c>
      <x:c r="K793" s="289" t="n">
        <x:v>0</x:v>
      </x:c>
    </x:row>
    <x:row r="794" s="117" customFormat="1" hidden="1">
      <x:c r="A794" s="184" t="inlineStr">
        <x:is>
          <x:t xml:space="preserve">EPPGENPTA226</x:t>
        </x:is>
      </x:c>
      <x:c r="B794" s="184" t="inlineStr">
        <x:is>
          <x:t xml:space="preserve">BOTIN NAZCA COLONO NC-695 CAFE N° 43</x:t>
        </x:is>
      </x:c>
      <x:c r="C794" s="184" t="n">
        <x:v>0</x:v>
      </x:c>
      <x:c r="D794" s="184" t="n">
        <x:v>0</x:v>
      </x:c>
      <x:c r="E794" s="184" t="n">
        <x:v>0</x:v>
      </x:c>
      <x:c r="F794" s="184" t="n">
        <x:v>0</x:v>
      </x:c>
      <x:c r="G794" s="184" t="n">
        <x:v>0</x:v>
      </x:c>
      <x:c r="H794" s="193" t="n">
        <x:v>0</x:v>
      </x:c>
      <x:c r="I794" s="185" t="n">
        <x:v>0</x:v>
      </x:c>
      <x:c r="J794" s="185" t="n">
        <x:v>0</x:v>
      </x:c>
      <x:c r="K794" s="289" t="n">
        <x:v>0</x:v>
      </x:c>
    </x:row>
    <x:row r="795" s="117" customFormat="1" hidden="1">
      <x:c r="A795" s="184" t="inlineStr">
        <x:is>
          <x:t xml:space="preserve">EPPGENPTA227</x:t>
        </x:is>
      </x:c>
      <x:c r="B795" s="184" t="inlineStr">
        <x:is>
          <x:t xml:space="preserve">BOTIN NAZCA COLONO NC-695 CAFE N° 44</x:t>
        </x:is>
      </x:c>
      <x:c r="C795" s="184" t="n">
        <x:v>0</x:v>
      </x:c>
      <x:c r="D795" s="184" t="n">
        <x:v>0</x:v>
      </x:c>
      <x:c r="E795" s="184" t="n">
        <x:v>0</x:v>
      </x:c>
      <x:c r="F795" s="184" t="n">
        <x:v>0</x:v>
      </x:c>
      <x:c r="G795" s="184" t="n">
        <x:v>0</x:v>
      </x:c>
      <x:c r="H795" s="193" t="n">
        <x:v>0</x:v>
      </x:c>
      <x:c r="I795" s="185" t="n">
        <x:v>0</x:v>
      </x:c>
      <x:c r="J795" s="185" t="n">
        <x:v>0</x:v>
      </x:c>
      <x:c r="K795" s="289" t="n">
        <x:v>0</x:v>
      </x:c>
    </x:row>
    <x:row r="796" s="117" customFormat="1" hidden="1">
      <x:c r="A796" s="184" t="inlineStr">
        <x:is>
          <x:t xml:space="preserve">EPPGENPTA228</x:t>
        </x:is>
      </x:c>
      <x:c r="B796" s="184" t="inlineStr">
        <x:is>
          <x:t xml:space="preserve">BOTIN NAZCA COLONO NC-695 CAFE N° 45</x:t>
        </x:is>
      </x:c>
      <x:c r="C796" s="184" t="n">
        <x:v>0</x:v>
      </x:c>
      <x:c r="D796" s="184" t="n">
        <x:v>0</x:v>
      </x:c>
      <x:c r="E796" s="184" t="n">
        <x:v>0</x:v>
      </x:c>
      <x:c r="F796" s="184" t="n">
        <x:v>0</x:v>
      </x:c>
      <x:c r="G796" s="184" t="n">
        <x:v>0</x:v>
      </x:c>
      <x:c r="H796" s="193" t="n">
        <x:v>0</x:v>
      </x:c>
      <x:c r="I796" s="185" t="n">
        <x:v>0</x:v>
      </x:c>
      <x:c r="J796" s="185" t="n">
        <x:v>0</x:v>
      </x:c>
      <x:c r="K796" s="289" t="n">
        <x:v>0</x:v>
      </x:c>
    </x:row>
    <x:row r="797" s="117" customFormat="1" hidden="1">
      <x:c r="A797" s="184" t="inlineStr">
        <x:is>
          <x:t xml:space="preserve">EPPGENPTA229</x:t>
        </x:is>
      </x:c>
      <x:c r="B797" s="184" t="inlineStr">
        <x:is>
          <x:t xml:space="preserve">ANTEOJO OVER-G MIAMI DESIGN ANTIEMPAÑO GRIS MSA 1302-AFS (OVERGLASS)</x:t>
        </x:is>
      </x:c>
      <x:c r="C797" s="184" t="n">
        <x:v>0</x:v>
      </x:c>
      <x:c r="D797" s="184" t="n">
        <x:v>0</x:v>
      </x:c>
      <x:c r="E797" s="184" t="n">
        <x:v>0</x:v>
      </x:c>
      <x:c r="F797" s="184" t="n">
        <x:v>0</x:v>
      </x:c>
      <x:c r="G797" s="184" t="n">
        <x:v>0</x:v>
      </x:c>
      <x:c r="H797" s="193" t="n">
        <x:v>0</x:v>
      </x:c>
      <x:c r="I797" s="185" t="n">
        <x:v>0</x:v>
      </x:c>
      <x:c r="J797" s="185" t="n">
        <x:v>0</x:v>
      </x:c>
      <x:c r="K797" s="289" t="n">
        <x:v>0</x:v>
      </x:c>
    </x:row>
    <x:row r="798" s="117" customFormat="1" hidden="1">
      <x:c r="A798" s="184" t="inlineStr">
        <x:is>
          <x:t xml:space="preserve">EPPGENPTA230</x:t>
        </x:is>
      </x:c>
      <x:c r="B798" s="184" t="inlineStr">
        <x:is>
          <x:t xml:space="preserve">ANTEOJO OVER-G MIAMI DESIGN ANTIEMPAÑO CLARO MSA 1302-AFC (OVERGLASS)</x:t>
        </x:is>
      </x:c>
      <x:c r="C798" s="184" t="n">
        <x:v>0</x:v>
      </x:c>
      <x:c r="D798" s="184" t="n">
        <x:v>0</x:v>
      </x:c>
      <x:c r="E798" s="184" t="n">
        <x:v>0</x:v>
      </x:c>
      <x:c r="F798" s="184" t="n">
        <x:v>0</x:v>
      </x:c>
      <x:c r="G798" s="184" t="n">
        <x:v>0</x:v>
      </x:c>
      <x:c r="H798" s="193" t="n">
        <x:v>0</x:v>
      </x:c>
      <x:c r="I798" s="185" t="n">
        <x:v>0</x:v>
      </x:c>
      <x:c r="J798" s="185" t="n">
        <x:v>0</x:v>
      </x:c>
      <x:c r="K798" s="289" t="n">
        <x:v>0</x:v>
      </x:c>
    </x:row>
    <x:row r="799" s="117" customFormat="1" hidden="1">
      <x:c r="A799" s="184" t="inlineStr">
        <x:is>
          <x:t xml:space="preserve">EPPGENPTA231</x:t>
        </x:is>
      </x:c>
      <x:c r="B799" s="184" t="inlineStr">
        <x:is>
          <x:t xml:space="preserve">BOTIN PROFLEX 100 AISLANTE ELECTRICO PU N° 39</x:t>
        </x:is>
      </x:c>
      <x:c r="C799" s="184" t="n">
        <x:v>0</x:v>
      </x:c>
      <x:c r="D799" s="184" t="n">
        <x:v>0</x:v>
      </x:c>
      <x:c r="E799" s="184" t="n">
        <x:v>0</x:v>
      </x:c>
      <x:c r="F799" s="184" t="n">
        <x:v>0</x:v>
      </x:c>
      <x:c r="G799" s="184" t="n">
        <x:v>0</x:v>
      </x:c>
      <x:c r="H799" s="193" t="n">
        <x:v>0</x:v>
      </x:c>
      <x:c r="I799" s="185" t="n">
        <x:v>0</x:v>
      </x:c>
      <x:c r="J799" s="185" t="n">
        <x:v>0</x:v>
      </x:c>
      <x:c r="K799" s="289" t="n">
        <x:v>0</x:v>
      </x:c>
    </x:row>
    <x:row r="800" s="117" customFormat="1" hidden="1">
      <x:c r="A800" s="184" t="inlineStr">
        <x:is>
          <x:t xml:space="preserve">EPPGENPTA232</x:t>
        </x:is>
      </x:c>
      <x:c r="B800" s="184" t="inlineStr">
        <x:is>
          <x:t xml:space="preserve">BOTIN PROFLEX 100 AISLANTE ELECTRICO PU N° 40</x:t>
        </x:is>
      </x:c>
      <x:c r="C800" s="184" t="n">
        <x:v>0</x:v>
      </x:c>
      <x:c r="D800" s="184" t="n">
        <x:v>0</x:v>
      </x:c>
      <x:c r="E800" s="184" t="n">
        <x:v>0</x:v>
      </x:c>
      <x:c r="F800" s="184" t="n">
        <x:v>0</x:v>
      </x:c>
      <x:c r="G800" s="184" t="n">
        <x:v>0</x:v>
      </x:c>
      <x:c r="H800" s="193" t="n">
        <x:v>0</x:v>
      </x:c>
      <x:c r="I800" s="185" t="n">
        <x:v>0</x:v>
      </x:c>
      <x:c r="J800" s="185" t="n">
        <x:v>0</x:v>
      </x:c>
      <x:c r="K800" s="289" t="n">
        <x:v>0</x:v>
      </x:c>
    </x:row>
    <x:row r="801" s="117" customFormat="1" hidden="1">
      <x:c r="A801" s="184" t="inlineStr">
        <x:is>
          <x:t xml:space="preserve">EPPGENPTA233</x:t>
        </x:is>
      </x:c>
      <x:c r="B801" s="184" t="inlineStr">
        <x:is>
          <x:t xml:space="preserve">BOTIN PROFLEX 100 AISLANTE ELECTRICO PU N° 41</x:t>
        </x:is>
      </x:c>
      <x:c r="C801" s="184" t="n">
        <x:v>0</x:v>
      </x:c>
      <x:c r="D801" s="184" t="n">
        <x:v>0</x:v>
      </x:c>
      <x:c r="E801" s="184" t="n">
        <x:v>0</x:v>
      </x:c>
      <x:c r="F801" s="184" t="n">
        <x:v>0</x:v>
      </x:c>
      <x:c r="G801" s="184" t="n">
        <x:v>0</x:v>
      </x:c>
      <x:c r="H801" s="193" t="n">
        <x:v>0</x:v>
      </x:c>
      <x:c r="I801" s="185" t="n">
        <x:v>0</x:v>
      </x:c>
      <x:c r="J801" s="185" t="n">
        <x:v>0</x:v>
      </x:c>
      <x:c r="K801" s="289" t="n">
        <x:v>0</x:v>
      </x:c>
    </x:row>
    <x:row r="802" s="117" customFormat="1" hidden="1">
      <x:c r="A802" s="184" t="inlineStr">
        <x:is>
          <x:t xml:space="preserve">EPPGENPTA234</x:t>
        </x:is>
      </x:c>
      <x:c r="B802" s="184" t="inlineStr">
        <x:is>
          <x:t xml:space="preserve">BOTIN PROFLEX 100 AISLANTE ELECTRICO PU N° 42</x:t>
        </x:is>
      </x:c>
      <x:c r="C802" s="184" t="n">
        <x:v>0</x:v>
      </x:c>
      <x:c r="D802" s="184" t="n">
        <x:v>0</x:v>
      </x:c>
      <x:c r="E802" s="184" t="n">
        <x:v>0</x:v>
      </x:c>
      <x:c r="F802" s="184" t="n">
        <x:v>0</x:v>
      </x:c>
      <x:c r="G802" s="184" t="n">
        <x:v>0</x:v>
      </x:c>
      <x:c r="H802" s="193" t="n">
        <x:v>0</x:v>
      </x:c>
      <x:c r="I802" s="185" t="n">
        <x:v>0</x:v>
      </x:c>
      <x:c r="J802" s="185" t="n">
        <x:v>0</x:v>
      </x:c>
      <x:c r="K802" s="289" t="n">
        <x:v>0</x:v>
      </x:c>
    </x:row>
    <x:row r="803" s="117" customFormat="1" hidden="1">
      <x:c r="A803" s="184" t="inlineStr">
        <x:is>
          <x:t xml:space="preserve">EPPGENPTA235</x:t>
        </x:is>
      </x:c>
      <x:c r="B803" s="184" t="inlineStr">
        <x:is>
          <x:t xml:space="preserve">BOTIN PROFLEX 100 AISLANTE ELECTRICO PU N° 43</x:t>
        </x:is>
      </x:c>
      <x:c r="C803" s="184" t="n">
        <x:v>0</x:v>
      </x:c>
      <x:c r="D803" s="184" t="n">
        <x:v>0</x:v>
      </x:c>
      <x:c r="E803" s="184" t="n">
        <x:v>0</x:v>
      </x:c>
      <x:c r="F803" s="184" t="n">
        <x:v>0</x:v>
      </x:c>
      <x:c r="G803" s="184" t="n">
        <x:v>0</x:v>
      </x:c>
      <x:c r="H803" s="193" t="n">
        <x:v>0</x:v>
      </x:c>
      <x:c r="I803" s="185" t="n">
        <x:v>0</x:v>
      </x:c>
      <x:c r="J803" s="185" t="n">
        <x:v>0</x:v>
      </x:c>
      <x:c r="K803" s="289" t="n">
        <x:v>0</x:v>
      </x:c>
    </x:row>
    <x:row r="804" s="117" customFormat="1" hidden="1">
      <x:c r="A804" s="184" t="inlineStr">
        <x:is>
          <x:t xml:space="preserve">EPPGENPTA236</x:t>
        </x:is>
      </x:c>
      <x:c r="B804" s="184" t="inlineStr">
        <x:is>
          <x:t xml:space="preserve">BOTIN PROFLEX 100 AISLANTE ELECTRICO PU N° 44</x:t>
        </x:is>
      </x:c>
      <x:c r="C804" s="184" t="n">
        <x:v>0</x:v>
      </x:c>
      <x:c r="D804" s="184" t="n">
        <x:v>0</x:v>
      </x:c>
      <x:c r="E804" s="184" t="n">
        <x:v>0</x:v>
      </x:c>
      <x:c r="F804" s="184" t="n">
        <x:v>0</x:v>
      </x:c>
      <x:c r="G804" s="184" t="n">
        <x:v>0</x:v>
      </x:c>
      <x:c r="H804" s="193" t="n">
        <x:v>0</x:v>
      </x:c>
      <x:c r="I804" s="185" t="n">
        <x:v>0</x:v>
      </x:c>
      <x:c r="J804" s="185" t="n">
        <x:v>0</x:v>
      </x:c>
      <x:c r="K804" s="289" t="n">
        <x:v>0</x:v>
      </x:c>
    </x:row>
    <x:row r="805" s="117" customFormat="1" hidden="1">
      <x:c r="A805" s="184" t="inlineStr">
        <x:is>
          <x:t xml:space="preserve">EPPGENPTA237</x:t>
        </x:is>
      </x:c>
      <x:c r="B805" s="184" t="inlineStr">
        <x:is>
          <x:t xml:space="preserve">BOTIN PROFLEX 100 AISLANTE ELECTRICO PU N° 45</x:t>
        </x:is>
      </x:c>
      <x:c r="C805" s="184" t="n">
        <x:v>0</x:v>
      </x:c>
      <x:c r="D805" s="184" t="n">
        <x:v>0</x:v>
      </x:c>
      <x:c r="E805" s="184" t="n">
        <x:v>0</x:v>
      </x:c>
      <x:c r="F805" s="184" t="n">
        <x:v>0</x:v>
      </x:c>
      <x:c r="G805" s="184" t="n">
        <x:v>0</x:v>
      </x:c>
      <x:c r="H805" s="193" t="n">
        <x:v>0</x:v>
      </x:c>
      <x:c r="I805" s="185" t="n">
        <x:v>0</x:v>
      </x:c>
      <x:c r="J805" s="185" t="n">
        <x:v>0</x:v>
      </x:c>
      <x:c r="K805" s="289" t="n">
        <x:v>0</x:v>
      </x:c>
    </x:row>
    <x:row r="806" s="117" customFormat="1" hidden="1">
      <x:c r="A806" s="184" t="inlineStr">
        <x:is>
          <x:t xml:space="preserve">EPPGENPTA238</x:t>
        </x:is>
      </x:c>
      <x:c r="B806" s="184" t="inlineStr">
        <x:is>
          <x:t xml:space="preserve">BOTIN NITRO 750 NOBUCK N° 39</x:t>
        </x:is>
      </x:c>
      <x:c r="C806" s="184" t="n">
        <x:v>1</x:v>
      </x:c>
      <x:c r="D806" s="184" t="n">
        <x:v>0</x:v>
      </x:c>
      <x:c r="E806" s="184" t="n">
        <x:v>0</x:v>
      </x:c>
      <x:c r="F806" s="184" t="n">
        <x:v>1</x:v>
      </x:c>
      <x:c r="G806" s="184" t="n">
        <x:v>36500</x:v>
      </x:c>
      <x:c r="H806" s="193" t="n">
        <x:v>0</x:v>
      </x:c>
      <x:c r="I806" s="185" t="n">
        <x:v>0</x:v>
      </x:c>
      <x:c r="J806" s="185" t="n">
        <x:v>36500</x:v>
      </x:c>
      <x:c r="K806" s="289" t="n">
        <x:v>36500</x:v>
      </x:c>
    </x:row>
    <x:row r="807" s="117" customFormat="1" hidden="1">
      <x:c r="A807" s="184" t="inlineStr">
        <x:is>
          <x:t xml:space="preserve">EPPGENPTA239</x:t>
        </x:is>
      </x:c>
      <x:c r="B807" s="184" t="inlineStr">
        <x:is>
          <x:t xml:space="preserve">BOTIN NITRO 750 NOBUCK N° 40</x:t>
        </x:is>
      </x:c>
      <x:c r="C807" s="184" t="n">
        <x:v>12</x:v>
      </x:c>
      <x:c r="D807" s="184" t="n">
        <x:v>0</x:v>
      </x:c>
      <x:c r="E807" s="184" t="n">
        <x:v>0</x:v>
      </x:c>
      <x:c r="F807" s="184" t="n">
        <x:v>12</x:v>
      </x:c>
      <x:c r="G807" s="184" t="n">
        <x:v>430000</x:v>
      </x:c>
      <x:c r="H807" s="193" t="n">
        <x:v>0</x:v>
      </x:c>
      <x:c r="I807" s="185" t="n">
        <x:v>0</x:v>
      </x:c>
      <x:c r="J807" s="185" t="n">
        <x:v>430000</x:v>
      </x:c>
      <x:c r="K807" s="289" t="n">
        <x:v>35833.33333333</x:v>
      </x:c>
    </x:row>
    <x:row r="808" s="117" customFormat="1" hidden="1">
      <x:c r="A808" s="184" t="inlineStr">
        <x:is>
          <x:t xml:space="preserve">EPPGENPTA240</x:t>
        </x:is>
      </x:c>
      <x:c r="B808" s="184" t="inlineStr">
        <x:is>
          <x:t xml:space="preserve">BOTIN NITRO 750 NOBUCK N° 41</x:t>
        </x:is>
      </x:c>
      <x:c r="C808" s="184" t="n">
        <x:v>19</x:v>
      </x:c>
      <x:c r="D808" s="184" t="n">
        <x:v>0</x:v>
      </x:c>
      <x:c r="E808" s="184" t="n">
        <x:v>0</x:v>
      </x:c>
      <x:c r="F808" s="184" t="n">
        <x:v>19</x:v>
      </x:c>
      <x:c r="G808" s="184" t="n">
        <x:v>679100</x:v>
      </x:c>
      <x:c r="H808" s="193" t="n">
        <x:v>0</x:v>
      </x:c>
      <x:c r="I808" s="185" t="n">
        <x:v>0</x:v>
      </x:c>
      <x:c r="J808" s="185" t="n">
        <x:v>679100</x:v>
      </x:c>
      <x:c r="K808" s="289" t="n">
        <x:v>35742.10526316</x:v>
      </x:c>
    </x:row>
    <x:row r="809" s="117" customFormat="1" hidden="1">
      <x:c r="A809" s="184" t="inlineStr">
        <x:is>
          <x:t xml:space="preserve">EPPGENPTA241</x:t>
        </x:is>
      </x:c>
      <x:c r="B809" s="184" t="inlineStr">
        <x:is>
          <x:t xml:space="preserve">BOTIN NITRO 750 NOBUCK N° 42</x:t>
        </x:is>
      </x:c>
      <x:c r="C809" s="184" t="n">
        <x:v>21</x:v>
      </x:c>
      <x:c r="D809" s="184" t="n">
        <x:v>0</x:v>
      </x:c>
      <x:c r="E809" s="184" t="n">
        <x:v>0</x:v>
      </x:c>
      <x:c r="F809" s="184" t="n">
        <x:v>21</x:v>
      </x:c>
      <x:c r="G809" s="184" t="n">
        <x:v>752100</x:v>
      </x:c>
      <x:c r="H809" s="193" t="n">
        <x:v>0</x:v>
      </x:c>
      <x:c r="I809" s="185" t="n">
        <x:v>0</x:v>
      </x:c>
      <x:c r="J809" s="185" t="n">
        <x:v>752100</x:v>
      </x:c>
      <x:c r="K809" s="289" t="n">
        <x:v>35814.28571429</x:v>
      </x:c>
    </x:row>
    <x:row r="810" s="117" customFormat="1" hidden="1">
      <x:c r="A810" s="184" t="inlineStr">
        <x:is>
          <x:t xml:space="preserve">EPPGENPTA242</x:t>
        </x:is>
      </x:c>
      <x:c r="B810" s="184" t="inlineStr">
        <x:is>
          <x:t xml:space="preserve">BOTIN NITRO 750 NOBUCK N° 43</x:t>
        </x:is>
      </x:c>
      <x:c r="C810" s="184" t="n">
        <x:v>12</x:v>
      </x:c>
      <x:c r="D810" s="184" t="n">
        <x:v>0</x:v>
      </x:c>
      <x:c r="E810" s="184" t="n">
        <x:v>0</x:v>
      </x:c>
      <x:c r="F810" s="184" t="n">
        <x:v>12</x:v>
      </x:c>
      <x:c r="G810" s="184" t="n">
        <x:v>425693</x:v>
      </x:c>
      <x:c r="H810" s="193" t="n">
        <x:v>0</x:v>
      </x:c>
      <x:c r="I810" s="185" t="n">
        <x:v>0</x:v>
      </x:c>
      <x:c r="J810" s="185" t="n">
        <x:v>425693</x:v>
      </x:c>
      <x:c r="K810" s="289" t="n">
        <x:v>35474.35897436</x:v>
      </x:c>
    </x:row>
    <x:row r="811" s="117" customFormat="1" hidden="1">
      <x:c r="A811" s="184" t="inlineStr">
        <x:is>
          <x:t xml:space="preserve">EPPGENPTA243</x:t>
        </x:is>
      </x:c>
      <x:c r="B811" s="184" t="inlineStr">
        <x:is>
          <x:t xml:space="preserve">BOTIN NITRO 750 NOBUCK N° 44</x:t>
        </x:is>
      </x:c>
      <x:c r="C811" s="184" t="n">
        <x:v>4</x:v>
      </x:c>
      <x:c r="D811" s="184" t="n">
        <x:v>0</x:v>
      </x:c>
      <x:c r="E811" s="184" t="n">
        <x:v>0</x:v>
      </x:c>
      <x:c r="F811" s="184" t="n">
        <x:v>4</x:v>
      </x:c>
      <x:c r="G811" s="184" t="n">
        <x:v>143600</x:v>
      </x:c>
      <x:c r="H811" s="193" t="n">
        <x:v>0</x:v>
      </x:c>
      <x:c r="I811" s="185" t="n">
        <x:v>0</x:v>
      </x:c>
      <x:c r="J811" s="185" t="n">
        <x:v>143600</x:v>
      </x:c>
      <x:c r="K811" s="289" t="n">
        <x:v>35900</x:v>
      </x:c>
    </x:row>
    <x:row r="812" s="117" customFormat="1" hidden="1">
      <x:c r="A812" s="184" t="inlineStr">
        <x:is>
          <x:t xml:space="preserve">EPPGENPTA244</x:t>
        </x:is>
      </x:c>
      <x:c r="B812" s="184" t="inlineStr">
        <x:is>
          <x:t xml:space="preserve">BOTIN NITRO 750 NOBUCK N° 45</x:t>
        </x:is>
      </x:c>
      <x:c r="C812" s="184" t="n">
        <x:v>2</x:v>
      </x:c>
      <x:c r="D812" s="184" t="n">
        <x:v>0</x:v>
      </x:c>
      <x:c r="E812" s="184" t="n">
        <x:v>0</x:v>
      </x:c>
      <x:c r="F812" s="184" t="n">
        <x:v>2</x:v>
      </x:c>
      <x:c r="G812" s="184" t="n">
        <x:v>71933</x:v>
      </x:c>
      <x:c r="H812" s="193" t="n">
        <x:v>0</x:v>
      </x:c>
      <x:c r="I812" s="185" t="n">
        <x:v>0</x:v>
      </x:c>
      <x:c r="J812" s="185" t="n">
        <x:v>71933</x:v>
      </x:c>
      <x:c r="K812" s="289" t="n">
        <x:v>35966.66666667</x:v>
      </x:c>
    </x:row>
    <x:row r="813" s="117" customFormat="1" hidden="1">
      <x:c r="A813" s="184" t="inlineStr">
        <x:is>
          <x:t xml:space="preserve">EPPGENPTA245</x:t>
        </x:is>
      </x:c>
      <x:c r="B813" s="184" t="inlineStr">
        <x:is>
          <x:t xml:space="preserve">BOTIN V-FLEX V17 CUERO NOBUCK N° 39</x:t>
        </x:is>
      </x:c>
      <x:c r="C813" s="184" t="n">
        <x:v>0</x:v>
      </x:c>
      <x:c r="D813" s="184" t="n">
        <x:v>0</x:v>
      </x:c>
      <x:c r="E813" s="184" t="n">
        <x:v>0</x:v>
      </x:c>
      <x:c r="F813" s="184" t="n">
        <x:v>0</x:v>
      </x:c>
      <x:c r="G813" s="184" t="n">
        <x:v>0</x:v>
      </x:c>
      <x:c r="H813" s="193" t="n">
        <x:v>0</x:v>
      </x:c>
      <x:c r="I813" s="185" t="n">
        <x:v>0</x:v>
      </x:c>
      <x:c r="J813" s="185" t="n">
        <x:v>0</x:v>
      </x:c>
      <x:c r="K813" s="289" t="n">
        <x:v>49700</x:v>
      </x:c>
    </x:row>
    <x:row r="814" s="117" customFormat="1" hidden="1">
      <x:c r="A814" s="184" t="inlineStr">
        <x:is>
          <x:t xml:space="preserve">EPPGENPTA246</x:t>
        </x:is>
      </x:c>
      <x:c r="B814" s="184" t="inlineStr">
        <x:is>
          <x:t xml:space="preserve">BOTIN V-FLEX V17 CUERO NOBUCK N° 40</x:t>
        </x:is>
      </x:c>
      <x:c r="C814" s="184" t="n">
        <x:v>0</x:v>
      </x:c>
      <x:c r="D814" s="184" t="n">
        <x:v>0</x:v>
      </x:c>
      <x:c r="E814" s="184" t="n">
        <x:v>0</x:v>
      </x:c>
      <x:c r="F814" s="184" t="n">
        <x:v>0</x:v>
      </x:c>
      <x:c r="G814" s="184" t="n">
        <x:v>0</x:v>
      </x:c>
      <x:c r="H814" s="193" t="n">
        <x:v>0</x:v>
      </x:c>
      <x:c r="I814" s="185" t="n">
        <x:v>0</x:v>
      </x:c>
      <x:c r="J814" s="185" t="n">
        <x:v>0</x:v>
      </x:c>
      <x:c r="K814" s="289" t="n">
        <x:v>45800</x:v>
      </x:c>
    </x:row>
    <x:row r="815" s="117" customFormat="1" hidden="1">
      <x:c r="A815" s="184" t="inlineStr">
        <x:is>
          <x:t xml:space="preserve">EPPGENPTA247</x:t>
        </x:is>
      </x:c>
      <x:c r="B815" s="184" t="inlineStr">
        <x:is>
          <x:t xml:space="preserve">BOTIN V-FLEX V17 CUERO NOBUCK N° 41</x:t>
        </x:is>
      </x:c>
      <x:c r="C815" s="184" t="n">
        <x:v>0</x:v>
      </x:c>
      <x:c r="D815" s="184" t="n">
        <x:v>0</x:v>
      </x:c>
      <x:c r="E815" s="184" t="n">
        <x:v>0</x:v>
      </x:c>
      <x:c r="F815" s="184" t="n">
        <x:v>0</x:v>
      </x:c>
      <x:c r="G815" s="184" t="n">
        <x:v>0</x:v>
      </x:c>
      <x:c r="H815" s="193" t="n">
        <x:v>0</x:v>
      </x:c>
      <x:c r="I815" s="185" t="n">
        <x:v>0</x:v>
      </x:c>
      <x:c r="J815" s="185" t="n">
        <x:v>0</x:v>
      </x:c>
      <x:c r="K815" s="289" t="n">
        <x:v>38900</x:v>
      </x:c>
    </x:row>
    <x:row r="816" s="117" customFormat="1" hidden="1">
      <x:c r="A816" s="184" t="inlineStr">
        <x:is>
          <x:t xml:space="preserve">EPPGENPTA248</x:t>
        </x:is>
      </x:c>
      <x:c r="B816" s="184" t="inlineStr">
        <x:is>
          <x:t xml:space="preserve">BOTIN V-FLEX V17 CUERO NOBUCK N° 42</x:t>
        </x:is>
      </x:c>
      <x:c r="C816" s="184" t="n">
        <x:v>2</x:v>
      </x:c>
      <x:c r="D816" s="184" t="n">
        <x:v>0</x:v>
      </x:c>
      <x:c r="E816" s="184" t="n">
        <x:v>0</x:v>
      </x:c>
      <x:c r="F816" s="184" t="n">
        <x:v>2</x:v>
      </x:c>
      <x:c r="G816" s="184" t="n">
        <x:v>95500</x:v>
      </x:c>
      <x:c r="H816" s="193" t="n">
        <x:v>0</x:v>
      </x:c>
      <x:c r="I816" s="185" t="n">
        <x:v>0</x:v>
      </x:c>
      <x:c r="J816" s="185" t="n">
        <x:v>95500</x:v>
      </x:c>
      <x:c r="K816" s="289" t="n">
        <x:v>47750</x:v>
      </x:c>
    </x:row>
    <x:row r="817" s="117" customFormat="1" hidden="1">
      <x:c r="A817" s="184" t="inlineStr">
        <x:is>
          <x:t xml:space="preserve">EPPGENPTA249</x:t>
        </x:is>
      </x:c>
      <x:c r="B817" s="184" t="inlineStr">
        <x:is>
          <x:t xml:space="preserve">BOTIN V-FLEX V17 CUERO NOBUCK N° 43</x:t>
        </x:is>
      </x:c>
      <x:c r="C817" s="184" t="n">
        <x:v>0</x:v>
      </x:c>
      <x:c r="D817" s="184" t="n">
        <x:v>0</x:v>
      </x:c>
      <x:c r="E817" s="184" t="n">
        <x:v>0</x:v>
      </x:c>
      <x:c r="F817" s="184" t="n">
        <x:v>0</x:v>
      </x:c>
      <x:c r="G817" s="184" t="n">
        <x:v>0</x:v>
      </x:c>
      <x:c r="H817" s="193" t="n">
        <x:v>0</x:v>
      </x:c>
      <x:c r="I817" s="185" t="n">
        <x:v>0</x:v>
      </x:c>
      <x:c r="J817" s="185" t="n">
        <x:v>0</x:v>
      </x:c>
      <x:c r="K817" s="289" t="n">
        <x:v>0</x:v>
      </x:c>
    </x:row>
    <x:row r="818" s="117" customFormat="1" hidden="1">
      <x:c r="A818" s="184" t="inlineStr">
        <x:is>
          <x:t xml:space="preserve">EPPGENPTA250</x:t>
        </x:is>
      </x:c>
      <x:c r="B818" s="184" t="inlineStr">
        <x:is>
          <x:t xml:space="preserve">BOTIN V-FLEX V17 CUERO NOBUCK N° 44</x:t>
        </x:is>
      </x:c>
      <x:c r="C818" s="184" t="n">
        <x:v>0</x:v>
      </x:c>
      <x:c r="D818" s="184" t="n">
        <x:v>0</x:v>
      </x:c>
      <x:c r="E818" s="184" t="n">
        <x:v>0</x:v>
      </x:c>
      <x:c r="F818" s="184" t="n">
        <x:v>0</x:v>
      </x:c>
      <x:c r="G818" s="184" t="n">
        <x:v>0</x:v>
      </x:c>
      <x:c r="H818" s="193" t="n">
        <x:v>0</x:v>
      </x:c>
      <x:c r="I818" s="185" t="n">
        <x:v>0</x:v>
      </x:c>
      <x:c r="J818" s="185" t="n">
        <x:v>0</x:v>
      </x:c>
      <x:c r="K818" s="289" t="n">
        <x:v>0</x:v>
      </x:c>
    </x:row>
    <x:row r="819" s="117" customFormat="1" hidden="1">
      <x:c r="A819" s="184" t="inlineStr">
        <x:is>
          <x:t xml:space="preserve">EPPGENPTA251</x:t>
        </x:is>
      </x:c>
      <x:c r="B819" s="184" t="inlineStr">
        <x:is>
          <x:t xml:space="preserve">BOTIN V-FLEX V17 CUERO NOBUCK N° 45</x:t>
        </x:is>
      </x:c>
      <x:c r="C819" s="184" t="n">
        <x:v>0</x:v>
      </x:c>
      <x:c r="D819" s="184" t="n">
        <x:v>0</x:v>
      </x:c>
      <x:c r="E819" s="184" t="n">
        <x:v>0</x:v>
      </x:c>
      <x:c r="F819" s="184" t="n">
        <x:v>0</x:v>
      </x:c>
      <x:c r="G819" s="184" t="n">
        <x:v>0</x:v>
      </x:c>
      <x:c r="H819" s="193" t="n">
        <x:v>0</x:v>
      </x:c>
      <x:c r="I819" s="185" t="n">
        <x:v>0</x:v>
      </x:c>
      <x:c r="J819" s="185" t="n">
        <x:v>0</x:v>
      </x:c>
      <x:c r="K819" s="289" t="n">
        <x:v>0</x:v>
      </x:c>
    </x:row>
    <x:row r="820" s="117" customFormat="1" hidden="1">
      <x:c r="A820" s="184" t="inlineStr">
        <x:is>
          <x:t xml:space="preserve">EPPGENPTA252</x:t>
        </x:is>
      </x:c>
      <x:c r="B820" s="184" t="inlineStr">
        <x:is>
          <x:t xml:space="preserve">MUÑEQUERA PORTA HERRAMIENTA MAX 2.3KG</x:t>
        </x:is>
      </x:c>
      <x:c r="C820" s="184" t="n">
        <x:v>0</x:v>
      </x:c>
      <x:c r="D820" s="184" t="n">
        <x:v>0</x:v>
      </x:c>
      <x:c r="E820" s="184" t="n">
        <x:v>0</x:v>
      </x:c>
      <x:c r="F820" s="184" t="n">
        <x:v>0</x:v>
      </x:c>
      <x:c r="G820" s="184" t="n">
        <x:v>0</x:v>
      </x:c>
      <x:c r="H820" s="193" t="n">
        <x:v>0</x:v>
      </x:c>
      <x:c r="I820" s="185" t="n">
        <x:v>0</x:v>
      </x:c>
      <x:c r="J820" s="185" t="n">
        <x:v>0</x:v>
      </x:c>
      <x:c r="K820" s="289" t="n">
        <x:v>1990</x:v>
      </x:c>
    </x:row>
    <x:row r="821" s="117" customFormat="1" hidden="1">
      <x:c r="A821" s="184" t="inlineStr">
        <x:is>
          <x:t xml:space="preserve">EPPGENPTA253</x:t>
        </x:is>
      </x:c>
      <x:c r="B821" s="184" t="inlineStr">
        <x:is>
          <x:t xml:space="preserve">SOBREANTEOJO MIAMI DESIGN OVER-G ANTIEMPAÑANTE CLARO</x:t>
        </x:is>
      </x:c>
      <x:c r="C821" s="184" t="n">
        <x:v>0</x:v>
      </x:c>
      <x:c r="D821" s="184" t="n">
        <x:v>0</x:v>
      </x:c>
      <x:c r="E821" s="184" t="n">
        <x:v>0</x:v>
      </x:c>
      <x:c r="F821" s="184" t="n">
        <x:v>0</x:v>
      </x:c>
      <x:c r="G821" s="184" t="n">
        <x:v>0</x:v>
      </x:c>
      <x:c r="H821" s="193" t="n">
        <x:v>0</x:v>
      </x:c>
      <x:c r="I821" s="185" t="n">
        <x:v>0</x:v>
      </x:c>
      <x:c r="J821" s="185" t="n">
        <x:v>0</x:v>
      </x:c>
      <x:c r="K821" s="289" t="n">
        <x:v>2490</x:v>
      </x:c>
    </x:row>
    <x:row r="822" s="117" customFormat="1" hidden="1">
      <x:c r="A822" s="184" t="inlineStr">
        <x:is>
          <x:t xml:space="preserve">EPPGENPTA254</x:t>
        </x:is>
      </x:c>
      <x:c r="B822" s="184" t="inlineStr">
        <x:is>
          <x:t xml:space="preserve">SOBREANTEOJO MIAMI DESIGN OVER-G ANTIEMPAÑANTE GRIS</x:t>
        </x:is>
      </x:c>
      <x:c r="C822" s="184" t="n">
        <x:v>0</x:v>
      </x:c>
      <x:c r="D822" s="184" t="n">
        <x:v>0</x:v>
      </x:c>
      <x:c r="E822" s="184" t="n">
        <x:v>0</x:v>
      </x:c>
      <x:c r="F822" s="184" t="n">
        <x:v>0</x:v>
      </x:c>
      <x:c r="G822" s="184" t="n">
        <x:v>0</x:v>
      </x:c>
      <x:c r="H822" s="193" t="n">
        <x:v>0</x:v>
      </x:c>
      <x:c r="I822" s="185" t="n">
        <x:v>0</x:v>
      </x:c>
      <x:c r="J822" s="185" t="n">
        <x:v>0</x:v>
      </x:c>
      <x:c r="K822" s="289" t="n">
        <x:v>2490</x:v>
      </x:c>
    </x:row>
    <x:row r="823" s="117" customFormat="1" hidden="1">
      <x:c r="A823" s="184" t="inlineStr">
        <x:is>
          <x:t xml:space="preserve">EPPGENPTA255</x:t>
        </x:is>
      </x:c>
      <x:c r="B823" s="184" t="inlineStr">
        <x:is>
          <x:t xml:space="preserve">RESPIRADOR AIR 603 TPR T/L</x:t>
        </x:is>
      </x:c>
      <x:c r="C823" s="184" t="n">
        <x:v>0</x:v>
      </x:c>
      <x:c r="D823" s="184" t="n">
        <x:v>0</x:v>
      </x:c>
      <x:c r="E823" s="184" t="n">
        <x:v>0</x:v>
      </x:c>
      <x:c r="F823" s="184" t="n">
        <x:v>0</x:v>
      </x:c>
      <x:c r="G823" s="184" t="n">
        <x:v>0</x:v>
      </x:c>
      <x:c r="H823" s="193" t="n">
        <x:v>0</x:v>
      </x:c>
      <x:c r="I823" s="185" t="n">
        <x:v>0</x:v>
      </x:c>
      <x:c r="J823" s="185" t="n">
        <x:v>0</x:v>
      </x:c>
      <x:c r="K823" s="289" t="n">
        <x:v>4861</x:v>
      </x:c>
    </x:row>
    <x:row r="824" s="117" customFormat="1" hidden="1">
      <x:c r="A824" s="184" t="inlineStr">
        <x:is>
          <x:t xml:space="preserve">EPPGENPTA256</x:t>
        </x:is>
      </x:c>
      <x:c r="B824" s="184" t="inlineStr">
        <x:is>
          <x:t xml:space="preserve">BOTIN NAZCA ROBLE NU-308 CAFE N°46</x:t>
        </x:is>
      </x:c>
      <x:c r="C824" s="184" t="n">
        <x:v>0</x:v>
      </x:c>
      <x:c r="D824" s="184" t="n">
        <x:v>0</x:v>
      </x:c>
      <x:c r="E824" s="184" t="n">
        <x:v>0</x:v>
      </x:c>
      <x:c r="F824" s="184" t="n">
        <x:v>0</x:v>
      </x:c>
      <x:c r="G824" s="184" t="n">
        <x:v>0</x:v>
      </x:c>
      <x:c r="H824" s="193" t="n">
        <x:v>0</x:v>
      </x:c>
      <x:c r="I824" s="185" t="n">
        <x:v>0</x:v>
      </x:c>
      <x:c r="J824" s="185" t="n">
        <x:v>0</x:v>
      </x:c>
      <x:c r="K824" s="289" t="n">
        <x:v>13790</x:v>
      </x:c>
    </x:row>
    <x:row r="825" s="117" customFormat="1" hidden="1">
      <x:c r="A825" s="184" t="inlineStr">
        <x:is>
          <x:t xml:space="preserve">EPPGENPTA257</x:t>
        </x:is>
      </x:c>
      <x:c r="B825" s="184" t="inlineStr">
        <x:is>
          <x:t xml:space="preserve">AMORTIGUADOR DE IMPACTO AMR0S-01D ARG MOSQUETERO CHILESIN</x:t>
        </x:is>
      </x:c>
      <x:c r="C825" s="184" t="n">
        <x:v>0</x:v>
      </x:c>
      <x:c r="D825" s="184" t="n">
        <x:v>0</x:v>
      </x:c>
      <x:c r="E825" s="184" t="n">
        <x:v>0</x:v>
      </x:c>
      <x:c r="F825" s="184" t="n">
        <x:v>0</x:v>
      </x:c>
      <x:c r="G825" s="184" t="n">
        <x:v>0</x:v>
      </x:c>
      <x:c r="H825" s="193" t="n">
        <x:v>0</x:v>
      </x:c>
      <x:c r="I825" s="185" t="n">
        <x:v>0</x:v>
      </x:c>
      <x:c r="J825" s="185" t="n">
        <x:v>0</x:v>
      </x:c>
      <x:c r="K825" s="289" t="n">
        <x:v>10000</x:v>
      </x:c>
    </x:row>
    <x:row r="826" s="117" customFormat="1" hidden="1">
      <x:c r="A826" s="184" t="inlineStr">
        <x:is>
          <x:t xml:space="preserve">EPPGENPTA258</x:t>
        </x:is>
      </x:c>
      <x:c r="B826" s="184" t="inlineStr">
        <x:is>
          <x:t xml:space="preserve">BUZO POPLIN PIL AZUL T/M</x:t>
        </x:is>
      </x:c>
      <x:c r="C826" s="184" t="n">
        <x:v>0</x:v>
      </x:c>
      <x:c r="D826" s="184" t="n">
        <x:v>0</x:v>
      </x:c>
      <x:c r="E826" s="184" t="n">
        <x:v>0</x:v>
      </x:c>
      <x:c r="F826" s="184" t="n">
        <x:v>0</x:v>
      </x:c>
      <x:c r="G826" s="184" t="n">
        <x:v>0</x:v>
      </x:c>
      <x:c r="H826" s="193" t="n">
        <x:v>0</x:v>
      </x:c>
      <x:c r="I826" s="185" t="n">
        <x:v>0</x:v>
      </x:c>
      <x:c r="J826" s="185" t="n">
        <x:v>0</x:v>
      </x:c>
      <x:c r="K826" s="289" t="n">
        <x:v>3200</x:v>
      </x:c>
    </x:row>
    <x:row r="827" s="117" customFormat="1" hidden="1">
      <x:c r="A827" s="184" t="inlineStr">
        <x:is>
          <x:t xml:space="preserve">EPPGENPTA259</x:t>
        </x:is>
      </x:c>
      <x:c r="B827" s="184" t="inlineStr">
        <x:is>
          <x:t xml:space="preserve">BUZO POPLIN PIL AZUL T/L</x:t>
        </x:is>
      </x:c>
      <x:c r="C827" s="184" t="n">
        <x:v>0</x:v>
      </x:c>
      <x:c r="D827" s="184" t="n">
        <x:v>0</x:v>
      </x:c>
      <x:c r="E827" s="184" t="n">
        <x:v>0</x:v>
      </x:c>
      <x:c r="F827" s="184" t="n">
        <x:v>0</x:v>
      </x:c>
      <x:c r="G827" s="184" t="n">
        <x:v>-2</x:v>
      </x:c>
      <x:c r="H827" s="193" t="n">
        <x:v>0</x:v>
      </x:c>
      <x:c r="I827" s="185" t="n">
        <x:v>0</x:v>
      </x:c>
      <x:c r="J827" s="185" t="n">
        <x:v>-2</x:v>
      </x:c>
      <x:c r="K827" s="289" t="n">
        <x:v>4980</x:v>
      </x:c>
    </x:row>
    <x:row r="828" s="117" customFormat="1" hidden="1">
      <x:c r="A828" s="184" t="inlineStr">
        <x:is>
          <x:t xml:space="preserve">EPPGENPTA260</x:t>
        </x:is>
      </x:c>
      <x:c r="B828" s="184" t="inlineStr">
        <x:is>
          <x:t xml:space="preserve">BUZO POPLIN PIL AZUL T/XL</x:t>
        </x:is>
      </x:c>
      <x:c r="C828" s="184" t="n">
        <x:v>0</x:v>
      </x:c>
      <x:c r="D828" s="184" t="n">
        <x:v>0</x:v>
      </x:c>
      <x:c r="E828" s="184" t="n">
        <x:v>0</x:v>
      </x:c>
      <x:c r="F828" s="184" t="n">
        <x:v>0</x:v>
      </x:c>
      <x:c r="G828" s="184" t="n">
        <x:v>0</x:v>
      </x:c>
      <x:c r="H828" s="193" t="n">
        <x:v>0</x:v>
      </x:c>
      <x:c r="I828" s="185" t="n">
        <x:v>0</x:v>
      </x:c>
      <x:c r="J828" s="185" t="n">
        <x:v>0</x:v>
      </x:c>
      <x:c r="K828" s="289" t="n">
        <x:v>4907.95480226</x:v>
      </x:c>
    </x:row>
    <x:row r="829" s="117" customFormat="1" hidden="1">
      <x:c r="A829" s="184" t="inlineStr">
        <x:is>
          <x:t xml:space="preserve">EPPGENPTA261</x:t>
        </x:is>
      </x:c>
      <x:c r="B829" s="184" t="inlineStr">
        <x:is>
          <x:t xml:space="preserve">BUZO POPLIN PIL AZUL T/XXL</x:t>
        </x:is>
      </x:c>
      <x:c r="C829" s="184" t="n">
        <x:v>0</x:v>
      </x:c>
      <x:c r="D829" s="184" t="n">
        <x:v>0</x:v>
      </x:c>
      <x:c r="E829" s="184" t="n">
        <x:v>0</x:v>
      </x:c>
      <x:c r="F829" s="184" t="n">
        <x:v>0</x:v>
      </x:c>
      <x:c r="G829" s="184" t="n">
        <x:v>0</x:v>
      </x:c>
      <x:c r="H829" s="193" t="n">
        <x:v>0</x:v>
      </x:c>
      <x:c r="I829" s="185" t="n">
        <x:v>0</x:v>
      </x:c>
      <x:c r="J829" s="185" t="n">
        <x:v>0</x:v>
      </x:c>
      <x:c r="K829" s="289" t="n">
        <x:v>4785.23809524</x:v>
      </x:c>
    </x:row>
    <x:row r="830" s="117" customFormat="1" hidden="1">
      <x:c r="A830" s="184" t="inlineStr">
        <x:is>
          <x:t xml:space="preserve">EPPGENPTA262</x:t>
        </x:is>
      </x:c>
      <x:c r="B830" s="184" t="inlineStr">
        <x:is>
          <x:t xml:space="preserve">RESPIRADOR AIR FFS6680 SILICONA</x:t>
        </x:is>
      </x:c>
      <x:c r="C830" s="184" t="n">
        <x:v>0</x:v>
      </x:c>
      <x:c r="D830" s="184" t="n">
        <x:v>0</x:v>
      </x:c>
      <x:c r="E830" s="184" t="n">
        <x:v>0</x:v>
      </x:c>
      <x:c r="F830" s="184" t="n">
        <x:v>0</x:v>
      </x:c>
      <x:c r="G830" s="184" t="n">
        <x:v>0</x:v>
      </x:c>
      <x:c r="H830" s="193" t="n">
        <x:v>0</x:v>
      </x:c>
      <x:c r="I830" s="185" t="n">
        <x:v>0</x:v>
      </x:c>
      <x:c r="J830" s="185" t="n">
        <x:v>0</x:v>
      </x:c>
      <x:c r="K830" s="289" t="n">
        <x:v>57490</x:v>
      </x:c>
    </x:row>
    <x:row r="831" s="117" customFormat="1" hidden="1">
      <x:c r="A831" s="184" t="inlineStr">
        <x:is>
          <x:t xml:space="preserve">EPPGENPTA263</x:t>
        </x:is>
      </x:c>
      <x:c r="B831" s="184" t="inlineStr">
        <x:is>
          <x:t xml:space="preserve">PORTAHERRAMIENTA 9 COMP. POCA-9</x:t>
        </x:is>
      </x:c>
      <x:c r="C831" s="184" t="n">
        <x:v>0</x:v>
      </x:c>
      <x:c r="D831" s="184" t="n">
        <x:v>0</x:v>
      </x:c>
      <x:c r="E831" s="184" t="n">
        <x:v>0</x:v>
      </x:c>
      <x:c r="F831" s="184" t="n">
        <x:v>0</x:v>
      </x:c>
      <x:c r="G831" s="184" t="n">
        <x:v>0</x:v>
      </x:c>
      <x:c r="H831" s="193" t="n">
        <x:v>0</x:v>
      </x:c>
      <x:c r="I831" s="185" t="n">
        <x:v>0</x:v>
      </x:c>
      <x:c r="J831" s="185" t="n">
        <x:v>0</x:v>
      </x:c>
      <x:c r="K831" s="289" t="n">
        <x:v>11980</x:v>
      </x:c>
    </x:row>
    <x:row r="832" s="117" customFormat="1" hidden="1">
      <x:c r="A832" s="184" t="inlineStr">
        <x:is>
          <x:t xml:space="preserve">EPPGENPTA264</x:t>
        </x:is>
      </x:c>
      <x:c r="B832" s="184" t="inlineStr">
        <x:is>
          <x:t xml:space="preserve">AMORTIGUADOR DE CAIDA CORTO PRINCE</x:t>
        </x:is>
      </x:c>
      <x:c r="C832" s="184" t="n">
        <x:v>0</x:v>
      </x:c>
      <x:c r="D832" s="184" t="n">
        <x:v>0</x:v>
      </x:c>
      <x:c r="E832" s="184" t="n">
        <x:v>0</x:v>
      </x:c>
      <x:c r="F832" s="184" t="n">
        <x:v>0</x:v>
      </x:c>
      <x:c r="G832" s="184" t="n">
        <x:v>0</x:v>
      </x:c>
      <x:c r="H832" s="193" t="n">
        <x:v>0</x:v>
      </x:c>
      <x:c r="I832" s="185" t="n">
        <x:v>0</x:v>
      </x:c>
      <x:c r="J832" s="185" t="n">
        <x:v>0</x:v>
      </x:c>
      <x:c r="K832" s="289" t="n">
        <x:v>6100</x:v>
      </x:c>
    </x:row>
    <x:row r="833" s="117" customFormat="1" hidden="1">
      <x:c r="A833" s="184" t="inlineStr">
        <x:is>
          <x:t xml:space="preserve">EPPGENPTA265</x:t>
        </x:is>
      </x:c>
      <x:c r="B833" s="184" t="inlineStr">
        <x:is>
          <x:t xml:space="preserve">ARNES DE 3 ARGOLLAS FERSAF T M/L</x:t>
        </x:is>
      </x:c>
      <x:c r="C833" s="184" t="n">
        <x:v>0</x:v>
      </x:c>
      <x:c r="D833" s="184" t="n">
        <x:v>0</x:v>
      </x:c>
      <x:c r="E833" s="184" t="n">
        <x:v>0</x:v>
      </x:c>
      <x:c r="F833" s="184" t="n">
        <x:v>0</x:v>
      </x:c>
      <x:c r="G833" s="184" t="n">
        <x:v>0</x:v>
      </x:c>
      <x:c r="H833" s="193" t="n">
        <x:v>0</x:v>
      </x:c>
      <x:c r="I833" s="185" t="n">
        <x:v>0</x:v>
      </x:c>
      <x:c r="J833" s="185" t="n">
        <x:v>0</x:v>
      </x:c>
      <x:c r="K833" s="289" t="n">
        <x:v>6400</x:v>
      </x:c>
    </x:row>
    <x:row r="834" s="117" customFormat="1" hidden="1">
      <x:c r="A834" s="184" t="inlineStr">
        <x:is>
          <x:t xml:space="preserve">EPPGENPTA266</x:t>
        </x:is>
      </x:c>
      <x:c r="B834" s="184" t="inlineStr">
        <x:is>
          <x:t xml:space="preserve">SOBRE LENTE OSCURO</x:t>
        </x:is>
      </x:c>
      <x:c r="C834" s="184" t="n">
        <x:v>23</x:v>
      </x:c>
      <x:c r="D834" s="184" t="n">
        <x:v>0</x:v>
      </x:c>
      <x:c r="E834" s="184" t="n">
        <x:v>0</x:v>
      </x:c>
      <x:c r="F834" s="184" t="n">
        <x:v>23</x:v>
      </x:c>
      <x:c r="G834" s="184" t="n">
        <x:v>59570</x:v>
      </x:c>
      <x:c r="H834" s="193" t="n">
        <x:v>0</x:v>
      </x:c>
      <x:c r="I834" s="185" t="n">
        <x:v>0</x:v>
      </x:c>
      <x:c r="J834" s="185" t="n">
        <x:v>59570</x:v>
      </x:c>
      <x:c r="K834" s="289" t="n">
        <x:v>2590</x:v>
      </x:c>
    </x:row>
    <x:row r="835" s="117" customFormat="1" hidden="1">
      <x:c r="A835" s="184" t="inlineStr">
        <x:is>
          <x:t xml:space="preserve">EPPGENPTA267</x:t>
        </x:is>
      </x:c>
      <x:c r="B835" s="184" t="inlineStr">
        <x:is>
          <x:t xml:space="preserve">FULL FACE MASPROT M2100</x:t>
        </x:is>
      </x:c>
      <x:c r="C835" s="184" t="n">
        <x:v>2</x:v>
      </x:c>
      <x:c r="D835" s="184" t="n">
        <x:v>0</x:v>
      </x:c>
      <x:c r="E835" s="184" t="n">
        <x:v>0</x:v>
      </x:c>
      <x:c r="F835" s="184" t="n">
        <x:v>2</x:v>
      </x:c>
      <x:c r="G835" s="184" t="n">
        <x:v>118272</x:v>
      </x:c>
      <x:c r="H835" s="193" t="n">
        <x:v>0</x:v>
      </x:c>
      <x:c r="I835" s="185" t="n">
        <x:v>0</x:v>
      </x:c>
      <x:c r="J835" s="185" t="n">
        <x:v>118272</x:v>
      </x:c>
      <x:c r="K835" s="289" t="n">
        <x:v>59136</x:v>
      </x:c>
    </x:row>
    <x:row r="836" s="117" customFormat="1" hidden="1">
      <x:c r="A836" s="184" t="inlineStr">
        <x:is>
          <x:t xml:space="preserve">EPPGENPTA268</x:t>
        </x:is>
      </x:c>
      <x:c r="B836" s="184" t="inlineStr">
        <x:is>
          <x:t xml:space="preserve">FILTRO MGV/MHE-500 GASES, VAPORES Y PARTICULAS</x:t>
        </x:is>
      </x:c>
      <x:c r="C836" s="184" t="n">
        <x:v>0</x:v>
      </x:c>
      <x:c r="D836" s="184" t="n">
        <x:v>0</x:v>
      </x:c>
      <x:c r="E836" s="184" t="n">
        <x:v>0</x:v>
      </x:c>
      <x:c r="F836" s="184" t="n">
        <x:v>0</x:v>
      </x:c>
      <x:c r="G836" s="184" t="n">
        <x:v>0</x:v>
      </x:c>
      <x:c r="H836" s="193" t="n">
        <x:v>0</x:v>
      </x:c>
      <x:c r="I836" s="185" t="n">
        <x:v>0</x:v>
      </x:c>
      <x:c r="J836" s="185" t="n">
        <x:v>0</x:v>
      </x:c>
      <x:c r="K836" s="289" t="n">
        <x:v>6110</x:v>
      </x:c>
    </x:row>
    <x:row r="837" s="117" customFormat="1" hidden="1">
      <x:c r="A837" s="184" t="inlineStr">
        <x:is>
          <x:t xml:space="preserve">EPPGENPTA269</x:t>
        </x:is>
      </x:c>
      <x:c r="B837" s="184" t="inlineStr">
        <x:is>
          <x:t xml:space="preserve">FILTRO AIR F600 VGP3 A1E1 P3 R</x:t>
        </x:is>
      </x:c>
      <x:c r="C837" s="184" t="n">
        <x:v>104</x:v>
      </x:c>
      <x:c r="D837" s="184" t="n">
        <x:v>0</x:v>
      </x:c>
      <x:c r="E837" s="184" t="n">
        <x:v>1</x:v>
      </x:c>
      <x:c r="F837" s="184" t="n">
        <x:v>103</x:v>
      </x:c>
      <x:c r="G837" s="184" t="n">
        <x:v>1334679</x:v>
      </x:c>
      <x:c r="H837" s="193" t="n">
        <x:v>0</x:v>
      </x:c>
      <x:c r="I837" s="185" t="n">
        <x:v>12833</x:v>
      </x:c>
      <x:c r="J837" s="185" t="n">
        <x:v>1321846</x:v>
      </x:c>
      <x:c r="K837" s="289" t="n">
        <x:v>12833.41934331</x:v>
      </x:c>
    </x:row>
    <x:row r="838" s="117" customFormat="1" hidden="1">
      <x:c r="A838" s="184" t="inlineStr">
        <x:is>
          <x:t xml:space="preserve">EPPGENPTA270</x:t>
        </x:is>
      </x:c>
      <x:c r="B838" s="184" t="inlineStr">
        <x:is>
          <x:t xml:space="preserve">MASCARILLA KN95</x:t>
        </x:is>
      </x:c>
      <x:c r="C838" s="184" t="n">
        <x:v>168</x:v>
      </x:c>
      <x:c r="D838" s="184" t="n">
        <x:v>0</x:v>
      </x:c>
      <x:c r="E838" s="184" t="n">
        <x:v>0</x:v>
      </x:c>
      <x:c r="F838" s="184" t="n">
        <x:v>168</x:v>
      </x:c>
      <x:c r="G838" s="184" t="n">
        <x:v>11847</x:v>
      </x:c>
      <x:c r="H838" s="193" t="n">
        <x:v>0</x:v>
      </x:c>
      <x:c r="I838" s="185" t="n">
        <x:v>0</x:v>
      </x:c>
      <x:c r="J838" s="185" t="n">
        <x:v>11847</x:v>
      </x:c>
      <x:c r="K838" s="289" t="n">
        <x:v>70.53254438</x:v>
      </x:c>
    </x:row>
    <x:row r="839" s="117" customFormat="1" hidden="1">
      <x:c r="A839" s="184" t="inlineStr">
        <x:is>
          <x:t xml:space="preserve">EPPGENPTA271</x:t>
        </x:is>
      </x:c>
      <x:c r="B839" s="184" t="inlineStr">
        <x:is>
          <x:t xml:space="preserve">GUANTE EXAMINACION ACTIVEX NITRILO BLANCO (CAJA 100 UN) T-XL</x:t>
        </x:is>
      </x:c>
      <x:c r="C839" s="184" t="n">
        <x:v>0</x:v>
      </x:c>
      <x:c r="D839" s="184" t="n">
        <x:v>0</x:v>
      </x:c>
      <x:c r="E839" s="184" t="n">
        <x:v>0</x:v>
      </x:c>
      <x:c r="F839" s="184" t="n">
        <x:v>0</x:v>
      </x:c>
      <x:c r="G839" s="184" t="n">
        <x:v>0</x:v>
      </x:c>
      <x:c r="H839" s="193" t="n">
        <x:v>0</x:v>
      </x:c>
      <x:c r="I839" s="185" t="n">
        <x:v>0</x:v>
      </x:c>
      <x:c r="J839" s="185" t="n">
        <x:v>0</x:v>
      </x:c>
      <x:c r="K839" s="289" t="n">
        <x:v>2900</x:v>
      </x:c>
    </x:row>
    <x:row r="840" s="117" customFormat="1" hidden="1">
      <x:c r="A840" s="184" t="inlineStr">
        <x:is>
          <x:t xml:space="preserve">EPPGENPTA272</x:t>
        </x:is>
      </x:c>
      <x:c r="B840" s="184" t="inlineStr">
        <x:is>
          <x:t xml:space="preserve">RESPIRADOR AIR SILICONA S950L T-L</x:t>
        </x:is>
      </x:c>
      <x:c r="C840" s="184" t="n">
        <x:v>0</x:v>
      </x:c>
      <x:c r="D840" s="184" t="n">
        <x:v>0</x:v>
      </x:c>
      <x:c r="E840" s="184" t="n">
        <x:v>0</x:v>
      </x:c>
      <x:c r="F840" s="184" t="n">
        <x:v>0</x:v>
      </x:c>
      <x:c r="G840" s="184" t="n">
        <x:v>0</x:v>
      </x:c>
      <x:c r="H840" s="193" t="n">
        <x:v>0</x:v>
      </x:c>
      <x:c r="I840" s="185" t="n">
        <x:v>0</x:v>
      </x:c>
      <x:c r="J840" s="185" t="n">
        <x:v>0</x:v>
      </x:c>
      <x:c r="K840" s="289" t="n">
        <x:v>14340</x:v>
      </x:c>
    </x:row>
    <x:row r="841" s="117" customFormat="1" hidden="1">
      <x:c r="A841" s="184" t="inlineStr">
        <x:is>
          <x:t xml:space="preserve">EPPGENPTA273</x:t>
        </x:is>
      </x:c>
      <x:c r="B841" s="184" t="inlineStr">
        <x:is>
          <x:t xml:space="preserve">GUANTE ACTIVEX NYLON NITRILO RUGOSO T-L</x:t>
        </x:is>
      </x:c>
      <x:c r="C841" s="184" t="n">
        <x:v>0</x:v>
      </x:c>
      <x:c r="D841" s="184" t="n">
        <x:v>0</x:v>
      </x:c>
      <x:c r="E841" s="184" t="n">
        <x:v>0</x:v>
      </x:c>
      <x:c r="F841" s="184" t="n">
        <x:v>0</x:v>
      </x:c>
      <x:c r="G841" s="184" t="n">
        <x:v>0</x:v>
      </x:c>
      <x:c r="H841" s="193" t="n">
        <x:v>0</x:v>
      </x:c>
      <x:c r="I841" s="185" t="n">
        <x:v>0</x:v>
      </x:c>
      <x:c r="J841" s="185" t="n">
        <x:v>0</x:v>
      </x:c>
      <x:c r="K841" s="289" t="n">
        <x:v>930</x:v>
      </x:c>
    </x:row>
    <x:row r="842" s="117" customFormat="1" hidden="1">
      <x:c r="A842" s="184" t="inlineStr">
        <x:is>
          <x:t xml:space="preserve">EPPGENPTA274</x:t>
        </x:is>
      </x:c>
      <x:c r="B842" s="184" t="inlineStr">
        <x:is>
          <x:t xml:space="preserve">FILTRO AIR F600MP3 (Ex 6926), ABEK1-P3, MULTIGAS Y PARTICULAS</x:t>
        </x:is>
      </x:c>
      <x:c r="C842" s="184" t="n">
        <x:v>6</x:v>
      </x:c>
      <x:c r="D842" s="184" t="n">
        <x:v>0</x:v>
      </x:c>
      <x:c r="E842" s="184" t="n">
        <x:v>0</x:v>
      </x:c>
      <x:c r="F842" s="184" t="n">
        <x:v>6</x:v>
      </x:c>
      <x:c r="G842" s="184" t="n">
        <x:v>75960</x:v>
      </x:c>
      <x:c r="H842" s="193" t="n">
        <x:v>0</x:v>
      </x:c>
      <x:c r="I842" s="185" t="n">
        <x:v>0</x:v>
      </x:c>
      <x:c r="J842" s="185" t="n">
        <x:v>75960</x:v>
      </x:c>
      <x:c r="K842" s="289" t="n">
        <x:v>12660</x:v>
      </x:c>
    </x:row>
    <x:row r="843" s="117" customFormat="1" hidden="1">
      <x:c r="A843" s="184" t="inlineStr">
        <x:is>
          <x:t xml:space="preserve">EPPGENPTA275</x:t>
        </x:is>
      </x:c>
      <x:c r="B843" s="184" t="inlineStr">
        <x:is>
          <x:t xml:space="preserve">Lente Activex FX III sellado Claro</x:t>
        </x:is>
      </x:c>
      <x:c r="C843" s="184" t="n">
        <x:v>0</x:v>
      </x:c>
      <x:c r="D843" s="184" t="n">
        <x:v>0</x:v>
      </x:c>
      <x:c r="E843" s="184" t="n">
        <x:v>0</x:v>
      </x:c>
      <x:c r="F843" s="184" t="n">
        <x:v>0</x:v>
      </x:c>
      <x:c r="G843" s="184" t="n">
        <x:v>2</x:v>
      </x:c>
      <x:c r="H843" s="193" t="n">
        <x:v>0</x:v>
      </x:c>
      <x:c r="I843" s="185" t="n">
        <x:v>0</x:v>
      </x:c>
      <x:c r="J843" s="185" t="n">
        <x:v>2</x:v>
      </x:c>
      <x:c r="K843" s="289" t="n">
        <x:v>1930</x:v>
      </x:c>
    </x:row>
    <x:row r="844" s="117" customFormat="1" hidden="1">
      <x:c r="A844" s="184" t="inlineStr">
        <x:is>
          <x:t xml:space="preserve">EPPGENPTA276</x:t>
        </x:is>
      </x:c>
      <x:c r="B844" s="184" t="inlineStr">
        <x:is>
          <x:t xml:space="preserve">Lente Activex FX III sellado Gris</x:t>
        </x:is>
      </x:c>
      <x:c r="C844" s="184" t="n">
        <x:v>0</x:v>
      </x:c>
      <x:c r="D844" s="184" t="n">
        <x:v>0</x:v>
      </x:c>
      <x:c r="E844" s="184" t="n">
        <x:v>0</x:v>
      </x:c>
      <x:c r="F844" s="184" t="n">
        <x:v>0</x:v>
      </x:c>
      <x:c r="G844" s="184" t="n">
        <x:v>0</x:v>
      </x:c>
      <x:c r="H844" s="193" t="n">
        <x:v>0</x:v>
      </x:c>
      <x:c r="I844" s="185" t="n">
        <x:v>0</x:v>
      </x:c>
      <x:c r="J844" s="185" t="n">
        <x:v>0</x:v>
      </x:c>
      <x:c r="K844" s="289" t="n">
        <x:v>1930</x:v>
      </x:c>
    </x:row>
    <x:row r="845" s="117" customFormat="1" hidden="1">
      <x:c r="A845" s="184" t="inlineStr">
        <x:is>
          <x:t xml:space="preserve">EPPGENPTA277</x:t>
        </x:is>
      </x:c>
      <x:c r="B845" s="184" t="inlineStr">
        <x:is>
          <x:t xml:space="preserve">BUZO POPLIN PIL GRIS T/S</x:t>
        </x:is>
      </x:c>
      <x:c r="C845" s="184" t="n">
        <x:v>0</x:v>
      </x:c>
      <x:c r="D845" s="184" t="n">
        <x:v>0</x:v>
      </x:c>
      <x:c r="E845" s="184" t="n">
        <x:v>0</x:v>
      </x:c>
      <x:c r="F845" s="184" t="n">
        <x:v>0</x:v>
      </x:c>
      <x:c r="G845" s="184" t="n">
        <x:v>0</x:v>
      </x:c>
      <x:c r="H845" s="193" t="n">
        <x:v>0</x:v>
      </x:c>
      <x:c r="I845" s="185" t="n">
        <x:v>0</x:v>
      </x:c>
      <x:c r="J845" s="185" t="n">
        <x:v>0</x:v>
      </x:c>
      <x:c r="K845" s="289" t="n">
        <x:v>0</x:v>
      </x:c>
    </x:row>
    <x:row r="846" s="117" customFormat="1" hidden="1">
      <x:c r="A846" s="184" t="inlineStr">
        <x:is>
          <x:t xml:space="preserve">EPPGENPTA278</x:t>
        </x:is>
      </x:c>
      <x:c r="B846" s="184" t="inlineStr">
        <x:is>
          <x:t xml:space="preserve">BUZO POPLIN PIL GRIS T/M</x:t>
        </x:is>
      </x:c>
      <x:c r="C846" s="184" t="n">
        <x:v>0</x:v>
      </x:c>
      <x:c r="D846" s="184" t="n">
        <x:v>0</x:v>
      </x:c>
      <x:c r="E846" s="184" t="n">
        <x:v>0</x:v>
      </x:c>
      <x:c r="F846" s="184" t="n">
        <x:v>0</x:v>
      </x:c>
      <x:c r="G846" s="184" t="n">
        <x:v>0</x:v>
      </x:c>
      <x:c r="H846" s="193" t="n">
        <x:v>0</x:v>
      </x:c>
      <x:c r="I846" s="185" t="n">
        <x:v>0</x:v>
      </x:c>
      <x:c r="J846" s="185" t="n">
        <x:v>0</x:v>
      </x:c>
      <x:c r="K846" s="289" t="n">
        <x:v>0</x:v>
      </x:c>
    </x:row>
    <x:row r="847" s="117" customFormat="1" hidden="1">
      <x:c r="A847" s="184" t="inlineStr">
        <x:is>
          <x:t xml:space="preserve">EPPGENPTA279</x:t>
        </x:is>
      </x:c>
      <x:c r="B847" s="184" t="inlineStr">
        <x:is>
          <x:t xml:space="preserve">BUZO POPLIN PIL GRIS T/L</x:t>
        </x:is>
      </x:c>
      <x:c r="C847" s="184" t="n">
        <x:v>0</x:v>
      </x:c>
      <x:c r="D847" s="184" t="n">
        <x:v>0</x:v>
      </x:c>
      <x:c r="E847" s="184" t="n">
        <x:v>0</x:v>
      </x:c>
      <x:c r="F847" s="184" t="n">
        <x:v>0</x:v>
      </x:c>
      <x:c r="G847" s="184" t="n">
        <x:v>0</x:v>
      </x:c>
      <x:c r="H847" s="193" t="n">
        <x:v>0</x:v>
      </x:c>
      <x:c r="I847" s="185" t="n">
        <x:v>0</x:v>
      </x:c>
      <x:c r="J847" s="185" t="n">
        <x:v>0</x:v>
      </x:c>
      <x:c r="K847" s="289" t="n">
        <x:v>4290</x:v>
      </x:c>
    </x:row>
    <x:row r="848" s="117" customFormat="1" hidden="1">
      <x:c r="A848" s="184" t="inlineStr">
        <x:is>
          <x:t xml:space="preserve">EPPGENPTA280</x:t>
        </x:is>
      </x:c>
      <x:c r="B848" s="184" t="inlineStr">
        <x:is>
          <x:t xml:space="preserve">BUZO POPLIN PIL GRIS T/XL</x:t>
        </x:is>
      </x:c>
      <x:c r="C848" s="184" t="n">
        <x:v>0</x:v>
      </x:c>
      <x:c r="D848" s="184" t="n">
        <x:v>0</x:v>
      </x:c>
      <x:c r="E848" s="184" t="n">
        <x:v>0</x:v>
      </x:c>
      <x:c r="F848" s="184" t="n">
        <x:v>0</x:v>
      </x:c>
      <x:c r="G848" s="184" t="n">
        <x:v>0</x:v>
      </x:c>
      <x:c r="H848" s="193" t="n">
        <x:v>0</x:v>
      </x:c>
      <x:c r="I848" s="185" t="n">
        <x:v>0</x:v>
      </x:c>
      <x:c r="J848" s="185" t="n">
        <x:v>0</x:v>
      </x:c>
      <x:c r="K848" s="289" t="n">
        <x:v>4290</x:v>
      </x:c>
    </x:row>
    <x:row r="849" s="117" customFormat="1" hidden="1">
      <x:c r="A849" s="184" t="inlineStr">
        <x:is>
          <x:t xml:space="preserve">EPPGENPTA281</x:t>
        </x:is>
      </x:c>
      <x:c r="B849" s="184" t="inlineStr">
        <x:is>
          <x:t xml:space="preserve">BUZO POPLIN PIL GRIS T/XXL</x:t>
        </x:is>
      </x:c>
      <x:c r="C849" s="184" t="n">
        <x:v>0</x:v>
      </x:c>
      <x:c r="D849" s="184" t="n">
        <x:v>0</x:v>
      </x:c>
      <x:c r="E849" s="184" t="n">
        <x:v>0</x:v>
      </x:c>
      <x:c r="F849" s="184" t="n">
        <x:v>0</x:v>
      </x:c>
      <x:c r="G849" s="184" t="n">
        <x:v>0</x:v>
      </x:c>
      <x:c r="H849" s="193" t="n">
        <x:v>0</x:v>
      </x:c>
      <x:c r="I849" s="185" t="n">
        <x:v>0</x:v>
      </x:c>
      <x:c r="J849" s="185" t="n">
        <x:v>0</x:v>
      </x:c>
      <x:c r="K849" s="289" t="n">
        <x:v>4290</x:v>
      </x:c>
    </x:row>
    <x:row r="850" s="117" customFormat="1" hidden="1">
      <x:c r="A850" s="184" t="inlineStr">
        <x:is>
          <x:t xml:space="preserve">EPPGENPTA282</x:t>
        </x:is>
      </x:c>
      <x:c r="B850" s="184" t="inlineStr">
        <x:is>
          <x:t xml:space="preserve">RESPIRADOR (EX-AIR S603) M/ROSTRO TPR AIR S900L T/M</x:t>
        </x:is>
      </x:c>
      <x:c r="C850" s="184" t="n">
        <x:v>6</x:v>
      </x:c>
      <x:c r="D850" s="184" t="n">
        <x:v>0</x:v>
      </x:c>
      <x:c r="E850" s="184" t="n">
        <x:v>0</x:v>
      </x:c>
      <x:c r="F850" s="184" t="n">
        <x:v>6</x:v>
      </x:c>
      <x:c r="G850" s="184" t="n">
        <x:v>49133</x:v>
      </x:c>
      <x:c r="H850" s="193" t="n">
        <x:v>0</x:v>
      </x:c>
      <x:c r="I850" s="185" t="n">
        <x:v>0</x:v>
      </x:c>
      <x:c r="J850" s="185" t="n">
        <x:v>49133</x:v>
      </x:c>
      <x:c r="K850" s="289" t="n">
        <x:v>8188.84175465</x:v>
      </x:c>
    </x:row>
    <x:row r="851" s="117" customFormat="1" hidden="1">
      <x:c r="A851" s="184" t="inlineStr">
        <x:is>
          <x:t xml:space="preserve">EPPGENPTA283</x:t>
        </x:is>
      </x:c>
      <x:c r="B851" s="184" t="inlineStr">
        <x:is>
          <x:t xml:space="preserve">RESPIRADOR (EX-AIR S603) M/ROSTRO TPR AIR S900L T/L</x:t>
        </x:is>
      </x:c>
      <x:c r="C851" s="184" t="n">
        <x:v>44</x:v>
      </x:c>
      <x:c r="D851" s="184" t="n">
        <x:v>0</x:v>
      </x:c>
      <x:c r="E851" s="184" t="n">
        <x:v>0</x:v>
      </x:c>
      <x:c r="F851" s="184" t="n">
        <x:v>44</x:v>
      </x:c>
      <x:c r="G851" s="184" t="n">
        <x:v>646438</x:v>
      </x:c>
      <x:c r="H851" s="193" t="n">
        <x:v>0</x:v>
      </x:c>
      <x:c r="I851" s="185" t="n">
        <x:v>0</x:v>
      </x:c>
      <x:c r="J851" s="185" t="n">
        <x:v>646438</x:v>
      </x:c>
      <x:c r="K851" s="289" t="n">
        <x:v>14691.7782009</x:v>
      </x:c>
    </x:row>
    <x:row r="852" s="117" customFormat="1" hidden="1">
      <x:c r="A852" s="184" t="inlineStr">
        <x:is>
          <x:t xml:space="preserve">EPPGENPTA284</x:t>
        </x:is>
      </x:c>
      <x:c r="B852" s="184" t="inlineStr">
        <x:is>
          <x:t xml:space="preserve">LENTE OSCURO SELLADO GENERICO</x:t>
        </x:is>
      </x:c>
      <x:c r="C852" s="184" t="n">
        <x:v>13</x:v>
      </x:c>
      <x:c r="D852" s="184" t="n">
        <x:v>0</x:v>
      </x:c>
      <x:c r="E852" s="184" t="n">
        <x:v>8</x:v>
      </x:c>
      <x:c r="F852" s="184" t="n">
        <x:v>5</x:v>
      </x:c>
      <x:c r="G852" s="184" t="n">
        <x:v>23856</x:v>
      </x:c>
      <x:c r="H852" s="193" t="n">
        <x:v>0</x:v>
      </x:c>
      <x:c r="I852" s="185" t="n">
        <x:v>14680</x:v>
      </x:c>
      <x:c r="J852" s="185" t="n">
        <x:v>9176</x:v>
      </x:c>
      <x:c r="K852" s="289" t="n">
        <x:v>1835.06976744</x:v>
      </x:c>
    </x:row>
    <x:row r="853" s="117" customFormat="1" hidden="1">
      <x:c r="A853" s="184" t="inlineStr">
        <x:is>
          <x:t xml:space="preserve">EPPGENPTA285</x:t>
        </x:is>
      </x:c>
      <x:c r="B853" s="184" t="inlineStr">
        <x:is>
          <x:t xml:space="preserve">BUZO ANTIACIDO CON REFLECTANTE TALLA S</x:t>
        </x:is>
      </x:c>
      <x:c r="C853" s="184" t="n">
        <x:v>0</x:v>
      </x:c>
      <x:c r="D853" s="184" t="n">
        <x:v>0</x:v>
      </x:c>
      <x:c r="E853" s="184" t="n">
        <x:v>0</x:v>
      </x:c>
      <x:c r="F853" s="184" t="n">
        <x:v>0</x:v>
      </x:c>
      <x:c r="G853" s="184" t="n">
        <x:v>0</x:v>
      </x:c>
      <x:c r="H853" s="193" t="n">
        <x:v>0</x:v>
      </x:c>
      <x:c r="I853" s="185" t="n">
        <x:v>0</x:v>
      </x:c>
      <x:c r="J853" s="185" t="n">
        <x:v>0</x:v>
      </x:c>
      <x:c r="K853" s="289" t="n">
        <x:v>12460</x:v>
      </x:c>
    </x:row>
    <x:row r="854" s="117" customFormat="1" hidden="1">
      <x:c r="A854" s="184" t="inlineStr">
        <x:is>
          <x:t xml:space="preserve">EPPGENPTA286</x:t>
        </x:is>
      </x:c>
      <x:c r="B854" s="184" t="inlineStr">
        <x:is>
          <x:t xml:space="preserve">ZAPATO GENERICO TERRENO TALLA 38</x:t>
        </x:is>
      </x:c>
      <x:c r="C854" s="184" t="n">
        <x:v>0</x:v>
      </x:c>
      <x:c r="D854" s="184" t="n">
        <x:v>0</x:v>
      </x:c>
      <x:c r="E854" s="184" t="n">
        <x:v>0</x:v>
      </x:c>
      <x:c r="F854" s="184" t="n">
        <x:v>0</x:v>
      </x:c>
      <x:c r="G854" s="184" t="n">
        <x:v>0</x:v>
      </x:c>
      <x:c r="H854" s="193" t="n">
        <x:v>0</x:v>
      </x:c>
      <x:c r="I854" s="185" t="n">
        <x:v>0</x:v>
      </x:c>
      <x:c r="J854" s="185" t="n">
        <x:v>0</x:v>
      </x:c>
      <x:c r="K854" s="289" t="n">
        <x:v>0</x:v>
      </x:c>
    </x:row>
    <x:row r="855" s="117" customFormat="1" hidden="1">
      <x:c r="A855" s="184" t="inlineStr">
        <x:is>
          <x:t xml:space="preserve">EPPGENPTA287</x:t>
        </x:is>
      </x:c>
      <x:c r="B855" s="184" t="inlineStr">
        <x:is>
          <x:t xml:space="preserve">ZAPATO GENERICO TERRENO TALLA 39</x:t>
        </x:is>
      </x:c>
      <x:c r="C855" s="184" t="n">
        <x:v>0</x:v>
      </x:c>
      <x:c r="D855" s="184" t="n">
        <x:v>0</x:v>
      </x:c>
      <x:c r="E855" s="184" t="n">
        <x:v>0</x:v>
      </x:c>
      <x:c r="F855" s="184" t="n">
        <x:v>0</x:v>
      </x:c>
      <x:c r="G855" s="184" t="n">
        <x:v>0</x:v>
      </x:c>
      <x:c r="H855" s="193" t="n">
        <x:v>0</x:v>
      </x:c>
      <x:c r="I855" s="185" t="n">
        <x:v>0</x:v>
      </x:c>
      <x:c r="J855" s="185" t="n">
        <x:v>0</x:v>
      </x:c>
      <x:c r="K855" s="289" t="n">
        <x:v>17250</x:v>
      </x:c>
    </x:row>
    <x:row r="856" s="117" customFormat="1" hidden="1">
      <x:c r="A856" s="184" t="inlineStr">
        <x:is>
          <x:t xml:space="preserve">EPPGENPTA288</x:t>
        </x:is>
      </x:c>
      <x:c r="B856" s="184" t="inlineStr">
        <x:is>
          <x:t xml:space="preserve">ZAPATO GENERICO TERRENO TALLA 40</x:t>
        </x:is>
      </x:c>
      <x:c r="C856" s="184" t="n">
        <x:v>0</x:v>
      </x:c>
      <x:c r="D856" s="184" t="n">
        <x:v>0</x:v>
      </x:c>
      <x:c r="E856" s="184" t="n">
        <x:v>0</x:v>
      </x:c>
      <x:c r="F856" s="184" t="n">
        <x:v>0</x:v>
      </x:c>
      <x:c r="G856" s="184" t="n">
        <x:v>0</x:v>
      </x:c>
      <x:c r="H856" s="193" t="n">
        <x:v>0</x:v>
      </x:c>
      <x:c r="I856" s="185" t="n">
        <x:v>0</x:v>
      </x:c>
      <x:c r="J856" s="185" t="n">
        <x:v>0</x:v>
      </x:c>
      <x:c r="K856" s="289" t="n">
        <x:v>26240</x:v>
      </x:c>
    </x:row>
    <x:row r="857" s="117" customFormat="1" hidden="1">
      <x:c r="A857" s="184" t="inlineStr">
        <x:is>
          <x:t xml:space="preserve">EPPGENPTA289</x:t>
        </x:is>
      </x:c>
      <x:c r="B857" s="184" t="inlineStr">
        <x:is>
          <x:t xml:space="preserve">ZAPATO GENERICO TERRENO TALLA 41</x:t>
        </x:is>
      </x:c>
      <x:c r="C857" s="184" t="n">
        <x:v>0</x:v>
      </x:c>
      <x:c r="D857" s="184" t="n">
        <x:v>0</x:v>
      </x:c>
      <x:c r="E857" s="184" t="n">
        <x:v>0</x:v>
      </x:c>
      <x:c r="F857" s="184" t="n">
        <x:v>0</x:v>
      </x:c>
      <x:c r="G857" s="184" t="n">
        <x:v>0</x:v>
      </x:c>
      <x:c r="H857" s="193" t="n">
        <x:v>0</x:v>
      </x:c>
      <x:c r="I857" s="185" t="n">
        <x:v>0</x:v>
      </x:c>
      <x:c r="J857" s="185" t="n">
        <x:v>0</x:v>
      </x:c>
      <x:c r="K857" s="289" t="n">
        <x:v>17250</x:v>
      </x:c>
    </x:row>
    <x:row r="858" s="117" customFormat="1" hidden="1">
      <x:c r="A858" s="184" t="inlineStr">
        <x:is>
          <x:t xml:space="preserve">EPPGENPTA290</x:t>
        </x:is>
      </x:c>
      <x:c r="B858" s="184" t="inlineStr">
        <x:is>
          <x:t xml:space="preserve">ZAPATO GENERICO TERRENO TALLA 42</x:t>
        </x:is>
      </x:c>
      <x:c r="C858" s="184" t="n">
        <x:v>0</x:v>
      </x:c>
      <x:c r="D858" s="184" t="n">
        <x:v>0</x:v>
      </x:c>
      <x:c r="E858" s="184" t="n">
        <x:v>0</x:v>
      </x:c>
      <x:c r="F858" s="184" t="n">
        <x:v>0</x:v>
      </x:c>
      <x:c r="G858" s="184" t="n">
        <x:v>0</x:v>
      </x:c>
      <x:c r="H858" s="193" t="n">
        <x:v>0</x:v>
      </x:c>
      <x:c r="I858" s="185" t="n">
        <x:v>0</x:v>
      </x:c>
      <x:c r="J858" s="185" t="n">
        <x:v>0</x:v>
      </x:c>
      <x:c r="K858" s="289" t="n">
        <x:v>26240</x:v>
      </x:c>
    </x:row>
    <x:row r="859" s="117" customFormat="1" hidden="1">
      <x:c r="A859" s="184" t="inlineStr">
        <x:is>
          <x:t xml:space="preserve">EPPGENPTA291</x:t>
        </x:is>
      </x:c>
      <x:c r="B859" s="184" t="inlineStr">
        <x:is>
          <x:t xml:space="preserve">ZAPATO GENERICO TERRENO TALLA 43</x:t>
        </x:is>
      </x:c>
      <x:c r="C859" s="184" t="n">
        <x:v>0</x:v>
      </x:c>
      <x:c r="D859" s="184" t="n">
        <x:v>0</x:v>
      </x:c>
      <x:c r="E859" s="184" t="n">
        <x:v>0</x:v>
      </x:c>
      <x:c r="F859" s="184" t="n">
        <x:v>0</x:v>
      </x:c>
      <x:c r="G859" s="184" t="n">
        <x:v>0</x:v>
      </x:c>
      <x:c r="H859" s="193" t="n">
        <x:v>0</x:v>
      </x:c>
      <x:c r="I859" s="185" t="n">
        <x:v>0</x:v>
      </x:c>
      <x:c r="J859" s="185" t="n">
        <x:v>0</x:v>
      </x:c>
      <x:c r="K859" s="289" t="n">
        <x:v>17250</x:v>
      </x:c>
    </x:row>
    <x:row r="860" s="117" customFormat="1" hidden="1">
      <x:c r="A860" s="184" t="inlineStr">
        <x:is>
          <x:t xml:space="preserve">EPPGENPTA292</x:t>
        </x:is>
      </x:c>
      <x:c r="B860" s="184" t="inlineStr">
        <x:is>
          <x:t xml:space="preserve">ZAPATO GENERICO TERRENO TALLA 44</x:t>
        </x:is>
      </x:c>
      <x:c r="C860" s="184" t="n">
        <x:v>0</x:v>
      </x:c>
      <x:c r="D860" s="184" t="n">
        <x:v>0</x:v>
      </x:c>
      <x:c r="E860" s="184" t="n">
        <x:v>0</x:v>
      </x:c>
      <x:c r="F860" s="184" t="n">
        <x:v>0</x:v>
      </x:c>
      <x:c r="G860" s="184" t="n">
        <x:v>0</x:v>
      </x:c>
      <x:c r="H860" s="193" t="n">
        <x:v>0</x:v>
      </x:c>
      <x:c r="I860" s="185" t="n">
        <x:v>0</x:v>
      </x:c>
      <x:c r="J860" s="185" t="n">
        <x:v>0</x:v>
      </x:c>
      <x:c r="K860" s="289" t="n">
        <x:v>17250</x:v>
      </x:c>
    </x:row>
    <x:row r="861" s="117" customFormat="1" hidden="1">
      <x:c r="A861" s="184" t="inlineStr">
        <x:is>
          <x:t xml:space="preserve">EPPGENPTA293</x:t>
        </x:is>
      </x:c>
      <x:c r="B861" s="184" t="inlineStr">
        <x:is>
          <x:t xml:space="preserve">ZAPATO GENERICO TERRENO TALLA 45</x:t>
        </x:is>
      </x:c>
      <x:c r="C861" s="184" t="n">
        <x:v>0</x:v>
      </x:c>
      <x:c r="D861" s="184" t="n">
        <x:v>0</x:v>
      </x:c>
      <x:c r="E861" s="184" t="n">
        <x:v>0</x:v>
      </x:c>
      <x:c r="F861" s="184" t="n">
        <x:v>0</x:v>
      </x:c>
      <x:c r="G861" s="184" t="n">
        <x:v>0</x:v>
      </x:c>
      <x:c r="H861" s="193" t="n">
        <x:v>0</x:v>
      </x:c>
      <x:c r="I861" s="185" t="n">
        <x:v>0</x:v>
      </x:c>
      <x:c r="J861" s="185" t="n">
        <x:v>0</x:v>
      </x:c>
      <x:c r="K861" s="289" t="n">
        <x:v>15000</x:v>
      </x:c>
    </x:row>
    <x:row r="862" s="117" customFormat="1" hidden="1">
      <x:c r="A862" s="184" t="inlineStr">
        <x:is>
          <x:t xml:space="preserve">EPPGENPTA294</x:t>
        </x:is>
      </x:c>
      <x:c r="B862" s="184" t="inlineStr">
        <x:is>
          <x:t xml:space="preserve">RESPIRADOR MEDIO ROSTRO MARCA AIR 2 VIAS TALLA L</x:t>
        </x:is>
      </x:c>
      <x:c r="C862" s="184" t="n">
        <x:v>0</x:v>
      </x:c>
      <x:c r="D862" s="184" t="n">
        <x:v>0</x:v>
      </x:c>
      <x:c r="E862" s="184" t="n">
        <x:v>0</x:v>
      </x:c>
      <x:c r="F862" s="184" t="n">
        <x:v>0</x:v>
      </x:c>
      <x:c r="G862" s="184" t="n">
        <x:v>0</x:v>
      </x:c>
      <x:c r="H862" s="193" t="n">
        <x:v>0</x:v>
      </x:c>
      <x:c r="I862" s="185" t="n">
        <x:v>0</x:v>
      </x:c>
      <x:c r="J862" s="185" t="n">
        <x:v>0</x:v>
      </x:c>
      <x:c r="K862" s="289" t="n">
        <x:v>7120</x:v>
      </x:c>
    </x:row>
    <x:row r="863" s="117" customFormat="1" hidden="1">
      <x:c r="A863" s="184" t="inlineStr">
        <x:is>
          <x:t xml:space="preserve">EPPGENPTA295</x:t>
        </x:is>
      </x:c>
      <x:c r="B863" s="184" t="inlineStr">
        <x:is>
          <x:t xml:space="preserve">LENTE CLARO SELLADO GENERICO</x:t>
        </x:is>
      </x:c>
      <x:c r="C863" s="184" t="n">
        <x:v>50</x:v>
      </x:c>
      <x:c r="D863" s="184" t="n">
        <x:v>0</x:v>
      </x:c>
      <x:c r="E863" s="184" t="n">
        <x:v>50</x:v>
      </x:c>
      <x:c r="F863" s="184" t="n">
        <x:v>0</x:v>
      </x:c>
      <x:c r="G863" s="184" t="n">
        <x:v>109539</x:v>
      </x:c>
      <x:c r="H863" s="193" t="n">
        <x:v>0</x:v>
      </x:c>
      <x:c r="I863" s="185" t="n">
        <x:v>109545</x:v>
      </x:c>
      <x:c r="J863" s="185" t="n">
        <x:v>-6</x:v>
      </x:c>
      <x:c r="K863" s="289" t="n">
        <x:v>2190.87850467</x:v>
      </x:c>
    </x:row>
    <x:row r="864" s="117" customFormat="1" hidden="1">
      <x:c r="A864" s="184" t="inlineStr">
        <x:is>
          <x:t xml:space="preserve">EPPGENPTA296</x:t>
        </x:is>
      </x:c>
      <x:c r="B864" s="184" t="inlineStr">
        <x:is>
          <x:t xml:space="preserve">CONO DE SEÑALIZACION DE 36 PULGADAS</x:t>
        </x:is>
      </x:c>
      <x:c r="C864" s="184" t="n">
        <x:v>5</x:v>
      </x:c>
      <x:c r="D864" s="184" t="n">
        <x:v>0</x:v>
      </x:c>
      <x:c r="E864" s="184" t="n">
        <x:v>5</x:v>
      </x:c>
      <x:c r="F864" s="184" t="n">
        <x:v>0</x:v>
      </x:c>
      <x:c r="G864" s="184" t="n">
        <x:v>46669</x:v>
      </x:c>
      <x:c r="H864" s="193" t="n">
        <x:v>0</x:v>
      </x:c>
      <x:c r="I864" s="185" t="n">
        <x:v>46669</x:v>
      </x:c>
      <x:c r="J864" s="185" t="n">
        <x:v>0</x:v>
      </x:c>
      <x:c r="K864" s="289" t="n">
        <x:v>9333.77777778</x:v>
      </x:c>
    </x:row>
    <x:row r="865" s="117" customFormat="1" hidden="1">
      <x:c r="A865" s="184" t="inlineStr">
        <x:is>
          <x:t xml:space="preserve">EPPGENPTA297</x:t>
        </x:is>
      </x:c>
      <x:c r="B865" s="184" t="inlineStr">
        <x:is>
          <x:t xml:space="preserve">GUANTES QUIRURGICOS AZULES PURESHIELD  (CAJA DE 50 UNID) XL</x:t>
        </x:is>
      </x:c>
      <x:c r="C865" s="184" t="n">
        <x:v>0</x:v>
      </x:c>
      <x:c r="D865" s="184" t="n">
        <x:v>0</x:v>
      </x:c>
      <x:c r="E865" s="184" t="n">
        <x:v>0</x:v>
      </x:c>
      <x:c r="F865" s="184" t="n">
        <x:v>0</x:v>
      </x:c>
      <x:c r="G865" s="184" t="n">
        <x:v>0</x:v>
      </x:c>
      <x:c r="H865" s="193" t="n">
        <x:v>0</x:v>
      </x:c>
      <x:c r="I865" s="185" t="n">
        <x:v>0</x:v>
      </x:c>
      <x:c r="J865" s="185" t="n">
        <x:v>0</x:v>
      </x:c>
      <x:c r="K865" s="289" t="n">
        <x:v>10445</x:v>
      </x:c>
    </x:row>
    <x:row r="866" s="117" customFormat="1" hidden="1">
      <x:c r="A866" s="184" t="inlineStr">
        <x:is>
          <x:t xml:space="preserve">EPPGENPTA298</x:t>
        </x:is>
      </x:c>
      <x:c r="B866" s="184" t="inlineStr">
        <x:is>
          <x:t xml:space="preserve">GUANTES QUIRURGICOS AZULES PURESHIELD  (CAJA DE 50 UNID) L</x:t>
        </x:is>
      </x:c>
      <x:c r="C866" s="184" t="n">
        <x:v>0</x:v>
      </x:c>
      <x:c r="D866" s="184" t="n">
        <x:v>0</x:v>
      </x:c>
      <x:c r="E866" s="184" t="n">
        <x:v>0</x:v>
      </x:c>
      <x:c r="F866" s="184" t="n">
        <x:v>0</x:v>
      </x:c>
      <x:c r="G866" s="184" t="n">
        <x:v>0</x:v>
      </x:c>
      <x:c r="H866" s="193" t="n">
        <x:v>0</x:v>
      </x:c>
      <x:c r="I866" s="185" t="n">
        <x:v>0</x:v>
      </x:c>
      <x:c r="J866" s="185" t="n">
        <x:v>0</x:v>
      </x:c>
      <x:c r="K866" s="289" t="n">
        <x:v>8200</x:v>
      </x:c>
    </x:row>
    <x:row r="867" s="117" customFormat="1" hidden="1">
      <x:c r="A867" s="184" t="inlineStr">
        <x:is>
          <x:t xml:space="preserve">EPPGENPTA299</x:t>
        </x:is>
      </x:c>
      <x:c r="B867" s="184" t="inlineStr">
        <x:is>
          <x:t xml:space="preserve">GUANTES QUIRURGICOS AZULES PURESHIELD  (CAJA DE 50 UNID) M</x:t>
        </x:is>
      </x:c>
      <x:c r="C867" s="184" t="n">
        <x:v>0</x:v>
      </x:c>
      <x:c r="D867" s="184" t="n">
        <x:v>0</x:v>
      </x:c>
      <x:c r="E867" s="184" t="n">
        <x:v>0</x:v>
      </x:c>
      <x:c r="F867" s="184" t="n">
        <x:v>0</x:v>
      </x:c>
      <x:c r="G867" s="184" t="n">
        <x:v>0</x:v>
      </x:c>
      <x:c r="H867" s="193" t="n">
        <x:v>0</x:v>
      </x:c>
      <x:c r="I867" s="185" t="n">
        <x:v>0</x:v>
      </x:c>
      <x:c r="J867" s="185" t="n">
        <x:v>0</x:v>
      </x:c>
      <x:c r="K867" s="289" t="n">
        <x:v>14308</x:v>
      </x:c>
    </x:row>
    <x:row r="868" s="117" customFormat="1" hidden="1">
      <x:c r="A868" s="184" t="inlineStr">
        <x:is>
          <x:t xml:space="preserve">EPPGENPTA300</x:t>
        </x:is>
      </x:c>
      <x:c r="B868" s="184" t="inlineStr">
        <x:is>
          <x:t xml:space="preserve">GUANTES QUIRURGICOS AZULES PURESHIELD  (CAJA DE 50 UNID) S</x:t>
        </x:is>
      </x:c>
      <x:c r="C868" s="184" t="n">
        <x:v>0</x:v>
      </x:c>
      <x:c r="D868" s="184" t="n">
        <x:v>0</x:v>
      </x:c>
      <x:c r="E868" s="184" t="n">
        <x:v>0</x:v>
      </x:c>
      <x:c r="F868" s="184" t="n">
        <x:v>0</x:v>
      </x:c>
      <x:c r="G868" s="184" t="n">
        <x:v>0</x:v>
      </x:c>
      <x:c r="H868" s="193" t="n">
        <x:v>0</x:v>
      </x:c>
      <x:c r="I868" s="185" t="n">
        <x:v>0</x:v>
      </x:c>
      <x:c r="J868" s="185" t="n">
        <x:v>0</x:v>
      </x:c>
      <x:c r="K868" s="289" t="n">
        <x:v>0</x:v>
      </x:c>
    </x:row>
    <x:row r="869" s="117" customFormat="1" hidden="1">
      <x:c r="A869" s="184" t="inlineStr">
        <x:is>
          <x:t xml:space="preserve">EPPGENPTA301</x:t>
        </x:is>
      </x:c>
      <x:c r="B869" s="184" t="inlineStr">
        <x:is>
          <x:t xml:space="preserve">RESPIRADOR MEDIO ROSTRO MARCA AIR 3 VIAS TALLA L</x:t>
        </x:is>
      </x:c>
      <x:c r="C869" s="184" t="n">
        <x:v>0</x:v>
      </x:c>
      <x:c r="D869" s="184" t="n">
        <x:v>0</x:v>
      </x:c>
      <x:c r="E869" s="184" t="n">
        <x:v>0</x:v>
      </x:c>
      <x:c r="F869" s="184" t="n">
        <x:v>0</x:v>
      </x:c>
      <x:c r="G869" s="184" t="n">
        <x:v>0</x:v>
      </x:c>
      <x:c r="H869" s="193" t="n">
        <x:v>0</x:v>
      </x:c>
      <x:c r="I869" s="185" t="n">
        <x:v>0</x:v>
      </x:c>
      <x:c r="J869" s="185" t="n">
        <x:v>0</x:v>
      </x:c>
      <x:c r="K869" s="289" t="n">
        <x:v>7120</x:v>
      </x:c>
    </x:row>
    <x:row r="870" s="117" customFormat="1" hidden="1">
      <x:c r="A870" s="184" t="inlineStr">
        <x:is>
          <x:t xml:space="preserve">EPPGENPTA302</x:t>
        </x:is>
      </x:c>
      <x:c r="B870" s="184" t="inlineStr">
        <x:is>
          <x:t xml:space="preserve">RESPIRADOR FULL FACE SMALL ZICE FULL FACE PIECE 4 EA/CS TALLA S</x:t>
        </x:is>
      </x:c>
      <x:c r="C870" s="184" t="n">
        <x:v>1</x:v>
      </x:c>
      <x:c r="D870" s="184" t="n">
        <x:v>0</x:v>
      </x:c>
      <x:c r="E870" s="184" t="n">
        <x:v>0</x:v>
      </x:c>
      <x:c r="F870" s="184" t="n">
        <x:v>1</x:v>
      </x:c>
      <x:c r="G870" s="184" t="n">
        <x:v>10000</x:v>
      </x:c>
      <x:c r="H870" s="193" t="n">
        <x:v>0</x:v>
      </x:c>
      <x:c r="I870" s="185" t="n">
        <x:v>0</x:v>
      </x:c>
      <x:c r="J870" s="185" t="n">
        <x:v>10000</x:v>
      </x:c>
      <x:c r="K870" s="289" t="n">
        <x:v>10000</x:v>
      </x:c>
    </x:row>
    <x:row r="871" s="117" customFormat="1" hidden="1">
      <x:c r="A871" s="184" t="inlineStr">
        <x:is>
          <x:t xml:space="preserve">EPPGENPTA303</x:t>
        </x:is>
      </x:c>
      <x:c r="B871" s="184" t="inlineStr">
        <x:is>
          <x:t xml:space="preserve">RESPIRADOR FULL FACE MEDIUM ZICE FULL FACE PIECE 4 EA/CS TALLA M</x:t>
        </x:is>
      </x:c>
      <x:c r="C871" s="184" t="n">
        <x:v>0</x:v>
      </x:c>
      <x:c r="D871" s="184" t="n">
        <x:v>0</x:v>
      </x:c>
      <x:c r="E871" s="184" t="n">
        <x:v>0</x:v>
      </x:c>
      <x:c r="F871" s="184" t="n">
        <x:v>0</x:v>
      </x:c>
      <x:c r="G871" s="184" t="n">
        <x:v>0</x:v>
      </x:c>
      <x:c r="H871" s="193" t="n">
        <x:v>0</x:v>
      </x:c>
      <x:c r="I871" s="185" t="n">
        <x:v>0</x:v>
      </x:c>
      <x:c r="J871" s="185" t="n">
        <x:v>0</x:v>
      </x:c>
      <x:c r="K871" s="289" t="n">
        <x:v>1</x:v>
      </x:c>
    </x:row>
    <x:row r="872" s="117" customFormat="1" hidden="1">
      <x:c r="A872" s="184" t="inlineStr">
        <x:is>
          <x:t xml:space="preserve">EPPGENPTA304</x:t>
        </x:is>
      </x:c>
      <x:c r="B872" s="184" t="inlineStr">
        <x:is>
          <x:t xml:space="preserve">RESPIRADOR FULL FACE LARGE SICE FULL FACE PIECE 4 EA/CS TALLA L</x:t>
        </x:is>
      </x:c>
      <x:c r="C872" s="184" t="n">
        <x:v>14</x:v>
      </x:c>
      <x:c r="D872" s="184" t="n">
        <x:v>0</x:v>
      </x:c>
      <x:c r="E872" s="184" t="n">
        <x:v>0</x:v>
      </x:c>
      <x:c r="F872" s="184" t="n">
        <x:v>14</x:v>
      </x:c>
      <x:c r="G872" s="184" t="n">
        <x:v>106669</x:v>
      </x:c>
      <x:c r="H872" s="193" t="n">
        <x:v>0</x:v>
      </x:c>
      <x:c r="I872" s="185" t="n">
        <x:v>0</x:v>
      </x:c>
      <x:c r="J872" s="185" t="n">
        <x:v>106669</x:v>
      </x:c>
      <x:c r="K872" s="289" t="n">
        <x:v>7619.28571429</x:v>
      </x:c>
    </x:row>
    <x:row r="873" s="117" customFormat="1" hidden="1">
      <x:c r="A873" s="184" t="inlineStr">
        <x:is>
          <x:t xml:space="preserve">EPPGENPTA305</x:t>
        </x:is>
      </x:c>
      <x:c r="B873" s="184" t="inlineStr">
        <x:is>
          <x:t xml:space="preserve">OVEROL ACTIVEX CX-1 BLANCO</x:t>
        </x:is>
      </x:c>
      <x:c r="C873" s="184" t="n">
        <x:v>0</x:v>
      </x:c>
      <x:c r="D873" s="184" t="n">
        <x:v>0</x:v>
      </x:c>
      <x:c r="E873" s="184" t="n">
        <x:v>0</x:v>
      </x:c>
      <x:c r="F873" s="184" t="n">
        <x:v>0</x:v>
      </x:c>
      <x:c r="G873" s="184" t="n">
        <x:v>0</x:v>
      </x:c>
      <x:c r="H873" s="193" t="n">
        <x:v>0</x:v>
      </x:c>
      <x:c r="I873" s="185" t="n">
        <x:v>0</x:v>
      </x:c>
      <x:c r="J873" s="185" t="n">
        <x:v>0</x:v>
      </x:c>
      <x:c r="K873" s="289" t="n">
        <x:v>1890</x:v>
      </x:c>
    </x:row>
    <x:row r="874" s="117" customFormat="1" hidden="1">
      <x:c r="A874" s="184" t="inlineStr">
        <x:is>
          <x:t xml:space="preserve">EPPGENPTA306</x:t>
        </x:is>
      </x:c>
      <x:c r="B874" s="184" t="inlineStr">
        <x:is>
          <x:t xml:space="preserve">OVEROL DESECHABLE ECX</x:t>
        </x:is>
      </x:c>
      <x:c r="C874" s="184" t="n">
        <x:v>0</x:v>
      </x:c>
      <x:c r="D874" s="184" t="n">
        <x:v>0</x:v>
      </x:c>
      <x:c r="E874" s="184" t="n">
        <x:v>0</x:v>
      </x:c>
      <x:c r="F874" s="184" t="n">
        <x:v>0</x:v>
      </x:c>
      <x:c r="G874" s="184" t="n">
        <x:v>0</x:v>
      </x:c>
      <x:c r="H874" s="193" t="n">
        <x:v>0</x:v>
      </x:c>
      <x:c r="I874" s="185" t="n">
        <x:v>0</x:v>
      </x:c>
      <x:c r="J874" s="185" t="n">
        <x:v>0</x:v>
      </x:c>
      <x:c r="K874" s="289" t="n">
        <x:v>910</x:v>
      </x:c>
    </x:row>
    <x:row r="875" s="117" customFormat="1" hidden="1">
      <x:c r="A875" s="184" t="inlineStr">
        <x:is>
          <x:t xml:space="preserve">EPPGENPTA307</x:t>
        </x:is>
      </x:c>
      <x:c r="B875" s="184" t="inlineStr">
        <x:is>
          <x:t xml:space="preserve">BOLSA MOCHILA AZUL LOGO INVENIO</x:t>
        </x:is>
      </x:c>
      <x:c r="C875" s="184" t="n">
        <x:v>140</x:v>
      </x:c>
      <x:c r="D875" s="184" t="n">
        <x:v>20</x:v>
      </x:c>
      <x:c r="E875" s="184" t="n">
        <x:v>0</x:v>
      </x:c>
      <x:c r="F875" s="184" t="n">
        <x:v>160</x:v>
      </x:c>
      <x:c r="G875" s="184" t="n">
        <x:v>418600</x:v>
      </x:c>
      <x:c r="H875" s="193" t="n">
        <x:v>59800</x:v>
      </x:c>
      <x:c r="I875" s="185" t="n">
        <x:v>0</x:v>
      </x:c>
      <x:c r="J875" s="185" t="n">
        <x:v>478400</x:v>
      </x:c>
      <x:c r="K875" s="289" t="n">
        <x:v>2990</x:v>
      </x:c>
    </x:row>
    <x:row r="876" s="117" customFormat="1" hidden="1">
      <x:c r="A876" s="184" t="inlineStr">
        <x:is>
          <x:t xml:space="preserve">EPPGENPTA308</x:t>
        </x:is>
      </x:c>
      <x:c r="B876" s="184" t="inlineStr">
        <x:is>
          <x:t xml:space="preserve">ARNES TIPO H 4 ARGOLLAS</x:t>
        </x:is>
      </x:c>
      <x:c r="C876" s="184" t="n">
        <x:v>0</x:v>
      </x:c>
      <x:c r="D876" s="184" t="n">
        <x:v>0</x:v>
      </x:c>
      <x:c r="E876" s="184" t="n">
        <x:v>0</x:v>
      </x:c>
      <x:c r="F876" s="184" t="n">
        <x:v>0</x:v>
      </x:c>
      <x:c r="G876" s="184" t="n">
        <x:v>0</x:v>
      </x:c>
      <x:c r="H876" s="193" t="n">
        <x:v>0</x:v>
      </x:c>
      <x:c r="I876" s="185" t="n">
        <x:v>0</x:v>
      </x:c>
      <x:c r="J876" s="185" t="n">
        <x:v>0</x:v>
      </x:c>
      <x:c r="K876" s="289" t="n">
        <x:v>11125</x:v>
      </x:c>
    </x:row>
    <x:row r="877" s="117" customFormat="1" hidden="1">
      <x:c r="A877" s="184" t="inlineStr">
        <x:is>
          <x:t xml:space="preserve">EPPGENPTA309</x:t>
        </x:is>
      </x:c>
      <x:c r="B877" s="184" t="inlineStr">
        <x:is>
          <x:t xml:space="preserve">CABO DE VIDA  ACERO CON MOSQUETON</x:t>
        </x:is>
      </x:c>
      <x:c r="C877" s="184" t="n">
        <x:v>154</x:v>
      </x:c>
      <x:c r="D877" s="184" t="n">
        <x:v>0</x:v>
      </x:c>
      <x:c r="E877" s="184" t="n">
        <x:v>9</x:v>
      </x:c>
      <x:c r="F877" s="184" t="n">
        <x:v>145</x:v>
      </x:c>
      <x:c r="G877" s="184" t="n">
        <x:v>1737330</x:v>
      </x:c>
      <x:c r="H877" s="193" t="n">
        <x:v>0</x:v>
      </x:c>
      <x:c r="I877" s="185" t="n">
        <x:v>101532</x:v>
      </x:c>
      <x:c r="J877" s="185" t="n">
        <x:v>1635798</x:v>
      </x:c>
      <x:c r="K877" s="289" t="n">
        <x:v>11281.36363636</x:v>
      </x:c>
    </x:row>
    <x:row r="878" s="117" customFormat="1" hidden="1">
      <x:c r="A878" s="184" t="inlineStr">
        <x:is>
          <x:t xml:space="preserve">EPPGENPTA310</x:t>
        </x:is>
      </x:c>
      <x:c r="B878" s="184" t="inlineStr">
        <x:is>
          <x:t xml:space="preserve">Boquillas Alcotest DA-8000 ( Bolsa 100 unid )</x:t>
        </x:is>
      </x:c>
      <x:c r="C878" s="184" t="n">
        <x:v>1</x:v>
      </x:c>
      <x:c r="D878" s="184" t="n">
        <x:v>0</x:v>
      </x:c>
      <x:c r="E878" s="184" t="n">
        <x:v>0</x:v>
      </x:c>
      <x:c r="F878" s="184" t="n">
        <x:v>1</x:v>
      </x:c>
      <x:c r="G878" s="184" t="n">
        <x:v>43688</x:v>
      </x:c>
      <x:c r="H878" s="193" t="n">
        <x:v>0</x:v>
      </x:c>
      <x:c r="I878" s="185" t="n">
        <x:v>0</x:v>
      </x:c>
      <x:c r="J878" s="185" t="n">
        <x:v>43688</x:v>
      </x:c>
      <x:c r="K878" s="289" t="n">
        <x:v>43688</x:v>
      </x:c>
    </x:row>
    <x:row r="879" s="117" customFormat="1" hidden="1">
      <x:c r="A879" s="184" t="inlineStr">
        <x:is>
          <x:t xml:space="preserve">EPPGENPTA311</x:t>
        </x:is>
      </x:c>
      <x:c r="B879" s="184" t="inlineStr">
        <x:is>
          <x:t xml:space="preserve">ANPHOTEROL PERSONAL 100ML</x:t>
        </x:is>
      </x:c>
      <x:c r="C879" s="184" t="n">
        <x:v>105</x:v>
      </x:c>
      <x:c r="D879" s="184" t="n">
        <x:v>0</x:v>
      </x:c>
      <x:c r="E879" s="184" t="n">
        <x:v>0</x:v>
      </x:c>
      <x:c r="F879" s="184" t="n">
        <x:v>105</x:v>
      </x:c>
      <x:c r="G879" s="184" t="n">
        <x:v>5457287</x:v>
      </x:c>
      <x:c r="H879" s="193" t="n">
        <x:v>0</x:v>
      </x:c>
      <x:c r="I879" s="185" t="n">
        <x:v>0</x:v>
      </x:c>
      <x:c r="J879" s="185" t="n">
        <x:v>5457287</x:v>
      </x:c>
      <x:c r="K879" s="289" t="n">
        <x:v>51974.15887851</x:v>
      </x:c>
    </x:row>
    <x:row r="880" s="117" customFormat="1" hidden="1">
      <x:c r="A880" s="184" t="inlineStr">
        <x:is>
          <x:t xml:space="preserve">EPPGENPTA312</x:t>
        </x:is>
      </x:c>
      <x:c r="B880" s="184" t="inlineStr">
        <x:is>
          <x:t xml:space="preserve">FILTRO BLS 226 ABE103R GAS VAP ORG INORG</x:t>
        </x:is>
      </x:c>
      <x:c r="C880" s="184" t="n">
        <x:v>84</x:v>
      </x:c>
      <x:c r="D880" s="184" t="n">
        <x:v>0</x:v>
      </x:c>
      <x:c r="E880" s="184" t="n">
        <x:v>0</x:v>
      </x:c>
      <x:c r="F880" s="184" t="n">
        <x:v>84</x:v>
      </x:c>
      <x:c r="G880" s="184" t="n">
        <x:v>1316861</x:v>
      </x:c>
      <x:c r="H880" s="193" t="n">
        <x:v>0</x:v>
      </x:c>
      <x:c r="I880" s="185" t="n">
        <x:v>0</x:v>
      </x:c>
      <x:c r="J880" s="185" t="n">
        <x:v>1316861</x:v>
      </x:c>
      <x:c r="K880" s="289" t="n">
        <x:v>15676.92307692</x:v>
      </x:c>
    </x:row>
    <x:row r="881" s="117" customFormat="1" hidden="1">
      <x:c r="A881" s="184" t="inlineStr">
        <x:is>
          <x:t xml:space="preserve">EPPGENPTA313</x:t>
        </x:is>
      </x:c>
      <x:c r="B881" s="184" t="inlineStr">
        <x:is>
          <x:t xml:space="preserve">GUANTES DE CABRITILLA SIN FORRO T-L</x:t>
        </x:is>
      </x:c>
      <x:c r="C881" s="184" t="n">
        <x:v>674</x:v>
      </x:c>
      <x:c r="D881" s="184" t="n">
        <x:v>0</x:v>
      </x:c>
      <x:c r="E881" s="184" t="n">
        <x:v>25</x:v>
      </x:c>
      <x:c r="F881" s="184" t="n">
        <x:v>649</x:v>
      </x:c>
      <x:c r="G881" s="184" t="n">
        <x:v>778976</x:v>
      </x:c>
      <x:c r="H881" s="193" t="n">
        <x:v>0</x:v>
      </x:c>
      <x:c r="I881" s="185" t="n">
        <x:v>28898</x:v>
      </x:c>
      <x:c r="J881" s="185" t="n">
        <x:v>750078</x:v>
      </x:c>
      <x:c r="K881" s="289" t="n">
        <x:v>1155.75953035</x:v>
      </x:c>
    </x:row>
    <x:row r="882" s="117" customFormat="1" hidden="1">
      <x:c r="A882" s="184" t="inlineStr">
        <x:is>
          <x:t xml:space="preserve">EPPGENPTA314</x:t>
        </x:is>
      </x:c>
      <x:c r="B882" s="184" t="inlineStr">
        <x:is>
          <x:t xml:space="preserve">ARNES DE SEGURIDAD (PARACAIDISTA) 3 ARGOLLAS TALLA XXL</x:t>
        </x:is>
      </x:c>
      <x:c r="C882" s="184" t="n">
        <x:v>10</x:v>
      </x:c>
      <x:c r="D882" s="184" t="n">
        <x:v>0</x:v>
      </x:c>
      <x:c r="E882" s="184" t="n">
        <x:v>0</x:v>
      </x:c>
      <x:c r="F882" s="184" t="n">
        <x:v>10</x:v>
      </x:c>
      <x:c r="G882" s="184" t="n">
        <x:v>76300</x:v>
      </x:c>
      <x:c r="H882" s="193" t="n">
        <x:v>0</x:v>
      </x:c>
      <x:c r="I882" s="185" t="n">
        <x:v>0</x:v>
      </x:c>
      <x:c r="J882" s="185" t="n">
        <x:v>76300</x:v>
      </x:c>
      <x:c r="K882" s="289" t="n">
        <x:v>7630</x:v>
      </x:c>
    </x:row>
    <x:row r="883" s="117" customFormat="1" hidden="1">
      <x:c r="A883" s="184" t="inlineStr">
        <x:is>
          <x:t xml:space="preserve">EPPGENPTA315</x:t>
        </x:is>
      </x:c>
      <x:c r="B883" s="184" t="inlineStr">
        <x:is>
          <x:t xml:space="preserve">BOTIN BUNKER TORONTO N°39</x:t>
        </x:is>
      </x:c>
      <x:c r="C883" s="184" t="n">
        <x:v>3</x:v>
      </x:c>
      <x:c r="D883" s="184" t="n">
        <x:v>0</x:v>
      </x:c>
      <x:c r="E883" s="184" t="n">
        <x:v>0</x:v>
      </x:c>
      <x:c r="F883" s="184" t="n">
        <x:v>3</x:v>
      </x:c>
      <x:c r="G883" s="184" t="n">
        <x:v>75960</x:v>
      </x:c>
      <x:c r="H883" s="193" t="n">
        <x:v>0</x:v>
      </x:c>
      <x:c r="I883" s="185" t="n">
        <x:v>0</x:v>
      </x:c>
      <x:c r="J883" s="185" t="n">
        <x:v>75960</x:v>
      </x:c>
      <x:c r="K883" s="289" t="n">
        <x:v>25320</x:v>
      </x:c>
    </x:row>
    <x:row r="884" s="117" customFormat="1" hidden="1">
      <x:c r="A884" s="184" t="inlineStr">
        <x:is>
          <x:t xml:space="preserve">EPPGENPTA316</x:t>
        </x:is>
      </x:c>
      <x:c r="B884" s="184" t="inlineStr">
        <x:is>
          <x:t xml:space="preserve">BOTIN BUNKER TORONTO N°40</x:t>
        </x:is>
      </x:c>
      <x:c r="C884" s="184" t="n">
        <x:v>9</x:v>
      </x:c>
      <x:c r="D884" s="184" t="n">
        <x:v>0</x:v>
      </x:c>
      <x:c r="E884" s="184" t="n">
        <x:v>0</x:v>
      </x:c>
      <x:c r="F884" s="184" t="n">
        <x:v>9</x:v>
      </x:c>
      <x:c r="G884" s="184" t="n">
        <x:v>227880</x:v>
      </x:c>
      <x:c r="H884" s="193" t="n">
        <x:v>0</x:v>
      </x:c>
      <x:c r="I884" s="185" t="n">
        <x:v>0</x:v>
      </x:c>
      <x:c r="J884" s="185" t="n">
        <x:v>227880</x:v>
      </x:c>
      <x:c r="K884" s="289" t="n">
        <x:v>25320</x:v>
      </x:c>
    </x:row>
    <x:row r="885" s="117" customFormat="1" hidden="1">
      <x:c r="A885" s="184" t="inlineStr">
        <x:is>
          <x:t xml:space="preserve">EPPGENPTA317</x:t>
        </x:is>
      </x:c>
      <x:c r="B885" s="184" t="inlineStr">
        <x:is>
          <x:t xml:space="preserve">BOTIN BUNKER TORONTO N°41</x:t>
        </x:is>
      </x:c>
      <x:c r="C885" s="184" t="n">
        <x:v>10</x:v>
      </x:c>
      <x:c r="D885" s="184" t="n">
        <x:v>0</x:v>
      </x:c>
      <x:c r="E885" s="184" t="n">
        <x:v>0</x:v>
      </x:c>
      <x:c r="F885" s="184" t="n">
        <x:v>10</x:v>
      </x:c>
      <x:c r="G885" s="184" t="n">
        <x:v>253200</x:v>
      </x:c>
      <x:c r="H885" s="193" t="n">
        <x:v>0</x:v>
      </x:c>
      <x:c r="I885" s="185" t="n">
        <x:v>0</x:v>
      </x:c>
      <x:c r="J885" s="185" t="n">
        <x:v>253200</x:v>
      </x:c>
      <x:c r="K885" s="289" t="n">
        <x:v>25320</x:v>
      </x:c>
    </x:row>
    <x:row r="886" s="117" customFormat="1" hidden="1">
      <x:c r="A886" s="184" t="inlineStr">
        <x:is>
          <x:t xml:space="preserve">EPPGENPTA318</x:t>
        </x:is>
      </x:c>
      <x:c r="B886" s="184" t="inlineStr">
        <x:is>
          <x:t xml:space="preserve">BOTIN BUNKER TORONTO N°42</x:t>
        </x:is>
      </x:c>
      <x:c r="C886" s="184" t="n">
        <x:v>9</x:v>
      </x:c>
      <x:c r="D886" s="184" t="n">
        <x:v>0</x:v>
      </x:c>
      <x:c r="E886" s="184" t="n">
        <x:v>0</x:v>
      </x:c>
      <x:c r="F886" s="184" t="n">
        <x:v>9</x:v>
      </x:c>
      <x:c r="G886" s="184" t="n">
        <x:v>227880</x:v>
      </x:c>
      <x:c r="H886" s="193" t="n">
        <x:v>0</x:v>
      </x:c>
      <x:c r="I886" s="185" t="n">
        <x:v>0</x:v>
      </x:c>
      <x:c r="J886" s="185" t="n">
        <x:v>227880</x:v>
      </x:c>
      <x:c r="K886" s="289" t="n">
        <x:v>25320</x:v>
      </x:c>
    </x:row>
    <x:row r="887" s="117" customFormat="1" hidden="1">
      <x:c r="A887" s="184" t="inlineStr">
        <x:is>
          <x:t xml:space="preserve">EPPGENPTA319</x:t>
        </x:is>
      </x:c>
      <x:c r="B887" s="184" t="inlineStr">
        <x:is>
          <x:t xml:space="preserve">BOTIN BUNKER TORONTO N°43</x:t>
        </x:is>
      </x:c>
      <x:c r="C887" s="184" t="n">
        <x:v>5</x:v>
      </x:c>
      <x:c r="D887" s="184" t="n">
        <x:v>0</x:v>
      </x:c>
      <x:c r="E887" s="184" t="n">
        <x:v>0</x:v>
      </x:c>
      <x:c r="F887" s="184" t="n">
        <x:v>5</x:v>
      </x:c>
      <x:c r="G887" s="184" t="n">
        <x:v>126600</x:v>
      </x:c>
      <x:c r="H887" s="193" t="n">
        <x:v>0</x:v>
      </x:c>
      <x:c r="I887" s="185" t="n">
        <x:v>0</x:v>
      </x:c>
      <x:c r="J887" s="185" t="n">
        <x:v>126600</x:v>
      </x:c>
      <x:c r="K887" s="289" t="n">
        <x:v>25320</x:v>
      </x:c>
    </x:row>
    <x:row r="888" s="117" customFormat="1" hidden="1">
      <x:c r="A888" s="184" t="inlineStr">
        <x:is>
          <x:t xml:space="preserve">EPPGENPTA320</x:t>
        </x:is>
      </x:c>
      <x:c r="B888" s="184" t="inlineStr">
        <x:is>
          <x:t xml:space="preserve">BOTIN BUNKER TORONTO N°44</x:t>
        </x:is>
      </x:c>
      <x:c r="C888" s="184" t="n">
        <x:v>2</x:v>
      </x:c>
      <x:c r="D888" s="184" t="n">
        <x:v>0</x:v>
      </x:c>
      <x:c r="E888" s="184" t="n">
        <x:v>0</x:v>
      </x:c>
      <x:c r="F888" s="184" t="n">
        <x:v>2</x:v>
      </x:c>
      <x:c r="G888" s="184" t="n">
        <x:v>50640</x:v>
      </x:c>
      <x:c r="H888" s="193" t="n">
        <x:v>0</x:v>
      </x:c>
      <x:c r="I888" s="185" t="n">
        <x:v>0</x:v>
      </x:c>
      <x:c r="J888" s="185" t="n">
        <x:v>50640</x:v>
      </x:c>
      <x:c r="K888" s="289" t="n">
        <x:v>25320</x:v>
      </x:c>
    </x:row>
    <x:row r="889" s="117" customFormat="1" hidden="1">
      <x:c r="A889" s="184" t="inlineStr">
        <x:is>
          <x:t xml:space="preserve">EPPGENPTA321</x:t>
        </x:is>
      </x:c>
      <x:c r="B889" s="184" t="inlineStr">
        <x:is>
          <x:t xml:space="preserve">BOTIN BUNKER TORONTO N°45</x:t>
        </x:is>
      </x:c>
      <x:c r="C889" s="184" t="n">
        <x:v>1</x:v>
      </x:c>
      <x:c r="D889" s="184" t="n">
        <x:v>0</x:v>
      </x:c>
      <x:c r="E889" s="184" t="n">
        <x:v>0</x:v>
      </x:c>
      <x:c r="F889" s="184" t="n">
        <x:v>1</x:v>
      </x:c>
      <x:c r="G889" s="184" t="n">
        <x:v>25320</x:v>
      </x:c>
      <x:c r="H889" s="193" t="n">
        <x:v>0</x:v>
      </x:c>
      <x:c r="I889" s="185" t="n">
        <x:v>0</x:v>
      </x:c>
      <x:c r="J889" s="185" t="n">
        <x:v>25320</x:v>
      </x:c>
      <x:c r="K889" s="289" t="n">
        <x:v>25320</x:v>
      </x:c>
    </x:row>
    <x:row r="890" s="117" customFormat="1" hidden="1">
      <x:c r="A890" s="184" t="inlineStr">
        <x:is>
          <x:t xml:space="preserve">EPPGENPTA322</x:t>
        </x:is>
      </x:c>
      <x:c r="B890" s="184" t="inlineStr">
        <x:is>
          <x:t xml:space="preserve">GUANTE CUT 5 ANTIIMPACTO TALLA M</x:t>
        </x:is>
      </x:c>
      <x:c r="C890" s="184" t="n">
        <x:v>0</x:v>
      </x:c>
      <x:c r="D890" s="184" t="n">
        <x:v>0</x:v>
      </x:c>
      <x:c r="E890" s="184" t="n">
        <x:v>0</x:v>
      </x:c>
      <x:c r="F890" s="184" t="n">
        <x:v>0</x:v>
      </x:c>
      <x:c r="G890" s="184" t="n">
        <x:v>0</x:v>
      </x:c>
      <x:c r="H890" s="193" t="n">
        <x:v>0</x:v>
      </x:c>
      <x:c r="I890" s="185" t="n">
        <x:v>0</x:v>
      </x:c>
      <x:c r="J890" s="185" t="n">
        <x:v>0</x:v>
      </x:c>
      <x:c r="K890" s="289" t="n">
        <x:v>4680</x:v>
      </x:c>
    </x:row>
    <x:row r="891" s="117" customFormat="1" hidden="1">
      <x:c r="A891" s="184" t="inlineStr">
        <x:is>
          <x:t xml:space="preserve">EPPGENPTA323</x:t>
        </x:is>
      </x:c>
      <x:c r="B891" s="184" t="inlineStr">
        <x:is>
          <x:t xml:space="preserve">GUANTE CUT 5 ANTIIMPACTO TALLA L</x:t>
        </x:is>
      </x:c>
      <x:c r="C891" s="184" t="n">
        <x:v>7</x:v>
      </x:c>
      <x:c r="D891" s="184" t="n">
        <x:v>0</x:v>
      </x:c>
      <x:c r="E891" s="184" t="n">
        <x:v>3</x:v>
      </x:c>
      <x:c r="F891" s="184" t="n">
        <x:v>4</x:v>
      </x:c>
      <x:c r="G891" s="184" t="n">
        <x:v>32760</x:v>
      </x:c>
      <x:c r="H891" s="193" t="n">
        <x:v>0</x:v>
      </x:c>
      <x:c r="I891" s="185" t="n">
        <x:v>14040</x:v>
      </x:c>
      <x:c r="J891" s="185" t="n">
        <x:v>18720</x:v>
      </x:c>
      <x:c r="K891" s="289" t="n">
        <x:v>4680</x:v>
      </x:c>
    </x:row>
    <x:row r="892" s="117" customFormat="1" hidden="1">
      <x:c r="A892" s="184" t="inlineStr">
        <x:is>
          <x:t xml:space="preserve">EPPGENPTA324</x:t>
        </x:is>
      </x:c>
      <x:c r="B892" s="184" t="inlineStr">
        <x:is>
          <x:t xml:space="preserve">GUANTE CUT 5 ANTIIMPACTO TALLA XL</x:t>
        </x:is>
      </x:c>
      <x:c r="C892" s="184" t="n">
        <x:v>5</x:v>
      </x:c>
      <x:c r="D892" s="184" t="n">
        <x:v>0</x:v>
      </x:c>
      <x:c r="E892" s="184" t="n">
        <x:v>0</x:v>
      </x:c>
      <x:c r="F892" s="184" t="n">
        <x:v>5</x:v>
      </x:c>
      <x:c r="G892" s="184" t="n">
        <x:v>23400</x:v>
      </x:c>
      <x:c r="H892" s="193" t="n">
        <x:v>0</x:v>
      </x:c>
      <x:c r="I892" s="185" t="n">
        <x:v>0</x:v>
      </x:c>
      <x:c r="J892" s="185" t="n">
        <x:v>23400</x:v>
      </x:c>
      <x:c r="K892" s="289" t="n">
        <x:v>4680</x:v>
      </x:c>
    </x:row>
    <x:row r="893" s="117" customFormat="1" hidden="1">
      <x:c r="A893" s="184" t="inlineStr">
        <x:is>
          <x:t xml:space="preserve">EPPGENPTA325</x:t>
        </x:is>
      </x:c>
      <x:c r="B893" s="184" t="inlineStr">
        <x:is>
          <x:t xml:space="preserve">GUANTE CUT 5 ANTIIMPACTO TALLA XXL</x:t>
        </x:is>
      </x:c>
      <x:c r="C893" s="184" t="n">
        <x:v>0</x:v>
      </x:c>
      <x:c r="D893" s="184" t="n">
        <x:v>0</x:v>
      </x:c>
      <x:c r="E893" s="184" t="n">
        <x:v>0</x:v>
      </x:c>
      <x:c r="F893" s="184" t="n">
        <x:v>0</x:v>
      </x:c>
      <x:c r="G893" s="184" t="n">
        <x:v>0</x:v>
      </x:c>
      <x:c r="H893" s="193" t="n">
        <x:v>0</x:v>
      </x:c>
      <x:c r="I893" s="185" t="n">
        <x:v>0</x:v>
      </x:c>
      <x:c r="J893" s="185" t="n">
        <x:v>0</x:v>
      </x:c>
      <x:c r="K893" s="289" t="n">
        <x:v>0</x:v>
      </x:c>
    </x:row>
    <x:row r="894" s="117" customFormat="1" hidden="1">
      <x:c r="A894" s="184" t="inlineStr">
        <x:is>
          <x:t xml:space="preserve">EPPGENPTA326</x:t>
        </x:is>
      </x:c>
      <x:c r="B894" s="184" t="inlineStr">
        <x:is>
          <x:t xml:space="preserve">GUANTE NITRILO QUIR. AZUL BUNKER T/L (CAJA 100 UN)</x:t>
        </x:is>
      </x:c>
      <x:c r="C894" s="184" t="n">
        <x:v>10</x:v>
      </x:c>
      <x:c r="D894" s="184" t="n">
        <x:v>0</x:v>
      </x:c>
      <x:c r="E894" s="184" t="n">
        <x:v>0</x:v>
      </x:c>
      <x:c r="F894" s="184" t="n">
        <x:v>10</x:v>
      </x:c>
      <x:c r="G894" s="184" t="n">
        <x:v>31837</x:v>
      </x:c>
      <x:c r="H894" s="193" t="n">
        <x:v>0</x:v>
      </x:c>
      <x:c r="I894" s="185" t="n">
        <x:v>0</x:v>
      </x:c>
      <x:c r="J894" s="185" t="n">
        <x:v>31837</x:v>
      </x:c>
      <x:c r="K894" s="289" t="n">
        <x:v>3183.75</x:v>
      </x:c>
    </x:row>
    <x:row r="895" s="117" customFormat="1" hidden="1">
      <x:c r="A895" s="184" t="inlineStr">
        <x:is>
          <x:t xml:space="preserve">EPPGENPTA327</x:t>
        </x:is>
      </x:c>
      <x:c r="B895" s="184" t="inlineStr">
        <x:is>
          <x:t xml:space="preserve">GUANTE NITRILO QUIR. AZUL BUNKER T/M (CAJA 100 UN)</x:t>
        </x:is>
      </x:c>
      <x:c r="C895" s="184" t="n">
        <x:v>0</x:v>
      </x:c>
      <x:c r="D895" s="184" t="n">
        <x:v>0</x:v>
      </x:c>
      <x:c r="E895" s="184" t="n">
        <x:v>0</x:v>
      </x:c>
      <x:c r="F895" s="184" t="n">
        <x:v>0</x:v>
      </x:c>
      <x:c r="G895" s="184" t="n">
        <x:v>0</x:v>
      </x:c>
      <x:c r="H895" s="193" t="n">
        <x:v>0</x:v>
      </x:c>
      <x:c r="I895" s="185" t="n">
        <x:v>0</x:v>
      </x:c>
      <x:c r="J895" s="185" t="n">
        <x:v>0</x:v>
      </x:c>
      <x:c r="K895" s="289" t="n">
        <x:v>2700</x:v>
      </x:c>
    </x:row>
    <x:row r="896" s="117" customFormat="1" hidden="1">
      <x:c r="A896" s="184" t="inlineStr">
        <x:is>
          <x:t xml:space="preserve">EPPGENPTA328</x:t>
        </x:is>
      </x:c>
      <x:c r="B896" s="184" t="inlineStr">
        <x:is>
          <x:t xml:space="preserve">GUANTE NITRILO QUIR. AZUL BUNKER T/XL (CAJA 100 UN)</x:t>
        </x:is>
      </x:c>
      <x:c r="C896" s="184" t="n">
        <x:v>0</x:v>
      </x:c>
      <x:c r="D896" s="184" t="n">
        <x:v>0</x:v>
      </x:c>
      <x:c r="E896" s="184" t="n">
        <x:v>0</x:v>
      </x:c>
      <x:c r="F896" s="184" t="n">
        <x:v>0</x:v>
      </x:c>
      <x:c r="G896" s="184" t="n">
        <x:v>0</x:v>
      </x:c>
      <x:c r="H896" s="193" t="n">
        <x:v>0</x:v>
      </x:c>
      <x:c r="I896" s="185" t="n">
        <x:v>0</x:v>
      </x:c>
      <x:c r="J896" s="185" t="n">
        <x:v>0</x:v>
      </x:c>
      <x:c r="K896" s="289" t="n">
        <x:v>2700</x:v>
      </x:c>
    </x:row>
    <x:row r="897" s="117" customFormat="1" hidden="1">
      <x:c r="A897" s="184" t="inlineStr">
        <x:is>
          <x:t xml:space="preserve">EPPGENPTA329</x:t>
        </x:is>
      </x:c>
      <x:c r="B897" s="184" t="inlineStr">
        <x:is>
          <x:t xml:space="preserve">GUANTE NITRILO QUIR. AZUL BUNKER T/XXL (CAJA 100 UN)</x:t>
        </x:is>
      </x:c>
      <x:c r="C897" s="184" t="n">
        <x:v>0</x:v>
      </x:c>
      <x:c r="D897" s="184" t="n">
        <x:v>0</x:v>
      </x:c>
      <x:c r="E897" s="184" t="n">
        <x:v>0</x:v>
      </x:c>
      <x:c r="F897" s="184" t="n">
        <x:v>0</x:v>
      </x:c>
      <x:c r="G897" s="184" t="n">
        <x:v>0</x:v>
      </x:c>
      <x:c r="H897" s="193" t="n">
        <x:v>0</x:v>
      </x:c>
      <x:c r="I897" s="185" t="n">
        <x:v>0</x:v>
      </x:c>
      <x:c r="J897" s="185" t="n">
        <x:v>0</x:v>
      </x:c>
      <x:c r="K897" s="289" t="n">
        <x:v>0</x:v>
      </x:c>
    </x:row>
    <x:row r="898" s="117" customFormat="1" hidden="1">
      <x:c r="A898" s="184" t="inlineStr">
        <x:is>
          <x:t xml:space="preserve">EPPGENPTA330</x:t>
        </x:is>
      </x:c>
      <x:c r="B898" s="184" t="inlineStr">
        <x:is>
          <x:t xml:space="preserve">GUANTE NITRILO VERDE T/S</x:t>
        </x:is>
      </x:c>
      <x:c r="C898" s="184" t="n">
        <x:v>0</x:v>
      </x:c>
      <x:c r="D898" s="184" t="n">
        <x:v>0</x:v>
      </x:c>
      <x:c r="E898" s="184" t="n">
        <x:v>0</x:v>
      </x:c>
      <x:c r="F898" s="184" t="n">
        <x:v>0</x:v>
      </x:c>
      <x:c r="G898" s="184" t="n">
        <x:v>0</x:v>
      </x:c>
      <x:c r="H898" s="193" t="n">
        <x:v>0</x:v>
      </x:c>
      <x:c r="I898" s="185" t="n">
        <x:v>0</x:v>
      </x:c>
      <x:c r="J898" s="185" t="n">
        <x:v>0</x:v>
      </x:c>
      <x:c r="K898" s="289" t="n">
        <x:v>0</x:v>
      </x:c>
    </x:row>
    <x:row r="899" s="117" customFormat="1" hidden="1">
      <x:c r="A899" s="184" t="inlineStr">
        <x:is>
          <x:t xml:space="preserve">EPPGENPTA331</x:t>
        </x:is>
      </x:c>
      <x:c r="B899" s="184" t="inlineStr">
        <x:is>
          <x:t xml:space="preserve">GUANTE NITRILO VERDE T/L</x:t>
        </x:is>
      </x:c>
      <x:c r="C899" s="184" t="n">
        <x:v>313</x:v>
      </x:c>
      <x:c r="D899" s="184" t="n">
        <x:v>0</x:v>
      </x:c>
      <x:c r="E899" s="184" t="n">
        <x:v>0</x:v>
      </x:c>
      <x:c r="F899" s="184" t="n">
        <x:v>313</x:v>
      </x:c>
      <x:c r="G899" s="184" t="n">
        <x:v>225360</x:v>
      </x:c>
      <x:c r="H899" s="193" t="n">
        <x:v>0</x:v>
      </x:c>
      <x:c r="I899" s="185" t="n">
        <x:v>0</x:v>
      </x:c>
      <x:c r="J899" s="185" t="n">
        <x:v>225360</x:v>
      </x:c>
      <x:c r="K899" s="289" t="n">
        <x:v>720</x:v>
      </x:c>
    </x:row>
    <x:row r="900" s="117" customFormat="1" hidden="1">
      <x:c r="A900" s="184" t="inlineStr">
        <x:is>
          <x:t xml:space="preserve">EPPGENPTA332</x:t>
        </x:is>
      </x:c>
      <x:c r="B900" s="184" t="inlineStr">
        <x:is>
          <x:t xml:space="preserve">GUANTE NITRILO VERDE T/M</x:t>
        </x:is>
      </x:c>
      <x:c r="C900" s="184" t="n">
        <x:v>0</x:v>
      </x:c>
      <x:c r="D900" s="184" t="n">
        <x:v>0</x:v>
      </x:c>
      <x:c r="E900" s="184" t="n">
        <x:v>0</x:v>
      </x:c>
      <x:c r="F900" s="184" t="n">
        <x:v>0</x:v>
      </x:c>
      <x:c r="G900" s="184" t="n">
        <x:v>0</x:v>
      </x:c>
      <x:c r="H900" s="193" t="n">
        <x:v>0</x:v>
      </x:c>
      <x:c r="I900" s="185" t="n">
        <x:v>0</x:v>
      </x:c>
      <x:c r="J900" s="185" t="n">
        <x:v>0</x:v>
      </x:c>
      <x:c r="K900" s="289" t="n">
        <x:v>3990</x:v>
      </x:c>
    </x:row>
    <x:row r="901" s="117" customFormat="1" hidden="1">
      <x:c r="A901" s="184" t="inlineStr">
        <x:is>
          <x:t xml:space="preserve">EPPGENPTA333</x:t>
        </x:is>
      </x:c>
      <x:c r="B901" s="184" t="inlineStr">
        <x:is>
          <x:t xml:space="preserve">GUANTE NITRILO VERDE T/XL</x:t>
        </x:is>
      </x:c>
      <x:c r="C901" s="184" t="n">
        <x:v>120</x:v>
      </x:c>
      <x:c r="D901" s="184" t="n">
        <x:v>0</x:v>
      </x:c>
      <x:c r="E901" s="184" t="n">
        <x:v>0</x:v>
      </x:c>
      <x:c r="F901" s="184" t="n">
        <x:v>120</x:v>
      </x:c>
      <x:c r="G901" s="184" t="n">
        <x:v>86400</x:v>
      </x:c>
      <x:c r="H901" s="193" t="n">
        <x:v>0</x:v>
      </x:c>
      <x:c r="I901" s="185" t="n">
        <x:v>0</x:v>
      </x:c>
      <x:c r="J901" s="185" t="n">
        <x:v>86400</x:v>
      </x:c>
      <x:c r="K901" s="289" t="n">
        <x:v>720</x:v>
      </x:c>
    </x:row>
    <x:row r="902" s="117" customFormat="1" hidden="1">
      <x:c r="A902" s="184" t="inlineStr">
        <x:is>
          <x:t xml:space="preserve">EPPGENPTA334</x:t>
        </x:is>
      </x:c>
      <x:c r="B902" s="184" t="inlineStr">
        <x:is>
          <x:t xml:space="preserve">GUANTE NITRILO VERDE T/XXL</x:t>
        </x:is>
      </x:c>
      <x:c r="C902" s="184" t="n">
        <x:v>0</x:v>
      </x:c>
      <x:c r="D902" s="184" t="n">
        <x:v>0</x:v>
      </x:c>
      <x:c r="E902" s="184" t="n">
        <x:v>0</x:v>
      </x:c>
      <x:c r="F902" s="184" t="n">
        <x:v>0</x:v>
      </x:c>
      <x:c r="G902" s="184" t="n">
        <x:v>0</x:v>
      </x:c>
      <x:c r="H902" s="193" t="n">
        <x:v>0</x:v>
      </x:c>
      <x:c r="I902" s="185" t="n">
        <x:v>0</x:v>
      </x:c>
      <x:c r="J902" s="185" t="n">
        <x:v>0</x:v>
      </x:c>
      <x:c r="K902" s="289" t="n">
        <x:v>0</x:v>
      </x:c>
    </x:row>
    <x:row r="903" s="117" customFormat="1" hidden="1">
      <x:c r="A903" s="184" t="inlineStr">
        <x:is>
          <x:t xml:space="preserve">EPPGENPTA335</x:t>
        </x:is>
      </x:c>
      <x:c r="B903" s="184" t="inlineStr">
        <x:is>
          <x:t xml:space="preserve">BARRA CONECTORA DE CONOS FLEXIBLE</x:t>
        </x:is>
      </x:c>
      <x:c r="C903" s="184" t="n">
        <x:v>55</x:v>
      </x:c>
      <x:c r="D903" s="184" t="n">
        <x:v>0</x:v>
      </x:c>
      <x:c r="E903" s="184" t="n">
        <x:v>10</x:v>
      </x:c>
      <x:c r="F903" s="184" t="n">
        <x:v>45</x:v>
      </x:c>
      <x:c r="G903" s="184" t="n">
        <x:v>193047</x:v>
      </x:c>
      <x:c r="H903" s="193" t="n">
        <x:v>0</x:v>
      </x:c>
      <x:c r="I903" s="185" t="n">
        <x:v>35099</x:v>
      </x:c>
      <x:c r="J903" s="185" t="n">
        <x:v>157948</x:v>
      </x:c>
      <x:c r="K903" s="289" t="n">
        <x:v>3509.94736842</x:v>
      </x:c>
    </x:row>
    <x:row r="904" s="117" customFormat="1" hidden="1">
      <x:c r="A904" s="184" t="inlineStr">
        <x:is>
          <x:t xml:space="preserve">EPPGENPTA336</x:t>
        </x:is>
      </x:c>
      <x:c r="B904" s="184" t="inlineStr">
        <x:is>
          <x:t xml:space="preserve">TAPON AUDITIVO REUTILIZABLE CON CORDON, CAJA 100 UN</x:t>
        </x:is>
      </x:c>
      <x:c r="C904" s="184" t="n">
        <x:v>2</x:v>
      </x:c>
      <x:c r="D904" s="184" t="n">
        <x:v>0</x:v>
      </x:c>
      <x:c r="E904" s="184" t="n">
        <x:v>0</x:v>
      </x:c>
      <x:c r="F904" s="184" t="n">
        <x:v>2</x:v>
      </x:c>
      <x:c r="G904" s="184" t="n">
        <x:v>1496</x:v>
      </x:c>
      <x:c r="H904" s="193" t="n">
        <x:v>0</x:v>
      </x:c>
      <x:c r="I904" s="185" t="n">
        <x:v>0</x:v>
      </x:c>
      <x:c r="J904" s="185" t="n">
        <x:v>1496</x:v>
      </x:c>
      <x:c r="K904" s="289" t="n">
        <x:v>747.67786057</x:v>
      </x:c>
    </x:row>
    <x:row r="905" s="117" customFormat="1" hidden="1">
      <x:c r="A905" s="184" t="inlineStr">
        <x:is>
          <x:t xml:space="preserve">EPPGENPTA337</x:t>
        </x:is>
      </x:c>
      <x:c r="B905" s="184" t="inlineStr">
        <x:is>
          <x:t xml:space="preserve">CLIP PORTA GUANTES</x:t>
        </x:is>
      </x:c>
      <x:c r="C905" s="184" t="n">
        <x:v>15</x:v>
      </x:c>
      <x:c r="D905" s="184" t="n">
        <x:v>0</x:v>
      </x:c>
      <x:c r="E905" s="184" t="n">
        <x:v>0</x:v>
      </x:c>
      <x:c r="F905" s="184" t="n">
        <x:v>15</x:v>
      </x:c>
      <x:c r="G905" s="184" t="n">
        <x:v>15610</x:v>
      </x:c>
      <x:c r="H905" s="193" t="n">
        <x:v>0</x:v>
      </x:c>
      <x:c r="I905" s="185" t="n">
        <x:v>0</x:v>
      </x:c>
      <x:c r="J905" s="185" t="n">
        <x:v>15610</x:v>
      </x:c>
      <x:c r="K905" s="289" t="n">
        <x:v>1040.66666667</x:v>
      </x:c>
    </x:row>
    <x:row r="906" s="117" customFormat="1" hidden="1">
      <x:c r="A906" s="184" t="inlineStr">
        <x:is>
          <x:t xml:space="preserve">EPPGENPTA338</x:t>
        </x:is>
      </x:c>
      <x:c r="B906" s="184" t="inlineStr">
        <x:is>
          <x:t xml:space="preserve">GUANTES PROCEDIMIENTO LATEX /TALLA L</x:t>
        </x:is>
      </x:c>
      <x:c r="C906" s="184" t="n">
        <x:v>0</x:v>
      </x:c>
      <x:c r="D906" s="184" t="n">
        <x:v>0</x:v>
      </x:c>
      <x:c r="E906" s="184" t="n">
        <x:v>0</x:v>
      </x:c>
      <x:c r="F906" s="184" t="n">
        <x:v>0</x:v>
      </x:c>
      <x:c r="G906" s="184" t="n">
        <x:v>0</x:v>
      </x:c>
      <x:c r="H906" s="193" t="n">
        <x:v>0</x:v>
      </x:c>
      <x:c r="I906" s="185" t="n">
        <x:v>0</x:v>
      </x:c>
      <x:c r="J906" s="185" t="n">
        <x:v>0</x:v>
      </x:c>
      <x:c r="K906" s="289" t="n">
        <x:v>3192</x:v>
      </x:c>
    </x:row>
    <x:row r="907" s="117" customFormat="1" hidden="1">
      <x:c r="A907" s="184" t="inlineStr">
        <x:is>
          <x:t xml:space="preserve">EPPGENPTA339</x:t>
        </x:is>
      </x:c>
      <x:c r="B907" s="184" t="inlineStr">
        <x:is>
          <x:t xml:space="preserve">GUANTES PROCEDIMIENTO LATEX /TALLA M</x:t>
        </x:is>
      </x:c>
      <x:c r="C907" s="184" t="n">
        <x:v>0</x:v>
      </x:c>
      <x:c r="D907" s="184" t="n">
        <x:v>0</x:v>
      </x:c>
      <x:c r="E907" s="184" t="n">
        <x:v>0</x:v>
      </x:c>
      <x:c r="F907" s="184" t="n">
        <x:v>0</x:v>
      </x:c>
      <x:c r="G907" s="184" t="n">
        <x:v>0</x:v>
      </x:c>
      <x:c r="H907" s="193" t="n">
        <x:v>0</x:v>
      </x:c>
      <x:c r="I907" s="185" t="n">
        <x:v>0</x:v>
      </x:c>
      <x:c r="J907" s="185" t="n">
        <x:v>0</x:v>
      </x:c>
      <x:c r="K907" s="289" t="n">
        <x:v>3380</x:v>
      </x:c>
    </x:row>
    <x:row r="908" s="117" customFormat="1" hidden="1">
      <x:c r="A908" s="184" t="inlineStr">
        <x:is>
          <x:t xml:space="preserve">EPPGENPTA340</x:t>
        </x:is>
      </x:c>
      <x:c r="B908" s="184" t="inlineStr">
        <x:is>
          <x:t xml:space="preserve">GUANTES PROCEDIMIENTO LATEX /TALLA XL</x:t>
        </x:is>
      </x:c>
      <x:c r="C908" s="184" t="n">
        <x:v>0</x:v>
      </x:c>
      <x:c r="D908" s="184" t="n">
        <x:v>0</x:v>
      </x:c>
      <x:c r="E908" s="184" t="n">
        <x:v>0</x:v>
      </x:c>
      <x:c r="F908" s="184" t="n">
        <x:v>0</x:v>
      </x:c>
      <x:c r="G908" s="184" t="n">
        <x:v>0</x:v>
      </x:c>
      <x:c r="H908" s="193" t="n">
        <x:v>0</x:v>
      </x:c>
      <x:c r="I908" s="185" t="n">
        <x:v>0</x:v>
      </x:c>
      <x:c r="J908" s="185" t="n">
        <x:v>0</x:v>
      </x:c>
      <x:c r="K908" s="289" t="n">
        <x:v>0</x:v>
      </x:c>
    </x:row>
    <x:row r="909" s="117" customFormat="1" hidden="1">
      <x:c r="A909" s="184" t="inlineStr">
        <x:is>
          <x:t xml:space="preserve">EPPGENPTA341</x:t>
        </x:is>
      </x:c>
      <x:c r="B909" s="184" t="inlineStr">
        <x:is>
          <x:t xml:space="preserve">Filtro Activex ATX VO/GA3500 Vapores Organicos y Gases Acidos A1E1P3 R (PAR)</x:t>
        </x:is>
      </x:c>
      <x:c r="C909" s="184" t="n">
        <x:v>47</x:v>
      </x:c>
      <x:c r="D909" s="184" t="n">
        <x:v>0</x:v>
      </x:c>
      <x:c r="E909" s="184" t="n">
        <x:v>2</x:v>
      </x:c>
      <x:c r="F909" s="184" t="n">
        <x:v>45</x:v>
      </x:c>
      <x:c r="G909" s="184" t="n">
        <x:v>399326</x:v>
      </x:c>
      <x:c r="H909" s="193" t="n">
        <x:v>0</x:v>
      </x:c>
      <x:c r="I909" s="185" t="n">
        <x:v>16992</x:v>
      </x:c>
      <x:c r="J909" s="185" t="n">
        <x:v>382334</x:v>
      </x:c>
      <x:c r="K909" s="289" t="n">
        <x:v>8496.228733460001</x:v>
      </x:c>
    </x:row>
    <x:row r="910" s="117" customFormat="1" hidden="1">
      <x:c r="A910" s="184" t="inlineStr">
        <x:is>
          <x:t xml:space="preserve">EPPGENPTA342</x:t>
        </x:is>
      </x:c>
      <x:c r="B910" s="184" t="inlineStr">
        <x:is>
          <x:t xml:space="preserve">ARNES PARACAIDISTA 3 ARGOLLAS TALLA-M-L (REF: 41102101)</x:t>
        </x:is>
      </x:c>
      <x:c r="C910" s="184" t="n">
        <x:v>1</x:v>
      </x:c>
      <x:c r="D910" s="184" t="n">
        <x:v>0</x:v>
      </x:c>
      <x:c r="E910" s="184" t="n">
        <x:v>0</x:v>
      </x:c>
      <x:c r="F910" s="184" t="n">
        <x:v>1</x:v>
      </x:c>
      <x:c r="G910" s="184" t="n">
        <x:v>7630</x:v>
      </x:c>
      <x:c r="H910" s="193" t="n">
        <x:v>0</x:v>
      </x:c>
      <x:c r="I910" s="185" t="n">
        <x:v>0</x:v>
      </x:c>
      <x:c r="J910" s="185" t="n">
        <x:v>7630</x:v>
      </x:c>
      <x:c r="K910" s="289" t="n">
        <x:v>7630</x:v>
      </x:c>
    </x:row>
    <x:row r="911" s="117" customFormat="1" hidden="1">
      <x:c r="A911" s="184" t="inlineStr">
        <x:is>
          <x:t xml:space="preserve">EPPGENPTA343</x:t>
        </x:is>
      </x:c>
      <x:c r="B911" s="184" t="inlineStr">
        <x:is>
          <x:t xml:space="preserve">AMORTIGUADOR FLOYD STEELWIRE 41402036</x:t>
        </x:is>
      </x:c>
      <x:c r="C911" s="184" t="n">
        <x:v>5</x:v>
      </x:c>
      <x:c r="D911" s="184" t="n">
        <x:v>0</x:v>
      </x:c>
      <x:c r="E911" s="184" t="n">
        <x:v>0</x:v>
      </x:c>
      <x:c r="F911" s="184" t="n">
        <x:v>5</x:v>
      </x:c>
      <x:c r="G911" s="184" t="n">
        <x:v>218390</x:v>
      </x:c>
      <x:c r="H911" s="193" t="n">
        <x:v>0</x:v>
      </x:c>
      <x:c r="I911" s="185" t="n">
        <x:v>0</x:v>
      </x:c>
      <x:c r="J911" s="185" t="n">
        <x:v>218390</x:v>
      </x:c>
      <x:c r="K911" s="289" t="n">
        <x:v>43678</x:v>
      </x:c>
    </x:row>
    <x:row r="912" s="117" customFormat="1" hidden="1">
      <x:c r="A912" s="184" t="inlineStr">
        <x:is>
          <x:t xml:space="preserve">EPPGENPTA344</x:t>
        </x:is>
      </x:c>
      <x:c r="B912" s="184" t="inlineStr">
        <x:is>
          <x:t xml:space="preserve">GUANTES NITRILO ALTA RESISTENCIA 8.0 TEXTURA T-M. CJ 50UDN, VERDE</x:t>
        </x:is>
      </x:c>
      <x:c r="C912" s="184" t="n">
        <x:v>113</x:v>
      </x:c>
      <x:c r="D912" s="184" t="n">
        <x:v>0</x:v>
      </x:c>
      <x:c r="E912" s="184" t="n">
        <x:v>44</x:v>
      </x:c>
      <x:c r="F912" s="184" t="n">
        <x:v>69</x:v>
      </x:c>
      <x:c r="G912" s="184" t="n">
        <x:v>450870</x:v>
      </x:c>
      <x:c r="H912" s="193" t="n">
        <x:v>0</x:v>
      </x:c>
      <x:c r="I912" s="185" t="n">
        <x:v>175560</x:v>
      </x:c>
      <x:c r="J912" s="185" t="n">
        <x:v>275310</x:v>
      </x:c>
      <x:c r="K912" s="289" t="n">
        <x:v>3990</x:v>
      </x:c>
    </x:row>
    <x:row r="913" s="117" customFormat="1" hidden="1">
      <x:c r="A913" s="184" t="inlineStr">
        <x:is>
          <x:t xml:space="preserve">EPPGENPTA345</x:t>
        </x:is>
      </x:c>
      <x:c r="B913" s="184" t="inlineStr">
        <x:is>
          <x:t xml:space="preserve">GUANTES NITRILO ALTA RESISTENCIA 8.0 TEXTURA T-L. CJ 50UDN, VERDE</x:t>
        </x:is>
      </x:c>
      <x:c r="C913" s="184" t="n">
        <x:v>136</x:v>
      </x:c>
      <x:c r="D913" s="184" t="n">
        <x:v>0</x:v>
      </x:c>
      <x:c r="E913" s="184" t="n">
        <x:v>0</x:v>
      </x:c>
      <x:c r="F913" s="184" t="n">
        <x:v>136</x:v>
      </x:c>
      <x:c r="G913" s="184" t="n">
        <x:v>542640</x:v>
      </x:c>
      <x:c r="H913" s="193" t="n">
        <x:v>0</x:v>
      </x:c>
      <x:c r="I913" s="185" t="n">
        <x:v>0</x:v>
      </x:c>
      <x:c r="J913" s="185" t="n">
        <x:v>542640</x:v>
      </x:c>
      <x:c r="K913" s="289" t="n">
        <x:v>3990</x:v>
      </x:c>
    </x:row>
    <x:row r="914" s="117" customFormat="1" hidden="1">
      <x:c r="A914" s="184" t="inlineStr">
        <x:is>
          <x:t xml:space="preserve">EPPGENPTA346</x:t>
        </x:is>
      </x:c>
      <x:c r="B914" s="184" t="inlineStr">
        <x:is>
          <x:t xml:space="preserve">GUANTES  NITRILO TOP SAFEALT.RES.TXL 50 UNIDADES  X CAJAVERDE</x:t>
        </x:is>
      </x:c>
      <x:c r="C914" s="184" t="n">
        <x:v>60</x:v>
      </x:c>
      <x:c r="D914" s="184" t="n">
        <x:v>0</x:v>
      </x:c>
      <x:c r="E914" s="184" t="n">
        <x:v>0</x:v>
      </x:c>
      <x:c r="F914" s="184" t="n">
        <x:v>60</x:v>
      </x:c>
      <x:c r="G914" s="184" t="n">
        <x:v>239400</x:v>
      </x:c>
      <x:c r="H914" s="193" t="n">
        <x:v>0</x:v>
      </x:c>
      <x:c r="I914" s="185" t="n">
        <x:v>0</x:v>
      </x:c>
      <x:c r="J914" s="185" t="n">
        <x:v>239400</x:v>
      </x:c>
      <x:c r="K914" s="289" t="n">
        <x:v>3990</x:v>
      </x:c>
    </x:row>
    <x:row r="915" s="117" customFormat="1" hidden="1">
      <x:c r="A915" s="184" t="inlineStr">
        <x:is>
          <x:t xml:space="preserve">EPPGENPTA347</x:t>
        </x:is>
      </x:c>
      <x:c r="B915" s="184" t="inlineStr">
        <x:is>
          <x:t xml:space="preserve">GUANTES  NITRILO TOP SAFEALT.RES.TL 50 UNIDADES  X CAJAVERDE</x:t>
        </x:is>
      </x:c>
      <x:c r="C915" s="184" t="n">
        <x:v>0</x:v>
      </x:c>
      <x:c r="D915" s="184" t="n">
        <x:v>0</x:v>
      </x:c>
      <x:c r="E915" s="184" t="n">
        <x:v>0</x:v>
      </x:c>
      <x:c r="F915" s="184" t="n">
        <x:v>0</x:v>
      </x:c>
      <x:c r="G915" s="184" t="n">
        <x:v>0</x:v>
      </x:c>
      <x:c r="H915" s="193" t="n">
        <x:v>0</x:v>
      </x:c>
      <x:c r="I915" s="185" t="n">
        <x:v>0</x:v>
      </x:c>
      <x:c r="J915" s="185" t="n">
        <x:v>0</x:v>
      </x:c>
      <x:c r="K915" s="289" t="n">
        <x:v>3990</x:v>
      </x:c>
    </x:row>
    <x:row r="916" s="117" customFormat="1" hidden="1">
      <x:c r="A916" s="184" t="inlineStr">
        <x:is>
          <x:t xml:space="preserve">EPPGENPTA400</x:t>
        </x:is>
      </x:c>
      <x:c r="B916" s="184" t="inlineStr">
        <x:is>
          <x:t xml:space="preserve">BUZO DE PAPEL TIPO TIVEK (KUPFER: BUZO GETPRO DESE BLCO LINE 1130 T-M)</x:t>
        </x:is>
      </x:c>
      <x:c r="C916" s="184" t="n">
        <x:v>50</x:v>
      </x:c>
      <x:c r="D916" s="184" t="n">
        <x:v>0</x:v>
      </x:c>
      <x:c r="E916" s="184" t="n">
        <x:v>0</x:v>
      </x:c>
      <x:c r="F916" s="184" t="n">
        <x:v>50</x:v>
      </x:c>
      <x:c r="G916" s="184" t="n">
        <x:v>55333</x:v>
      </x:c>
      <x:c r="H916" s="193" t="n">
        <x:v>0</x:v>
      </x:c>
      <x:c r="I916" s="185" t="n">
        <x:v>0</x:v>
      </x:c>
      <x:c r="J916" s="185" t="n">
        <x:v>55333</x:v>
      </x:c>
      <x:c r="K916" s="289" t="n">
        <x:v>1106.66666667</x:v>
      </x:c>
    </x:row>
    <x:row r="917" s="117" customFormat="1" hidden="1">
      <x:c r="A917" s="184" t="inlineStr">
        <x:is>
          <x:t xml:space="preserve">EPPGENPTA401</x:t>
        </x:is>
      </x:c>
      <x:c r="B917" s="184" t="inlineStr">
        <x:is>
          <x:t xml:space="preserve">BUZO DE PAPEL TIPO TIVEK (KUPFER: BUZO GETPRO DESE BLCO LINE 1130 T-L)</x:t>
        </x:is>
      </x:c>
      <x:c r="C917" s="184" t="n">
        <x:v>400</x:v>
      </x:c>
      <x:c r="D917" s="184" t="n">
        <x:v>0</x:v>
      </x:c>
      <x:c r="E917" s="184" t="n">
        <x:v>120</x:v>
      </x:c>
      <x:c r="F917" s="184" t="n">
        <x:v>280</x:v>
      </x:c>
      <x:c r="G917" s="184" t="n">
        <x:v>435692</x:v>
      </x:c>
      <x:c r="H917" s="193" t="n">
        <x:v>0</x:v>
      </x:c>
      <x:c r="I917" s="185" t="n">
        <x:v>130708</x:v>
      </x:c>
      <x:c r="J917" s="185" t="n">
        <x:v>304984</x:v>
      </x:c>
      <x:c r="K917" s="289" t="n">
        <x:v>1089.23076923</x:v>
      </x:c>
    </x:row>
    <x:row r="918" s="117" customFormat="1" hidden="1">
      <x:c r="A918" s="184" t="inlineStr">
        <x:is>
          <x:t xml:space="preserve">EPPGENPTA402</x:t>
        </x:is>
      </x:c>
      <x:c r="B918" s="184" t="inlineStr">
        <x:is>
          <x:t xml:space="preserve">BUZO DE PAPEL TIPO TIVEK (KUPFER: BUZO GETPRO DESE BLCO LINE 1130 T-XL)</x:t>
        </x:is>
      </x:c>
      <x:c r="C918" s="184" t="n">
        <x:v>1876</x:v>
      </x:c>
      <x:c r="D918" s="184" t="n">
        <x:v>0</x:v>
      </x:c>
      <x:c r="E918" s="184" t="n">
        <x:v>0</x:v>
      </x:c>
      <x:c r="F918" s="184" t="n">
        <x:v>1876</x:v>
      </x:c>
      <x:c r="G918" s="184" t="n">
        <x:v>2031749</x:v>
      </x:c>
      <x:c r="H918" s="193" t="n">
        <x:v>0</x:v>
      </x:c>
      <x:c r="I918" s="185" t="n">
        <x:v>0</x:v>
      </x:c>
      <x:c r="J918" s="185" t="n">
        <x:v>2031749</x:v>
      </x:c>
      <x:c r="K918" s="289" t="n">
        <x:v>1083.02196938</x:v>
      </x:c>
    </x:row>
    <x:row r="919" s="117" customFormat="1" hidden="1">
      <x:c r="A919" s="184" t="inlineStr">
        <x:is>
          <x:t xml:space="preserve">EPPGENPTA403</x:t>
        </x:is>
      </x:c>
      <x:c r="B919" s="184" t="inlineStr">
        <x:is>
          <x:t xml:space="preserve">BUZO DE PAPEL TIPO TIVEK (KUPFER: BUZO GETPRO DESE BLCO LINE 1130 T-XXL)</x:t>
        </x:is>
      </x:c>
      <x:c r="C919" s="184" t="n">
        <x:v>2802</x:v>
      </x:c>
      <x:c r="D919" s="184" t="n">
        <x:v>0</x:v>
      </x:c>
      <x:c r="E919" s="184" t="n">
        <x:v>316</x:v>
      </x:c>
      <x:c r="F919" s="184" t="n">
        <x:v>2486</x:v>
      </x:c>
      <x:c r="G919" s="184" t="n">
        <x:v>3035206</x:v>
      </x:c>
      <x:c r="H919" s="193" t="n">
        <x:v>0</x:v>
      </x:c>
      <x:c r="I919" s="185" t="n">
        <x:v>342302</x:v>
      </x:c>
      <x:c r="J919" s="185" t="n">
        <x:v>2692904</x:v>
      </x:c>
      <x:c r="K919" s="289" t="n">
        <x:v>1083.22498237</x:v>
      </x:c>
    </x:row>
    <x:row r="920" s="117" customFormat="1" hidden="1">
      <x:c r="A920" s="184" t="inlineStr">
        <x:is>
          <x:t xml:space="preserve">EPPGENPTA404</x:t>
        </x:is>
      </x:c>
      <x:c r="B920" s="184" t="inlineStr">
        <x:is>
          <x:t xml:space="preserve">BUZO DE PAPEL TIPO TIVEK (AZENPRO: BUZO DE PAPEL T-M)</x:t>
        </x:is>
      </x:c>
      <x:c r="C920" s="184" t="n">
        <x:v>0</x:v>
      </x:c>
      <x:c r="D920" s="184" t="n">
        <x:v>0</x:v>
      </x:c>
      <x:c r="E920" s="184" t="n">
        <x:v>0</x:v>
      </x:c>
      <x:c r="F920" s="184" t="n">
        <x:v>0</x:v>
      </x:c>
      <x:c r="G920" s="184" t="n">
        <x:v>0</x:v>
      </x:c>
      <x:c r="H920" s="193" t="n">
        <x:v>0</x:v>
      </x:c>
      <x:c r="I920" s="185" t="n">
        <x:v>0</x:v>
      </x:c>
      <x:c r="J920" s="185" t="n">
        <x:v>0</x:v>
      </x:c>
      <x:c r="K920" s="289" t="n">
        <x:v>0</x:v>
      </x:c>
    </x:row>
    <x:row r="921" s="117" customFormat="1" hidden="1">
      <x:c r="A921" s="184" t="inlineStr">
        <x:is>
          <x:t xml:space="preserve">EPPGENPTA405</x:t>
        </x:is>
      </x:c>
      <x:c r="B921" s="184" t="inlineStr">
        <x:is>
          <x:t xml:space="preserve">BUZO DE PAPEL TIPO TIVEK (AZENPRO: BUZO DE PAPEL T-L)</x:t>
        </x:is>
      </x:c>
      <x:c r="C921" s="184" t="n">
        <x:v>0</x:v>
      </x:c>
      <x:c r="D921" s="184" t="n">
        <x:v>0</x:v>
      </x:c>
      <x:c r="E921" s="184" t="n">
        <x:v>0</x:v>
      </x:c>
      <x:c r="F921" s="184" t="n">
        <x:v>0</x:v>
      </x:c>
      <x:c r="G921" s="184" t="n">
        <x:v>0</x:v>
      </x:c>
      <x:c r="H921" s="193" t="n">
        <x:v>0</x:v>
      </x:c>
      <x:c r="I921" s="185" t="n">
        <x:v>0</x:v>
      </x:c>
      <x:c r="J921" s="185" t="n">
        <x:v>0</x:v>
      </x:c>
      <x:c r="K921" s="289" t="n">
        <x:v>0</x:v>
      </x:c>
    </x:row>
    <x:row r="922" s="117" customFormat="1" hidden="1">
      <x:c r="A922" s="184" t="inlineStr">
        <x:is>
          <x:t xml:space="preserve">EPPGENPTA406</x:t>
        </x:is>
      </x:c>
      <x:c r="B922" s="184" t="inlineStr">
        <x:is>
          <x:t xml:space="preserve">BUZO DE PAPEL TIPO TIVEK (AZENPRO: BUZO DE PAPEL T-XL)</x:t>
        </x:is>
      </x:c>
      <x:c r="C922" s="184" t="n">
        <x:v>0</x:v>
      </x:c>
      <x:c r="D922" s="184" t="n">
        <x:v>0</x:v>
      </x:c>
      <x:c r="E922" s="184" t="n">
        <x:v>0</x:v>
      </x:c>
      <x:c r="F922" s="184" t="n">
        <x:v>0</x:v>
      </x:c>
      <x:c r="G922" s="184" t="n">
        <x:v>0</x:v>
      </x:c>
      <x:c r="H922" s="193" t="n">
        <x:v>0</x:v>
      </x:c>
      <x:c r="I922" s="185" t="n">
        <x:v>0</x:v>
      </x:c>
      <x:c r="J922" s="185" t="n">
        <x:v>0</x:v>
      </x:c>
      <x:c r="K922" s="289" t="n">
        <x:v>0</x:v>
      </x:c>
    </x:row>
    <x:row r="923" s="117" customFormat="1" hidden="1">
      <x:c r="A923" s="184" t="inlineStr">
        <x:is>
          <x:t xml:space="preserve">EPPGENPTA407</x:t>
        </x:is>
      </x:c>
      <x:c r="B923" s="184" t="inlineStr">
        <x:is>
          <x:t xml:space="preserve">BUZO DE PAPEL TIPO TIVEK (AZENPRO: BUZO DE PAPEL T-XXL)</x:t>
        </x:is>
      </x:c>
      <x:c r="C923" s="184" t="n">
        <x:v>0</x:v>
      </x:c>
      <x:c r="D923" s="184" t="n">
        <x:v>0</x:v>
      </x:c>
      <x:c r="E923" s="184" t="n">
        <x:v>0</x:v>
      </x:c>
      <x:c r="F923" s="184" t="n">
        <x:v>0</x:v>
      </x:c>
      <x:c r="G923" s="184" t="n">
        <x:v>0</x:v>
      </x:c>
      <x:c r="H923" s="193" t="n">
        <x:v>0</x:v>
      </x:c>
      <x:c r="I923" s="185" t="n">
        <x:v>0</x:v>
      </x:c>
      <x:c r="J923" s="185" t="n">
        <x:v>0</x:v>
      </x:c>
      <x:c r="K923" s="289" t="n">
        <x:v>0</x:v>
      </x:c>
    </x:row>
    <x:row r="924" s="117" customFormat="1" hidden="1">
      <x:c r="A924" s="184" t="inlineStr">
        <x:is>
          <x:t xml:space="preserve">EPPGENPTA408</x:t>
        </x:is>
      </x:c>
      <x:c r="B924" s="184" t="inlineStr">
        <x:is>
          <x:t xml:space="preserve">BUZO DE PAPEL TIPO TIVEK (KS: BUZO TIPO TYVEK BUNKER T-M)</x:t>
        </x:is>
      </x:c>
      <x:c r="C924" s="184" t="n">
        <x:v>0</x:v>
      </x:c>
      <x:c r="D924" s="184" t="n">
        <x:v>0</x:v>
      </x:c>
      <x:c r="E924" s="184" t="n">
        <x:v>0</x:v>
      </x:c>
      <x:c r="F924" s="184" t="n">
        <x:v>0</x:v>
      </x:c>
      <x:c r="G924" s="184" t="n">
        <x:v>0</x:v>
      </x:c>
      <x:c r="H924" s="193" t="n">
        <x:v>0</x:v>
      </x:c>
      <x:c r="I924" s="185" t="n">
        <x:v>0</x:v>
      </x:c>
      <x:c r="J924" s="185" t="n">
        <x:v>0</x:v>
      </x:c>
      <x:c r="K924" s="289" t="n">
        <x:v>0</x:v>
      </x:c>
    </x:row>
    <x:row r="925" s="117" customFormat="1" hidden="1">
      <x:c r="A925" s="184" t="inlineStr">
        <x:is>
          <x:t xml:space="preserve">EPPGENPTA409</x:t>
        </x:is>
      </x:c>
      <x:c r="B925" s="184" t="inlineStr">
        <x:is>
          <x:t xml:space="preserve">BUZO DE PAPEL TIPO TIVEK (KS: BUZO TIPO TYVEK BUNKER T-L)</x:t>
        </x:is>
      </x:c>
      <x:c r="C925" s="184" t="n">
        <x:v>0</x:v>
      </x:c>
      <x:c r="D925" s="184" t="n">
        <x:v>0</x:v>
      </x:c>
      <x:c r="E925" s="184" t="n">
        <x:v>0</x:v>
      </x:c>
      <x:c r="F925" s="184" t="n">
        <x:v>0</x:v>
      </x:c>
      <x:c r="G925" s="184" t="n">
        <x:v>0</x:v>
      </x:c>
      <x:c r="H925" s="193" t="n">
        <x:v>0</x:v>
      </x:c>
      <x:c r="I925" s="185" t="n">
        <x:v>0</x:v>
      </x:c>
      <x:c r="J925" s="185" t="n">
        <x:v>0</x:v>
      </x:c>
      <x:c r="K925" s="289" t="n">
        <x:v>0</x:v>
      </x:c>
    </x:row>
    <x:row r="926" s="117" customFormat="1" hidden="1">
      <x:c r="A926" s="184" t="inlineStr">
        <x:is>
          <x:t xml:space="preserve">EPPGENPTA410</x:t>
        </x:is>
      </x:c>
      <x:c r="B926" s="184" t="inlineStr">
        <x:is>
          <x:t xml:space="preserve">BUZO DE PAPEL TIPO TIVEK (KS: BUZO TIPO TYVEK BUNKER T-XL)</x:t>
        </x:is>
      </x:c>
      <x:c r="C926" s="184" t="n">
        <x:v>0</x:v>
      </x:c>
      <x:c r="D926" s="184" t="n">
        <x:v>0</x:v>
      </x:c>
      <x:c r="E926" s="184" t="n">
        <x:v>0</x:v>
      </x:c>
      <x:c r="F926" s="184" t="n">
        <x:v>0</x:v>
      </x:c>
      <x:c r="G926" s="184" t="n">
        <x:v>0</x:v>
      </x:c>
      <x:c r="H926" s="193" t="n">
        <x:v>0</x:v>
      </x:c>
      <x:c r="I926" s="185" t="n">
        <x:v>0</x:v>
      </x:c>
      <x:c r="J926" s="185" t="n">
        <x:v>0</x:v>
      </x:c>
      <x:c r="K926" s="289" t="n">
        <x:v>0</x:v>
      </x:c>
    </x:row>
    <x:row r="927" s="117" customFormat="1" hidden="1">
      <x:c r="A927" s="184" t="inlineStr">
        <x:is>
          <x:t xml:space="preserve">EPPGENPTA411</x:t>
        </x:is>
      </x:c>
      <x:c r="B927" s="184" t="inlineStr">
        <x:is>
          <x:t xml:space="preserve">BUZO DE PAPEL TIPO TIVEK (KS: BUZO TIPO TYVEK BUNKER T-XXL)</x:t>
        </x:is>
      </x:c>
      <x:c r="C927" s="184" t="n">
        <x:v>0</x:v>
      </x:c>
      <x:c r="D927" s="184" t="n">
        <x:v>0</x:v>
      </x:c>
      <x:c r="E927" s="184" t="n">
        <x:v>0</x:v>
      </x:c>
      <x:c r="F927" s="184" t="n">
        <x:v>0</x:v>
      </x:c>
      <x:c r="G927" s="184" t="n">
        <x:v>0</x:v>
      </x:c>
      <x:c r="H927" s="193" t="n">
        <x:v>0</x:v>
      </x:c>
      <x:c r="I927" s="185" t="n">
        <x:v>0</x:v>
      </x:c>
      <x:c r="J927" s="185" t="n">
        <x:v>0</x:v>
      </x:c>
      <x:c r="K927" s="289" t="n">
        <x:v>0</x:v>
      </x:c>
    </x:row>
    <x:row r="928" s="117" customFormat="1" hidden="1">
      <x:c r="A928" s="184" t="inlineStr">
        <x:is>
          <x:t xml:space="preserve">EPPGENPTA412</x:t>
        </x:is>
      </x:c>
      <x:c r="B928" s="184" t="inlineStr">
        <x:is>
          <x:t xml:space="preserve">BUZO DE PAPEL TIPO TIVEK (TRECK: BUZO OVEROL ACTIVEX CX-1 BLANCO T-M)</x:t>
        </x:is>
      </x:c>
      <x:c r="C928" s="184" t="n">
        <x:v>0</x:v>
      </x:c>
      <x:c r="D928" s="184" t="n">
        <x:v>0</x:v>
      </x:c>
      <x:c r="E928" s="184" t="n">
        <x:v>0</x:v>
      </x:c>
      <x:c r="F928" s="184" t="n">
        <x:v>0</x:v>
      </x:c>
      <x:c r="G928" s="184" t="n">
        <x:v>0</x:v>
      </x:c>
      <x:c r="H928" s="193" t="n">
        <x:v>0</x:v>
      </x:c>
      <x:c r="I928" s="185" t="n">
        <x:v>0</x:v>
      </x:c>
      <x:c r="J928" s="185" t="n">
        <x:v>0</x:v>
      </x:c>
      <x:c r="K928" s="289" t="n">
        <x:v>0</x:v>
      </x:c>
    </x:row>
    <x:row r="929" s="117" customFormat="1" hidden="1">
      <x:c r="A929" s="184" t="inlineStr">
        <x:is>
          <x:t xml:space="preserve">EPPGENPTA413</x:t>
        </x:is>
      </x:c>
      <x:c r="B929" s="184" t="inlineStr">
        <x:is>
          <x:t xml:space="preserve">BUZO DE PAPEL TIPO TIVEK (TRECK: BUZO OVEROL ACTIVEX CX-1 BLANCO T-L)</x:t>
        </x:is>
      </x:c>
      <x:c r="C929" s="184" t="n">
        <x:v>0</x:v>
      </x:c>
      <x:c r="D929" s="184" t="n">
        <x:v>0</x:v>
      </x:c>
      <x:c r="E929" s="184" t="n">
        <x:v>0</x:v>
      </x:c>
      <x:c r="F929" s="184" t="n">
        <x:v>0</x:v>
      </x:c>
      <x:c r="G929" s="184" t="n">
        <x:v>0</x:v>
      </x:c>
      <x:c r="H929" s="193" t="n">
        <x:v>0</x:v>
      </x:c>
      <x:c r="I929" s="185" t="n">
        <x:v>0</x:v>
      </x:c>
      <x:c r="J929" s="185" t="n">
        <x:v>0</x:v>
      </x:c>
      <x:c r="K929" s="289" t="n">
        <x:v>0</x:v>
      </x:c>
    </x:row>
    <x:row r="930" s="117" customFormat="1" hidden="1">
      <x:c r="A930" s="184" t="inlineStr">
        <x:is>
          <x:t xml:space="preserve">EPPGENPTA414</x:t>
        </x:is>
      </x:c>
      <x:c r="B930" s="184" t="inlineStr">
        <x:is>
          <x:t xml:space="preserve">BUZO DE PAPEL TIPO TIVEK (TRECK: BUZO OVEROL ACTIVEX CX-1 BLANCO T-XL)</x:t>
        </x:is>
      </x:c>
      <x:c r="C930" s="184" t="n">
        <x:v>0</x:v>
      </x:c>
      <x:c r="D930" s="184" t="n">
        <x:v>0</x:v>
      </x:c>
      <x:c r="E930" s="184" t="n">
        <x:v>0</x:v>
      </x:c>
      <x:c r="F930" s="184" t="n">
        <x:v>0</x:v>
      </x:c>
      <x:c r="G930" s="184" t="n">
        <x:v>0</x:v>
      </x:c>
      <x:c r="H930" s="193" t="n">
        <x:v>0</x:v>
      </x:c>
      <x:c r="I930" s="185" t="n">
        <x:v>0</x:v>
      </x:c>
      <x:c r="J930" s="185" t="n">
        <x:v>0</x:v>
      </x:c>
      <x:c r="K930" s="289" t="n">
        <x:v>0</x:v>
      </x:c>
    </x:row>
    <x:row r="931" s="117" customFormat="1" hidden="1">
      <x:c r="A931" s="184" t="inlineStr">
        <x:is>
          <x:t xml:space="preserve">EPPGENPTA415</x:t>
        </x:is>
      </x:c>
      <x:c r="B931" s="184" t="inlineStr">
        <x:is>
          <x:t xml:space="preserve">BUZO DE PAPEL TIPO TIVEK (TRECK: BUZO OVEROL ACTIVEX CX-1 BLANCO T-XXL)</x:t>
        </x:is>
      </x:c>
      <x:c r="C931" s="184" t="n">
        <x:v>0</x:v>
      </x:c>
      <x:c r="D931" s="184" t="n">
        <x:v>0</x:v>
      </x:c>
      <x:c r="E931" s="184" t="n">
        <x:v>0</x:v>
      </x:c>
      <x:c r="F931" s="184" t="n">
        <x:v>0</x:v>
      </x:c>
      <x:c r="G931" s="184" t="n">
        <x:v>0</x:v>
      </x:c>
      <x:c r="H931" s="193" t="n">
        <x:v>0</x:v>
      </x:c>
      <x:c r="I931" s="185" t="n">
        <x:v>0</x:v>
      </x:c>
      <x:c r="J931" s="185" t="n">
        <x:v>0</x:v>
      </x:c>
      <x:c r="K931" s="289" t="n">
        <x:v>0</x:v>
      </x:c>
    </x:row>
    <x:row r="932" s="117" customFormat="1" hidden="1">
      <x:c r="A932" s="184" t="inlineStr">
        <x:is>
          <x:t xml:space="preserve">EPPGENPTA416</x:t>
        </x:is>
      </x:c>
      <x:c r="B932" s="184" t="inlineStr">
        <x:is>
          <x:t xml:space="preserve">BUZO DE PAPEL TIPO TIVEK (APRO: BUZO COVERALL-G BLANCO T-M)</x:t>
        </x:is>
      </x:c>
      <x:c r="C932" s="184" t="n">
        <x:v>0</x:v>
      </x:c>
      <x:c r="D932" s="184" t="n">
        <x:v>0</x:v>
      </x:c>
      <x:c r="E932" s="184" t="n">
        <x:v>0</x:v>
      </x:c>
      <x:c r="F932" s="184" t="n">
        <x:v>0</x:v>
      </x:c>
      <x:c r="G932" s="184" t="n">
        <x:v>0</x:v>
      </x:c>
      <x:c r="H932" s="193" t="n">
        <x:v>0</x:v>
      </x:c>
      <x:c r="I932" s="185" t="n">
        <x:v>0</x:v>
      </x:c>
      <x:c r="J932" s="185" t="n">
        <x:v>0</x:v>
      </x:c>
      <x:c r="K932" s="289" t="n">
        <x:v>0</x:v>
      </x:c>
    </x:row>
    <x:row r="933" s="117" customFormat="1" hidden="1">
      <x:c r="A933" s="184" t="inlineStr">
        <x:is>
          <x:t xml:space="preserve">EPPGENPTA417</x:t>
        </x:is>
      </x:c>
      <x:c r="B933" s="184" t="inlineStr">
        <x:is>
          <x:t xml:space="preserve">BUZO DE PAPEL TIPO TIVEK (APRO: BUZO COVERALL-G BLANCO T-L)</x:t>
        </x:is>
      </x:c>
      <x:c r="C933" s="184" t="n">
        <x:v>0</x:v>
      </x:c>
      <x:c r="D933" s="184" t="n">
        <x:v>0</x:v>
      </x:c>
      <x:c r="E933" s="184" t="n">
        <x:v>0</x:v>
      </x:c>
      <x:c r="F933" s="184" t="n">
        <x:v>0</x:v>
      </x:c>
      <x:c r="G933" s="184" t="n">
        <x:v>0</x:v>
      </x:c>
      <x:c r="H933" s="193" t="n">
        <x:v>0</x:v>
      </x:c>
      <x:c r="I933" s="185" t="n">
        <x:v>0</x:v>
      </x:c>
      <x:c r="J933" s="185" t="n">
        <x:v>0</x:v>
      </x:c>
      <x:c r="K933" s="289" t="n">
        <x:v>0</x:v>
      </x:c>
    </x:row>
    <x:row r="934" s="117" customFormat="1" hidden="1">
      <x:c r="A934" s="184" t="inlineStr">
        <x:is>
          <x:t xml:space="preserve">EPPGENPTA418</x:t>
        </x:is>
      </x:c>
      <x:c r="B934" s="184" t="inlineStr">
        <x:is>
          <x:t xml:space="preserve">BUZO DE PAPEL TIPO TIVEK (APRO: BUZO COVERALL-G BLANCO T-XL)</x:t>
        </x:is>
      </x:c>
      <x:c r="C934" s="184" t="n">
        <x:v>0</x:v>
      </x:c>
      <x:c r="D934" s="184" t="n">
        <x:v>0</x:v>
      </x:c>
      <x:c r="E934" s="184" t="n">
        <x:v>0</x:v>
      </x:c>
      <x:c r="F934" s="184" t="n">
        <x:v>0</x:v>
      </x:c>
      <x:c r="G934" s="184" t="n">
        <x:v>0</x:v>
      </x:c>
      <x:c r="H934" s="193" t="n">
        <x:v>0</x:v>
      </x:c>
      <x:c r="I934" s="185" t="n">
        <x:v>0</x:v>
      </x:c>
      <x:c r="J934" s="185" t="n">
        <x:v>0</x:v>
      </x:c>
      <x:c r="K934" s="289" t="n">
        <x:v>0</x:v>
      </x:c>
    </x:row>
    <x:row r="935" s="117" customFormat="1" hidden="1">
      <x:c r="A935" s="184" t="inlineStr">
        <x:is>
          <x:t xml:space="preserve">EPPGENPTA419</x:t>
        </x:is>
      </x:c>
      <x:c r="B935" s="184" t="inlineStr">
        <x:is>
          <x:t xml:space="preserve">BUZO DE PAPEL TIPO TIVEK (APRO: BUZO COVERALL-G BLANCO T-XXL)</x:t>
        </x:is>
      </x:c>
      <x:c r="C935" s="184" t="n">
        <x:v>0</x:v>
      </x:c>
      <x:c r="D935" s="184" t="n">
        <x:v>0</x:v>
      </x:c>
      <x:c r="E935" s="184" t="n">
        <x:v>0</x:v>
      </x:c>
      <x:c r="F935" s="184" t="n">
        <x:v>0</x:v>
      </x:c>
      <x:c r="G935" s="184" t="n">
        <x:v>0</x:v>
      </x:c>
      <x:c r="H935" s="193" t="n">
        <x:v>0</x:v>
      </x:c>
      <x:c r="I935" s="185" t="n">
        <x:v>0</x:v>
      </x:c>
      <x:c r="J935" s="185" t="n">
        <x:v>0</x:v>
      </x:c>
      <x:c r="K935" s="289" t="n">
        <x:v>0</x:v>
      </x:c>
    </x:row>
    <x:row r="936" s="117" customFormat="1" hidden="1">
      <x:c r="A936" s="184" t="inlineStr">
        <x:is>
          <x:t xml:space="preserve">EPPGENPTA420</x:t>
        </x:is>
      </x:c>
      <x:c r="B936" s="184" t="inlineStr">
        <x:is>
          <x:t xml:space="preserve">RESPIRADOR AIR COMPLETO FFS990 S</x:t>
        </x:is>
      </x:c>
      <x:c r="C936" s="184" t="n">
        <x:v>0</x:v>
      </x:c>
      <x:c r="D936" s="184" t="n">
        <x:v>0</x:v>
      </x:c>
      <x:c r="E936" s="184" t="n">
        <x:v>0</x:v>
      </x:c>
      <x:c r="F936" s="184" t="n">
        <x:v>0</x:v>
      </x:c>
      <x:c r="G936" s="184" t="n">
        <x:v>0</x:v>
      </x:c>
      <x:c r="H936" s="193" t="n">
        <x:v>0</x:v>
      </x:c>
      <x:c r="I936" s="185" t="n">
        <x:v>0</x:v>
      </x:c>
      <x:c r="J936" s="185" t="n">
        <x:v>0</x:v>
      </x:c>
      <x:c r="K936" s="289" t="n">
        <x:v>0</x:v>
      </x:c>
    </x:row>
    <x:row r="937" s="117" customFormat="1" hidden="1">
      <x:c r="A937" s="184" t="inlineStr">
        <x:is>
          <x:t xml:space="preserve">EPPGENPTA421</x:t>
        </x:is>
      </x:c>
      <x:c r="B937" s="184" t="inlineStr">
        <x:is>
          <x:t xml:space="preserve">GUANTE MASTER-PLUS L-9160 T/8</x:t>
        </x:is>
      </x:c>
      <x:c r="C937" s="184" t="n">
        <x:v>8</x:v>
      </x:c>
      <x:c r="D937" s="184" t="n">
        <x:v>0</x:v>
      </x:c>
      <x:c r="E937" s="184" t="n">
        <x:v>0</x:v>
      </x:c>
      <x:c r="F937" s="184" t="n">
        <x:v>8</x:v>
      </x:c>
      <x:c r="G937" s="184" t="n">
        <x:v>39573</x:v>
      </x:c>
      <x:c r="H937" s="193" t="n">
        <x:v>0</x:v>
      </x:c>
      <x:c r="I937" s="185" t="n">
        <x:v>0</x:v>
      </x:c>
      <x:c r="J937" s="185" t="n">
        <x:v>39573</x:v>
      </x:c>
      <x:c r="K937" s="289" t="n">
        <x:v>4946.57142857</x:v>
      </x:c>
    </x:row>
    <x:row r="938" s="117" customFormat="1" hidden="1">
      <x:c r="A938" s="184" t="inlineStr">
        <x:is>
          <x:t xml:space="preserve">EPPGENPTA422</x:t>
        </x:is>
      </x:c>
      <x:c r="B938" s="184" t="inlineStr">
        <x:is>
          <x:t xml:space="preserve">MASCARA 3M SERIE 6100 SMALL</x:t>
        </x:is>
      </x:c>
      <x:c r="C938" s="184" t="n">
        <x:v>14</x:v>
      </x:c>
      <x:c r="D938" s="184" t="n">
        <x:v>0</x:v>
      </x:c>
      <x:c r="E938" s="184" t="n">
        <x:v>0</x:v>
      </x:c>
      <x:c r="F938" s="184" t="n">
        <x:v>14</x:v>
      </x:c>
      <x:c r="G938" s="184" t="n">
        <x:v>155400</x:v>
      </x:c>
      <x:c r="H938" s="193" t="n">
        <x:v>0</x:v>
      </x:c>
      <x:c r="I938" s="185" t="n">
        <x:v>0</x:v>
      </x:c>
      <x:c r="J938" s="185" t="n">
        <x:v>155400</x:v>
      </x:c>
      <x:c r="K938" s="289" t="n">
        <x:v>11100</x:v>
      </x:c>
    </x:row>
    <x:row r="939" s="117" customFormat="1" hidden="1">
      <x:c r="A939" s="184" t="inlineStr">
        <x:is>
          <x:t xml:space="preserve">EPPGENPTA423</x:t>
        </x:is>
      </x:c>
      <x:c r="B939" s="184" t="inlineStr">
        <x:is>
          <x:t xml:space="preserve">AMORTIGUADOR DE CAIDA CORTO 41402007</x:t>
        </x:is>
      </x:c>
      <x:c r="C939" s="184" t="n">
        <x:v>19</x:v>
      </x:c>
      <x:c r="D939" s="184" t="n">
        <x:v>0</x:v>
      </x:c>
      <x:c r="E939" s="184" t="n">
        <x:v>3</x:v>
      </x:c>
      <x:c r="F939" s="184" t="n">
        <x:v>16</x:v>
      </x:c>
      <x:c r="G939" s="184" t="n">
        <x:v>146300</x:v>
      </x:c>
      <x:c r="H939" s="193" t="n">
        <x:v>0</x:v>
      </x:c>
      <x:c r="I939" s="185" t="n">
        <x:v>23100</x:v>
      </x:c>
      <x:c r="J939" s="185" t="n">
        <x:v>123200</x:v>
      </x:c>
      <x:c r="K939" s="289" t="n">
        <x:v>7700</x:v>
      </x:c>
    </x:row>
    <x:row r="940" s="117" customFormat="1" hidden="1">
      <x:c r="A940" s="184" t="inlineStr">
        <x:is>
          <x:t xml:space="preserve">EPPGENPTA424</x:t>
        </x:is>
      </x:c>
      <x:c r="B940" s="184" t="inlineStr">
        <x:is>
          <x:t xml:space="preserve">ARNES 6 ARGOLLAS TALLA XL</x:t>
        </x:is>
      </x:c>
      <x:c r="C940" s="184" t="n">
        <x:v>10</x:v>
      </x:c>
      <x:c r="D940" s="184" t="n">
        <x:v>0</x:v>
      </x:c>
      <x:c r="E940" s="184" t="n">
        <x:v>0</x:v>
      </x:c>
      <x:c r="F940" s="184" t="n">
        <x:v>10</x:v>
      </x:c>
      <x:c r="G940" s="184" t="n">
        <x:v>262180</x:v>
      </x:c>
      <x:c r="H940" s="193" t="n">
        <x:v>0</x:v>
      </x:c>
      <x:c r="I940" s="185" t="n">
        <x:v>0</x:v>
      </x:c>
      <x:c r="J940" s="185" t="n">
        <x:v>262180</x:v>
      </x:c>
      <x:c r="K940" s="289" t="n">
        <x:v>26218</x:v>
      </x:c>
    </x:row>
    <x:row r="941" s="117" customFormat="1" hidden="1">
      <x:c r="A941" s="184" t="inlineStr">
        <x:is>
          <x:t xml:space="preserve">EPPGENPTA425</x:t>
        </x:is>
      </x:c>
      <x:c r="B941" s="184" t="inlineStr">
        <x:is>
          <x:t xml:space="preserve">TEST LAPIZ 7D+ ALCOHOL (SALIVA)</x:t>
        </x:is>
      </x:c>
      <x:c r="C941" s="184" t="n">
        <x:v>0</x:v>
      </x:c>
      <x:c r="D941" s="184" t="n">
        <x:v>0</x:v>
      </x:c>
      <x:c r="E941" s="184" t="n">
        <x:v>0</x:v>
      </x:c>
      <x:c r="F941" s="184" t="n">
        <x:v>0</x:v>
      </x:c>
      <x:c r="G941" s="184" t="n">
        <x:v>0</x:v>
      </x:c>
      <x:c r="H941" s="193" t="n">
        <x:v>0</x:v>
      </x:c>
      <x:c r="I941" s="185" t="n">
        <x:v>0</x:v>
      </x:c>
      <x:c r="J941" s="185" t="n">
        <x:v>0</x:v>
      </x:c>
      <x:c r="K941" s="289" t="n">
        <x:v>4690</x:v>
      </x:c>
    </x:row>
    <x:row r="942" s="117" customFormat="1" hidden="1">
      <x:c r="A942" s="184" t="inlineStr">
        <x:is>
          <x:t xml:space="preserve">EPPGENPTA426</x:t>
        </x:is>
      </x:c>
      <x:c r="B942" s="184" t="inlineStr">
        <x:is>
          <x:t xml:space="preserve">BOTIN DF-909 MONTEGO ANTIACIDO Nº 37</x:t>
        </x:is>
      </x:c>
      <x:c r="C942" s="184" t="n">
        <x:v>1</x:v>
      </x:c>
      <x:c r="D942" s="184" t="n">
        <x:v>0</x:v>
      </x:c>
      <x:c r="E942" s="184" t="n">
        <x:v>0</x:v>
      </x:c>
      <x:c r="F942" s="184" t="n">
        <x:v>1</x:v>
      </x:c>
      <x:c r="G942" s="184" t="n">
        <x:v>37489</x:v>
      </x:c>
      <x:c r="H942" s="193" t="n">
        <x:v>0</x:v>
      </x:c>
      <x:c r="I942" s="185" t="n">
        <x:v>0</x:v>
      </x:c>
      <x:c r="J942" s="185" t="n">
        <x:v>37489</x:v>
      </x:c>
      <x:c r="K942" s="289" t="n">
        <x:v>37489</x:v>
      </x:c>
    </x:row>
    <x:row r="943" s="117" customFormat="1" hidden="1">
      <x:c r="A943" s="184" t="inlineStr">
        <x:is>
          <x:t xml:space="preserve">EPPGENPTA427</x:t>
        </x:is>
      </x:c>
      <x:c r="B943" s="184" t="inlineStr">
        <x:is>
          <x:t xml:space="preserve">BOTIN DF-909 MONTEGO ANTIACIDO Nº 38</x:t>
        </x:is>
      </x:c>
      <x:c r="C943" s="184" t="n">
        <x:v>0</x:v>
      </x:c>
      <x:c r="D943" s="184" t="n">
        <x:v>0</x:v>
      </x:c>
      <x:c r="E943" s="184" t="n">
        <x:v>0</x:v>
      </x:c>
      <x:c r="F943" s="184" t="n">
        <x:v>0</x:v>
      </x:c>
      <x:c r="G943" s="184" t="n">
        <x:v>0</x:v>
      </x:c>
      <x:c r="H943" s="193" t="n">
        <x:v>0</x:v>
      </x:c>
      <x:c r="I943" s="185" t="n">
        <x:v>0</x:v>
      </x:c>
      <x:c r="J943" s="185" t="n">
        <x:v>0</x:v>
      </x:c>
      <x:c r="K943" s="289" t="n">
        <x:v>0</x:v>
      </x:c>
    </x:row>
    <x:row r="944" s="117" customFormat="1" hidden="1">
      <x:c r="A944" s="184" t="inlineStr">
        <x:is>
          <x:t xml:space="preserve">EPPGENPTA428</x:t>
        </x:is>
      </x:c>
      <x:c r="B944" s="184" t="inlineStr">
        <x:is>
          <x:t xml:space="preserve">BOTIN DF-909 MONTEGO ANTIACIDO Nº 39</x:t>
        </x:is>
      </x:c>
      <x:c r="C944" s="184" t="n">
        <x:v>0</x:v>
      </x:c>
      <x:c r="D944" s="184" t="n">
        <x:v>0</x:v>
      </x:c>
      <x:c r="E944" s="184" t="n">
        <x:v>0</x:v>
      </x:c>
      <x:c r="F944" s="184" t="n">
        <x:v>0</x:v>
      </x:c>
      <x:c r="G944" s="184" t="n">
        <x:v>0</x:v>
      </x:c>
      <x:c r="H944" s="193" t="n">
        <x:v>0</x:v>
      </x:c>
      <x:c r="I944" s="185" t="n">
        <x:v>0</x:v>
      </x:c>
      <x:c r="J944" s="185" t="n">
        <x:v>0</x:v>
      </x:c>
      <x:c r="K944" s="289" t="n">
        <x:v>0</x:v>
      </x:c>
    </x:row>
    <x:row r="945" s="117" customFormat="1" hidden="1">
      <x:c r="A945" s="184" t="inlineStr">
        <x:is>
          <x:t xml:space="preserve">EPPGENPTA429</x:t>
        </x:is>
      </x:c>
      <x:c r="B945" s="184" t="inlineStr">
        <x:is>
          <x:t xml:space="preserve">BOTIN DF-909 MONTEGO ANTIACIDO Nº 40</x:t>
        </x:is>
      </x:c>
      <x:c r="C945" s="184" t="n">
        <x:v>1</x:v>
      </x:c>
      <x:c r="D945" s="184" t="n">
        <x:v>0</x:v>
      </x:c>
      <x:c r="E945" s="184" t="n">
        <x:v>0</x:v>
      </x:c>
      <x:c r="F945" s="184" t="n">
        <x:v>1</x:v>
      </x:c>
      <x:c r="G945" s="184" t="n">
        <x:v>36869</x:v>
      </x:c>
      <x:c r="H945" s="193" t="n">
        <x:v>0</x:v>
      </x:c>
      <x:c r="I945" s="185" t="n">
        <x:v>0</x:v>
      </x:c>
      <x:c r="J945" s="185" t="n">
        <x:v>36869</x:v>
      </x:c>
      <x:c r="K945" s="289" t="n">
        <x:v>36869.5</x:v>
      </x:c>
    </x:row>
    <x:row r="946" s="117" customFormat="1" hidden="1">
      <x:c r="A946" s="184" t="inlineStr">
        <x:is>
          <x:t xml:space="preserve">EPPGENPTA430</x:t>
        </x:is>
      </x:c>
      <x:c r="B946" s="184" t="inlineStr">
        <x:is>
          <x:t xml:space="preserve">BOTIN DF-909 MONTEGO ANTIACIDO Nº 41</x:t>
        </x:is>
      </x:c>
      <x:c r="C946" s="184" t="n">
        <x:v>3</x:v>
      </x:c>
      <x:c r="D946" s="184" t="n">
        <x:v>0</x:v>
      </x:c>
      <x:c r="E946" s="184" t="n">
        <x:v>0</x:v>
      </x:c>
      <x:c r="F946" s="184" t="n">
        <x:v>3</x:v>
      </x:c>
      <x:c r="G946" s="184" t="n">
        <x:v>110608</x:v>
      </x:c>
      <x:c r="H946" s="193" t="n">
        <x:v>0</x:v>
      </x:c>
      <x:c r="I946" s="185" t="n">
        <x:v>0</x:v>
      </x:c>
      <x:c r="J946" s="185" t="n">
        <x:v>110608</x:v>
      </x:c>
      <x:c r="K946" s="289" t="n">
        <x:v>36869.5</x:v>
      </x:c>
    </x:row>
    <x:row r="947" s="117" customFormat="1" hidden="1">
      <x:c r="A947" s="184" t="inlineStr">
        <x:is>
          <x:t xml:space="preserve">EPPGENPTA431</x:t>
        </x:is>
      </x:c>
      <x:c r="B947" s="184" t="inlineStr">
        <x:is>
          <x:t xml:space="preserve">BOTIN DF-909 MONTEGO ANTIACIDO Nº 42</x:t>
        </x:is>
      </x:c>
      <x:c r="C947" s="184" t="n">
        <x:v>1</x:v>
      </x:c>
      <x:c r="D947" s="184" t="n">
        <x:v>0</x:v>
      </x:c>
      <x:c r="E947" s="184" t="n">
        <x:v>0</x:v>
      </x:c>
      <x:c r="F947" s="184" t="n">
        <x:v>1</x:v>
      </x:c>
      <x:c r="G947" s="184" t="n">
        <x:v>36250</x:v>
      </x:c>
      <x:c r="H947" s="193" t="n">
        <x:v>0</x:v>
      </x:c>
      <x:c r="I947" s="185" t="n">
        <x:v>0</x:v>
      </x:c>
      <x:c r="J947" s="185" t="n">
        <x:v>36250</x:v>
      </x:c>
      <x:c r="K947" s="289" t="n">
        <x:v>36250</x:v>
      </x:c>
    </x:row>
    <x:row r="948" s="117" customFormat="1" hidden="1">
      <x:c r="A948" s="184" t="inlineStr">
        <x:is>
          <x:t xml:space="preserve">EPPGENPTA432</x:t>
        </x:is>
      </x:c>
      <x:c r="B948" s="184" t="inlineStr">
        <x:is>
          <x:t xml:space="preserve">BOTIN DF-909 MONTEGO ANTIACIDO Nº 43</x:t>
        </x:is>
      </x:c>
      <x:c r="C948" s="184" t="n">
        <x:v>1</x:v>
      </x:c>
      <x:c r="D948" s="184" t="n">
        <x:v>0</x:v>
      </x:c>
      <x:c r="E948" s="184" t="n">
        <x:v>0</x:v>
      </x:c>
      <x:c r="F948" s="184" t="n">
        <x:v>1</x:v>
      </x:c>
      <x:c r="G948" s="184" t="n">
        <x:v>37489</x:v>
      </x:c>
      <x:c r="H948" s="193" t="n">
        <x:v>0</x:v>
      </x:c>
      <x:c r="I948" s="185" t="n">
        <x:v>0</x:v>
      </x:c>
      <x:c r="J948" s="185" t="n">
        <x:v>37489</x:v>
      </x:c>
      <x:c r="K948" s="289" t="n">
        <x:v>37489</x:v>
      </x:c>
    </x:row>
    <x:row r="949" s="117" customFormat="1" hidden="1">
      <x:c r="A949" s="184" t="inlineStr">
        <x:is>
          <x:t xml:space="preserve">EPPGENPTA433</x:t>
        </x:is>
      </x:c>
      <x:c r="B949" s="184" t="inlineStr">
        <x:is>
          <x:t xml:space="preserve">BOTIN DF-909 MONTEGO ANTIACIDO Nº 44</x:t>
        </x:is>
      </x:c>
      <x:c r="C949" s="184" t="n">
        <x:v>0</x:v>
      </x:c>
      <x:c r="D949" s="184" t="n">
        <x:v>0</x:v>
      </x:c>
      <x:c r="E949" s="184" t="n">
        <x:v>0</x:v>
      </x:c>
      <x:c r="F949" s="184" t="n">
        <x:v>0</x:v>
      </x:c>
      <x:c r="G949" s="184" t="n">
        <x:v>0</x:v>
      </x:c>
      <x:c r="H949" s="193" t="n">
        <x:v>0</x:v>
      </x:c>
      <x:c r="I949" s="185" t="n">
        <x:v>0</x:v>
      </x:c>
      <x:c r="J949" s="185" t="n">
        <x:v>0</x:v>
      </x:c>
      <x:c r="K949" s="289" t="n">
        <x:v>0</x:v>
      </x:c>
    </x:row>
    <x:row r="950" s="117" customFormat="1" hidden="1">
      <x:c r="A950" s="184" t="inlineStr">
        <x:is>
          <x:t xml:space="preserve">EPPGENPTA434</x:t>
        </x:is>
      </x:c>
      <x:c r="B950" s="184" t="inlineStr">
        <x:is>
          <x:t xml:space="preserve">BOTIN DF-909 MONTEGO ANTIACIDO Nº 45</x:t>
        </x:is>
      </x:c>
      <x:c r="C950" s="184" t="n">
        <x:v>0</x:v>
      </x:c>
      <x:c r="D950" s="184" t="n">
        <x:v>0</x:v>
      </x:c>
      <x:c r="E950" s="184" t="n">
        <x:v>0</x:v>
      </x:c>
      <x:c r="F950" s="184" t="n">
        <x:v>0</x:v>
      </x:c>
      <x:c r="G950" s="184" t="n">
        <x:v>0</x:v>
      </x:c>
      <x:c r="H950" s="193" t="n">
        <x:v>0</x:v>
      </x:c>
      <x:c r="I950" s="185" t="n">
        <x:v>0</x:v>
      </x:c>
      <x:c r="J950" s="185" t="n">
        <x:v>0</x:v>
      </x:c>
      <x:c r="K950" s="289" t="n">
        <x:v>0</x:v>
      </x:c>
    </x:row>
    <x:row r="951" s="117" customFormat="1" hidden="1">
      <x:c r="A951" s="184" t="inlineStr">
        <x:is>
          <x:t xml:space="preserve">EPPGENPTA435</x:t>
        </x:is>
      </x:c>
      <x:c r="B951" s="184" t="inlineStr">
        <x:is>
          <x:t xml:space="preserve">LENTE T/SPY FLEX PLUS KS 1400 CLARO</x:t>
        </x:is>
      </x:c>
      <x:c r="C951" s="184" t="n">
        <x:v>60</x:v>
      </x:c>
      <x:c r="D951" s="184" t="n">
        <x:v>9</x:v>
      </x:c>
      <x:c r="E951" s="184" t="n">
        <x:v>2</x:v>
      </x:c>
      <x:c r="F951" s="184" t="n">
        <x:v>67</x:v>
      </x:c>
      <x:c r="G951" s="184" t="n">
        <x:v>53040</x:v>
      </x:c>
      <x:c r="H951" s="193" t="n">
        <x:v>17442</x:v>
      </x:c>
      <x:c r="I951" s="185" t="n">
        <x:v>1768</x:v>
      </x:c>
      <x:c r="J951" s="185" t="n">
        <x:v>68714</x:v>
      </x:c>
      <x:c r="K951" s="289" t="n">
        <x:v>1025.58208955</x:v>
      </x:c>
    </x:row>
    <x:row r="952" s="117" customFormat="1" hidden="1">
      <x:c r="A952" s="184" t="inlineStr">
        <x:is>
          <x:t xml:space="preserve">EPPGENPTA436</x:t>
        </x:is>
      </x:c>
      <x:c r="B952" s="184" t="inlineStr">
        <x:is>
          <x:t xml:space="preserve">LENTE T/SPY FLEX PLUS KS 1400 GRIS</x:t>
        </x:is>
      </x:c>
      <x:c r="C952" s="184" t="n">
        <x:v>60</x:v>
      </x:c>
      <x:c r="D952" s="184" t="n">
        <x:v>24</x:v>
      </x:c>
      <x:c r="E952" s="184" t="n">
        <x:v>0</x:v>
      </x:c>
      <x:c r="F952" s="184" t="n">
        <x:v>84</x:v>
      </x:c>
      <x:c r="G952" s="184" t="n">
        <x:v>53040</x:v>
      </x:c>
      <x:c r="H952" s="193" t="n">
        <x:v>46512</x:v>
      </x:c>
      <x:c r="I952" s="185" t="n">
        <x:v>0</x:v>
      </x:c>
      <x:c r="J952" s="185" t="n">
        <x:v>99552</x:v>
      </x:c>
      <x:c r="K952" s="289" t="n">
        <x:v>1185.14285714</x:v>
      </x:c>
    </x:row>
    <x:row r="953" s="117" customFormat="1" hidden="1">
      <x:c r="A953" s="184" t="inlineStr">
        <x:is>
          <x:t xml:space="preserve">EPPGENPTA437</x:t>
        </x:is>
      </x:c>
      <x:c r="B953" s="184" t="inlineStr">
        <x:is>
          <x:t xml:space="preserve">FONO PARA CASCO SAMURAI 501 STEELPRO</x:t>
        </x:is>
      </x:c>
      <x:c r="C953" s="184" t="n">
        <x:v>0</x:v>
      </x:c>
      <x:c r="D953" s="184" t="n">
        <x:v>0</x:v>
      </x:c>
      <x:c r="E953" s="184" t="n">
        <x:v>0</x:v>
      </x:c>
      <x:c r="F953" s="184" t="n">
        <x:v>0</x:v>
      </x:c>
      <x:c r="G953" s="184" t="n">
        <x:v>0</x:v>
      </x:c>
      <x:c r="H953" s="193" t="n">
        <x:v>0</x:v>
      </x:c>
      <x:c r="I953" s="185" t="n">
        <x:v>0</x:v>
      </x:c>
      <x:c r="J953" s="185" t="n">
        <x:v>0</x:v>
      </x:c>
      <x:c r="K953" s="289" t="n">
        <x:v>5251</x:v>
      </x:c>
    </x:row>
    <x:row r="954" s="117" customFormat="1" hidden="1">
      <x:c r="A954" s="184" t="inlineStr">
        <x:is>
          <x:t xml:space="preserve">EPPGENPTA438</x:t>
        </x:is>
      </x:c>
      <x:c r="B954" s="184" t="inlineStr">
        <x:is>
          <x:t xml:space="preserve">LENTES GETPRO B-FOAM GREY SF121-1</x:t>
        </x:is>
      </x:c>
      <x:c r="C954" s="184" t="n">
        <x:v>0</x:v>
      </x:c>
      <x:c r="D954" s="184" t="n">
        <x:v>0</x:v>
      </x:c>
      <x:c r="E954" s="184" t="n">
        <x:v>0</x:v>
      </x:c>
      <x:c r="F954" s="184" t="n">
        <x:v>0</x:v>
      </x:c>
      <x:c r="G954" s="184" t="n">
        <x:v>0</x:v>
      </x:c>
      <x:c r="H954" s="193" t="n">
        <x:v>0</x:v>
      </x:c>
      <x:c r="I954" s="185" t="n">
        <x:v>0</x:v>
      </x:c>
      <x:c r="J954" s="185" t="n">
        <x:v>0</x:v>
      </x:c>
      <x:c r="K954" s="289" t="n">
        <x:v>1350</x:v>
      </x:c>
    </x:row>
    <x:row r="955" s="117" customFormat="1" hidden="1">
      <x:c r="A955" s="184" t="inlineStr">
        <x:is>
          <x:t xml:space="preserve">EPPGENPTA439</x:t>
        </x:is>
      </x:c>
      <x:c r="B955" s="184" t="inlineStr">
        <x:is>
          <x:t xml:space="preserve">TAPON ESPUMA 3M 1100 DISP/200PR SIN CORD</x:t>
        </x:is>
      </x:c>
      <x:c r="C955" s="184" t="n">
        <x:v>0</x:v>
      </x:c>
      <x:c r="D955" s="184" t="n">
        <x:v>0</x:v>
      </x:c>
      <x:c r="E955" s="184" t="n">
        <x:v>0</x:v>
      </x:c>
      <x:c r="F955" s="184" t="n">
        <x:v>0</x:v>
      </x:c>
      <x:c r="G955" s="184" t="n">
        <x:v>0</x:v>
      </x:c>
      <x:c r="H955" s="193" t="n">
        <x:v>0</x:v>
      </x:c>
      <x:c r="I955" s="185" t="n">
        <x:v>0</x:v>
      </x:c>
      <x:c r="J955" s="185" t="n">
        <x:v>0</x:v>
      </x:c>
      <x:c r="K955" s="289" t="n">
        <x:v>0</x:v>
      </x:c>
    </x:row>
    <x:row r="956" s="117" customFormat="1" hidden="1">
      <x:c r="A956" s="184" t="inlineStr">
        <x:is>
          <x:t xml:space="preserve">EPPGENPTA440</x:t>
        </x:is>
      </x:c>
      <x:c r="B956" s="184" t="inlineStr">
        <x:is>
          <x:t xml:space="preserve">RODILLERA GETPRO</x:t>
        </x:is>
      </x:c>
      <x:c r="C956" s="184" t="n">
        <x:v>0</x:v>
      </x:c>
      <x:c r="D956" s="184" t="n">
        <x:v>0</x:v>
      </x:c>
      <x:c r="E956" s="184" t="n">
        <x:v>0</x:v>
      </x:c>
      <x:c r="F956" s="184" t="n">
        <x:v>0</x:v>
      </x:c>
      <x:c r="G956" s="184" t="n">
        <x:v>0</x:v>
      </x:c>
      <x:c r="H956" s="193" t="n">
        <x:v>0</x:v>
      </x:c>
      <x:c r="I956" s="185" t="n">
        <x:v>0</x:v>
      </x:c>
      <x:c r="J956" s="185" t="n">
        <x:v>0</x:v>
      </x:c>
      <x:c r="K956" s="289" t="n">
        <x:v>4417.5</x:v>
      </x:c>
    </x:row>
    <x:row r="957" s="117" customFormat="1" hidden="1">
      <x:c r="A957" s="184" t="inlineStr">
        <x:is>
          <x:t xml:space="preserve">EPPGENPTA441</x:t>
        </x:is>
      </x:c>
      <x:c r="B957" s="184" t="inlineStr">
        <x:is>
          <x:t xml:space="preserve">BARBIQUEJO PARA CASCO</x:t>
        </x:is>
      </x:c>
      <x:c r="C957" s="184" t="n">
        <x:v>75</x:v>
      </x:c>
      <x:c r="D957" s="184" t="n">
        <x:v>0</x:v>
      </x:c>
      <x:c r="E957" s="184" t="n">
        <x:v>0</x:v>
      </x:c>
      <x:c r="F957" s="184" t="n">
        <x:v>75</x:v>
      </x:c>
      <x:c r="G957" s="184" t="n">
        <x:v>48795</x:v>
      </x:c>
      <x:c r="H957" s="193" t="n">
        <x:v>0</x:v>
      </x:c>
      <x:c r="I957" s="185" t="n">
        <x:v>0</x:v>
      </x:c>
      <x:c r="J957" s="185" t="n">
        <x:v>48795</x:v>
      </x:c>
      <x:c r="K957" s="289" t="n">
        <x:v>650.60555555</x:v>
      </x:c>
    </x:row>
    <x:row r="958" s="117" customFormat="1" hidden="1">
      <x:c r="A958" s="184" t="inlineStr">
        <x:is>
          <x:t xml:space="preserve">EPPGENPTA442</x:t>
        </x:is>
      </x:c>
      <x:c r="B958" s="184" t="inlineStr">
        <x:is>
          <x:t xml:space="preserve">GUANTE BLACKBULL PVC ROJO, 182</x:t>
        </x:is>
      </x:c>
      <x:c r="C958" s="184" t="n">
        <x:v>40</x:v>
      </x:c>
      <x:c r="D958" s="184" t="n">
        <x:v>0</x:v>
      </x:c>
      <x:c r="E958" s="184" t="n">
        <x:v>0</x:v>
      </x:c>
      <x:c r="F958" s="184" t="n">
        <x:v>40</x:v>
      </x:c>
      <x:c r="G958" s="184" t="n">
        <x:v>65960</x:v>
      </x:c>
      <x:c r="H958" s="193" t="n">
        <x:v>0</x:v>
      </x:c>
      <x:c r="I958" s="185" t="n">
        <x:v>0</x:v>
      </x:c>
      <x:c r="J958" s="185" t="n">
        <x:v>65960</x:v>
      </x:c>
      <x:c r="K958" s="289" t="n">
        <x:v>1649</x:v>
      </x:c>
    </x:row>
    <x:row r="959" s="117" customFormat="1" hidden="1">
      <x:c r="A959" s="184" t="inlineStr">
        <x:is>
          <x:t xml:space="preserve">EPPGENPTA443</x:t>
        </x:is>
      </x:c>
      <x:c r="B959" s="184" t="inlineStr">
        <x:is>
          <x:t xml:space="preserve">RESPIRADOR ACTIVEX TPR   ATX 100 TALLA L</x:t>
        </x:is>
      </x:c>
      <x:c r="C959" s="184" t="n">
        <x:v>10</x:v>
      </x:c>
      <x:c r="D959" s="184" t="n">
        <x:v>0</x:v>
      </x:c>
      <x:c r="E959" s="184" t="n">
        <x:v>0</x:v>
      </x:c>
      <x:c r="F959" s="184" t="n">
        <x:v>10</x:v>
      </x:c>
      <x:c r="G959" s="184" t="n">
        <x:v>39000</x:v>
      </x:c>
      <x:c r="H959" s="193" t="n">
        <x:v>0</x:v>
      </x:c>
      <x:c r="I959" s="185" t="n">
        <x:v>0</x:v>
      </x:c>
      <x:c r="J959" s="185" t="n">
        <x:v>39000</x:v>
      </x:c>
      <x:c r="K959" s="289" t="n">
        <x:v>3900</x:v>
      </x:c>
    </x:row>
    <x:row r="960" s="117" customFormat="1" hidden="1">
      <x:c r="A960" s="184" t="inlineStr">
        <x:is>
          <x:t xml:space="preserve">EPPGENPTA444</x:t>
        </x:is>
      </x:c>
      <x:c r="B960" s="184" t="inlineStr">
        <x:is>
          <x:t xml:space="preserve">RESPIRADOR ACTIVEX TPR ATX 100 TALLA M</x:t>
        </x:is>
      </x:c>
      <x:c r="C960" s="184" t="n">
        <x:v>10</x:v>
      </x:c>
      <x:c r="D960" s="184" t="n">
        <x:v>0</x:v>
      </x:c>
      <x:c r="E960" s="184" t="n">
        <x:v>0</x:v>
      </x:c>
      <x:c r="F960" s="184" t="n">
        <x:v>10</x:v>
      </x:c>
      <x:c r="G960" s="184" t="n">
        <x:v>39000</x:v>
      </x:c>
      <x:c r="H960" s="193" t="n">
        <x:v>0</x:v>
      </x:c>
      <x:c r="I960" s="185" t="n">
        <x:v>0</x:v>
      </x:c>
      <x:c r="J960" s="185" t="n">
        <x:v>39000</x:v>
      </x:c>
      <x:c r="K960" s="289" t="n">
        <x:v>3900</x:v>
      </x:c>
    </x:row>
    <x:row r="961" s="117" customFormat="1" hidden="1">
      <x:c r="A961" s="184" t="inlineStr">
        <x:is>
          <x:t xml:space="preserve">EPPGENPTA445</x:t>
        </x:is>
      </x:c>
      <x:c r="B961" s="184" t="inlineStr">
        <x:is>
          <x:t xml:space="preserve">RESPIRADOR ACTIVEX  FULL FACE SILICONA  ATX 1500 TALLA UNIVERSAL</x:t>
        </x:is>
      </x:c>
      <x:c r="C961" s="184" t="n">
        <x:v>23</x:v>
      </x:c>
      <x:c r="D961" s="184" t="n">
        <x:v>0</x:v>
      </x:c>
      <x:c r="E961" s="184" t="n">
        <x:v>2</x:v>
      </x:c>
      <x:c r="F961" s="184" t="n">
        <x:v>21</x:v>
      </x:c>
      <x:c r="G961" s="184" t="n">
        <x:v>1150000</x:v>
      </x:c>
      <x:c r="H961" s="193" t="n">
        <x:v>0</x:v>
      </x:c>
      <x:c r="I961" s="185" t="n">
        <x:v>100000</x:v>
      </x:c>
      <x:c r="J961" s="185" t="n">
        <x:v>1050000</x:v>
      </x:c>
      <x:c r="K961" s="289" t="n">
        <x:v>50000</x:v>
      </x:c>
    </x:row>
    <x:row r="962" s="117" customFormat="1" hidden="1">
      <x:c r="A962" s="184" t="inlineStr">
        <x:is>
          <x:t xml:space="preserve">EPPGENPTA446</x:t>
        </x:is>
      </x:c>
      <x:c r="B962" s="184" t="inlineStr">
        <x:is>
          <x:t xml:space="preserve">CUBRE CALZADO NO TEJIDO ANTIDESLIZANTE (BOLSA 100 UNI)</x:t>
        </x:is>
      </x:c>
      <x:c r="C962" s="184" t="n">
        <x:v>1</x:v>
      </x:c>
      <x:c r="D962" s="184" t="n">
        <x:v>0</x:v>
      </x:c>
      <x:c r="E962" s="184" t="n">
        <x:v>0</x:v>
      </x:c>
      <x:c r="F962" s="184" t="n">
        <x:v>1</x:v>
      </x:c>
      <x:c r="G962" s="184" t="n">
        <x:v>2700</x:v>
      </x:c>
      <x:c r="H962" s="193" t="n">
        <x:v>0</x:v>
      </x:c>
      <x:c r="I962" s="185" t="n">
        <x:v>0</x:v>
      </x:c>
      <x:c r="J962" s="185" t="n">
        <x:v>2700</x:v>
      </x:c>
      <x:c r="K962" s="289" t="n">
        <x:v>2700</x:v>
      </x:c>
    </x:row>
    <x:row r="963" s="117" customFormat="1" hidden="1">
      <x:c r="A963" s="184" t="inlineStr">
        <x:is>
          <x:t xml:space="preserve">EPPGENPTA447</x:t>
        </x:is>
      </x:c>
      <x:c r="B963" s="184" t="inlineStr">
        <x:is>
          <x:t xml:space="preserve">FONO PARA CASCO STEELPRO ZEN5 A</x:t>
        </x:is>
      </x:c>
      <x:c r="C963" s="184" t="n">
        <x:v>6</x:v>
      </x:c>
      <x:c r="D963" s="184" t="n">
        <x:v>0</x:v>
      </x:c>
      <x:c r="E963" s="184" t="n">
        <x:v>2</x:v>
      </x:c>
      <x:c r="F963" s="184" t="n">
        <x:v>4</x:v>
      </x:c>
      <x:c r="G963" s="184" t="n">
        <x:v>33351</x:v>
      </x:c>
      <x:c r="H963" s="193" t="n">
        <x:v>0</x:v>
      </x:c>
      <x:c r="I963" s="185" t="n">
        <x:v>11118</x:v>
      </x:c>
      <x:c r="J963" s="185" t="n">
        <x:v>22233</x:v>
      </x:c>
      <x:c r="K963" s="289" t="n">
        <x:v>5558.75</x:v>
      </x:c>
    </x:row>
    <x:row r="964" s="117" customFormat="1" hidden="1">
      <x:c r="A964" s="184" t="inlineStr">
        <x:is>
          <x:t xml:space="preserve">EPPGENPTA448</x:t>
        </x:is>
      </x:c>
      <x:c r="B964" s="184" t="inlineStr">
        <x:is>
          <x:t xml:space="preserve">ARNES DE SEGURIDAD 4 ARGOLLAS TALLA XL</x:t>
        </x:is>
      </x:c>
      <x:c r="C964" s="184" t="n">
        <x:v>8</x:v>
      </x:c>
      <x:c r="D964" s="184" t="n">
        <x:v>0</x:v>
      </x:c>
      <x:c r="E964" s="184" t="n">
        <x:v>0</x:v>
      </x:c>
      <x:c r="F964" s="184" t="n">
        <x:v>8</x:v>
      </x:c>
      <x:c r="G964" s="184" t="n">
        <x:v>78700</x:v>
      </x:c>
      <x:c r="H964" s="193" t="n">
        <x:v>0</x:v>
      </x:c>
      <x:c r="I964" s="185" t="n">
        <x:v>0</x:v>
      </x:c>
      <x:c r="J964" s="185" t="n">
        <x:v>78700</x:v>
      </x:c>
      <x:c r="K964" s="289" t="n">
        <x:v>9837.5</x:v>
      </x:c>
    </x:row>
    <x:row r="965" s="117" customFormat="1" hidden="1">
      <x:c r="A965" s="184" t="inlineStr">
        <x:is>
          <x:t xml:space="preserve">EPPGENPTA449</x:t>
        </x:is>
      </x:c>
      <x:c r="B965" s="184" t="inlineStr">
        <x:is>
          <x:t xml:space="preserve">RESPIRADOR ACTIVEX SILICONA ATX 150 TALLA L</x:t>
        </x:is>
      </x:c>
      <x:c r="C965" s="184" t="n">
        <x:v>20</x:v>
      </x:c>
      <x:c r="D965" s="184" t="n">
        <x:v>0</x:v>
      </x:c>
      <x:c r="E965" s="184" t="n">
        <x:v>1</x:v>
      </x:c>
      <x:c r="F965" s="184" t="n">
        <x:v>19</x:v>
      </x:c>
      <x:c r="G965" s="184" t="n">
        <x:v>146000</x:v>
      </x:c>
      <x:c r="H965" s="193" t="n">
        <x:v>0</x:v>
      </x:c>
      <x:c r="I965" s="185" t="n">
        <x:v>7300</x:v>
      </x:c>
      <x:c r="J965" s="185" t="n">
        <x:v>138700</x:v>
      </x:c>
      <x:c r="K965" s="289" t="n">
        <x:v>7300</x:v>
      </x:c>
    </x:row>
    <x:row r="966" s="117" customFormat="1" hidden="1">
      <x:c r="A966" s="184" t="inlineStr">
        <x:is>
          <x:t xml:space="preserve">EPPGENPTA450</x:t>
        </x:is>
      </x:c>
      <x:c r="B966" s="184" t="inlineStr">
        <x:is>
          <x:t xml:space="preserve">CASCO ACTIVEX I BLANCO ARNES CINTA 6 PUNTAS RATCHET</x:t>
        </x:is>
      </x:c>
      <x:c r="C966" s="184" t="n">
        <x:v>17</x:v>
      </x:c>
      <x:c r="D966" s="184" t="n">
        <x:v>0</x:v>
      </x:c>
      <x:c r="E966" s="184" t="n">
        <x:v>5</x:v>
      </x:c>
      <x:c r="F966" s="184" t="n">
        <x:v>12</x:v>
      </x:c>
      <x:c r="G966" s="184" t="n">
        <x:v>36720</x:v>
      </x:c>
      <x:c r="H966" s="193" t="n">
        <x:v>0</x:v>
      </x:c>
      <x:c r="I966" s="185" t="n">
        <x:v>10800</x:v>
      </x:c>
      <x:c r="J966" s="185" t="n">
        <x:v>25920</x:v>
      </x:c>
      <x:c r="K966" s="289" t="n">
        <x:v>2160</x:v>
      </x:c>
    </x:row>
    <x:row r="967" s="117" customFormat="1" hidden="1">
      <x:c r="A967" s="184" t="inlineStr">
        <x:is>
          <x:t xml:space="preserve">EPPGENPTA451</x:t>
        </x:is>
      </x:c>
      <x:c r="B967" s="184" t="inlineStr">
        <x:is>
          <x:t xml:space="preserve">GUANTE MASTER-PLUS L-9160 T/10</x:t>
        </x:is>
      </x:c>
      <x:c r="C967" s="184" t="n">
        <x:v>15</x:v>
      </x:c>
      <x:c r="D967" s="184" t="n">
        <x:v>0</x:v>
      </x:c>
      <x:c r="E967" s="184" t="n">
        <x:v>0</x:v>
      </x:c>
      <x:c r="F967" s="184" t="n">
        <x:v>15</x:v>
      </x:c>
      <x:c r="G967" s="184" t="n">
        <x:v>73350</x:v>
      </x:c>
      <x:c r="H967" s="193" t="n">
        <x:v>0</x:v>
      </x:c>
      <x:c r="I967" s="185" t="n">
        <x:v>0</x:v>
      </x:c>
      <x:c r="J967" s="185" t="n">
        <x:v>73350</x:v>
      </x:c>
      <x:c r="K967" s="289" t="n">
        <x:v>4890</x:v>
      </x:c>
    </x:row>
    <x:row r="968" s="117" customFormat="1" hidden="1">
      <x:c r="A968" s="184" t="inlineStr">
        <x:is>
          <x:t xml:space="preserve">EPPGENPTA452</x:t>
        </x:is>
      </x:c>
      <x:c r="B968" s="184" t="inlineStr">
        <x:is>
          <x:t xml:space="preserve">Dräger PAC 8000 PH&amp;#8323; PN8007 DETECTOR DE ARSINA</x:t>
        </x:is>
      </x:c>
      <x:c r="C968" s="184" t="n">
        <x:v>3</x:v>
      </x:c>
      <x:c r="D968" s="184" t="n">
        <x:v>0</x:v>
      </x:c>
      <x:c r="E968" s="184" t="n">
        <x:v>0</x:v>
      </x:c>
      <x:c r="F968" s="184" t="n">
        <x:v>3</x:v>
      </x:c>
      <x:c r="G968" s="184" t="n">
        <x:v>1927059</x:v>
      </x:c>
      <x:c r="H968" s="193" t="n">
        <x:v>0</x:v>
      </x:c>
      <x:c r="I968" s="185" t="n">
        <x:v>0</x:v>
      </x:c>
      <x:c r="J968" s="185" t="n">
        <x:v>1927059</x:v>
      </x:c>
      <x:c r="K968" s="289" t="n">
        <x:v>642353</x:v>
      </x:c>
    </x:row>
    <x:row r="969" s="117" customFormat="1" hidden="1">
      <x:c r="A969" s="184" t="inlineStr">
        <x:is>
          <x:t xml:space="preserve">EPPGENPTA453</x:t>
        </x:is>
      </x:c>
      <x:c r="B969" s="184" t="inlineStr">
        <x:is>
          <x:t xml:space="preserve">ARNES DE SEGURIDAD 6 ARGOLLAS TALLA M / L</x:t>
        </x:is>
      </x:c>
      <x:c r="C969" s="184" t="n">
        <x:v>5</x:v>
      </x:c>
      <x:c r="D969" s="184" t="n">
        <x:v>0</x:v>
      </x:c>
      <x:c r="E969" s="184" t="n">
        <x:v>0</x:v>
      </x:c>
      <x:c r="F969" s="184" t="n">
        <x:v>5</x:v>
      </x:c>
      <x:c r="G969" s="184" t="n">
        <x:v>131090</x:v>
      </x:c>
      <x:c r="H969" s="193" t="n">
        <x:v>0</x:v>
      </x:c>
      <x:c r="I969" s="185" t="n">
        <x:v>0</x:v>
      </x:c>
      <x:c r="J969" s="185" t="n">
        <x:v>131090</x:v>
      </x:c>
      <x:c r="K969" s="289" t="n">
        <x:v>26218</x:v>
      </x:c>
    </x:row>
    <x:row r="970" s="117" customFormat="1" hidden="1">
      <x:c r="A970" s="184" t="inlineStr">
        <x:is>
          <x:t xml:space="preserve">EPPGENPTA454</x:t>
        </x:is>
      </x:c>
      <x:c r="B970" s="184" t="inlineStr">
        <x:is>
          <x:t xml:space="preserve">GUANTE ANTI IMPACTO TALLA 9</x:t>
        </x:is>
      </x:c>
      <x:c r="C970" s="184" t="n">
        <x:v>15</x:v>
      </x:c>
      <x:c r="D970" s="184" t="n">
        <x:v>0</x:v>
      </x:c>
      <x:c r="E970" s="184" t="n">
        <x:v>0</x:v>
      </x:c>
      <x:c r="F970" s="184" t="n">
        <x:v>15</x:v>
      </x:c>
      <x:c r="G970" s="184" t="n">
        <x:v>66000</x:v>
      </x:c>
      <x:c r="H970" s="193" t="n">
        <x:v>0</x:v>
      </x:c>
      <x:c r="I970" s="185" t="n">
        <x:v>0</x:v>
      </x:c>
      <x:c r="J970" s="185" t="n">
        <x:v>66000</x:v>
      </x:c>
      <x:c r="K970" s="289" t="n">
        <x:v>4400</x:v>
      </x:c>
    </x:row>
    <x:row r="971" s="117" customFormat="1" hidden="1">
      <x:c r="A971" s="184" t="inlineStr">
        <x:is>
          <x:t xml:space="preserve">EPPGENPTA455</x:t>
        </x:is>
      </x:c>
      <x:c r="B971" s="184" t="inlineStr">
        <x:is>
          <x:t xml:space="preserve">GUANTE ANTI IMPACTO TALLA 10</x:t>
        </x:is>
      </x:c>
      <x:c r="C971" s="184" t="n">
        <x:v>15</x:v>
      </x:c>
      <x:c r="D971" s="184" t="n">
        <x:v>0</x:v>
      </x:c>
      <x:c r="E971" s="184" t="n">
        <x:v>0</x:v>
      </x:c>
      <x:c r="F971" s="184" t="n">
        <x:v>15</x:v>
      </x:c>
      <x:c r="G971" s="184" t="n">
        <x:v>66000</x:v>
      </x:c>
      <x:c r="H971" s="193" t="n">
        <x:v>0</x:v>
      </x:c>
      <x:c r="I971" s="185" t="n">
        <x:v>0</x:v>
      </x:c>
      <x:c r="J971" s="185" t="n">
        <x:v>66000</x:v>
      </x:c>
      <x:c r="K971" s="289" t="n">
        <x:v>4400</x:v>
      </x:c>
    </x:row>
    <x:row r="972" s="117" customFormat="1" hidden="1">
      <x:c r="A972" s="184" t="inlineStr">
        <x:is>
          <x:t xml:space="preserve">EPPGENPTA456</x:t>
        </x:is>
      </x:c>
      <x:c r="B972" s="184" t="inlineStr">
        <x:is>
          <x:t xml:space="preserve">PRIMERA CAPA TALLA L</x:t>
        </x:is>
      </x:c>
      <x:c r="C972" s="184" t="n">
        <x:v>0</x:v>
      </x:c>
      <x:c r="D972" s="184" t="n">
        <x:v>0</x:v>
      </x:c>
      <x:c r="E972" s="184" t="n">
        <x:v>0</x:v>
      </x:c>
      <x:c r="F972" s="184" t="n">
        <x:v>0</x:v>
      </x:c>
      <x:c r="G972" s="184" t="n">
        <x:v>0</x:v>
      </x:c>
      <x:c r="H972" s="193" t="n">
        <x:v>0</x:v>
      </x:c>
      <x:c r="I972" s="185" t="n">
        <x:v>0</x:v>
      </x:c>
      <x:c r="J972" s="185" t="n">
        <x:v>0</x:v>
      </x:c>
      <x:c r="K972" s="289" t="n">
        <x:v>8820</x:v>
      </x:c>
    </x:row>
    <x:row r="973" s="117" customFormat="1" hidden="1">
      <x:c r="A973" s="184" t="inlineStr">
        <x:is>
          <x:t xml:space="preserve">EPPGENPTA457</x:t>
        </x:is>
      </x:c>
      <x:c r="B973" s="184" t="inlineStr">
        <x:is>
          <x:t xml:space="preserve">PRIMERA CAPA TALLA XL</x:t>
        </x:is>
      </x:c>
      <x:c r="C973" s="184" t="n">
        <x:v>0</x:v>
      </x:c>
      <x:c r="D973" s="184" t="n">
        <x:v>0</x:v>
      </x:c>
      <x:c r="E973" s="184" t="n">
        <x:v>0</x:v>
      </x:c>
      <x:c r="F973" s="184" t="n">
        <x:v>0</x:v>
      </x:c>
      <x:c r="G973" s="184" t="n">
        <x:v>0</x:v>
      </x:c>
      <x:c r="H973" s="193" t="n">
        <x:v>0</x:v>
      </x:c>
      <x:c r="I973" s="185" t="n">
        <x:v>0</x:v>
      </x:c>
      <x:c r="J973" s="185" t="n">
        <x:v>0</x:v>
      </x:c>
      <x:c r="K973" s="289" t="n">
        <x:v>8820</x:v>
      </x:c>
    </x:row>
    <x:row r="974" s="117" customFormat="1" hidden="1">
      <x:c r="A974" s="184" t="inlineStr">
        <x:is>
          <x:t xml:space="preserve">EPPGENPTA458</x:t>
        </x:is>
      </x:c>
      <x:c r="B974" s="184" t="inlineStr">
        <x:is>
          <x:t xml:space="preserve">BOTIN ATOX COPPER PLUS N-40</x:t>
        </x:is>
      </x:c>
      <x:c r="C974" s="184" t="n">
        <x:v>3</x:v>
      </x:c>
      <x:c r="D974" s="184" t="n">
        <x:v>0</x:v>
      </x:c>
      <x:c r="E974" s="184" t="n">
        <x:v>0</x:v>
      </x:c>
      <x:c r="F974" s="184" t="n">
        <x:v>3</x:v>
      </x:c>
      <x:c r="G974" s="184" t="n">
        <x:v>71370</x:v>
      </x:c>
      <x:c r="H974" s="193" t="n">
        <x:v>0</x:v>
      </x:c>
      <x:c r="I974" s="185" t="n">
        <x:v>0</x:v>
      </x:c>
      <x:c r="J974" s="185" t="n">
        <x:v>71370</x:v>
      </x:c>
      <x:c r="K974" s="289" t="n">
        <x:v>23790</x:v>
      </x:c>
    </x:row>
    <x:row r="975" s="117" customFormat="1" hidden="1">
      <x:c r="A975" s="184" t="inlineStr">
        <x:is>
          <x:t xml:space="preserve">EPPGENPTA459</x:t>
        </x:is>
      </x:c>
      <x:c r="B975" s="184" t="inlineStr">
        <x:is>
          <x:t xml:space="preserve">BOTIN ATOX COPPER PLUS N-41</x:t>
        </x:is>
      </x:c>
      <x:c r="C975" s="184" t="n">
        <x:v>1</x:v>
      </x:c>
      <x:c r="D975" s="184" t="n">
        <x:v>0</x:v>
      </x:c>
      <x:c r="E975" s="184" t="n">
        <x:v>0</x:v>
      </x:c>
      <x:c r="F975" s="184" t="n">
        <x:v>1</x:v>
      </x:c>
      <x:c r="G975" s="184" t="n">
        <x:v>23790</x:v>
      </x:c>
      <x:c r="H975" s="193" t="n">
        <x:v>0</x:v>
      </x:c>
      <x:c r="I975" s="185" t="n">
        <x:v>0</x:v>
      </x:c>
      <x:c r="J975" s="185" t="n">
        <x:v>23790</x:v>
      </x:c>
      <x:c r="K975" s="289" t="n">
        <x:v>23790</x:v>
      </x:c>
    </x:row>
    <x:row r="976" s="117" customFormat="1" hidden="1">
      <x:c r="A976" s="184" t="inlineStr">
        <x:is>
          <x:t xml:space="preserve">EPPGENPTA460</x:t>
        </x:is>
      </x:c>
      <x:c r="B976" s="184" t="inlineStr">
        <x:is>
          <x:t xml:space="preserve">BOTIN ATOX COPPER PLUS N-42</x:t>
        </x:is>
      </x:c>
      <x:c r="C976" s="184" t="n">
        <x:v>3</x:v>
      </x:c>
      <x:c r="D976" s="184" t="n">
        <x:v>0</x:v>
      </x:c>
      <x:c r="E976" s="184" t="n">
        <x:v>0</x:v>
      </x:c>
      <x:c r="F976" s="184" t="n">
        <x:v>3</x:v>
      </x:c>
      <x:c r="G976" s="184" t="n">
        <x:v>71370</x:v>
      </x:c>
      <x:c r="H976" s="193" t="n">
        <x:v>0</x:v>
      </x:c>
      <x:c r="I976" s="185" t="n">
        <x:v>0</x:v>
      </x:c>
      <x:c r="J976" s="185" t="n">
        <x:v>71370</x:v>
      </x:c>
      <x:c r="K976" s="289" t="n">
        <x:v>23790</x:v>
      </x:c>
    </x:row>
    <x:row r="977" s="117" customFormat="1" hidden="1">
      <x:c r="A977" s="184" t="inlineStr">
        <x:is>
          <x:t xml:space="preserve">EPPGENPTA461</x:t>
        </x:is>
      </x:c>
      <x:c r="B977" s="184" t="inlineStr">
        <x:is>
          <x:t xml:space="preserve">BOTIN ATOX COPPER PLUS N-43</x:t>
        </x:is>
      </x:c>
      <x:c r="C977" s="184" t="n">
        <x:v>1</x:v>
      </x:c>
      <x:c r="D977" s="184" t="n">
        <x:v>0</x:v>
      </x:c>
      <x:c r="E977" s="184" t="n">
        <x:v>0</x:v>
      </x:c>
      <x:c r="F977" s="184" t="n">
        <x:v>1</x:v>
      </x:c>
      <x:c r="G977" s="184" t="n">
        <x:v>23790</x:v>
      </x:c>
      <x:c r="H977" s="193" t="n">
        <x:v>0</x:v>
      </x:c>
      <x:c r="I977" s="185" t="n">
        <x:v>0</x:v>
      </x:c>
      <x:c r="J977" s="185" t="n">
        <x:v>23790</x:v>
      </x:c>
      <x:c r="K977" s="289" t="n">
        <x:v>23790</x:v>
      </x:c>
    </x:row>
    <x:row r="978" s="117" customFormat="1" hidden="1">
      <x:c r="A978" s="184" t="inlineStr">
        <x:is>
          <x:t xml:space="preserve">EPPGENPTA462</x:t>
        </x:is>
      </x:c>
      <x:c r="B978" s="184" t="inlineStr">
        <x:is>
          <x:t xml:space="preserve">CHALECO GEOLOGO GABARDINA NARANJA NORMA 360 TALLA L</x:t>
        </x:is>
      </x:c>
      <x:c r="C978" s="184" t="n">
        <x:v>0</x:v>
      </x:c>
      <x:c r="D978" s="184" t="n">
        <x:v>0</x:v>
      </x:c>
      <x:c r="E978" s="184" t="n">
        <x:v>0</x:v>
      </x:c>
      <x:c r="F978" s="184" t="n">
        <x:v>0</x:v>
      </x:c>
      <x:c r="G978" s="184" t="n">
        <x:v>0</x:v>
      </x:c>
      <x:c r="H978" s="193" t="n">
        <x:v>0</x:v>
      </x:c>
      <x:c r="I978" s="185" t="n">
        <x:v>0</x:v>
      </x:c>
      <x:c r="J978" s="185" t="n">
        <x:v>0</x:v>
      </x:c>
      <x:c r="K978" s="289" t="n">
        <x:v>4490</x:v>
      </x:c>
    </x:row>
    <x:row r="979" s="117" customFormat="1" hidden="1">
      <x:c r="A979" s="184" t="inlineStr">
        <x:is>
          <x:t xml:space="preserve">EPPGENPTA463</x:t>
        </x:is>
      </x:c>
      <x:c r="B979" s="184" t="inlineStr">
        <x:is>
          <x:t xml:space="preserve">CHALECO GEOLOGO GABARDINA NARANJA NORMA 360 TALLA XL</x:t>
        </x:is>
      </x:c>
      <x:c r="C979" s="184" t="n">
        <x:v>0</x:v>
      </x:c>
      <x:c r="D979" s="184" t="n">
        <x:v>0</x:v>
      </x:c>
      <x:c r="E979" s="184" t="n">
        <x:v>0</x:v>
      </x:c>
      <x:c r="F979" s="184" t="n">
        <x:v>0</x:v>
      </x:c>
      <x:c r="G979" s="184" t="n">
        <x:v>0</x:v>
      </x:c>
      <x:c r="H979" s="193" t="n">
        <x:v>0</x:v>
      </x:c>
      <x:c r="I979" s="185" t="n">
        <x:v>0</x:v>
      </x:c>
      <x:c r="J979" s="185" t="n">
        <x:v>0</x:v>
      </x:c>
      <x:c r="K979" s="289" t="n">
        <x:v>4490</x:v>
      </x:c>
    </x:row>
    <x:row r="980" s="117" customFormat="1" hidden="1">
      <x:c r="A980" s="184" t="inlineStr">
        <x:is>
          <x:t xml:space="preserve">EPPGENPTA464</x:t>
        </x:is>
      </x:c>
      <x:c r="B980" s="184" t="inlineStr">
        <x:is>
          <x:t xml:space="preserve">CHALECO GEOLOGO GABARDINA NARANJA NORMA 360 TALLA XXL</x:t>
        </x:is>
      </x:c>
      <x:c r="C980" s="184" t="n">
        <x:v>1</x:v>
      </x:c>
      <x:c r="D980" s="184" t="n">
        <x:v>0</x:v>
      </x:c>
      <x:c r="E980" s="184" t="n">
        <x:v>0</x:v>
      </x:c>
      <x:c r="F980" s="184" t="n">
        <x:v>1</x:v>
      </x:c>
      <x:c r="G980" s="184" t="n">
        <x:v>4490</x:v>
      </x:c>
      <x:c r="H980" s="193" t="n">
        <x:v>0</x:v>
      </x:c>
      <x:c r="I980" s="185" t="n">
        <x:v>0</x:v>
      </x:c>
      <x:c r="J980" s="185" t="n">
        <x:v>4490</x:v>
      </x:c>
      <x:c r="K980" s="289" t="n">
        <x:v>4490</x:v>
      </x:c>
    </x:row>
    <x:row r="981" s="117" customFormat="1" hidden="1">
      <x:c r="A981" s="184" t="inlineStr">
        <x:is>
          <x:t xml:space="preserve">EPPGENPTA465</x:t>
        </x:is>
      </x:c>
      <x:c r="B981" s="184" t="inlineStr">
        <x:is>
          <x:t xml:space="preserve">CHALECO GEOLOGO TROOPER NARANJA TIPO SUPERVISOR TALLA L</x:t>
        </x:is>
      </x:c>
      <x:c r="C981" s="184" t="n">
        <x:v>2</x:v>
      </x:c>
      <x:c r="D981" s="184" t="n">
        <x:v>0</x:v>
      </x:c>
      <x:c r="E981" s="184" t="n">
        <x:v>0</x:v>
      </x:c>
      <x:c r="F981" s="184" t="n">
        <x:v>2</x:v>
      </x:c>
      <x:c r="G981" s="184" t="n">
        <x:v>29980</x:v>
      </x:c>
      <x:c r="H981" s="193" t="n">
        <x:v>0</x:v>
      </x:c>
      <x:c r="I981" s="185" t="n">
        <x:v>0</x:v>
      </x:c>
      <x:c r="J981" s="185" t="n">
        <x:v>29980</x:v>
      </x:c>
      <x:c r="K981" s="289" t="n">
        <x:v>14990</x:v>
      </x:c>
    </x:row>
    <x:row r="982" s="117" customFormat="1" hidden="1">
      <x:c r="A982" s="184" t="inlineStr">
        <x:is>
          <x:t xml:space="preserve">EPPGENPTA466</x:t>
        </x:is>
      </x:c>
      <x:c r="B982" s="184" t="inlineStr">
        <x:is>
          <x:t xml:space="preserve">CHALECO GEOLOGO TROOPER NARANJA TIPO SUPERVISOR TALLA  XXL</x:t>
        </x:is>
      </x:c>
      <x:c r="C982" s="184" t="n">
        <x:v>1</x:v>
      </x:c>
      <x:c r="D982" s="184" t="n">
        <x:v>0</x:v>
      </x:c>
      <x:c r="E982" s="184" t="n">
        <x:v>0</x:v>
      </x:c>
      <x:c r="F982" s="184" t="n">
        <x:v>1</x:v>
      </x:c>
      <x:c r="G982" s="184" t="n">
        <x:v>14990</x:v>
      </x:c>
      <x:c r="H982" s="193" t="n">
        <x:v>0</x:v>
      </x:c>
      <x:c r="I982" s="185" t="n">
        <x:v>0</x:v>
      </x:c>
      <x:c r="J982" s="185" t="n">
        <x:v>14990</x:v>
      </x:c>
      <x:c r="K982" s="289" t="n">
        <x:v>14990</x:v>
      </x:c>
    </x:row>
    <x:row r="983" s="117" customFormat="1" hidden="1">
      <x:c r="A983" s="184" t="inlineStr">
        <x:is>
          <x:t xml:space="preserve">EPPGENPTA467</x:t>
        </x:is>
      </x:c>
      <x:c r="B983" s="184" t="inlineStr">
        <x:is>
          <x:t xml:space="preserve">LENTE  GETPRO B-FOAM CLARO SF121-1</x:t>
        </x:is>
      </x:c>
      <x:c r="C983" s="184" t="n">
        <x:v>9</x:v>
      </x:c>
      <x:c r="D983" s="184" t="n">
        <x:v>0</x:v>
      </x:c>
      <x:c r="E983" s="184" t="n">
        <x:v>9</x:v>
      </x:c>
      <x:c r="F983" s="184" t="n">
        <x:v>0</x:v>
      </x:c>
      <x:c r="G983" s="184" t="n">
        <x:v>13410</x:v>
      </x:c>
      <x:c r="H983" s="193" t="n">
        <x:v>0</x:v>
      </x:c>
      <x:c r="I983" s="185" t="n">
        <x:v>13410</x:v>
      </x:c>
      <x:c r="J983" s="185" t="n">
        <x:v>0</x:v>
      </x:c>
      <x:c r="K983" s="289" t="n">
        <x:v>1490</x:v>
      </x:c>
    </x:row>
    <x:row r="984" s="117" customFormat="1" hidden="1">
      <x:c r="A984" s="184" t="inlineStr">
        <x:is>
          <x:t xml:space="preserve">EPPGENPTA468</x:t>
        </x:is>
      </x:c>
      <x:c r="B984" s="184" t="inlineStr">
        <x:is>
          <x:t xml:space="preserve">GUANTE C-SAFE NITRIL S/P AZUL T-L 100UN</x:t>
        </x:is>
      </x:c>
      <x:c r="C984" s="184" t="n">
        <x:v>0</x:v>
      </x:c>
      <x:c r="D984" s="184" t="n">
        <x:v>0</x:v>
      </x:c>
      <x:c r="E984" s="184" t="n">
        <x:v>0</x:v>
      </x:c>
      <x:c r="F984" s="184" t="n">
        <x:v>0</x:v>
      </x:c>
      <x:c r="G984" s="184" t="n">
        <x:v>0</x:v>
      </x:c>
      <x:c r="H984" s="193" t="n">
        <x:v>0</x:v>
      </x:c>
      <x:c r="I984" s="185" t="n">
        <x:v>0</x:v>
      </x:c>
      <x:c r="J984" s="185" t="n">
        <x:v>0</x:v>
      </x:c>
      <x:c r="K984" s="289" t="n">
        <x:v>2700</x:v>
      </x:c>
    </x:row>
    <x:row r="985" s="117" customFormat="1" hidden="1">
      <x:c r="A985" s="184" t="inlineStr">
        <x:is>
          <x:t xml:space="preserve">EPPGENPTA469</x:t>
        </x:is>
      </x:c>
      <x:c r="B985" s="184" t="inlineStr">
        <x:is>
          <x:t xml:space="preserve">BOTIN PROFLEX 108R N-41</x:t>
        </x:is>
      </x:c>
      <x:c r="C985" s="184" t="n">
        <x:v>1</x:v>
      </x:c>
      <x:c r="D985" s="184" t="n">
        <x:v>0</x:v>
      </x:c>
      <x:c r="E985" s="184" t="n">
        <x:v>0</x:v>
      </x:c>
      <x:c r="F985" s="184" t="n">
        <x:v>1</x:v>
      </x:c>
      <x:c r="G985" s="184" t="n">
        <x:v>42890</x:v>
      </x:c>
      <x:c r="H985" s="193" t="n">
        <x:v>0</x:v>
      </x:c>
      <x:c r="I985" s="185" t="n">
        <x:v>0</x:v>
      </x:c>
      <x:c r="J985" s="185" t="n">
        <x:v>42890</x:v>
      </x:c>
      <x:c r="K985" s="289" t="n">
        <x:v>42890</x:v>
      </x:c>
    </x:row>
    <x:row r="986" s="117" customFormat="1" hidden="1">
      <x:c r="A986" s="184" t="inlineStr">
        <x:is>
          <x:t xml:space="preserve">EPPGENPTA470</x:t>
        </x:is>
      </x:c>
      <x:c r="B986" s="184" t="inlineStr">
        <x:is>
          <x:t xml:space="preserve">BOTIN PROFLEX 108R N-43</x:t>
        </x:is>
      </x:c>
      <x:c r="C986" s="184" t="n">
        <x:v>1</x:v>
      </x:c>
      <x:c r="D986" s="184" t="n">
        <x:v>0</x:v>
      </x:c>
      <x:c r="E986" s="184" t="n">
        <x:v>0</x:v>
      </x:c>
      <x:c r="F986" s="184" t="n">
        <x:v>1</x:v>
      </x:c>
      <x:c r="G986" s="184" t="n">
        <x:v>42890</x:v>
      </x:c>
      <x:c r="H986" s="193" t="n">
        <x:v>0</x:v>
      </x:c>
      <x:c r="I986" s="185" t="n">
        <x:v>0</x:v>
      </x:c>
      <x:c r="J986" s="185" t="n">
        <x:v>42890</x:v>
      </x:c>
      <x:c r="K986" s="289" t="n">
        <x:v>42890</x:v>
      </x:c>
    </x:row>
    <x:row r="987" s="117" customFormat="1" hidden="1">
      <x:c r="A987" s="184" t="inlineStr">
        <x:is>
          <x:t xml:space="preserve">EPPGENPTA471</x:t>
        </x:is>
      </x:c>
      <x:c r="B987" s="184" t="inlineStr">
        <x:is>
          <x:t xml:space="preserve">BOTIN PROFLEX 108R N-44</x:t>
        </x:is>
      </x:c>
      <x:c r="C987" s="184" t="n">
        <x:v>0</x:v>
      </x:c>
      <x:c r="D987" s="184" t="n">
        <x:v>0</x:v>
      </x:c>
      <x:c r="E987" s="184" t="n">
        <x:v>0</x:v>
      </x:c>
      <x:c r="F987" s="184" t="n">
        <x:v>0</x:v>
      </x:c>
      <x:c r="G987" s="184" t="n">
        <x:v>0</x:v>
      </x:c>
      <x:c r="H987" s="193" t="n">
        <x:v>0</x:v>
      </x:c>
      <x:c r="I987" s="185" t="n">
        <x:v>0</x:v>
      </x:c>
      <x:c r="J987" s="185" t="n">
        <x:v>0</x:v>
      </x:c>
      <x:c r="K987" s="289" t="n">
        <x:v>0</x:v>
      </x:c>
    </x:row>
    <x:row r="988" s="117" customFormat="1" hidden="1">
      <x:c r="A988" s="184" t="inlineStr">
        <x:is>
          <x:t xml:space="preserve">EPPGENPTA472</x:t>
        </x:is>
      </x:c>
      <x:c r="B988" s="184" t="inlineStr">
        <x:is>
          <x:t xml:space="preserve">LINTERNA PARA CASCO O FRONTAL</x:t>
        </x:is>
      </x:c>
      <x:c r="C988" s="184" t="n">
        <x:v>20</x:v>
      </x:c>
      <x:c r="D988" s="184" t="n">
        <x:v>0</x:v>
      </x:c>
      <x:c r="E988" s="184" t="n">
        <x:v>0</x:v>
      </x:c>
      <x:c r="F988" s="184" t="n">
        <x:v>20</x:v>
      </x:c>
      <x:c r="G988" s="184" t="n">
        <x:v>210000</x:v>
      </x:c>
      <x:c r="H988" s="193" t="n">
        <x:v>0</x:v>
      </x:c>
      <x:c r="I988" s="185" t="n">
        <x:v>0</x:v>
      </x:c>
      <x:c r="J988" s="185" t="n">
        <x:v>210000</x:v>
      </x:c>
      <x:c r="K988" s="289" t="n">
        <x:v>10500</x:v>
      </x:c>
    </x:row>
    <x:row r="989" s="117" customFormat="1" hidden="1">
      <x:c r="A989" s="184" t="inlineStr">
        <x:is>
          <x:t xml:space="preserve">EPPGENPTA473</x:t>
        </x:is>
      </x:c>
      <x:c r="B989" s="184" t="inlineStr">
        <x:is>
          <x:t xml:space="preserve">MICA CLARA PARA FULL FACE ATX 1500 (BOLSA 10 UNIDADES)</x:t>
        </x:is>
      </x:c>
      <x:c r="C989" s="184" t="n">
        <x:v>2</x:v>
      </x:c>
      <x:c r="D989" s="184" t="n">
        <x:v>0</x:v>
      </x:c>
      <x:c r="E989" s="184" t="n">
        <x:v>0</x:v>
      </x:c>
      <x:c r="F989" s="184" t="n">
        <x:v>2</x:v>
      </x:c>
      <x:c r="G989" s="184" t="n">
        <x:v>20400</x:v>
      </x:c>
      <x:c r="H989" s="193" t="n">
        <x:v>0</x:v>
      </x:c>
      <x:c r="I989" s="185" t="n">
        <x:v>0</x:v>
      </x:c>
      <x:c r="J989" s="185" t="n">
        <x:v>20400</x:v>
      </x:c>
      <x:c r="K989" s="289" t="n">
        <x:v>10200</x:v>
      </x:c>
    </x:row>
    <x:row r="990" s="117" customFormat="1" hidden="1">
      <x:c r="A990" s="184" t="inlineStr">
        <x:is>
          <x:t xml:space="preserve">EPPGENPTA474</x:t>
        </x:is>
      </x:c>
      <x:c r="B990" s="184" t="inlineStr">
        <x:is>
          <x:t xml:space="preserve">GUANTE ACTIVEX MECANICO X1 TALLA L</x:t>
        </x:is>
      </x:c>
      <x:c r="C990" s="184" t="n">
        <x:v>2</x:v>
      </x:c>
      <x:c r="D990" s="184" t="n">
        <x:v>0</x:v>
      </x:c>
      <x:c r="E990" s="184" t="n">
        <x:v>0</x:v>
      </x:c>
      <x:c r="F990" s="184" t="n">
        <x:v>2</x:v>
      </x:c>
      <x:c r="G990" s="184" t="n">
        <x:v>9800</x:v>
      </x:c>
      <x:c r="H990" s="193" t="n">
        <x:v>0</x:v>
      </x:c>
      <x:c r="I990" s="185" t="n">
        <x:v>0</x:v>
      </x:c>
      <x:c r="J990" s="185" t="n">
        <x:v>9800</x:v>
      </x:c>
      <x:c r="K990" s="289" t="n">
        <x:v>4900</x:v>
      </x:c>
    </x:row>
    <x:row r="991" s="117" customFormat="1" hidden="1">
      <x:c r="A991" s="184" t="inlineStr">
        <x:is>
          <x:t xml:space="preserve">EPPGENPTA475</x:t>
        </x:is>
      </x:c>
      <x:c r="B991" s="184" t="inlineStr">
        <x:is>
          <x:t xml:space="preserve">GUANTE ANSELL HYFLEX 11-840 NEGRO TALLA 9</x:t>
        </x:is>
      </x:c>
      <x:c r="C991" s="184" t="n">
        <x:v>0</x:v>
      </x:c>
      <x:c r="D991" s="184" t="n">
        <x:v>0</x:v>
      </x:c>
      <x:c r="E991" s="184" t="n">
        <x:v>0</x:v>
      </x:c>
      <x:c r="F991" s="184" t="n">
        <x:v>0</x:v>
      </x:c>
      <x:c r="G991" s="184" t="n">
        <x:v>0</x:v>
      </x:c>
      <x:c r="H991" s="193" t="n">
        <x:v>0</x:v>
      </x:c>
      <x:c r="I991" s="185" t="n">
        <x:v>0</x:v>
      </x:c>
      <x:c r="J991" s="185" t="n">
        <x:v>0</x:v>
      </x:c>
      <x:c r="K991" s="289" t="n">
        <x:v>4550</x:v>
      </x:c>
    </x:row>
    <x:row r="992" s="117" customFormat="1" hidden="1">
      <x:c r="A992" s="184" t="inlineStr">
        <x:is>
          <x:t xml:space="preserve">EPPGENPTA476</x:t>
        </x:is>
      </x:c>
      <x:c r="B992" s="184" t="inlineStr">
        <x:is>
          <x:t xml:space="preserve">CHALECO GEOLOGO GABARDINA NARANJA NORMA 360 TALLA M</x:t>
        </x:is>
      </x:c>
      <x:c r="C992" s="184" t="n">
        <x:v>0</x:v>
      </x:c>
      <x:c r="D992" s="184" t="n">
        <x:v>0</x:v>
      </x:c>
      <x:c r="E992" s="184" t="n">
        <x:v>0</x:v>
      </x:c>
      <x:c r="F992" s="184" t="n">
        <x:v>0</x:v>
      </x:c>
      <x:c r="G992" s="184" t="n">
        <x:v>0</x:v>
      </x:c>
      <x:c r="H992" s="193" t="n">
        <x:v>0</x:v>
      </x:c>
      <x:c r="I992" s="185" t="n">
        <x:v>0</x:v>
      </x:c>
      <x:c r="J992" s="185" t="n">
        <x:v>0</x:v>
      </x:c>
      <x:c r="K992" s="289" t="n">
        <x:v>0</x:v>
      </x:c>
    </x:row>
    <x:row r="993" s="117" customFormat="1" hidden="1">
      <x:c r="A993" s="184" t="inlineStr">
        <x:is>
          <x:t xml:space="preserve">EPPGENPTA477</x:t>
        </x:is>
      </x:c>
      <x:c r="B993" s="184" t="inlineStr">
        <x:is>
          <x:t xml:space="preserve">ARNES DE SEGURIDAD 4 ARGOLLAS TALLA XXL</x:t>
        </x:is>
      </x:c>
      <x:c r="C993" s="184" t="n">
        <x:v>2</x:v>
      </x:c>
      <x:c r="D993" s="184" t="n">
        <x:v>0</x:v>
      </x:c>
      <x:c r="E993" s="184" t="n">
        <x:v>0</x:v>
      </x:c>
      <x:c r="F993" s="184" t="n">
        <x:v>2</x:v>
      </x:c>
      <x:c r="G993" s="184" t="n">
        <x:v>22360</x:v>
      </x:c>
      <x:c r="H993" s="193" t="n">
        <x:v>0</x:v>
      </x:c>
      <x:c r="I993" s="185" t="n">
        <x:v>0</x:v>
      </x:c>
      <x:c r="J993" s="185" t="n">
        <x:v>22360</x:v>
      </x:c>
      <x:c r="K993" s="289" t="n">
        <x:v>11180</x:v>
      </x:c>
    </x:row>
    <x:row r="994" s="117" customFormat="1" hidden="1">
      <x:c r="A994" s="184" t="inlineStr">
        <x:is>
          <x:t xml:space="preserve">EPPGENPTA478</x:t>
        </x:is>
      </x:c>
      <x:c r="B994" s="184" t="inlineStr">
        <x:is>
          <x:t xml:space="preserve">ARNES DE SEGURIDAD 4 ARGOLLAS TALLA XL</x:t>
        </x:is>
      </x:c>
      <x:c r="C994" s="184" t="n">
        <x:v>0</x:v>
      </x:c>
      <x:c r="D994" s="184" t="n">
        <x:v>0</x:v>
      </x:c>
      <x:c r="E994" s="184" t="n">
        <x:v>0</x:v>
      </x:c>
      <x:c r="F994" s="184" t="n">
        <x:v>0</x:v>
      </x:c>
      <x:c r="G994" s="184" t="n">
        <x:v>0</x:v>
      </x:c>
      <x:c r="H994" s="193" t="n">
        <x:v>0</x:v>
      </x:c>
      <x:c r="I994" s="185" t="n">
        <x:v>0</x:v>
      </x:c>
      <x:c r="J994" s="185" t="n">
        <x:v>0</x:v>
      </x:c>
      <x:c r="K994" s="289" t="n">
        <x:v>0</x:v>
      </x:c>
    </x:row>
    <x:row r="995" s="117" customFormat="1" hidden="1">
      <x:c r="A995" s="184" t="inlineStr">
        <x:is>
          <x:t xml:space="preserve">EPPGENPTA479</x:t>
        </x:is>
      </x:c>
      <x:c r="B995" s="184" t="inlineStr">
        <x:is>
          <x:t xml:space="preserve">ARNES YARDBIRD SEGMA 3 ARGOLLAS S/CINTURON TALLA S</x:t>
        </x:is>
      </x:c>
      <x:c r="C995" s="184" t="n">
        <x:v>2</x:v>
      </x:c>
      <x:c r="D995" s="184" t="n">
        <x:v>0</x:v>
      </x:c>
      <x:c r="E995" s="184" t="n">
        <x:v>0</x:v>
      </x:c>
      <x:c r="F995" s="184" t="n">
        <x:v>2</x:v>
      </x:c>
      <x:c r="G995" s="184" t="n">
        <x:v>15480</x:v>
      </x:c>
      <x:c r="H995" s="193" t="n">
        <x:v>0</x:v>
      </x:c>
      <x:c r="I995" s="185" t="n">
        <x:v>0</x:v>
      </x:c>
      <x:c r="J995" s="185" t="n">
        <x:v>15480</x:v>
      </x:c>
      <x:c r="K995" s="289" t="n">
        <x:v>7740</x:v>
      </x:c>
    </x:row>
    <x:row r="996" s="117" customFormat="1" hidden="1">
      <x:c r="A996" s="184" t="inlineStr">
        <x:is>
          <x:t xml:space="preserve">EPPGENPTA480</x:t>
        </x:is>
      </x:c>
      <x:c r="B996" s="184" t="inlineStr">
        <x:is>
          <x:t xml:space="preserve">ARNES YARDBIRD SEGMA 3 ARGOLLAS S/CINTURON TALLA M - L</x:t>
        </x:is>
      </x:c>
      <x:c r="C996" s="184" t="n">
        <x:v>3</x:v>
      </x:c>
      <x:c r="D996" s="184" t="n">
        <x:v>0</x:v>
      </x:c>
      <x:c r="E996" s="184" t="n">
        <x:v>0</x:v>
      </x:c>
      <x:c r="F996" s="184" t="n">
        <x:v>3</x:v>
      </x:c>
      <x:c r="G996" s="184" t="n">
        <x:v>23220</x:v>
      </x:c>
      <x:c r="H996" s="193" t="n">
        <x:v>0</x:v>
      </x:c>
      <x:c r="I996" s="185" t="n">
        <x:v>0</x:v>
      </x:c>
      <x:c r="J996" s="185" t="n">
        <x:v>23220</x:v>
      </x:c>
      <x:c r="K996" s="289" t="n">
        <x:v>7740</x:v>
      </x:c>
    </x:row>
    <x:row r="997" s="117" customFormat="1" hidden="1">
      <x:c r="A997" s="184" t="inlineStr">
        <x:is>
          <x:t xml:space="preserve">EPPGENPTA481</x:t>
        </x:is>
      </x:c>
      <x:c r="B997" s="184" t="inlineStr">
        <x:is>
          <x:t xml:space="preserve">ARNES YARDBIRD SEGMA 3 ARGOLLAS S/CINTURON TALLA XL</x:t>
        </x:is>
      </x:c>
      <x:c r="C997" s="184" t="n">
        <x:v>3</x:v>
      </x:c>
      <x:c r="D997" s="184" t="n">
        <x:v>0</x:v>
      </x:c>
      <x:c r="E997" s="184" t="n">
        <x:v>0</x:v>
      </x:c>
      <x:c r="F997" s="184" t="n">
        <x:v>3</x:v>
      </x:c>
      <x:c r="G997" s="184" t="n">
        <x:v>23220</x:v>
      </x:c>
      <x:c r="H997" s="193" t="n">
        <x:v>0</x:v>
      </x:c>
      <x:c r="I997" s="185" t="n">
        <x:v>0</x:v>
      </x:c>
      <x:c r="J997" s="185" t="n">
        <x:v>23220</x:v>
      </x:c>
      <x:c r="K997" s="289" t="n">
        <x:v>7740</x:v>
      </x:c>
    </x:row>
    <x:row r="998" s="117" customFormat="1" hidden="1">
      <x:c r="A998" s="184" t="inlineStr">
        <x:is>
          <x:t xml:space="preserve">EPPGENPTA482</x:t>
        </x:is>
      </x:c>
      <x:c r="B998" s="184" t="inlineStr">
        <x:is>
          <x:t xml:space="preserve">GUANTE ACTIVEX PVC ROJO 14-35 CMS</x:t>
        </x:is>
      </x:c>
      <x:c r="C998" s="184" t="n">
        <x:v>2</x:v>
      </x:c>
      <x:c r="D998" s="184" t="n">
        <x:v>0</x:v>
      </x:c>
      <x:c r="E998" s="184" t="n">
        <x:v>0</x:v>
      </x:c>
      <x:c r="F998" s="184" t="n">
        <x:v>2</x:v>
      </x:c>
      <x:c r="G998" s="184" t="n">
        <x:v>2580</x:v>
      </x:c>
      <x:c r="H998" s="193" t="n">
        <x:v>0</x:v>
      </x:c>
      <x:c r="I998" s="185" t="n">
        <x:v>0</x:v>
      </x:c>
      <x:c r="J998" s="185" t="n">
        <x:v>2580</x:v>
      </x:c>
      <x:c r="K998" s="289" t="n">
        <x:v>1290</x:v>
      </x:c>
    </x:row>
    <x:row r="999" s="117" customFormat="1" hidden="1">
      <x:c r="A999" s="184" t="inlineStr">
        <x:is>
          <x:t xml:space="preserve">EPPGENPTA483</x:t>
        </x:is>
      </x:c>
      <x:c r="B999" s="184" t="inlineStr">
        <x:is>
          <x:t xml:space="preserve">GUANTE ACTIVEX PVC ROJO 18-45 CMS</x:t>
        </x:is>
      </x:c>
      <x:c r="C999" s="184" t="n">
        <x:v>2</x:v>
      </x:c>
      <x:c r="D999" s="184" t="n">
        <x:v>0</x:v>
      </x:c>
      <x:c r="E999" s="184" t="n">
        <x:v>0</x:v>
      </x:c>
      <x:c r="F999" s="184" t="n">
        <x:v>2</x:v>
      </x:c>
      <x:c r="G999" s="184" t="n">
        <x:v>4360</x:v>
      </x:c>
      <x:c r="H999" s="193" t="n">
        <x:v>0</x:v>
      </x:c>
      <x:c r="I999" s="185" t="n">
        <x:v>0</x:v>
      </x:c>
      <x:c r="J999" s="185" t="n">
        <x:v>4360</x:v>
      </x:c>
      <x:c r="K999" s="289" t="n">
        <x:v>2180</x:v>
      </x:c>
    </x:row>
    <x:row r="1000" s="117" customFormat="1" hidden="1">
      <x:c r="A1000" s="184" t="inlineStr">
        <x:is>
          <x:t xml:space="preserve">EPPGENPTA484</x:t>
        </x:is>
      </x:c>
      <x:c r="B1000" s="184" t="inlineStr">
        <x:is>
          <x:t xml:space="preserve">GUANTE MAPA ULTRANITRILO 480 T-L/9</x:t>
        </x:is>
      </x:c>
      <x:c r="C1000" s="184" t="n">
        <x:v>2</x:v>
      </x:c>
      <x:c r="D1000" s="184" t="n">
        <x:v>0</x:v>
      </x:c>
      <x:c r="E1000" s="184" t="n">
        <x:v>0</x:v>
      </x:c>
      <x:c r="F1000" s="184" t="n">
        <x:v>2</x:v>
      </x:c>
      <x:c r="G1000" s="184" t="n">
        <x:v>6700</x:v>
      </x:c>
      <x:c r="H1000" s="193" t="n">
        <x:v>0</x:v>
      </x:c>
      <x:c r="I1000" s="185" t="n">
        <x:v>0</x:v>
      </x:c>
      <x:c r="J1000" s="185" t="n">
        <x:v>6700</x:v>
      </x:c>
      <x:c r="K1000" s="289" t="n">
        <x:v>3350</x:v>
      </x:c>
    </x:row>
    <x:row r="1001" s="117" customFormat="1" hidden="1">
      <x:c r="A1001" s="184" t="inlineStr">
        <x:is>
          <x:t xml:space="preserve">EPPGENPTA485</x:t>
        </x:is>
      </x:c>
      <x:c r="B1001" s="184" t="inlineStr">
        <x:is>
          <x:t xml:space="preserve">GUANTE ANTI VIBRACION NEW MEK-20 RESISTOR TALLA L</x:t>
        </x:is>
      </x:c>
      <x:c r="C1001" s="184" t="n">
        <x:v>0</x:v>
      </x:c>
      <x:c r="D1001" s="184" t="n">
        <x:v>10</x:v>
      </x:c>
      <x:c r="E1001" s="184" t="n">
        <x:v>0</x:v>
      </x:c>
      <x:c r="F1001" s="184" t="n">
        <x:v>10</x:v>
      </x:c>
      <x:c r="G1001" s="184" t="n">
        <x:v>0</x:v>
      </x:c>
      <x:c r="H1001" s="193" t="n">
        <x:v>76240</x:v>
      </x:c>
      <x:c r="I1001" s="185" t="n">
        <x:v>0</x:v>
      </x:c>
      <x:c r="J1001" s="185" t="n">
        <x:v>76240</x:v>
      </x:c>
      <x:c r="K1001" s="289" t="n">
        <x:v>7624</x:v>
      </x:c>
    </x:row>
    <x:row r="1002" s="117" customFormat="1" hidden="1">
      <x:c r="A1002" s="184" t="inlineStr">
        <x:is>
          <x:t xml:space="preserve">EPPGENPTA486</x:t>
        </x:is>
      </x:c>
      <x:c r="B1002" s="184" t="inlineStr">
        <x:is>
          <x:t xml:space="preserve">GUANTE ACTIVEX IMPACTO REYCLED X5 TALLA  M</x:t>
        </x:is>
      </x:c>
      <x:c r="C1002" s="184" t="n">
        <x:v>0</x:v>
      </x:c>
      <x:c r="D1002" s="184" t="n">
        <x:v>20</x:v>
      </x:c>
      <x:c r="E1002" s="184" t="n">
        <x:v>0</x:v>
      </x:c>
      <x:c r="F1002" s="184" t="n">
        <x:v>20</x:v>
      </x:c>
      <x:c r="G1002" s="184" t="n">
        <x:v>0</x:v>
      </x:c>
      <x:c r="H1002" s="193" t="n">
        <x:v>136000</x:v>
      </x:c>
      <x:c r="I1002" s="185" t="n">
        <x:v>0</x:v>
      </x:c>
      <x:c r="J1002" s="185" t="n">
        <x:v>136000</x:v>
      </x:c>
      <x:c r="K1002" s="289" t="n">
        <x:v>6800</x:v>
      </x:c>
    </x:row>
    <x:row r="1003" s="117" customFormat="1" hidden="1">
      <x:c r="A1003" s="184" t="inlineStr">
        <x:is>
          <x:t xml:space="preserve">EPPGENPTA487</x:t>
        </x:is>
      </x:c>
      <x:c r="B1003" s="184" t="inlineStr">
        <x:is>
          <x:t xml:space="preserve">GUANTE ACTIVEX IMPACTO REYCLED X5 TALLA  L</x:t>
        </x:is>
      </x:c>
      <x:c r="C1003" s="184" t="n">
        <x:v>0</x:v>
      </x:c>
      <x:c r="D1003" s="184" t="n">
        <x:v>20</x:v>
      </x:c>
      <x:c r="E1003" s="184" t="n">
        <x:v>0</x:v>
      </x:c>
      <x:c r="F1003" s="184" t="n">
        <x:v>20</x:v>
      </x:c>
      <x:c r="G1003" s="184" t="n">
        <x:v>0</x:v>
      </x:c>
      <x:c r="H1003" s="193" t="n">
        <x:v>136000</x:v>
      </x:c>
      <x:c r="I1003" s="185" t="n">
        <x:v>0</x:v>
      </x:c>
      <x:c r="J1003" s="185" t="n">
        <x:v>136000</x:v>
      </x:c>
      <x:c r="K1003" s="289" t="n">
        <x:v>6800</x:v>
      </x:c>
    </x:row>
    <x:row r="1004" s="117" customFormat="1" hidden="1">
      <x:c r="A1004" s="184" t="inlineStr">
        <x:is>
          <x:t xml:space="preserve">EST1608.....</x:t>
        </x:is>
      </x:c>
      <x:c r="B1004" s="184" t="inlineStr">
        <x:is>
          <x:t xml:space="preserve">TANQUE PULPA DE DESCARGA DECANTER TREN A DIAM 3500*4000 EN FRP CON RESINA EPOXI VINILESTER STD</x:t>
        </x:is>
      </x:c>
      <x:c r="C1004" s="184" t="n">
        <x:v>0</x:v>
      </x:c>
      <x:c r="D1004" s="184" t="n">
        <x:v>0</x:v>
      </x:c>
      <x:c r="E1004" s="184" t="n">
        <x:v>0</x:v>
      </x:c>
      <x:c r="F1004" s="184" t="n">
        <x:v>0</x:v>
      </x:c>
      <x:c r="G1004" s="184" t="n">
        <x:v>0</x:v>
      </x:c>
      <x:c r="H1004" s="193" t="n">
        <x:v>0</x:v>
      </x:c>
      <x:c r="I1004" s="185" t="n">
        <x:v>0</x:v>
      </x:c>
      <x:c r="J1004" s="185" t="n">
        <x:v>0</x:v>
      </x:c>
      <x:c r="K1004" s="289" t="n">
        <x:v>0</x:v>
      </x:c>
    </x:row>
    <x:row r="1005" s="117" customFormat="1" hidden="1">
      <x:c r="A1005" s="184" t="inlineStr">
        <x:is>
          <x:t xml:space="preserve">EST16080000.</x:t>
        </x:is>
      </x:c>
      <x:c r="B1005" s="184" t="inlineStr">
        <x:is>
          <x:t xml:space="preserve">TANQUE PULPA DE DESCARGA DECANTER TREN A DIAM 3500*4000 EN FRP CON RESINA EPOXI VINILESTER STD</x:t>
        </x:is>
      </x:c>
      <x:c r="C1005" s="184" t="n">
        <x:v>0</x:v>
      </x:c>
      <x:c r="D1005" s="184" t="n">
        <x:v>0</x:v>
      </x:c>
      <x:c r="E1005" s="184" t="n">
        <x:v>0</x:v>
      </x:c>
      <x:c r="F1005" s="184" t="n">
        <x:v>0</x:v>
      </x:c>
      <x:c r="G1005" s="184" t="n">
        <x:v>0</x:v>
      </x:c>
      <x:c r="H1005" s="193" t="n">
        <x:v>0</x:v>
      </x:c>
      <x:c r="I1005" s="185" t="n">
        <x:v>0</x:v>
      </x:c>
      <x:c r="J1005" s="185" t="n">
        <x:v>0</x:v>
      </x:c>
      <x:c r="K1005" s="289" t="n">
        <x:v>0</x:v>
      </x:c>
    </x:row>
    <x:row r="1006" s="117" customFormat="1" hidden="1">
      <x:c r="A1006" s="184" t="inlineStr">
        <x:is>
          <x:t xml:space="preserve">FACFLA001001</x:t>
        </x:is>
      </x:c>
      <x:c r="B1006" s="184" t="inlineStr">
        <x:is>
          <x:t xml:space="preserve">FLANGE DE ACERO 316L DN 100</x:t>
        </x:is>
      </x:c>
      <x:c r="C1006" s="184" t="n">
        <x:v>1</x:v>
      </x:c>
      <x:c r="D1006" s="184" t="n">
        <x:v>0</x:v>
      </x:c>
      <x:c r="E1006" s="184" t="n">
        <x:v>0</x:v>
      </x:c>
      <x:c r="F1006" s="184" t="n">
        <x:v>1</x:v>
      </x:c>
      <x:c r="G1006" s="184" t="n">
        <x:v>15000</x:v>
      </x:c>
      <x:c r="H1006" s="193" t="n">
        <x:v>0</x:v>
      </x:c>
      <x:c r="I1006" s="185" t="n">
        <x:v>0</x:v>
      </x:c>
      <x:c r="J1006" s="185" t="n">
        <x:v>15000</x:v>
      </x:c>
      <x:c r="K1006" s="289" t="n">
        <x:v>15000</x:v>
      </x:c>
    </x:row>
    <x:row r="1007" s="117" customFormat="1" hidden="1">
      <x:c r="A1007" s="184" t="inlineStr">
        <x:is>
          <x:t xml:space="preserve">FACFLA001002</x:t>
        </x:is>
      </x:c>
      <x:c r="B1007" s="184" t="inlineStr">
        <x:is>
          <x:t xml:space="preserve">FLANGE DE ACERO 316L DN 150</x:t>
        </x:is>
      </x:c>
      <x:c r="C1007" s="184" t="n">
        <x:v>0</x:v>
      </x:c>
      <x:c r="D1007" s="184" t="n">
        <x:v>0</x:v>
      </x:c>
      <x:c r="E1007" s="184" t="n">
        <x:v>0</x:v>
      </x:c>
      <x:c r="F1007" s="184" t="n">
        <x:v>0</x:v>
      </x:c>
      <x:c r="G1007" s="184" t="n">
        <x:v>0</x:v>
      </x:c>
      <x:c r="H1007" s="193" t="n">
        <x:v>0</x:v>
      </x:c>
      <x:c r="I1007" s="185" t="n">
        <x:v>0</x:v>
      </x:c>
      <x:c r="J1007" s="185" t="n">
        <x:v>0</x:v>
      </x:c>
      <x:c r="K1007" s="289" t="n">
        <x:v>16500</x:v>
      </x:c>
    </x:row>
    <x:row r="1008" s="117" customFormat="1" hidden="1">
      <x:c r="A1008" s="184" t="inlineStr">
        <x:is>
          <x:t xml:space="preserve">FACFLA001003</x:t>
        </x:is>
      </x:c>
      <x:c r="B1008" s="184" t="inlineStr">
        <x:is>
          <x:t xml:space="preserve">FLANGE DE ACERO 316L DN 250</x:t>
        </x:is>
      </x:c>
      <x:c r="C1008" s="184" t="n">
        <x:v>2</x:v>
      </x:c>
      <x:c r="D1008" s="184" t="n">
        <x:v>0</x:v>
      </x:c>
      <x:c r="E1008" s="184" t="n">
        <x:v>0</x:v>
      </x:c>
      <x:c r="F1008" s="184" t="n">
        <x:v>2</x:v>
      </x:c>
      <x:c r="G1008" s="184" t="n">
        <x:v>91200</x:v>
      </x:c>
      <x:c r="H1008" s="193" t="n">
        <x:v>0</x:v>
      </x:c>
      <x:c r="I1008" s="185" t="n">
        <x:v>0</x:v>
      </x:c>
      <x:c r="J1008" s="185" t="n">
        <x:v>91200</x:v>
      </x:c>
      <x:c r="K1008" s="289" t="n">
        <x:v>45600</x:v>
      </x:c>
    </x:row>
    <x:row r="1009" s="117" customFormat="1" hidden="1">
      <x:c r="A1009" s="184" t="inlineStr">
        <x:is>
          <x:t xml:space="preserve">FACFLA001004</x:t>
        </x:is>
      </x:c>
      <x:c r="B1009" s="184" t="inlineStr">
        <x:is>
          <x:t xml:space="preserve">FLANGE ACERO INOXIDABLE 18 PLG ANSI B16,5 CLASE 150</x:t>
        </x:is>
      </x:c>
      <x:c r="C1009" s="184" t="n">
        <x:v>0</x:v>
      </x:c>
      <x:c r="D1009" s="184" t="n">
        <x:v>0</x:v>
      </x:c>
      <x:c r="E1009" s="184" t="n">
        <x:v>0</x:v>
      </x:c>
      <x:c r="F1009" s="184" t="n">
        <x:v>0</x:v>
      </x:c>
      <x:c r="G1009" s="184" t="n">
        <x:v>0</x:v>
      </x:c>
      <x:c r="H1009" s="193" t="n">
        <x:v>0</x:v>
      </x:c>
      <x:c r="I1009" s="185" t="n">
        <x:v>0</x:v>
      </x:c>
      <x:c r="J1009" s="185" t="n">
        <x:v>0</x:v>
      </x:c>
      <x:c r="K1009" s="289" t="n">
        <x:v>450000</x:v>
      </x:c>
    </x:row>
    <x:row r="1010" s="117" customFormat="1" hidden="1">
      <x:c r="A1010" s="184" t="inlineStr">
        <x:is>
          <x:t xml:space="preserve">FBP001001001</x:t>
        </x:is>
      </x:c>
      <x:c r="B1010" s="184" t="inlineStr">
        <x:is>
          <x:t xml:space="preserve">SPRAY IMPRIMACION PARA PLASTICOS Y METALES</x:t>
        </x:is>
      </x:c>
      <x:c r="C1010" s="184" t="n">
        <x:v>0</x:v>
      </x:c>
      <x:c r="D1010" s="184" t="n">
        <x:v>0</x:v>
      </x:c>
      <x:c r="E1010" s="184" t="n">
        <x:v>0</x:v>
      </x:c>
      <x:c r="F1010" s="184" t="n">
        <x:v>0</x:v>
      </x:c>
      <x:c r="G1010" s="184" t="n">
        <x:v>0</x:v>
      </x:c>
      <x:c r="H1010" s="193" t="n">
        <x:v>0</x:v>
      </x:c>
      <x:c r="I1010" s="185" t="n">
        <x:v>0</x:v>
      </x:c>
      <x:c r="J1010" s="185" t="n">
        <x:v>0</x:v>
      </x:c>
      <x:c r="K1010" s="289" t="n">
        <x:v>14012</x:v>
      </x:c>
    </x:row>
    <x:row r="1011" s="117" customFormat="1" hidden="1">
      <x:c r="A1011" s="184" t="inlineStr">
        <x:is>
          <x:t xml:space="preserve">FIBTELJSH012</x:t>
        </x:is>
      </x:c>
      <x:c r="B1011" s="184" t="inlineStr">
        <x:is>
          <x:t xml:space="preserve">ROVING FV 2200 E6</x:t>
        </x:is>
      </x:c>
      <x:c r="C1011" s="184" t="n">
        <x:v>0</x:v>
      </x:c>
      <x:c r="D1011" s="184" t="n">
        <x:v>0</x:v>
      </x:c>
      <x:c r="E1011" s="184" t="n">
        <x:v>0</x:v>
      </x:c>
      <x:c r="F1011" s="184" t="n">
        <x:v>0</x:v>
      </x:c>
      <x:c r="G1011" s="184" t="n">
        <x:v>0</x:v>
      </x:c>
      <x:c r="H1011" s="193" t="n">
        <x:v>0</x:v>
      </x:c>
      <x:c r="I1011" s="185" t="n">
        <x:v>0</x:v>
      </x:c>
      <x:c r="J1011" s="185" t="n">
        <x:v>0</x:v>
      </x:c>
      <x:c r="K1011" s="289" t="n">
        <x:v>1170</x:v>
      </x:c>
    </x:row>
    <x:row r="1012" s="117" customFormat="1" hidden="1">
      <x:c r="A1012" s="184" t="inlineStr">
        <x:is>
          <x:t xml:space="preserve">FIBTELPLA002</x:t>
        </x:is>
      </x:c>
      <x:c r="B1012" s="184" t="inlineStr">
        <x:is>
          <x:t xml:space="preserve">FIBRA DE VIDRIO MAT 450 PLASTIQUIMICA</x:t>
        </x:is>
      </x:c>
      <x:c r="C1012" s="184" t="n">
        <x:v>30</x:v>
      </x:c>
      <x:c r="D1012" s="184" t="n">
        <x:v>0</x:v>
      </x:c>
      <x:c r="E1012" s="184" t="n">
        <x:v>10</x:v>
      </x:c>
      <x:c r="F1012" s="184" t="n">
        <x:v>20</x:v>
      </x:c>
      <x:c r="G1012" s="184" t="n">
        <x:v>45480</x:v>
      </x:c>
      <x:c r="H1012" s="193" t="n">
        <x:v>0</x:v>
      </x:c>
      <x:c r="I1012" s="185" t="n">
        <x:v>15160</x:v>
      </x:c>
      <x:c r="J1012" s="185" t="n">
        <x:v>30320</x:v>
      </x:c>
      <x:c r="K1012" s="289" t="n">
        <x:v>1516</x:v>
      </x:c>
    </x:row>
    <x:row r="1013" s="117" customFormat="1" hidden="1">
      <x:c r="A1013" s="184" t="inlineStr">
        <x:is>
          <x:t xml:space="preserve">FIBTELPLA010</x:t>
        </x:is>
      </x:c>
      <x:c r="B1013" s="184" t="inlineStr">
        <x:is>
          <x:t xml:space="preserve">VELO VIDRIO C 30g/m2 PLASTIQUIMICA</x:t>
        </x:is>
      </x:c>
      <x:c r="C1013" s="184" t="n">
        <x:v>0</x:v>
      </x:c>
      <x:c r="D1013" s="184" t="n">
        <x:v>0</x:v>
      </x:c>
      <x:c r="E1013" s="184" t="n">
        <x:v>0</x:v>
      </x:c>
      <x:c r="F1013" s="184" t="n">
        <x:v>0</x:v>
      </x:c>
      <x:c r="G1013" s="184" t="n">
        <x:v>2</x:v>
      </x:c>
      <x:c r="H1013" s="193" t="n">
        <x:v>0</x:v>
      </x:c>
      <x:c r="I1013" s="185" t="n">
        <x:v>0</x:v>
      </x:c>
      <x:c r="J1013" s="185" t="n">
        <x:v>2</x:v>
      </x:c>
      <x:c r="K1013" s="289" t="n">
        <x:v>19498</x:v>
      </x:c>
    </x:row>
    <x:row r="1014" s="117" customFormat="1" hidden="1">
      <x:c r="A1014" s="184" t="inlineStr">
        <x:is>
          <x:t xml:space="preserve">FIBVELCAR001</x:t>
        </x:is>
      </x:c>
      <x:c r="B1014" s="184" t="inlineStr">
        <x:is>
          <x:t xml:space="preserve">VELO DE CARBONO (62GRS / M2)</x:t>
        </x:is>
      </x:c>
      <x:c r="C1014" s="184" t="n">
        <x:v>0</x:v>
      </x:c>
      <x:c r="D1014" s="184" t="n">
        <x:v>0</x:v>
      </x:c>
      <x:c r="E1014" s="184" t="n">
        <x:v>0</x:v>
      </x:c>
      <x:c r="F1014" s="184" t="n">
        <x:v>0</x:v>
      </x:c>
      <x:c r="G1014" s="184" t="n">
        <x:v>0</x:v>
      </x:c>
      <x:c r="H1014" s="193" t="n">
        <x:v>0</x:v>
      </x:c>
      <x:c r="I1014" s="185" t="n">
        <x:v>0</x:v>
      </x:c>
      <x:c r="J1014" s="185" t="n">
        <x:v>0</x:v>
      </x:c>
      <x:c r="K1014" s="289" t="n">
        <x:v>0</x:v>
      </x:c>
    </x:row>
    <x:row r="1015" s="117" customFormat="1" hidden="1">
      <x:c r="A1015" s="184" t="inlineStr">
        <x:is>
          <x:t xml:space="preserve">FRPCAN001001</x:t>
        </x:is>
      </x:c>
      <x:c r="B1015" s="184" t="inlineStr">
        <x:is>
          <x:t xml:space="preserve">CAÑERIA FRP DN600 X 6000  ARAUCO</x:t>
        </x:is>
      </x:c>
      <x:c r="C1015" s="184" t="n">
        <x:v>2</x:v>
      </x:c>
      <x:c r="D1015" s="184" t="n">
        <x:v>0</x:v>
      </x:c>
      <x:c r="E1015" s="184" t="n">
        <x:v>0</x:v>
      </x:c>
      <x:c r="F1015" s="184" t="n">
        <x:v>2</x:v>
      </x:c>
      <x:c r="G1015" s="184" t="n">
        <x:v>769230</x:v>
      </x:c>
      <x:c r="H1015" s="193" t="n">
        <x:v>0</x:v>
      </x:c>
      <x:c r="I1015" s="185" t="n">
        <x:v>0</x:v>
      </x:c>
      <x:c r="J1015" s="185" t="n">
        <x:v>769230</x:v>
      </x:c>
      <x:c r="K1015" s="289" t="n">
        <x:v>384615</x:v>
      </x:c>
    </x:row>
    <x:row r="1016" s="117" customFormat="1" hidden="1">
      <x:c r="A1016" s="184" t="inlineStr">
        <x:is>
          <x:t xml:space="preserve">FRPCAN001002</x:t>
        </x:is>
      </x:c>
      <x:c r="B1016" s="184" t="inlineStr">
        <x:is>
          <x:t xml:space="preserve">CAÑERIA FRP DN700 X 6000  ARAUCO</x:t>
        </x:is>
      </x:c>
      <x:c r="C1016" s="184" t="n">
        <x:v>8</x:v>
      </x:c>
      <x:c r="D1016" s="184" t="n">
        <x:v>0</x:v>
      </x:c>
      <x:c r="E1016" s="184" t="n">
        <x:v>0</x:v>
      </x:c>
      <x:c r="F1016" s="184" t="n">
        <x:v>8</x:v>
      </x:c>
      <x:c r="G1016" s="184" t="n">
        <x:v>3076920</x:v>
      </x:c>
      <x:c r="H1016" s="193" t="n">
        <x:v>0</x:v>
      </x:c>
      <x:c r="I1016" s="185" t="n">
        <x:v>0</x:v>
      </x:c>
      <x:c r="J1016" s="185" t="n">
        <x:v>3076920</x:v>
      </x:c>
      <x:c r="K1016" s="289" t="n">
        <x:v>384614.972222</x:v>
      </x:c>
    </x:row>
    <x:row r="1017" s="117" customFormat="1" hidden="1">
      <x:c r="A1017" s="184" t="inlineStr">
        <x:is>
          <x:t xml:space="preserve">HDPTUBNEG001</x:t>
        </x:is>
      </x:c>
      <x:c r="B1017" s="184" t="inlineStr">
        <x:is>
          <x:t xml:space="preserve">TUBERIA ESPEC.HDPE NEGRO OD 111 MM ID 60 MM TF</x:t>
        </x:is>
      </x:c>
      <x:c r="C1017" s="184" t="n">
        <x:v>45</x:v>
      </x:c>
      <x:c r="D1017" s="184" t="n">
        <x:v>0</x:v>
      </x:c>
      <x:c r="E1017" s="184" t="n">
        <x:v>0</x:v>
      </x:c>
      <x:c r="F1017" s="184" t="n">
        <x:v>45</x:v>
      </x:c>
      <x:c r="G1017" s="184" t="n">
        <x:v>1735065</x:v>
      </x:c>
      <x:c r="H1017" s="193" t="n">
        <x:v>0</x:v>
      </x:c>
      <x:c r="I1017" s="185" t="n">
        <x:v>0</x:v>
      </x:c>
      <x:c r="J1017" s="185" t="n">
        <x:v>1735065</x:v>
      </x:c>
      <x:c r="K1017" s="289" t="n">
        <x:v>38557</x:v>
      </x:c>
    </x:row>
    <x:row r="1018" s="117" customFormat="1" hidden="1">
      <x:c r="A1018" s="184" t="inlineStr">
        <x:is>
          <x:t xml:space="preserve">HILLENSAN925</x:t>
        </x:is>
      </x:c>
      <x:c r="B1018" s="184" t="inlineStr">
        <x:is>
          <x:t xml:space="preserve">HILADO LENZING SANDWICH 925</x:t>
        </x:is>
      </x:c>
      <x:c r="C1018" s="184" t="n">
        <x:v>0</x:v>
      </x:c>
      <x:c r="D1018" s="184" t="n">
        <x:v>0</x:v>
      </x:c>
      <x:c r="E1018" s="184" t="n">
        <x:v>0</x:v>
      </x:c>
      <x:c r="F1018" s="184" t="n">
        <x:v>0</x:v>
      </x:c>
      <x:c r="G1018" s="184" t="n">
        <x:v>0</x:v>
      </x:c>
      <x:c r="H1018" s="193" t="n">
        <x:v>0</x:v>
      </x:c>
      <x:c r="I1018" s="185" t="n">
        <x:v>0</x:v>
      </x:c>
      <x:c r="J1018" s="185" t="n">
        <x:v>0</x:v>
      </x:c>
      <x:c r="K1018" s="289" t="n">
        <x:v>0</x:v>
      </x:c>
    </x:row>
    <x:row r="1019" s="117" customFormat="1" hidden="1">
      <x:c r="A1019" s="184" t="inlineStr">
        <x:is>
          <x:t xml:space="preserve">HILLENTFE723</x:t>
        </x:is>
      </x:c>
      <x:c r="B1019" s="184" t="inlineStr">
        <x:is>
          <x:t xml:space="preserve">HILADO LENZING PTFE 723</x:t>
        </x:is>
      </x:c>
      <x:c r="C1019" s="184" t="n">
        <x:v>0</x:v>
      </x:c>
      <x:c r="D1019" s="184" t="n">
        <x:v>0</x:v>
      </x:c>
      <x:c r="E1019" s="184" t="n">
        <x:v>0</x:v>
      </x:c>
      <x:c r="F1019" s="184" t="n">
        <x:v>0</x:v>
      </x:c>
      <x:c r="G1019" s="184" t="n">
        <x:v>0</x:v>
      </x:c>
      <x:c r="H1019" s="193" t="n">
        <x:v>0</x:v>
      </x:c>
      <x:c r="I1019" s="185" t="n">
        <x:v>0</x:v>
      </x:c>
      <x:c r="J1019" s="185" t="n">
        <x:v>0</x:v>
      </x:c>
      <x:c r="K1019" s="289" t="n">
        <x:v>0</x:v>
      </x:c>
    </x:row>
    <x:row r="1020" s="117" customFormat="1" hidden="1">
      <x:c r="A1020" s="184" t="inlineStr">
        <x:is>
          <x:t xml:space="preserve">HILTEJTWA103</x:t>
        </x:is>
      </x:c>
      <x:c r="B1020" s="184" t="inlineStr">
        <x:is>
          <x:t xml:space="preserve">HILADO KEVLAR TWARON 1030</x:t>
        </x:is>
      </x:c>
      <x:c r="C1020" s="184" t="n">
        <x:v>0</x:v>
      </x:c>
      <x:c r="D1020" s="184" t="n">
        <x:v>0</x:v>
      </x:c>
      <x:c r="E1020" s="184" t="n">
        <x:v>0</x:v>
      </x:c>
      <x:c r="F1020" s="184" t="n">
        <x:v>0</x:v>
      </x:c>
      <x:c r="G1020" s="184" t="n">
        <x:v>0</x:v>
      </x:c>
      <x:c r="H1020" s="193" t="n">
        <x:v>0</x:v>
      </x:c>
      <x:c r="I1020" s="185" t="n">
        <x:v>0</x:v>
      </x:c>
      <x:c r="J1020" s="185" t="n">
        <x:v>0</x:v>
      </x:c>
      <x:c r="K1020" s="289" t="n">
        <x:v>0</x:v>
      </x:c>
    </x:row>
    <x:row r="1021" s="117" customFormat="1" hidden="1">
      <x:c r="A1021" s="184" t="inlineStr">
        <x:is>
          <x:t xml:space="preserve">ING001001001</x:t>
        </x:is>
      </x:c>
      <x:c r="B1021" s="184" t="inlineStr">
        <x:is>
          <x:t xml:space="preserve">POS 80 CANT 0,2 CLP  3.770.000 WE 5008720680 DOCUMENTACION TECNICA</x:t>
        </x:is>
      </x:c>
      <x:c r="C1021" s="184" t="n">
        <x:v>0</x:v>
      </x:c>
      <x:c r="D1021" s="184" t="n">
        <x:v>0</x:v>
      </x:c>
      <x:c r="E1021" s="184" t="n">
        <x:v>0</x:v>
      </x:c>
      <x:c r="F1021" s="184" t="n">
        <x:v>0</x:v>
      </x:c>
      <x:c r="G1021" s="184" t="n">
        <x:v>0</x:v>
      </x:c>
      <x:c r="H1021" s="193" t="n">
        <x:v>0</x:v>
      </x:c>
      <x:c r="I1021" s="185" t="n">
        <x:v>0</x:v>
      </x:c>
      <x:c r="J1021" s="185" t="n">
        <x:v>0</x:v>
      </x:c>
      <x:c r="K1021" s="289" t="n">
        <x:v>900000</x:v>
      </x:c>
    </x:row>
    <x:row r="1022" s="117" customFormat="1" hidden="1">
      <x:c r="A1022" s="184" t="inlineStr">
        <x:is>
          <x:t xml:space="preserve">LONPAQ001001</x:t>
        </x:is>
      </x:c>
      <x:c r="B1022" s="184" t="inlineStr">
        <x:is>
          <x:t xml:space="preserve">PLANCHA DE TEFLON EXPANDIDO 1/8 X60 X60</x:t>
        </x:is>
      </x:c>
      <x:c r="C1022" s="184" t="n">
        <x:v>56</x:v>
      </x:c>
      <x:c r="D1022" s="184" t="n">
        <x:v>0</x:v>
      </x:c>
      <x:c r="E1022" s="184" t="n">
        <x:v>0</x:v>
      </x:c>
      <x:c r="F1022" s="184" t="n">
        <x:v>56</x:v>
      </x:c>
      <x:c r="G1022" s="184" t="n">
        <x:v>9654675</x:v>
      </x:c>
      <x:c r="H1022" s="193" t="n">
        <x:v>0</x:v>
      </x:c>
      <x:c r="I1022" s="185" t="n">
        <x:v>0</x:v>
      </x:c>
      <x:c r="J1022" s="185" t="n">
        <x:v>9654675</x:v>
      </x:c>
      <x:c r="K1022" s="289" t="n">
        <x:v>172404.79512761</x:v>
      </x:c>
    </x:row>
    <x:row r="1023" s="117" customFormat="1" hidden="1">
      <x:c r="A1023" s="184" t="inlineStr">
        <x:is>
          <x:t xml:space="preserve">LONPAQ001002</x:t>
        </x:is>
      </x:c>
      <x:c r="B1023" s="184" t="inlineStr">
        <x:is>
          <x:t xml:space="preserve">CINTA TEFLON TEFLON EXPANDIDO 5/8 X 15!</x:t>
        </x:is>
      </x:c>
      <x:c r="C1023" s="184" t="n">
        <x:v>230</x:v>
      </x:c>
      <x:c r="D1023" s="184" t="n">
        <x:v>0</x:v>
      </x:c>
      <x:c r="E1023" s="184" t="n">
        <x:v>0</x:v>
      </x:c>
      <x:c r="F1023" s="184" t="n">
        <x:v>230</x:v>
      </x:c>
      <x:c r="G1023" s="184" t="n">
        <x:v>712278</x:v>
      </x:c>
      <x:c r="H1023" s="193" t="n">
        <x:v>0</x:v>
      </x:c>
      <x:c r="I1023" s="185" t="n">
        <x:v>0</x:v>
      </x:c>
      <x:c r="J1023" s="185" t="n">
        <x:v>712278</x:v>
      </x:c>
      <x:c r="K1023" s="289" t="n">
        <x:v>3096.86731392</x:v>
      </x:c>
    </x:row>
    <x:row r="1024" s="117" customFormat="1" hidden="1">
      <x:c r="A1024" s="184" t="inlineStr">
        <x:is>
          <x:t xml:space="preserve">LONPAQ001003</x:t>
        </x:is>
      </x:c>
      <x:c r="B1024" s="184" t="inlineStr">
        <x:is>
          <x:t xml:space="preserve">CINTA TEFLON EXPANDIDO 1/2 PLG X 15 FT</x:t>
        </x:is>
      </x:c>
      <x:c r="C1024" s="184" t="n">
        <x:v>350</x:v>
      </x:c>
      <x:c r="D1024" s="184" t="n">
        <x:v>0</x:v>
      </x:c>
      <x:c r="E1024" s="184" t="n">
        <x:v>0</x:v>
      </x:c>
      <x:c r="F1024" s="184" t="n">
        <x:v>350</x:v>
      </x:c>
      <x:c r="G1024" s="184" t="n">
        <x:v>982251</x:v>
      </x:c>
      <x:c r="H1024" s="193" t="n">
        <x:v>0</x:v>
      </x:c>
      <x:c r="I1024" s="185" t="n">
        <x:v>0</x:v>
      </x:c>
      <x:c r="J1024" s="185" t="n">
        <x:v>982251</x:v>
      </x:c>
      <x:c r="K1024" s="289" t="n">
        <x:v>2806.43350268</x:v>
      </x:c>
    </x:row>
    <x:row r="1025" s="117" customFormat="1" hidden="1">
      <x:c r="A1025" s="184" t="inlineStr">
        <x:is>
          <x:t xml:space="preserve">LONPAQ001004</x:t>
        </x:is>
      </x:c>
      <x:c r="B1025" s="184" t="inlineStr">
        <x:is>
          <x:t xml:space="preserve">CINTA TEFLON EXPANDIDO 3/8 PLG X 30 FT</x:t>
        </x:is>
      </x:c>
      <x:c r="C1025" s="184" t="n">
        <x:v>79</x:v>
      </x:c>
      <x:c r="D1025" s="184" t="n">
        <x:v>0</x:v>
      </x:c>
      <x:c r="E1025" s="184" t="n">
        <x:v>0</x:v>
      </x:c>
      <x:c r="F1025" s="184" t="n">
        <x:v>79</x:v>
      </x:c>
      <x:c r="G1025" s="184" t="n">
        <x:v>226094</x:v>
      </x:c>
      <x:c r="H1025" s="193" t="n">
        <x:v>0</x:v>
      </x:c>
      <x:c r="I1025" s="185" t="n">
        <x:v>0</x:v>
      </x:c>
      <x:c r="J1025" s="185" t="n">
        <x:v>226094</x:v>
      </x:c>
      <x:c r="K1025" s="289" t="n">
        <x:v>2861.95145631</x:v>
      </x:c>
    </x:row>
    <x:row r="1026" s="117" customFormat="1" hidden="1">
      <x:c r="A1026" s="184" t="inlineStr">
        <x:is>
          <x:t xml:space="preserve">LONPAQ001005</x:t>
        </x:is>
      </x:c>
      <x:c r="B1026" s="184" t="inlineStr">
        <x:is>
          <x:t xml:space="preserve">CINTA TEFLON EXPANDIDO 3/16 PLG X 30 FT</x:t>
        </x:is>
      </x:c>
      <x:c r="C1026" s="184" t="n">
        <x:v>0</x:v>
      </x:c>
      <x:c r="D1026" s="184" t="n">
        <x:v>0</x:v>
      </x:c>
      <x:c r="E1026" s="184" t="n">
        <x:v>0</x:v>
      </x:c>
      <x:c r="F1026" s="184" t="n">
        <x:v>0</x:v>
      </x:c>
      <x:c r="G1026" s="184" t="n">
        <x:v>0</x:v>
      </x:c>
      <x:c r="H1026" s="193" t="n">
        <x:v>0</x:v>
      </x:c>
      <x:c r="I1026" s="185" t="n">
        <x:v>0</x:v>
      </x:c>
      <x:c r="J1026" s="185" t="n">
        <x:v>0</x:v>
      </x:c>
      <x:c r="K1026" s="289" t="n">
        <x:v>13179</x:v>
      </x:c>
    </x:row>
    <x:row r="1027" s="117" customFormat="1" hidden="1">
      <x:c r="A1027" s="184" t="inlineStr">
        <x:is>
          <x:t xml:space="preserve">LONPAQ001006</x:t>
        </x:is>
      </x:c>
      <x:c r="B1027" s="184" t="inlineStr">
        <x:is>
          <x:t xml:space="preserve">CINTA TEFLON EXPANDIDO 1 PLG X 15 FT</x:t>
        </x:is>
      </x:c>
      <x:c r="C1027" s="184" t="n">
        <x:v>292</x:v>
      </x:c>
      <x:c r="D1027" s="184" t="n">
        <x:v>0</x:v>
      </x:c>
      <x:c r="E1027" s="184" t="n">
        <x:v>0</x:v>
      </x:c>
      <x:c r="F1027" s="184" t="n">
        <x:v>292</x:v>
      </x:c>
      <x:c r="G1027" s="184" t="n">
        <x:v>1253870</x:v>
      </x:c>
      <x:c r="H1027" s="193" t="n">
        <x:v>0</x:v>
      </x:c>
      <x:c r="I1027" s="185" t="n">
        <x:v>0</x:v>
      </x:c>
      <x:c r="J1027" s="185" t="n">
        <x:v>1253870</x:v>
      </x:c>
      <x:c r="K1027" s="289" t="n">
        <x:v>4294.07272451</x:v>
      </x:c>
    </x:row>
    <x:row r="1028" s="117" customFormat="1" hidden="1">
      <x:c r="A1028" s="184" t="inlineStr">
        <x:is>
          <x:t xml:space="preserve">LONPAQ001007</x:t>
        </x:is>
      </x:c>
      <x:c r="B1028" s="184" t="inlineStr">
        <x:is>
          <x:t xml:space="preserve">CINTA TEFLON EXPANDIDO JOINT SEALANT 3/4 PLG X 15 FT</x:t>
        </x:is>
      </x:c>
      <x:c r="C1028" s="184" t="n">
        <x:v>358</x:v>
      </x:c>
      <x:c r="D1028" s="184" t="n">
        <x:v>0</x:v>
      </x:c>
      <x:c r="E1028" s="184" t="n">
        <x:v>0</x:v>
      </x:c>
      <x:c r="F1028" s="184" t="n">
        <x:v>358</x:v>
      </x:c>
      <x:c r="G1028" s="184" t="n">
        <x:v>1175242</x:v>
      </x:c>
      <x:c r="H1028" s="193" t="n">
        <x:v>0</x:v>
      </x:c>
      <x:c r="I1028" s="185" t="n">
        <x:v>0</x:v>
      </x:c>
      <x:c r="J1028" s="185" t="n">
        <x:v>1175242</x:v>
      </x:c>
      <x:c r="K1028" s="289" t="n">
        <x:v>3282.79887743</x:v>
      </x:c>
    </x:row>
    <x:row r="1029" s="117" customFormat="1" hidden="1">
      <x:c r="A1029" s="184" t="inlineStr">
        <x:is>
          <x:t xml:space="preserve">LONPAQ001008</x:t>
        </x:is>
      </x:c>
      <x:c r="B1029" s="184" t="inlineStr">
        <x:is>
          <x:t xml:space="preserve">CINTA TEFLON EXPANDIDO 3/4  X 30 PIES</x:t>
        </x:is>
      </x:c>
      <x:c r="C1029" s="184" t="n">
        <x:v>9</x:v>
      </x:c>
      <x:c r="D1029" s="184" t="n">
        <x:v>0</x:v>
      </x:c>
      <x:c r="E1029" s="184" t="n">
        <x:v>0</x:v>
      </x:c>
      <x:c r="F1029" s="184" t="n">
        <x:v>9</x:v>
      </x:c>
      <x:c r="G1029" s="184" t="n">
        <x:v>153315</x:v>
      </x:c>
      <x:c r="H1029" s="193" t="n">
        <x:v>0</x:v>
      </x:c>
      <x:c r="I1029" s="185" t="n">
        <x:v>0</x:v>
      </x:c>
      <x:c r="J1029" s="185" t="n">
        <x:v>153315</x:v>
      </x:c>
      <x:c r="K1029" s="289" t="n">
        <x:v>17035</x:v>
      </x:c>
    </x:row>
    <x:row r="1030" s="117" customFormat="1" hidden="1">
      <x:c r="A1030" s="184" t="inlineStr">
        <x:is>
          <x:t xml:space="preserve">LONPAQ001009</x:t>
        </x:is>
      </x:c>
      <x:c r="B1030" s="184" t="inlineStr">
        <x:is>
          <x:t xml:space="preserve">CINTA TEFLON EXPANDIDO 5/8 X 30 FT</x:t>
        </x:is>
      </x:c>
      <x:c r="C1030" s="184" t="n">
        <x:v>0</x:v>
      </x:c>
      <x:c r="D1030" s="184" t="n">
        <x:v>0</x:v>
      </x:c>
      <x:c r="E1030" s="184" t="n">
        <x:v>0</x:v>
      </x:c>
      <x:c r="F1030" s="184" t="n">
        <x:v>0</x:v>
      </x:c>
      <x:c r="G1030" s="184" t="n">
        <x:v>0</x:v>
      </x:c>
      <x:c r="H1030" s="193" t="n">
        <x:v>0</x:v>
      </x:c>
      <x:c r="I1030" s="185" t="n">
        <x:v>0</x:v>
      </x:c>
      <x:c r="J1030" s="185" t="n">
        <x:v>0</x:v>
      </x:c>
      <x:c r="K1030" s="289" t="n">
        <x:v>4179</x:v>
      </x:c>
    </x:row>
    <x:row r="1031" s="117" customFormat="1" hidden="1">
      <x:c r="A1031" s="184" t="inlineStr">
        <x:is>
          <x:t xml:space="preserve">LONPAQ001010</x:t>
        </x:is>
      </x:c>
      <x:c r="B1031" s="184" t="inlineStr">
        <x:is>
          <x:t xml:space="preserve">PLANCHA TEFLON EXPANDIDO 1/16 X 60 X 60 IN</x:t>
        </x:is>
      </x:c>
      <x:c r="C1031" s="184" t="n">
        <x:v>17</x:v>
      </x:c>
      <x:c r="D1031" s="184" t="n">
        <x:v>0</x:v>
      </x:c>
      <x:c r="E1031" s="184" t="n">
        <x:v>0</x:v>
      </x:c>
      <x:c r="F1031" s="184" t="n">
        <x:v>17</x:v>
      </x:c>
      <x:c r="G1031" s="184" t="n">
        <x:v>2191810</x:v>
      </x:c>
      <x:c r="H1031" s="193" t="n">
        <x:v>0</x:v>
      </x:c>
      <x:c r="I1031" s="185" t="n">
        <x:v>0</x:v>
      </x:c>
      <x:c r="J1031" s="185" t="n">
        <x:v>2191810</x:v>
      </x:c>
      <x:c r="K1031" s="289" t="n">
        <x:v>128930</x:v>
      </x:c>
    </x:row>
    <x:row r="1032" s="117" customFormat="1" hidden="1">
      <x:c r="A1032" s="184" t="inlineStr">
        <x:is>
          <x:t xml:space="preserve">LONPAQ001011</x:t>
        </x:is>
      </x:c>
      <x:c r="B1032" s="184" t="inlineStr">
        <x:is>
          <x:t xml:space="preserve">PLANCHA TEFLON EXPANDIDO 1/4 X 60 X 60 IN</x:t>
        </x:is>
      </x:c>
      <x:c r="C1032" s="184" t="n">
        <x:v>4</x:v>
      </x:c>
      <x:c r="D1032" s="184" t="n">
        <x:v>0</x:v>
      </x:c>
      <x:c r="E1032" s="184" t="n">
        <x:v>0</x:v>
      </x:c>
      <x:c r="F1032" s="184" t="n">
        <x:v>4</x:v>
      </x:c>
      <x:c r="G1032" s="184" t="n">
        <x:v>1658056</x:v>
      </x:c>
      <x:c r="H1032" s="193" t="n">
        <x:v>0</x:v>
      </x:c>
      <x:c r="I1032" s="185" t="n">
        <x:v>0</x:v>
      </x:c>
      <x:c r="J1032" s="185" t="n">
        <x:v>1658056</x:v>
      </x:c>
      <x:c r="K1032" s="289" t="n">
        <x:v>414514</x:v>
      </x:c>
    </x:row>
    <x:row r="1033" s="117" customFormat="1" hidden="1">
      <x:c r="A1033" s="184" t="inlineStr">
        <x:is>
          <x:t xml:space="preserve">LONPAQ001012</x:t>
        </x:is>
      </x:c>
      <x:c r="B1033" s="184" t="inlineStr">
        <x:is>
          <x:t xml:space="preserve">CINTA TEFLON EXPANDIDO 1/4  PLG X 15 FT</x:t>
        </x:is>
      </x:c>
      <x:c r="C1033" s="184" t="n">
        <x:v>50</x:v>
      </x:c>
      <x:c r="D1033" s="184" t="n">
        <x:v>0</x:v>
      </x:c>
      <x:c r="E1033" s="184" t="n">
        <x:v>0</x:v>
      </x:c>
      <x:c r="F1033" s="184" t="n">
        <x:v>50</x:v>
      </x:c>
      <x:c r="G1033" s="184" t="n">
        <x:v>78000</x:v>
      </x:c>
      <x:c r="H1033" s="193" t="n">
        <x:v>0</x:v>
      </x:c>
      <x:c r="I1033" s="185" t="n">
        <x:v>0</x:v>
      </x:c>
      <x:c r="J1033" s="185" t="n">
        <x:v>78000</x:v>
      </x:c>
      <x:c r="K1033" s="289" t="n">
        <x:v>1560</x:v>
      </x:c>
    </x:row>
    <x:row r="1034" s="117" customFormat="1" hidden="1">
      <x:c r="A1034" s="184" t="inlineStr">
        <x:is>
          <x:t xml:space="preserve">LONPAQ001999</x:t>
        </x:is>
      </x:c>
      <x:c r="B1034" s="184" t="inlineStr">
        <x:is>
          <x:t xml:space="preserve">TEFLON EXPANDIDO 1/8 PLG DESPUNTES</x:t>
        </x:is>
      </x:c>
      <x:c r="C1034" s="184" t="n">
        <x:v>0</x:v>
      </x:c>
      <x:c r="D1034" s="184" t="n">
        <x:v>0</x:v>
      </x:c>
      <x:c r="E1034" s="184" t="n">
        <x:v>0</x:v>
      </x:c>
      <x:c r="F1034" s="184" t="n">
        <x:v>0</x:v>
      </x:c>
      <x:c r="G1034" s="184" t="n">
        <x:v>-1</x:v>
      </x:c>
      <x:c r="H1034" s="193" t="n">
        <x:v>0</x:v>
      </x:c>
      <x:c r="I1034" s="185" t="n">
        <x:v>0</x:v>
      </x:c>
      <x:c r="J1034" s="185" t="n">
        <x:v>-1</x:v>
      </x:c>
      <x:c r="K1034" s="289" t="n">
        <x:v>13644</x:v>
      </x:c>
    </x:row>
    <x:row r="1035" s="117" customFormat="1" hidden="1">
      <x:c r="A1035" s="184" t="inlineStr">
        <x:is>
          <x:t xml:space="preserve">MANIMPPES001</x:t>
        </x:is>
      </x:c>
      <x:c r="B1035" s="184" t="inlineStr">
        <x:is>
          <x:t xml:space="preserve">MANGUEROTE PESQUERO SUCCION Y DESCARGA D.356 MM X 5 MTS LG C2W5A30B508</x:t>
        </x:is>
      </x:c>
      <x:c r="C1035" s="184" t="n">
        <x:v>0</x:v>
      </x:c>
      <x:c r="D1035" s="184" t="n">
        <x:v>0</x:v>
      </x:c>
      <x:c r="E1035" s="184" t="n">
        <x:v>0</x:v>
      </x:c>
      <x:c r="F1035" s="184" t="n">
        <x:v>0</x:v>
      </x:c>
      <x:c r="G1035" s="184" t="n">
        <x:v>0</x:v>
      </x:c>
      <x:c r="H1035" s="193" t="n">
        <x:v>0</x:v>
      </x:c>
      <x:c r="I1035" s="185" t="n">
        <x:v>0</x:v>
      </x:c>
      <x:c r="J1035" s="185" t="n">
        <x:v>0</x:v>
      </x:c>
      <x:c r="K1035" s="289" t="n">
        <x:v>2814958</x:v>
      </x:c>
    </x:row>
    <x:row r="1036" s="117" customFormat="1" hidden="1">
      <x:c r="A1036" s="184" t="inlineStr">
        <x:is>
          <x:t xml:space="preserve">MANIMPPES002</x:t>
        </x:is>
      </x:c>
      <x:c r="B1036" s="184" t="inlineStr">
        <x:is>
          <x:t xml:space="preserve">MANGUEROTE PESQUERO SUCCION Y DESCARGA D.356 MM X 10 MTS LG C2W5A30B508</x:t>
        </x:is>
      </x:c>
      <x:c r="C1036" s="184" t="n">
        <x:v>0</x:v>
      </x:c>
      <x:c r="D1036" s="184" t="n">
        <x:v>0</x:v>
      </x:c>
      <x:c r="E1036" s="184" t="n">
        <x:v>0</x:v>
      </x:c>
      <x:c r="F1036" s="184" t="n">
        <x:v>0</x:v>
      </x:c>
      <x:c r="G1036" s="184" t="n">
        <x:v>0</x:v>
      </x:c>
      <x:c r="H1036" s="193" t="n">
        <x:v>0</x:v>
      </x:c>
      <x:c r="I1036" s="185" t="n">
        <x:v>0</x:v>
      </x:c>
      <x:c r="J1036" s="185" t="n">
        <x:v>0</x:v>
      </x:c>
      <x:c r="K1036" s="289" t="n">
        <x:v>3418163</x:v>
      </x:c>
    </x:row>
    <x:row r="1037" s="117" customFormat="1" hidden="1">
      <x:c r="A1037" s="184" t="inlineStr">
        <x:is>
          <x:t xml:space="preserve">MANIMPPES003</x:t>
        </x:is>
      </x:c>
      <x:c r="B1037" s="184" t="inlineStr">
        <x:is>
          <x:t xml:space="preserve">MANGUEROTE PESQUERO SUCCION Y DESCARGA D.356 MM X 5 MTS LG C2W5A30B508</x:t>
        </x:is>
      </x:c>
      <x:c r="C1037" s="184" t="n">
        <x:v>0</x:v>
      </x:c>
      <x:c r="D1037" s="184" t="n">
        <x:v>0</x:v>
      </x:c>
      <x:c r="E1037" s="184" t="n">
        <x:v>0</x:v>
      </x:c>
      <x:c r="F1037" s="184" t="n">
        <x:v>0</x:v>
      </x:c>
      <x:c r="G1037" s="184" t="n">
        <x:v>0</x:v>
      </x:c>
      <x:c r="H1037" s="193" t="n">
        <x:v>0</x:v>
      </x:c>
      <x:c r="I1037" s="185" t="n">
        <x:v>0</x:v>
      </x:c>
      <x:c r="J1037" s="185" t="n">
        <x:v>0</x:v>
      </x:c>
      <x:c r="K1037" s="289" t="n">
        <x:v>2817701</x:v>
      </x:c>
    </x:row>
    <x:row r="1038" s="117" customFormat="1" hidden="1">
      <x:c r="A1038" s="184" t="inlineStr">
        <x:is>
          <x:t xml:space="preserve">MANIMPPES004</x:t>
        </x:is>
      </x:c>
      <x:c r="B1038" s="184" t="inlineStr">
        <x:is>
          <x:t xml:space="preserve">MANGUEROTE PESQUERO SUCCION Y DESCARGA D.356 MM X 10 MTS LG C2W5A30B508</x:t>
        </x:is>
      </x:c>
      <x:c r="C1038" s="184" t="n">
        <x:v>0</x:v>
      </x:c>
      <x:c r="D1038" s="184" t="n">
        <x:v>0</x:v>
      </x:c>
      <x:c r="E1038" s="184" t="n">
        <x:v>0</x:v>
      </x:c>
      <x:c r="F1038" s="184" t="n">
        <x:v>0</x:v>
      </x:c>
      <x:c r="G1038" s="184" t="n">
        <x:v>0</x:v>
      </x:c>
      <x:c r="H1038" s="193" t="n">
        <x:v>0</x:v>
      </x:c>
      <x:c r="I1038" s="185" t="n">
        <x:v>0</x:v>
      </x:c>
      <x:c r="J1038" s="185" t="n">
        <x:v>0</x:v>
      </x:c>
      <x:c r="K1038" s="289" t="n">
        <x:v>3421495</x:v>
      </x:c>
    </x:row>
    <x:row r="1039" s="117" customFormat="1" hidden="1">
      <x:c r="A1039" s="184" t="inlineStr">
        <x:is>
          <x:t xml:space="preserve">MAQGENPTA001</x:t>
        </x:is>
      </x:c>
      <x:c r="B1039" s="184" t="inlineStr">
        <x:is>
          <x:t xml:space="preserve">(102059) EQUIPO MIG250 KATTO(N292) VRD</x:t>
        </x:is>
      </x:c>
      <x:c r="C1039" s="184" t="n">
        <x:v>1</x:v>
      </x:c>
      <x:c r="D1039" s="184" t="n">
        <x:v>0</x:v>
      </x:c>
      <x:c r="E1039" s="184" t="n">
        <x:v>0</x:v>
      </x:c>
      <x:c r="F1039" s="184" t="n">
        <x:v>1</x:v>
      </x:c>
      <x:c r="G1039" s="184" t="n">
        <x:v>935822</x:v>
      </x:c>
      <x:c r="H1039" s="193" t="n">
        <x:v>0</x:v>
      </x:c>
      <x:c r="I1039" s="185" t="n">
        <x:v>0</x:v>
      </x:c>
      <x:c r="J1039" s="185" t="n">
        <x:v>935822</x:v>
      </x:c>
      <x:c r="K1039" s="289" t="n">
        <x:v>935822</x:v>
      </x:c>
    </x:row>
    <x:row r="1040" s="117" customFormat="1" hidden="1">
      <x:c r="A1040" s="184" t="inlineStr">
        <x:is>
          <x:t xml:space="preserve">MAQGENPTA002</x:t>
        </x:is>
      </x:c>
      <x:c r="B1040" s="184" t="inlineStr">
        <x:is>
          <x:t xml:space="preserve">(7664) REGULADOR FLUJOMETRO ARGON/MEZCLA FRA-25</x:t>
        </x:is>
      </x:c>
      <x:c r="C1040" s="184" t="n">
        <x:v>1</x:v>
      </x:c>
      <x:c r="D1040" s="184" t="n">
        <x:v>0</x:v>
      </x:c>
      <x:c r="E1040" s="184" t="n">
        <x:v>0</x:v>
      </x:c>
      <x:c r="F1040" s="184" t="n">
        <x:v>1</x:v>
      </x:c>
      <x:c r="G1040" s="184" t="n">
        <x:v>86958</x:v>
      </x:c>
      <x:c r="H1040" s="193" t="n">
        <x:v>0</x:v>
      </x:c>
      <x:c r="I1040" s="185" t="n">
        <x:v>0</x:v>
      </x:c>
      <x:c r="J1040" s="185" t="n">
        <x:v>86958</x:v>
      </x:c>
      <x:c r="K1040" s="289" t="n">
        <x:v>86958</x:v>
      </x:c>
    </x:row>
    <x:row r="1041" s="117" customFormat="1" hidden="1">
      <x:c r="A1041" s="184" t="inlineStr">
        <x:is>
          <x:t xml:space="preserve">MTPPLA001001</x:t>
        </x:is>
      </x:c>
      <x:c r="B1041" s="184" t="inlineStr">
        <x:is>
          <x:t xml:space="preserve">BARRA POLIAMIDA (NYLON) NATURAL DIAM 100MM X 1 MT LGO</x:t>
        </x:is>
      </x:c>
      <x:c r="C1041" s="184" t="n">
        <x:v>0</x:v>
      </x:c>
      <x:c r="D1041" s="184" t="n">
        <x:v>0</x:v>
      </x:c>
      <x:c r="E1041" s="184" t="n">
        <x:v>0</x:v>
      </x:c>
      <x:c r="F1041" s="184" t="n">
        <x:v>0</x:v>
      </x:c>
      <x:c r="G1041" s="184" t="n">
        <x:v>0</x:v>
      </x:c>
      <x:c r="H1041" s="193" t="n">
        <x:v>0</x:v>
      </x:c>
      <x:c r="I1041" s="185" t="n">
        <x:v>0</x:v>
      </x:c>
      <x:c r="J1041" s="185" t="n">
        <x:v>0</x:v>
      </x:c>
      <x:c r="K1041" s="289" t="n">
        <x:v>72000</x:v>
      </x:c>
    </x:row>
    <x:row r="1042" s="117" customFormat="1" hidden="1">
      <x:c r="A1042" s="184" t="inlineStr">
        <x:is>
          <x:t xml:space="preserve">MTPQUIADT001</x:t>
        </x:is>
      </x:c>
      <x:c r="B1042" s="184" t="inlineStr">
        <x:is>
          <x:t xml:space="preserve">AGENTE TIXOTROPICO VINILESTER (10 KG)</x:t>
        </x:is>
      </x:c>
      <x:c r="C1042" s="184" t="n">
        <x:v>0</x:v>
      </x:c>
      <x:c r="D1042" s="184" t="n">
        <x:v>0</x:v>
      </x:c>
      <x:c r="E1042" s="184" t="n">
        <x:v>0</x:v>
      </x:c>
      <x:c r="F1042" s="184" t="n">
        <x:v>0</x:v>
      </x:c>
      <x:c r="G1042" s="184" t="n">
        <x:v>6</x:v>
      </x:c>
      <x:c r="H1042" s="193" t="n">
        <x:v>0</x:v>
      </x:c>
      <x:c r="I1042" s="185" t="n">
        <x:v>0</x:v>
      </x:c>
      <x:c r="J1042" s="185" t="n">
        <x:v>6</x:v>
      </x:c>
      <x:c r="K1042" s="289" t="n">
        <x:v>16600</x:v>
      </x:c>
    </x:row>
    <x:row r="1043" s="117" customFormat="1" hidden="1">
      <x:c r="A1043" s="184" t="inlineStr">
        <x:is>
          <x:t xml:space="preserve">MTPQUIADT002</x:t>
        </x:is>
      </x:c>
      <x:c r="B1043" s="184" t="inlineStr">
        <x:is>
          <x:t xml:space="preserve">DIOXIDO TITANIO (25 KG)</x:t>
        </x:is>
      </x:c>
      <x:c r="C1043" s="184" t="n">
        <x:v>53.968</x:v>
      </x:c>
      <x:c r="D1043" s="184" t="n">
        <x:v>0</x:v>
      </x:c>
      <x:c r="E1043" s="184" t="n">
        <x:v>3</x:v>
      </x:c>
      <x:c r="F1043" s="184" t="n">
        <x:v>50.968</x:v>
      </x:c>
      <x:c r="G1043" s="184" t="n">
        <x:v>227542</x:v>
      </x:c>
      <x:c r="H1043" s="193" t="n">
        <x:v>0</x:v>
      </x:c>
      <x:c r="I1043" s="185" t="n">
        <x:v>12649</x:v>
      </x:c>
      <x:c r="J1043" s="185" t="n">
        <x:v>214893</x:v>
      </x:c>
      <x:c r="K1043" s="289" t="n">
        <x:v>4216.20931967</x:v>
      </x:c>
    </x:row>
    <x:row r="1044" s="117" customFormat="1" hidden="1">
      <x:c r="A1044" s="184" t="inlineStr">
        <x:is>
          <x:t xml:space="preserve">MTPQUIADT003</x:t>
        </x:is>
      </x:c>
      <x:c r="B1044" s="184" t="inlineStr">
        <x:is>
          <x:t xml:space="preserve">DILUYENTE POLIESTER</x:t>
        </x:is>
      </x:c>
      <x:c r="C1044" s="184" t="n">
        <x:v>753</x:v>
      </x:c>
      <x:c r="D1044" s="184" t="n">
        <x:v>0</x:v>
      </x:c>
      <x:c r="E1044" s="184" t="n">
        <x:v>284</x:v>
      </x:c>
      <x:c r="F1044" s="184" t="n">
        <x:v>469</x:v>
      </x:c>
      <x:c r="G1044" s="184" t="n">
        <x:v>1075817</x:v>
      </x:c>
      <x:c r="H1044" s="193" t="n">
        <x:v>0</x:v>
      </x:c>
      <x:c r="I1044" s="185" t="n">
        <x:v>388512</x:v>
      </x:c>
      <x:c r="J1044" s="185" t="n">
        <x:v>687305</x:v>
      </x:c>
      <x:c r="K1044" s="289" t="n">
        <x:v>1368.01399854</x:v>
      </x:c>
    </x:row>
    <x:row r="1045" s="117" customFormat="1" hidden="1">
      <x:c r="A1045" s="184" t="inlineStr">
        <x:is>
          <x:t xml:space="preserve">MTPQUIADT004</x:t>
        </x:is>
      </x:c>
      <x:c r="B1045" s="184" t="inlineStr">
        <x:is>
          <x:t xml:space="preserve">CERA DESMOLDANTE</x:t>
        </x:is>
      </x:c>
      <x:c r="C1045" s="184" t="n">
        <x:v>75</x:v>
      </x:c>
      <x:c r="D1045" s="184" t="n">
        <x:v>15</x:v>
      </x:c>
      <x:c r="E1045" s="184" t="n">
        <x:v>46</x:v>
      </x:c>
      <x:c r="F1045" s="184" t="n">
        <x:v>44</x:v>
      </x:c>
      <x:c r="G1045" s="184" t="n">
        <x:v>477696</x:v>
      </x:c>
      <x:c r="H1045" s="193" t="n">
        <x:v>43350</x:v>
      </x:c>
      <x:c r="I1045" s="185" t="n">
        <x:v>268829</x:v>
      </x:c>
      <x:c r="J1045" s="185" t="n">
        <x:v>252217</x:v>
      </x:c>
      <x:c r="K1045" s="289" t="n">
        <x:v>5703.06715567</x:v>
      </x:c>
    </x:row>
    <x:row r="1046" s="117" customFormat="1" hidden="1">
      <x:c r="A1046" s="184" t="inlineStr">
        <x:is>
          <x:t xml:space="preserve">MTPQUIADT005</x:t>
        </x:is>
      </x:c>
      <x:c r="B1046" s="184" t="inlineStr">
        <x:is>
          <x:t xml:space="preserve">BYK-500 ELIMINADOR DE BURBUJAS</x:t>
        </x:is>
      </x:c>
      <x:c r="C1046" s="184" t="n">
        <x:v>11.273</x:v>
      </x:c>
      <x:c r="D1046" s="184" t="n">
        <x:v>0</x:v>
      </x:c>
      <x:c r="E1046" s="184" t="n">
        <x:v>2</x:v>
      </x:c>
      <x:c r="F1046" s="184" t="n">
        <x:v>9.273</x:v>
      </x:c>
      <x:c r="G1046" s="184" t="n">
        <x:v>175400</x:v>
      </x:c>
      <x:c r="H1046" s="193" t="n">
        <x:v>0</x:v>
      </x:c>
      <x:c r="I1046" s="185" t="n">
        <x:v>31112</x:v>
      </x:c>
      <x:c r="J1046" s="185" t="n">
        <x:v>144288</x:v>
      </x:c>
      <x:c r="K1046" s="289" t="n">
        <x:v>15555.81693995</x:v>
      </x:c>
    </x:row>
    <x:row r="1047" s="117" customFormat="1" hidden="1">
      <x:c r="A1047" s="184" t="inlineStr">
        <x:is>
          <x:t xml:space="preserve">MTPQUIADT006</x:t>
        </x:is>
      </x:c>
      <x:c r="B1047" s="184" t="inlineStr">
        <x:is>
          <x:t xml:space="preserve">ADITIVO FILTRO UV</x:t>
        </x:is>
      </x:c>
      <x:c r="C1047" s="184" t="n">
        <x:v>10</x:v>
      </x:c>
      <x:c r="D1047" s="184" t="n">
        <x:v>0</x:v>
      </x:c>
      <x:c r="E1047" s="184" t="n">
        <x:v>0</x:v>
      </x:c>
      <x:c r="F1047" s="184" t="n">
        <x:v>10</x:v>
      </x:c>
      <x:c r="G1047" s="184" t="n">
        <x:v>546178</x:v>
      </x:c>
      <x:c r="H1047" s="193" t="n">
        <x:v>0</x:v>
      </x:c>
      <x:c r="I1047" s="185" t="n">
        <x:v>0</x:v>
      </x:c>
      <x:c r="J1047" s="185" t="n">
        <x:v>546178</x:v>
      </x:c>
      <x:c r="K1047" s="289" t="n">
        <x:v>54618.5</x:v>
      </x:c>
    </x:row>
    <x:row r="1048" s="117" customFormat="1" hidden="1">
      <x:c r="A1048" s="184" t="inlineStr">
        <x:is>
          <x:t xml:space="preserve">MTPQUIADT007</x:t>
        </x:is>
      </x:c>
      <x:c r="B1048" s="184" t="inlineStr">
        <x:is>
          <x:t xml:space="preserve">PEROXIDO BUTANOX LPT (CATALIZADOR)</x:t>
        </x:is>
      </x:c>
      <x:c r="C1048" s="184" t="n">
        <x:v>15</x:v>
      </x:c>
      <x:c r="D1048" s="184" t="n">
        <x:v>0</x:v>
      </x:c>
      <x:c r="E1048" s="184" t="n">
        <x:v>15</x:v>
      </x:c>
      <x:c r="F1048" s="184" t="n">
        <x:v>0</x:v>
      </x:c>
      <x:c r="G1048" s="184" t="n">
        <x:v>142930</x:v>
      </x:c>
      <x:c r="H1048" s="193" t="n">
        <x:v>0</x:v>
      </x:c>
      <x:c r="I1048" s="185" t="n">
        <x:v>115230</x:v>
      </x:c>
      <x:c r="J1048" s="185" t="n">
        <x:v>27700</x:v>
      </x:c>
      <x:c r="K1048" s="289" t="n">
        <x:v>7682</x:v>
      </x:c>
    </x:row>
    <x:row r="1049" s="117" customFormat="1" hidden="1">
      <x:c r="A1049" s="184" t="inlineStr">
        <x:is>
          <x:t xml:space="preserve">MTPQUIADT008</x:t>
        </x:is>
      </x:c>
      <x:c r="B1049" s="184" t="inlineStr">
        <x:is>
          <x:t xml:space="preserve">COBALTO ACELERANTE 6%</x:t>
        </x:is>
      </x:c>
      <x:c r="C1049" s="184" t="n">
        <x:v>1.0355</x:v>
      </x:c>
      <x:c r="D1049" s="184" t="n">
        <x:v>0</x:v>
      </x:c>
      <x:c r="E1049" s="184" t="n">
        <x:v>1</x:v>
      </x:c>
      <x:c r="F1049" s="184" t="n">
        <x:v>0.0355</x:v>
      </x:c>
      <x:c r="G1049" s="184" t="n">
        <x:v>16060</x:v>
      </x:c>
      <x:c r="H1049" s="193" t="n">
        <x:v>0</x:v>
      </x:c>
      <x:c r="I1049" s="185" t="n">
        <x:v>15497</x:v>
      </x:c>
      <x:c r="J1049" s="185" t="n">
        <x:v>563</x:v>
      </x:c>
      <x:c r="K1049" s="289" t="n">
        <x:v>15497.26970222</x:v>
      </x:c>
    </x:row>
    <x:row r="1050" s="117" customFormat="1" hidden="1">
      <x:c r="A1050" s="184" t="inlineStr">
        <x:is>
          <x:t xml:space="preserve">MTPQUIADT009</x:t>
        </x:is>
      </x:c>
      <x:c r="B1050" s="184" t="inlineStr">
        <x:is>
          <x:t xml:space="preserve">ACELERANTE DMA 20%</x:t>
        </x:is>
      </x:c>
      <x:c r="C1050" s="184" t="n">
        <x:v>5.469</x:v>
      </x:c>
      <x:c r="D1050" s="184" t="n">
        <x:v>0</x:v>
      </x:c>
      <x:c r="E1050" s="184" t="n">
        <x:v>0</x:v>
      </x:c>
      <x:c r="F1050" s="184" t="n">
        <x:v>5.469</x:v>
      </x:c>
      <x:c r="G1050" s="184" t="n">
        <x:v>45977</x:v>
      </x:c>
      <x:c r="H1050" s="193" t="n">
        <x:v>0</x:v>
      </x:c>
      <x:c r="I1050" s="185" t="n">
        <x:v>0</x:v>
      </x:c>
      <x:c r="J1050" s="185" t="n">
        <x:v>45977</x:v>
      </x:c>
      <x:c r="K1050" s="289" t="n">
        <x:v>8407.130507510001</x:v>
      </x:c>
    </x:row>
    <x:row r="1051" s="117" customFormat="1" hidden="1">
      <x:c r="A1051" s="184" t="inlineStr">
        <x:is>
          <x:t xml:space="preserve">MTPQUIADT010</x:t>
        </x:is>
      </x:c>
      <x:c r="B1051" s="184" t="inlineStr">
        <x:is>
          <x:t xml:space="preserve">DESMOLDANTE PVA LIQUIDO</x:t>
        </x:is>
      </x:c>
      <x:c r="C1051" s="184" t="n">
        <x:v>17.5</x:v>
      </x:c>
      <x:c r="D1051" s="184" t="n">
        <x:v>0</x:v>
      </x:c>
      <x:c r="E1051" s="184" t="n">
        <x:v>5.5</x:v>
      </x:c>
      <x:c r="F1051" s="184" t="n">
        <x:v>12</x:v>
      </x:c>
      <x:c r="G1051" s="184" t="n">
        <x:v>98789</x:v>
      </x:c>
      <x:c r="H1051" s="193" t="n">
        <x:v>0</x:v>
      </x:c>
      <x:c r="I1051" s="185" t="n">
        <x:v>31049</x:v>
      </x:c>
      <x:c r="J1051" s="185" t="n">
        <x:v>67740</x:v>
      </x:c>
      <x:c r="K1051" s="289" t="n">
        <x:v>5645.25581395</x:v>
      </x:c>
    </x:row>
    <x:row r="1052" s="117" customFormat="1" hidden="1">
      <x:c r="A1052" s="184" t="inlineStr">
        <x:is>
          <x:t xml:space="preserve">MTPQUIADT011</x:t>
        </x:is>
      </x:c>
      <x:c r="B1052" s="184" t="inlineStr">
        <x:is>
          <x:t xml:space="preserve">BYK-750 ECOLOGICO</x:t>
        </x:is>
      </x:c>
      <x:c r="C1052" s="184" t="n">
        <x:v>25.5</x:v>
      </x:c>
      <x:c r="D1052" s="184" t="n">
        <x:v>0</x:v>
      </x:c>
      <x:c r="E1052" s="184" t="n">
        <x:v>5</x:v>
      </x:c>
      <x:c r="F1052" s="184" t="n">
        <x:v>20.5</x:v>
      </x:c>
      <x:c r="G1052" s="184" t="n">
        <x:v>724637</x:v>
      </x:c>
      <x:c r="H1052" s="193" t="n">
        <x:v>0</x:v>
      </x:c>
      <x:c r="I1052" s="185" t="n">
        <x:v>142085</x:v>
      </x:c>
      <x:c r="J1052" s="185" t="n">
        <x:v>582552</x:v>
      </x:c>
      <x:c r="K1052" s="289" t="n">
        <x:v>28417.09140461</x:v>
      </x:c>
    </x:row>
    <x:row r="1053" s="117" customFormat="1" hidden="1">
      <x:c r="A1053" s="184" t="inlineStr">
        <x:is>
          <x:t xml:space="preserve">MTPQUIADT012</x:t>
        </x:is>
      </x:c>
      <x:c r="B1053" s="184" t="inlineStr">
        <x:is>
          <x:t xml:space="preserve">MONOMERO ESTIRENO</x:t>
        </x:is>
      </x:c>
      <x:c r="C1053" s="184" t="n">
        <x:v>162.6</x:v>
      </x:c>
      <x:c r="D1053" s="184" t="n">
        <x:v>0</x:v>
      </x:c>
      <x:c r="E1053" s="184" t="n">
        <x:v>10.6</x:v>
      </x:c>
      <x:c r="F1053" s="184" t="n">
        <x:v>152</x:v>
      </x:c>
      <x:c r="G1053" s="184" t="n">
        <x:v>388134</x:v>
      </x:c>
      <x:c r="H1053" s="193" t="n">
        <x:v>0</x:v>
      </x:c>
      <x:c r="I1053" s="185" t="n">
        <x:v>26515</x:v>
      </x:c>
      <x:c r="J1053" s="185" t="n">
        <x:v>361619</x:v>
      </x:c>
      <x:c r="K1053" s="289" t="n">
        <x:v>2501.46404227</x:v>
      </x:c>
    </x:row>
    <x:row r="1054" s="117" customFormat="1" hidden="1">
      <x:c r="A1054" s="184" t="inlineStr">
        <x:is>
          <x:t xml:space="preserve">MTPQUIADT013</x:t>
        </x:is>
      </x:c>
      <x:c r="B1054" s="184" t="inlineStr">
        <x:is>
          <x:t xml:space="preserve">ACETONA</x:t>
        </x:is>
      </x:c>
      <x:c r="C1054" s="184" t="n">
        <x:v>133</x:v>
      </x:c>
      <x:c r="D1054" s="184" t="n">
        <x:v>200</x:v>
      </x:c>
      <x:c r="E1054" s="184" t="n">
        <x:v>10</x:v>
      </x:c>
      <x:c r="F1054" s="184" t="n">
        <x:v>323</x:v>
      </x:c>
      <x:c r="G1054" s="184" t="n">
        <x:v>306090</x:v>
      </x:c>
      <x:c r="H1054" s="193" t="n">
        <x:v>400000</x:v>
      </x:c>
      <x:c r="I1054" s="185" t="n">
        <x:v>22095</x:v>
      </x:c>
      <x:c r="J1054" s="185" t="n">
        <x:v>683995</x:v>
      </x:c>
      <x:c r="K1054" s="289" t="n">
        <x:v>2117.5977387</x:v>
      </x:c>
    </x:row>
    <x:row r="1055" s="117" customFormat="1" hidden="1">
      <x:c r="A1055" s="184" t="inlineStr">
        <x:is>
          <x:t xml:space="preserve">MTPQUIADT014</x:t>
        </x:is>
      </x:c>
      <x:c r="B1055" s="184" t="inlineStr">
        <x:is>
          <x:t xml:space="preserve">ACOHOL ISOPROPILICO</x:t>
        </x:is>
      </x:c>
      <x:c r="C1055" s="184" t="n">
        <x:v>40</x:v>
      </x:c>
      <x:c r="D1055" s="184" t="n">
        <x:v>0</x:v>
      </x:c>
      <x:c r="E1055" s="184" t="n">
        <x:v>0</x:v>
      </x:c>
      <x:c r="F1055" s="184" t="n">
        <x:v>40</x:v>
      </x:c>
      <x:c r="G1055" s="184" t="n">
        <x:v>128000</x:v>
      </x:c>
      <x:c r="H1055" s="193" t="n">
        <x:v>0</x:v>
      </x:c>
      <x:c r="I1055" s="185" t="n">
        <x:v>0</x:v>
      </x:c>
      <x:c r="J1055" s="185" t="n">
        <x:v>128000</x:v>
      </x:c>
      <x:c r="K1055" s="289" t="n">
        <x:v>3200</x:v>
      </x:c>
    </x:row>
    <x:row r="1056" s="117" customFormat="1" hidden="1">
      <x:c r="A1056" s="184" t="inlineStr">
        <x:is>
          <x:t xml:space="preserve">MTPQUIADT015</x:t>
        </x:is>
      </x:c>
      <x:c r="B1056" s="184" t="inlineStr">
        <x:is>
          <x:t xml:space="preserve">PIGMENTO PASTA COLOR VERDE</x:t>
        </x:is>
      </x:c>
      <x:c r="C1056" s="184" t="n">
        <x:v>3.62</x:v>
      </x:c>
      <x:c r="D1056" s="184" t="n">
        <x:v>0</x:v>
      </x:c>
      <x:c r="E1056" s="184" t="n">
        <x:v>0</x:v>
      </x:c>
      <x:c r="F1056" s="184" t="n">
        <x:v>3.62</x:v>
      </x:c>
      <x:c r="G1056" s="184" t="n">
        <x:v>76409</x:v>
      </x:c>
      <x:c r="H1056" s="193" t="n">
        <x:v>0</x:v>
      </x:c>
      <x:c r="I1056" s="185" t="n">
        <x:v>0</x:v>
      </x:c>
      <x:c r="J1056" s="185" t="n">
        <x:v>76409</x:v>
      </x:c>
      <x:c r="K1056" s="289" t="n">
        <x:v>21107.8046875</x:v>
      </x:c>
    </x:row>
    <x:row r="1057" s="117" customFormat="1" hidden="1">
      <x:c r="A1057" s="184" t="inlineStr">
        <x:is>
          <x:t xml:space="preserve">MTPQUIADT016</x:t>
        </x:is>
      </x:c>
      <x:c r="B1057" s="184" t="inlineStr">
        <x:is>
          <x:t xml:space="preserve">PIGMENTO PASTA COLOR ROJO</x:t>
        </x:is>
      </x:c>
      <x:c r="C1057" s="184" t="n">
        <x:v>4.6</x:v>
      </x:c>
      <x:c r="D1057" s="184" t="n">
        <x:v>0</x:v>
      </x:c>
      <x:c r="E1057" s="184" t="n">
        <x:v>0</x:v>
      </x:c>
      <x:c r="F1057" s="184" t="n">
        <x:v>4.6</x:v>
      </x:c>
      <x:c r="G1057" s="184" t="n">
        <x:v>176842</x:v>
      </x:c>
      <x:c r="H1057" s="193" t="n">
        <x:v>0</x:v>
      </x:c>
      <x:c r="I1057" s="185" t="n">
        <x:v>0</x:v>
      </x:c>
      <x:c r="J1057" s="185" t="n">
        <x:v>176842</x:v>
      </x:c>
      <x:c r="K1057" s="289" t="n">
        <x:v>38444.03470932</x:v>
      </x:c>
    </x:row>
    <x:row r="1058" s="117" customFormat="1" hidden="1">
      <x:c r="A1058" s="184" t="inlineStr">
        <x:is>
          <x:t xml:space="preserve">MTPQUIADT017</x:t>
        </x:is>
      </x:c>
      <x:c r="B1058" s="184" t="inlineStr">
        <x:is>
          <x:t xml:space="preserve">PIGMENTO PASTA COLOR AMARILLO</x:t>
        </x:is>
      </x:c>
      <x:c r="C1058" s="184" t="n">
        <x:v>14</x:v>
      </x:c>
      <x:c r="D1058" s="184" t="n">
        <x:v>0</x:v>
      </x:c>
      <x:c r="E1058" s="184" t="n">
        <x:v>0</x:v>
      </x:c>
      <x:c r="F1058" s="184" t="n">
        <x:v>14</x:v>
      </x:c>
      <x:c r="G1058" s="184" t="n">
        <x:v>334034</x:v>
      </x:c>
      <x:c r="H1058" s="193" t="n">
        <x:v>0</x:v>
      </x:c>
      <x:c r="I1058" s="185" t="n">
        <x:v>0</x:v>
      </x:c>
      <x:c r="J1058" s="185" t="n">
        <x:v>334034</x:v>
      </x:c>
      <x:c r="K1058" s="289" t="n">
        <x:v>23859.65527036</x:v>
      </x:c>
    </x:row>
    <x:row r="1059" s="117" customFormat="1" hidden="1">
      <x:c r="A1059" s="184" t="inlineStr">
        <x:is>
          <x:t xml:space="preserve">MTPQUIADT018</x:t>
        </x:is>
      </x:c>
      <x:c r="B1059" s="184" t="inlineStr">
        <x:is>
          <x:t xml:space="preserve">PIGMENTO PASTA COLOR NEGRO</x:t>
        </x:is>
      </x:c>
      <x:c r="C1059" s="184" t="n">
        <x:v>2.168</x:v>
      </x:c>
      <x:c r="D1059" s="184" t="n">
        <x:v>0</x:v>
      </x:c>
      <x:c r="E1059" s="184" t="n">
        <x:v>0</x:v>
      </x:c>
      <x:c r="F1059" s="184" t="n">
        <x:v>2.168</x:v>
      </x:c>
      <x:c r="G1059" s="184" t="n">
        <x:v>28770</x:v>
      </x:c>
      <x:c r="H1059" s="193" t="n">
        <x:v>0</x:v>
      </x:c>
      <x:c r="I1059" s="185" t="n">
        <x:v>0</x:v>
      </x:c>
      <x:c r="J1059" s="185" t="n">
        <x:v>28770</x:v>
      </x:c>
      <x:c r="K1059" s="289" t="n">
        <x:v>13270.23702422</x:v>
      </x:c>
    </x:row>
    <x:row r="1060" s="117" customFormat="1" hidden="1">
      <x:c r="A1060" s="184" t="inlineStr">
        <x:is>
          <x:t xml:space="preserve">MTPQUIADT019</x:t>
        </x:is>
      </x:c>
      <x:c r="B1060" s="184" t="inlineStr">
        <x:is>
          <x:t xml:space="preserve">PIGMENTO PASTA COLOR AZUL</x:t>
        </x:is>
      </x:c>
      <x:c r="C1060" s="184" t="n">
        <x:v>2.677</x:v>
      </x:c>
      <x:c r="D1060" s="184" t="n">
        <x:v>0</x:v>
      </x:c>
      <x:c r="E1060" s="184" t="n">
        <x:v>0</x:v>
      </x:c>
      <x:c r="F1060" s="184" t="n">
        <x:v>2.677</x:v>
      </x:c>
      <x:c r="G1060" s="184" t="n">
        <x:v>50804</x:v>
      </x:c>
      <x:c r="H1060" s="193" t="n">
        <x:v>0</x:v>
      </x:c>
      <x:c r="I1060" s="185" t="n">
        <x:v>0</x:v>
      </x:c>
      <x:c r="J1060" s="185" t="n">
        <x:v>50804</x:v>
      </x:c>
      <x:c r="K1060" s="289" t="n">
        <x:v>18978</x:v>
      </x:c>
    </x:row>
    <x:row r="1061" s="117" customFormat="1" hidden="1">
      <x:c r="A1061" s="184" t="inlineStr">
        <x:is>
          <x:t xml:space="preserve">MTPQUIADT020</x:t>
        </x:is>
      </x:c>
      <x:c r="B1061" s="184" t="inlineStr">
        <x:is>
          <x:t xml:space="preserve">GRASA CONSISTENTE</x:t>
        </x:is>
      </x:c>
      <x:c r="C1061" s="184" t="n">
        <x:v>125</x:v>
      </x:c>
      <x:c r="D1061" s="184" t="n">
        <x:v>0</x:v>
      </x:c>
      <x:c r="E1061" s="184" t="n">
        <x:v>0</x:v>
      </x:c>
      <x:c r="F1061" s="184" t="n">
        <x:v>125</x:v>
      </x:c>
      <x:c r="G1061" s="184" t="n">
        <x:v>125000</x:v>
      </x:c>
      <x:c r="H1061" s="193" t="n">
        <x:v>0</x:v>
      </x:c>
      <x:c r="I1061" s="185" t="n">
        <x:v>0</x:v>
      </x:c>
      <x:c r="J1061" s="185" t="n">
        <x:v>125000</x:v>
      </x:c>
      <x:c r="K1061" s="289" t="n">
        <x:v>1000</x:v>
      </x:c>
    </x:row>
    <x:row r="1062" s="117" customFormat="1" hidden="1">
      <x:c r="A1062" s="184" t="inlineStr">
        <x:is>
          <x:t xml:space="preserve">MTPQUIADT021</x:t>
        </x:is>
      </x:c>
      <x:c r="B1062" s="184" t="inlineStr">
        <x:is>
          <x:t xml:space="preserve">FIBRA DE VIDRIO TELA WR 600</x:t>
        </x:is>
      </x:c>
      <x:c r="C1062" s="184" t="n">
        <x:v>0</x:v>
      </x:c>
      <x:c r="D1062" s="184" t="n">
        <x:v>0</x:v>
      </x:c>
      <x:c r="E1062" s="184" t="n">
        <x:v>0</x:v>
      </x:c>
      <x:c r="F1062" s="184" t="n">
        <x:v>0</x:v>
      </x:c>
      <x:c r="G1062" s="184" t="n">
        <x:v>0</x:v>
      </x:c>
      <x:c r="H1062" s="193" t="n">
        <x:v>0</x:v>
      </x:c>
      <x:c r="I1062" s="185" t="n">
        <x:v>0</x:v>
      </x:c>
      <x:c r="J1062" s="185" t="n">
        <x:v>0</x:v>
      </x:c>
      <x:c r="K1062" s="289" t="n">
        <x:v>0</x:v>
      </x:c>
    </x:row>
    <x:row r="1063" s="117" customFormat="1" hidden="1">
      <x:c r="A1063" s="184" t="inlineStr">
        <x:is>
          <x:t xml:space="preserve">MTPQUIADT022</x:t>
        </x:is>
      </x:c>
      <x:c r="B1063" s="184" t="inlineStr">
        <x:is>
          <x:t xml:space="preserve">AGENTE SUPERFICIE S</x:t>
        </x:is>
      </x:c>
      <x:c r="C1063" s="184" t="n">
        <x:v>20.5</x:v>
      </x:c>
      <x:c r="D1063" s="184" t="n">
        <x:v>0</x:v>
      </x:c>
      <x:c r="E1063" s="184" t="n">
        <x:v>3.5</x:v>
      </x:c>
      <x:c r="F1063" s="184" t="n">
        <x:v>17</x:v>
      </x:c>
      <x:c r="G1063" s="184" t="n">
        <x:v>152275</x:v>
      </x:c>
      <x:c r="H1063" s="193" t="n">
        <x:v>0</x:v>
      </x:c>
      <x:c r="I1063" s="185" t="n">
        <x:v>25997</x:v>
      </x:c>
      <x:c r="J1063" s="185" t="n">
        <x:v>126278</x:v>
      </x:c>
      <x:c r="K1063" s="289" t="n">
        <x:v>7427.52759825</x:v>
      </x:c>
    </x:row>
    <x:row r="1064" s="117" customFormat="1" hidden="1">
      <x:c r="A1064" s="184" t="inlineStr">
        <x:is>
          <x:t xml:space="preserve">MTPQUIADT023</x:t>
        </x:is>
      </x:c>
      <x:c r="B1064" s="184" t="inlineStr">
        <x:is>
          <x:t xml:space="preserve">POLVO CARBONO / NEGRO DE HUMO</x:t>
        </x:is>
      </x:c>
      <x:c r="C1064" s="184" t="n">
        <x:v>0</x:v>
      </x:c>
      <x:c r="D1064" s="184" t="n">
        <x:v>0</x:v>
      </x:c>
      <x:c r="E1064" s="184" t="n">
        <x:v>0</x:v>
      </x:c>
      <x:c r="F1064" s="184" t="n">
        <x:v>0</x:v>
      </x:c>
      <x:c r="G1064" s="184" t="n">
        <x:v>0</x:v>
      </x:c>
      <x:c r="H1064" s="193" t="n">
        <x:v>0</x:v>
      </x:c>
      <x:c r="I1064" s="185" t="n">
        <x:v>0</x:v>
      </x:c>
      <x:c r="J1064" s="185" t="n">
        <x:v>0</x:v>
      </x:c>
      <x:c r="K1064" s="289" t="n">
        <x:v>2596</x:v>
      </x:c>
    </x:row>
    <x:row r="1065" s="117" customFormat="1" hidden="1">
      <x:c r="A1065" s="184" t="inlineStr">
        <x:is>
          <x:t xml:space="preserve">MTPQUIADT024</x:t>
        </x:is>
      </x:c>
      <x:c r="B1065" s="184" t="inlineStr">
        <x:is>
          <x:t xml:space="preserve">TALCO EXP SACO</x:t>
        </x:is>
      </x:c>
      <x:c r="C1065" s="184" t="n">
        <x:v>0</x:v>
      </x:c>
      <x:c r="D1065" s="184" t="n">
        <x:v>0</x:v>
      </x:c>
      <x:c r="E1065" s="184" t="n">
        <x:v>0</x:v>
      </x:c>
      <x:c r="F1065" s="184" t="n">
        <x:v>0</x:v>
      </x:c>
      <x:c r="G1065" s="184" t="n">
        <x:v>0</x:v>
      </x:c>
      <x:c r="H1065" s="193" t="n">
        <x:v>0</x:v>
      </x:c>
      <x:c r="I1065" s="185" t="n">
        <x:v>0</x:v>
      </x:c>
      <x:c r="J1065" s="185" t="n">
        <x:v>0</x:v>
      </x:c>
      <x:c r="K1065" s="289" t="n">
        <x:v>832</x:v>
      </x:c>
    </x:row>
    <x:row r="1066" s="117" customFormat="1" hidden="1">
      <x:c r="A1066" s="184" t="inlineStr">
        <x:is>
          <x:t xml:space="preserve">MTPQUIADT025</x:t>
        </x:is>
      </x:c>
      <x:c r="B1066" s="184" t="inlineStr">
        <x:is>
          <x:t xml:space="preserve">POLIURETANO A (POLIOL) KG</x:t>
        </x:is>
      </x:c>
      <x:c r="C1066" s="184" t="n">
        <x:v>0</x:v>
      </x:c>
      <x:c r="D1066" s="184" t="n">
        <x:v>0</x:v>
      </x:c>
      <x:c r="E1066" s="184" t="n">
        <x:v>0</x:v>
      </x:c>
      <x:c r="F1066" s="184" t="n">
        <x:v>0</x:v>
      </x:c>
      <x:c r="G1066" s="184" t="n">
        <x:v>0</x:v>
      </x:c>
      <x:c r="H1066" s="193" t="n">
        <x:v>0</x:v>
      </x:c>
      <x:c r="I1066" s="185" t="n">
        <x:v>0</x:v>
      </x:c>
      <x:c r="J1066" s="185" t="n">
        <x:v>0</x:v>
      </x:c>
      <x:c r="K1066" s="289" t="n">
        <x:v>9325</x:v>
      </x:c>
    </x:row>
    <x:row r="1067" s="117" customFormat="1" hidden="1">
      <x:c r="A1067" s="184" t="inlineStr">
        <x:is>
          <x:t xml:space="preserve">MTPQUIADT026</x:t>
        </x:is>
      </x:c>
      <x:c r="B1067" s="184" t="inlineStr">
        <x:is>
          <x:t xml:space="preserve">POLIURETANO B (ISOCIANATO-MDI) KG</x:t>
        </x:is>
      </x:c>
      <x:c r="C1067" s="184" t="n">
        <x:v>0</x:v>
      </x:c>
      <x:c r="D1067" s="184" t="n">
        <x:v>0</x:v>
      </x:c>
      <x:c r="E1067" s="184" t="n">
        <x:v>0</x:v>
      </x:c>
      <x:c r="F1067" s="184" t="n">
        <x:v>0</x:v>
      </x:c>
      <x:c r="G1067" s="184" t="n">
        <x:v>0</x:v>
      </x:c>
      <x:c r="H1067" s="193" t="n">
        <x:v>0</x:v>
      </x:c>
      <x:c r="I1067" s="185" t="n">
        <x:v>0</x:v>
      </x:c>
      <x:c r="J1067" s="185" t="n">
        <x:v>0</x:v>
      </x:c>
      <x:c r="K1067" s="289" t="n">
        <x:v>8415</x:v>
      </x:c>
    </x:row>
    <x:row r="1068" s="117" customFormat="1" hidden="1">
      <x:c r="A1068" s="184" t="inlineStr">
        <x:is>
          <x:t xml:space="preserve">MTPQUIADT027</x:t>
        </x:is>
      </x:c>
      <x:c r="B1068" s="184" t="inlineStr">
        <x:is>
          <x:t xml:space="preserve">CARBONATO DE CALCIO</x:t>
        </x:is>
      </x:c>
      <x:c r="C1068" s="184" t="n">
        <x:v>65</x:v>
      </x:c>
      <x:c r="D1068" s="184" t="n">
        <x:v>0</x:v>
      </x:c>
      <x:c r="E1068" s="184" t="n">
        <x:v>0</x:v>
      </x:c>
      <x:c r="F1068" s="184" t="n">
        <x:v>65</x:v>
      </x:c>
      <x:c r="G1068" s="184" t="n">
        <x:v>20020</x:v>
      </x:c>
      <x:c r="H1068" s="193" t="n">
        <x:v>0</x:v>
      </x:c>
      <x:c r="I1068" s="185" t="n">
        <x:v>0</x:v>
      </x:c>
      <x:c r="J1068" s="185" t="n">
        <x:v>20020</x:v>
      </x:c>
      <x:c r="K1068" s="289" t="n">
        <x:v>308</x:v>
      </x:c>
    </x:row>
    <x:row r="1069" s="117" customFormat="1" hidden="1">
      <x:c r="A1069" s="184" t="inlineStr">
        <x:is>
          <x:t xml:space="preserve">MTPQUIADT029</x:t>
        </x:is>
      </x:c>
      <x:c r="B1069" s="184" t="inlineStr">
        <x:is>
          <x:t xml:space="preserve">CABOSIL TS-720</x:t>
        </x:is>
      </x:c>
      <x:c r="C1069" s="184" t="n">
        <x:v>0</x:v>
      </x:c>
      <x:c r="D1069" s="184" t="n">
        <x:v>0</x:v>
      </x:c>
      <x:c r="E1069" s="184" t="n">
        <x:v>0</x:v>
      </x:c>
      <x:c r="F1069" s="184" t="n">
        <x:v>0</x:v>
      </x:c>
      <x:c r="G1069" s="184" t="n">
        <x:v>0</x:v>
      </x:c>
      <x:c r="H1069" s="193" t="n">
        <x:v>0</x:v>
      </x:c>
      <x:c r="I1069" s="185" t="n">
        <x:v>0</x:v>
      </x:c>
      <x:c r="J1069" s="185" t="n">
        <x:v>0</x:v>
      </x:c>
      <x:c r="K1069" s="289" t="n">
        <x:v>26937</x:v>
      </x:c>
    </x:row>
    <x:row r="1070" s="117" customFormat="1" hidden="1">
      <x:c r="A1070" s="184" t="inlineStr">
        <x:is>
          <x:t xml:space="preserve">MTPQUIADT030</x:t>
        </x:is>
      </x:c>
      <x:c r="B1070" s="184" t="inlineStr">
        <x:is>
          <x:t xml:space="preserve">AGENTE SUPERFICIE AL 10%</x:t>
        </x:is>
      </x:c>
      <x:c r="C1070" s="184" t="n">
        <x:v>0.5</x:v>
      </x:c>
      <x:c r="D1070" s="184" t="n">
        <x:v>0</x:v>
      </x:c>
      <x:c r="E1070" s="184" t="n">
        <x:v>0</x:v>
      </x:c>
      <x:c r="F1070" s="184" t="n">
        <x:v>0.5</x:v>
      </x:c>
      <x:c r="G1070" s="184" t="n">
        <x:v>4590</x:v>
      </x:c>
      <x:c r="H1070" s="193" t="n">
        <x:v>0</x:v>
      </x:c>
      <x:c r="I1070" s="185" t="n">
        <x:v>0</x:v>
      </x:c>
      <x:c r="J1070" s="185" t="n">
        <x:v>4590</x:v>
      </x:c>
      <x:c r="K1070" s="289" t="n">
        <x:v>9180</x:v>
      </x:c>
    </x:row>
    <x:row r="1071" s="117" customFormat="1" hidden="1">
      <x:c r="A1071" s="184" t="inlineStr">
        <x:is>
          <x:t xml:space="preserve">MTPQUIADT031</x:t>
        </x:is>
      </x:c>
      <x:c r="B1071" s="184" t="inlineStr">
        <x:is>
          <x:t xml:space="preserve">GRAFITO EN POLVO</x:t>
        </x:is>
      </x:c>
      <x:c r="C1071" s="184" t="n">
        <x:v>28.251</x:v>
      </x:c>
      <x:c r="D1071" s="184" t="n">
        <x:v>0</x:v>
      </x:c>
      <x:c r="E1071" s="184" t="n">
        <x:v>0</x:v>
      </x:c>
      <x:c r="F1071" s="184" t="n">
        <x:v>28.251</x:v>
      </x:c>
      <x:c r="G1071" s="184" t="n">
        <x:v>1107201</x:v>
      </x:c>
      <x:c r="H1071" s="193" t="n">
        <x:v>0</x:v>
      </x:c>
      <x:c r="I1071" s="185" t="n">
        <x:v>0</x:v>
      </x:c>
      <x:c r="J1071" s="185" t="n">
        <x:v>1107201</x:v>
      </x:c>
      <x:c r="K1071" s="289" t="n">
        <x:v>39191.57622739</x:v>
      </x:c>
    </x:row>
    <x:row r="1072" s="117" customFormat="1" hidden="1">
      <x:c r="A1072" s="184" t="inlineStr">
        <x:is>
          <x:t xml:space="preserve">MTPQUIADT032</x:t>
        </x:is>
      </x:c>
      <x:c r="B1072" s="184" t="inlineStr">
        <x:is>
          <x:t xml:space="preserve">ROLLO DE FIBRA DE CARBONO</x:t>
        </x:is>
      </x:c>
      <x:c r="C1072" s="184" t="n">
        <x:v>4</x:v>
      </x:c>
      <x:c r="D1072" s="184" t="n">
        <x:v>0</x:v>
      </x:c>
      <x:c r="E1072" s="184" t="n">
        <x:v>0</x:v>
      </x:c>
      <x:c r="F1072" s="184" t="n">
        <x:v>4</x:v>
      </x:c>
      <x:c r="G1072" s="184" t="n">
        <x:v>1000000</x:v>
      </x:c>
      <x:c r="H1072" s="193" t="n">
        <x:v>0</x:v>
      </x:c>
      <x:c r="I1072" s="185" t="n">
        <x:v>0</x:v>
      </x:c>
      <x:c r="J1072" s="185" t="n">
        <x:v>1000000</x:v>
      </x:c>
      <x:c r="K1072" s="289" t="n">
        <x:v>250000</x:v>
      </x:c>
    </x:row>
    <x:row r="1073" s="117" customFormat="1" hidden="1">
      <x:c r="A1073" s="184" t="inlineStr">
        <x:is>
          <x:t xml:space="preserve">MTPQUIADT033</x:t>
        </x:is>
      </x:c>
      <x:c r="B1073" s="184" t="inlineStr">
        <x:is>
          <x:t xml:space="preserve">FIBRA DE VIDRIO MAT 300</x:t>
        </x:is>
      </x:c>
      <x:c r="C1073" s="184" t="n">
        <x:v>0</x:v>
      </x:c>
      <x:c r="D1073" s="184" t="n">
        <x:v>0</x:v>
      </x:c>
      <x:c r="E1073" s="184" t="n">
        <x:v>0</x:v>
      </x:c>
      <x:c r="F1073" s="184" t="n">
        <x:v>0</x:v>
      </x:c>
      <x:c r="G1073" s="184" t="n">
        <x:v>0</x:v>
      </x:c>
      <x:c r="H1073" s="193" t="n">
        <x:v>0</x:v>
      </x:c>
      <x:c r="I1073" s="185" t="n">
        <x:v>0</x:v>
      </x:c>
      <x:c r="J1073" s="185" t="n">
        <x:v>0</x:v>
      </x:c>
      <x:c r="K1073" s="289" t="n">
        <x:v>1290</x:v>
      </x:c>
    </x:row>
    <x:row r="1074" s="117" customFormat="1" hidden="1">
      <x:c r="A1074" s="184" t="inlineStr">
        <x:is>
          <x:t xml:space="preserve">MTPQUIADT034</x:t>
        </x:is>
      </x:c>
      <x:c r="B1074" s="184" t="inlineStr">
        <x:is>
          <x:t xml:space="preserve">COREMAT DE 10 MM</x:t>
        </x:is>
      </x:c>
      <x:c r="C1074" s="184" t="n">
        <x:v>0</x:v>
      </x:c>
      <x:c r="D1074" s="184" t="n">
        <x:v>0</x:v>
      </x:c>
      <x:c r="E1074" s="184" t="n">
        <x:v>0</x:v>
      </x:c>
      <x:c r="F1074" s="184" t="n">
        <x:v>0</x:v>
      </x:c>
      <x:c r="G1074" s="184" t="n">
        <x:v>0</x:v>
      </x:c>
      <x:c r="H1074" s="193" t="n">
        <x:v>0</x:v>
      </x:c>
      <x:c r="I1074" s="185" t="n">
        <x:v>0</x:v>
      </x:c>
      <x:c r="J1074" s="185" t="n">
        <x:v>0</x:v>
      </x:c>
      <x:c r="K1074" s="289" t="n">
        <x:v>50000</x:v>
      </x:c>
    </x:row>
    <x:row r="1075" s="117" customFormat="1" hidden="1">
      <x:c r="A1075" s="184" t="inlineStr">
        <x:is>
          <x:t xml:space="preserve">MTPQUIADT035</x:t>
        </x:is>
      </x:c>
      <x:c r="B1075" s="184" t="inlineStr">
        <x:is>
          <x:t xml:space="preserve">FIBRA DE VIDRIO MAT 450</x:t>
        </x:is>
      </x:c>
      <x:c r="C1075" s="184" t="n">
        <x:v>0</x:v>
      </x:c>
      <x:c r="D1075" s="184" t="n">
        <x:v>0</x:v>
      </x:c>
      <x:c r="E1075" s="184" t="n">
        <x:v>0</x:v>
      </x:c>
      <x:c r="F1075" s="184" t="n">
        <x:v>0</x:v>
      </x:c>
      <x:c r="G1075" s="184" t="n">
        <x:v>-12</x:v>
      </x:c>
      <x:c r="H1075" s="193" t="n">
        <x:v>0</x:v>
      </x:c>
      <x:c r="I1075" s="185" t="n">
        <x:v>0</x:v>
      </x:c>
      <x:c r="J1075" s="185" t="n">
        <x:v>-12</x:v>
      </x:c>
      <x:c r="K1075" s="289" t="n">
        <x:v>1475</x:v>
      </x:c>
    </x:row>
    <x:row r="1076" s="117" customFormat="1" hidden="1">
      <x:c r="A1076" s="184" t="inlineStr">
        <x:is>
          <x:t xml:space="preserve">MTPQUIADT036</x:t>
        </x:is>
      </x:c>
      <x:c r="B1076" s="184" t="inlineStr">
        <x:is>
          <x:t xml:space="preserve">VELO VIDRIO C 30g/m2</x:t>
        </x:is>
      </x:c>
      <x:c r="C1076" s="184" t="n">
        <x:v>0</x:v>
      </x:c>
      <x:c r="D1076" s="184" t="n">
        <x:v>0</x:v>
      </x:c>
      <x:c r="E1076" s="184" t="n">
        <x:v>0</x:v>
      </x:c>
      <x:c r="F1076" s="184" t="n">
        <x:v>0</x:v>
      </x:c>
      <x:c r="G1076" s="184" t="n">
        <x:v>7</x:v>
      </x:c>
      <x:c r="H1076" s="193" t="n">
        <x:v>0</x:v>
      </x:c>
      <x:c r="I1076" s="185" t="n">
        <x:v>0</x:v>
      </x:c>
      <x:c r="J1076" s="185" t="n">
        <x:v>7</x:v>
      </x:c>
      <x:c r="K1076" s="289" t="n">
        <x:v>5896.41721854</x:v>
      </x:c>
    </x:row>
    <x:row r="1077" s="117" customFormat="1" hidden="1">
      <x:c r="A1077" s="184" t="inlineStr">
        <x:is>
          <x:t xml:space="preserve">MTPQUIADT037</x:t>
        </x:is>
      </x:c>
      <x:c r="B1077" s="184" t="inlineStr">
        <x:is>
          <x:t xml:space="preserve">AILCOTE (ACELERANTE)</x:t>
        </x:is>
      </x:c>
      <x:c r="C1077" s="184" t="n">
        <x:v>0</x:v>
      </x:c>
      <x:c r="D1077" s="184" t="n">
        <x:v>0</x:v>
      </x:c>
      <x:c r="E1077" s="184" t="n">
        <x:v>0</x:v>
      </x:c>
      <x:c r="F1077" s="184" t="n">
        <x:v>0</x:v>
      </x:c>
      <x:c r="G1077" s="184" t="n">
        <x:v>0</x:v>
      </x:c>
      <x:c r="H1077" s="193" t="n">
        <x:v>0</x:v>
      </x:c>
      <x:c r="I1077" s="185" t="n">
        <x:v>0</x:v>
      </x:c>
      <x:c r="J1077" s="185" t="n">
        <x:v>0</x:v>
      </x:c>
      <x:c r="K1077" s="289" t="n">
        <x:v>3500</x:v>
      </x:c>
    </x:row>
    <x:row r="1078" s="117" customFormat="1" hidden="1">
      <x:c r="A1078" s="184" t="inlineStr">
        <x:is>
          <x:t xml:space="preserve">MTPQUIADT038</x:t>
        </x:is>
      </x:c>
      <x:c r="B1078" s="184" t="inlineStr">
        <x:is>
          <x:t xml:space="preserve">VELO NEXUS</x:t>
        </x:is>
      </x:c>
      <x:c r="C1078" s="184" t="n">
        <x:v>20</x:v>
      </x:c>
      <x:c r="D1078" s="184" t="n">
        <x:v>0</x:v>
      </x:c>
      <x:c r="E1078" s="184" t="n">
        <x:v>0</x:v>
      </x:c>
      <x:c r="F1078" s="184" t="n">
        <x:v>20</x:v>
      </x:c>
      <x:c r="G1078" s="184" t="n">
        <x:v>578840</x:v>
      </x:c>
      <x:c r="H1078" s="193" t="n">
        <x:v>0</x:v>
      </x:c>
      <x:c r="I1078" s="185" t="n">
        <x:v>0</x:v>
      </x:c>
      <x:c r="J1078" s="185" t="n">
        <x:v>578840</x:v>
      </x:c>
      <x:c r="K1078" s="289" t="n">
        <x:v>28942</x:v>
      </x:c>
    </x:row>
    <x:row r="1079" s="117" customFormat="1" hidden="1">
      <x:c r="A1079" s="184" t="inlineStr">
        <x:is>
          <x:t xml:space="preserve">MTPQUIADT039</x:t>
        </x:is>
      </x:c>
      <x:c r="B1079" s="184" t="inlineStr">
        <x:is>
          <x:t xml:space="preserve">FIBRA DE VIDRIO TELA WR 800</x:t>
        </x:is>
      </x:c>
      <x:c r="C1079" s="184" t="n">
        <x:v>976</x:v>
      </x:c>
      <x:c r="D1079" s="184" t="n">
        <x:v>0</x:v>
      </x:c>
      <x:c r="E1079" s="184" t="n">
        <x:v>0</x:v>
      </x:c>
      <x:c r="F1079" s="184" t="n">
        <x:v>976</x:v>
      </x:c>
      <x:c r="G1079" s="184" t="n">
        <x:v>1139964</x:v>
      </x:c>
      <x:c r="H1079" s="193" t="n">
        <x:v>0</x:v>
      </x:c>
      <x:c r="I1079" s="185" t="n">
        <x:v>0</x:v>
      </x:c>
      <x:c r="J1079" s="185" t="n">
        <x:v>1139964</x:v>
      </x:c>
      <x:c r="K1079" s="289" t="n">
        <x:v>1168</x:v>
      </x:c>
    </x:row>
    <x:row r="1080" s="117" customFormat="1" hidden="1">
      <x:c r="A1080" s="184" t="inlineStr">
        <x:is>
          <x:t xml:space="preserve">MTPQUIADT040</x:t>
        </x:is>
      </x:c>
      <x:c r="B1080" s="184" t="inlineStr">
        <x:is>
          <x:t xml:space="preserve">VELO NEXUS CARBONO IMPORTADO</x:t>
        </x:is>
      </x:c>
      <x:c r="C1080" s="184" t="n">
        <x:v>0</x:v>
      </x:c>
      <x:c r="D1080" s="184" t="n">
        <x:v>0</x:v>
      </x:c>
      <x:c r="E1080" s="184" t="n">
        <x:v>0</x:v>
      </x:c>
      <x:c r="F1080" s="184" t="n">
        <x:v>0</x:v>
      </x:c>
      <x:c r="G1080" s="184" t="n">
        <x:v>-3</x:v>
      </x:c>
      <x:c r="H1080" s="193" t="n">
        <x:v>0</x:v>
      </x:c>
      <x:c r="I1080" s="185" t="n">
        <x:v>0</x:v>
      </x:c>
      <x:c r="J1080" s="185" t="n">
        <x:v>-3</x:v>
      </x:c>
      <x:c r="K1080" s="289" t="n">
        <x:v>4445</x:v>
      </x:c>
    </x:row>
    <x:row r="1081" s="117" customFormat="1" hidden="1">
      <x:c r="A1081" s="184" t="inlineStr">
        <x:is>
          <x:t xml:space="preserve">MTPQUIADT041</x:t>
        </x:is>
      </x:c>
      <x:c r="B1081" s="184" t="inlineStr">
        <x:is>
          <x:t xml:space="preserve">HILADO ROVING 2200 TEC</x:t>
        </x:is>
      </x:c>
      <x:c r="C1081" s="184" t="n">
        <x:v>28590.2</x:v>
      </x:c>
      <x:c r="D1081" s="184" t="n">
        <x:v>792</x:v>
      </x:c>
      <x:c r="E1081" s="184" t="n">
        <x:v>3461</x:v>
      </x:c>
      <x:c r="F1081" s="184" t="n">
        <x:v>25921.2</x:v>
      </x:c>
      <x:c r="G1081" s="184" t="n">
        <x:v>19039121</x:v>
      </x:c>
      <x:c r="H1081" s="193" t="n">
        <x:v>527418</x:v>
      </x:c>
      <x:c r="I1081" s="185" t="n">
        <x:v>2304789</x:v>
      </x:c>
      <x:c r="J1081" s="185" t="n">
        <x:v>17261750</x:v>
      </x:c>
      <x:c r="K1081" s="289" t="n">
        <x:v>665.9314278000001</x:v>
      </x:c>
    </x:row>
    <x:row r="1082" s="117" customFormat="1" hidden="1">
      <x:c r="A1082" s="184" t="inlineStr">
        <x:is>
          <x:t xml:space="preserve">MTPQUIADT042</x:t>
        </x:is>
      </x:c>
      <x:c r="B1082" s="184" t="inlineStr">
        <x:is>
          <x:t xml:space="preserve">POLVO S-1 SACOS DE 50 LBS</x:t>
        </x:is>
      </x:c>
      <x:c r="C1082" s="184" t="n">
        <x:v>40.82</x:v>
      </x:c>
      <x:c r="D1082" s="184" t="n">
        <x:v>1</x:v>
      </x:c>
      <x:c r="E1082" s="184" t="n">
        <x:v>1</x:v>
      </x:c>
      <x:c r="F1082" s="184" t="n">
        <x:v>40.82</x:v>
      </x:c>
      <x:c r="G1082" s="184" t="n">
        <x:v>7375153</x:v>
      </x:c>
      <x:c r="H1082" s="193" t="n">
        <x:v>180675</x:v>
      </x:c>
      <x:c r="I1082" s="185" t="n">
        <x:v>180675</x:v>
      </x:c>
      <x:c r="J1082" s="185" t="n">
        <x:v>7375153</x:v>
      </x:c>
      <x:c r="K1082" s="289" t="n">
        <x:v>180675</x:v>
      </x:c>
    </x:row>
    <x:row r="1083" s="117" customFormat="1" hidden="1">
      <x:c r="A1083" s="184" t="inlineStr">
        <x:is>
          <x:t xml:space="preserve">MTPQUIADT043</x:t>
        </x:is>
      </x:c>
      <x:c r="B1083" s="184" t="inlineStr">
        <x:is>
          <x:t xml:space="preserve">POLIURETANO PARTE A</x:t>
        </x:is>
      </x:c>
      <x:c r="C1083" s="184" t="n">
        <x:v>0</x:v>
      </x:c>
      <x:c r="D1083" s="184" t="n">
        <x:v>0</x:v>
      </x:c>
      <x:c r="E1083" s="184" t="n">
        <x:v>0</x:v>
      </x:c>
      <x:c r="F1083" s="184" t="n">
        <x:v>0</x:v>
      </x:c>
      <x:c r="G1083" s="184" t="n">
        <x:v>0</x:v>
      </x:c>
      <x:c r="H1083" s="193" t="n">
        <x:v>0</x:v>
      </x:c>
      <x:c r="I1083" s="185" t="n">
        <x:v>0</x:v>
      </x:c>
      <x:c r="J1083" s="185" t="n">
        <x:v>0</x:v>
      </x:c>
      <x:c r="K1083" s="289" t="n">
        <x:v>3000</x:v>
      </x:c>
    </x:row>
    <x:row r="1084" s="117" customFormat="1" hidden="1">
      <x:c r="A1084" s="184" t="inlineStr">
        <x:is>
          <x:t xml:space="preserve">MTPQUIADT044</x:t>
        </x:is>
      </x:c>
      <x:c r="B1084" s="184" t="inlineStr">
        <x:is>
          <x:t xml:space="preserve">POLIURETANO PARTE B</x:t>
        </x:is>
      </x:c>
      <x:c r="C1084" s="184" t="n">
        <x:v>0</x:v>
      </x:c>
      <x:c r="D1084" s="184" t="n">
        <x:v>0</x:v>
      </x:c>
      <x:c r="E1084" s="184" t="n">
        <x:v>0</x:v>
      </x:c>
      <x:c r="F1084" s="184" t="n">
        <x:v>0</x:v>
      </x:c>
      <x:c r="G1084" s="184" t="n">
        <x:v>0</x:v>
      </x:c>
      <x:c r="H1084" s="193" t="n">
        <x:v>0</x:v>
      </x:c>
      <x:c r="I1084" s="185" t="n">
        <x:v>0</x:v>
      </x:c>
      <x:c r="J1084" s="185" t="n">
        <x:v>0</x:v>
      </x:c>
      <x:c r="K1084" s="289" t="n">
        <x:v>3000</x:v>
      </x:c>
    </x:row>
    <x:row r="1085" s="117" customFormat="1" hidden="1">
      <x:c r="A1085" s="184" t="inlineStr">
        <x:is>
          <x:t xml:space="preserve">MTPQUIADT045</x:t>
        </x:is>
      </x:c>
      <x:c r="B1085" s="184" t="inlineStr">
        <x:is>
          <x:t xml:space="preserve">COMBO GLAS TELA 800 GRS/MT2 + MAT 225 GRS/MT2</x:t>
        </x:is>
      </x:c>
      <x:c r="C1085" s="184" t="n">
        <x:v>2135.6</x:v>
      </x:c>
      <x:c r="D1085" s="184" t="n">
        <x:v>660</x:v>
      </x:c>
      <x:c r="E1085" s="184" t="n">
        <x:v>1070.6</x:v>
      </x:c>
      <x:c r="F1085" s="184" t="n">
        <x:v>1725</x:v>
      </x:c>
      <x:c r="G1085" s="184" t="n">
        <x:v>1862186</x:v>
      </x:c>
      <x:c r="H1085" s="193" t="n">
        <x:v>575517</x:v>
      </x:c>
      <x:c r="I1085" s="185" t="n">
        <x:v>933560</x:v>
      </x:c>
      <x:c r="J1085" s="185" t="n">
        <x:v>1504143</x:v>
      </x:c>
      <x:c r="K1085" s="289" t="n">
        <x:v>871.99515739</x:v>
      </x:c>
    </x:row>
    <x:row r="1086" s="117" customFormat="1" hidden="1">
      <x:c r="A1086" s="184" t="inlineStr">
        <x:is>
          <x:t xml:space="preserve">MTPQUIADT046</x:t>
        </x:is>
      </x:c>
      <x:c r="B1086" s="184" t="inlineStr">
        <x:is>
          <x:t xml:space="preserve">ROLLO DE CORE SBC 8 MM ESP.</x:t>
        </x:is>
      </x:c>
      <x:c r="C1086" s="184" t="n">
        <x:v>18.8</x:v>
      </x:c>
      <x:c r="D1086" s="184" t="n">
        <x:v>0</x:v>
      </x:c>
      <x:c r="E1086" s="184" t="n">
        <x:v>0</x:v>
      </x:c>
      <x:c r="F1086" s="184" t="n">
        <x:v>18.8</x:v>
      </x:c>
      <x:c r="G1086" s="184" t="n">
        <x:v>288336</x:v>
      </x:c>
      <x:c r="H1086" s="193" t="n">
        <x:v>0</x:v>
      </x:c>
      <x:c r="I1086" s="185" t="n">
        <x:v>0</x:v>
      </x:c>
      <x:c r="J1086" s="185" t="n">
        <x:v>288336</x:v>
      </x:c>
      <x:c r="K1086" s="289" t="n">
        <x:v>15337</x:v>
      </x:c>
    </x:row>
    <x:row r="1087" s="117" customFormat="1" hidden="1">
      <x:c r="A1087" s="184" t="inlineStr">
        <x:is>
          <x:t xml:space="preserve">MTPQUIADT047</x:t>
        </x:is>
      </x:c>
      <x:c r="B1087" s="184" t="inlineStr">
        <x:is>
          <x:t xml:space="preserve">FIBRA DE VIDRIO MAT 800</x:t>
        </x:is>
      </x:c>
      <x:c r="C1087" s="184" t="n">
        <x:v>0</x:v>
      </x:c>
      <x:c r="D1087" s="184" t="n">
        <x:v>0</x:v>
      </x:c>
      <x:c r="E1087" s="184" t="n">
        <x:v>0</x:v>
      </x:c>
      <x:c r="F1087" s="184" t="n">
        <x:v>0</x:v>
      </x:c>
      <x:c r="G1087" s="184" t="n">
        <x:v>0</x:v>
      </x:c>
      <x:c r="H1087" s="193" t="n">
        <x:v>0</x:v>
      </x:c>
      <x:c r="I1087" s="185" t="n">
        <x:v>0</x:v>
      </x:c>
      <x:c r="J1087" s="185" t="n">
        <x:v>0</x:v>
      </x:c>
      <x:c r="K1087" s="289" t="n">
        <x:v>0</x:v>
      </x:c>
    </x:row>
    <x:row r="1088" s="117" customFormat="1" hidden="1">
      <x:c r="A1088" s="184" t="inlineStr">
        <x:is>
          <x:t xml:space="preserve">MTPQUIADT048</x:t>
        </x:is>
      </x:c>
      <x:c r="B1088" s="184" t="inlineStr">
        <x:is>
          <x:t xml:space="preserve">MYLAR S 50um 1.476mm 15210</x:t>
        </x:is>
      </x:c>
      <x:c r="C1088" s="184" t="n">
        <x:v>0</x:v>
      </x:c>
      <x:c r="D1088" s="184" t="n">
        <x:v>0</x:v>
      </x:c>
      <x:c r="E1088" s="184" t="n">
        <x:v>0</x:v>
      </x:c>
      <x:c r="F1088" s="184" t="n">
        <x:v>0</x:v>
      </x:c>
      <x:c r="G1088" s="184" t="n">
        <x:v>0</x:v>
      </x:c>
      <x:c r="H1088" s="193" t="n">
        <x:v>0</x:v>
      </x:c>
      <x:c r="I1088" s="185" t="n">
        <x:v>0</x:v>
      </x:c>
      <x:c r="J1088" s="185" t="n">
        <x:v>0</x:v>
      </x:c>
      <x:c r="K1088" s="289" t="n">
        <x:v>6628.90995261</x:v>
      </x:c>
    </x:row>
    <x:row r="1089" s="117" customFormat="1" hidden="1">
      <x:c r="A1089" s="184" t="inlineStr">
        <x:is>
          <x:t xml:space="preserve">MTPQUIADT049</x:t>
        </x:is>
      </x:c>
      <x:c r="B1089" s="184" t="inlineStr">
        <x:is>
          <x:t xml:space="preserve">PEROXIDO PARA VINILESTER</x:t>
        </x:is>
      </x:c>
      <x:c r="C1089" s="184" t="n">
        <x:v>0</x:v>
      </x:c>
      <x:c r="D1089" s="184" t="n">
        <x:v>0</x:v>
      </x:c>
      <x:c r="E1089" s="184" t="n">
        <x:v>0</x:v>
      </x:c>
      <x:c r="F1089" s="184" t="n">
        <x:v>0</x:v>
      </x:c>
      <x:c r="G1089" s="184" t="n">
        <x:v>-2</x:v>
      </x:c>
      <x:c r="H1089" s="193" t="n">
        <x:v>0</x:v>
      </x:c>
      <x:c r="I1089" s="185" t="n">
        <x:v>0</x:v>
      </x:c>
      <x:c r="J1089" s="185" t="n">
        <x:v>-2</x:v>
      </x:c>
      <x:c r="K1089" s="289" t="n">
        <x:v>6992</x:v>
      </x:c>
    </x:row>
    <x:row r="1090" s="117" customFormat="1" hidden="1">
      <x:c r="A1090" s="184" t="inlineStr">
        <x:is>
          <x:t xml:space="preserve">MTPQUIADT050</x:t>
        </x:is>
      </x:c>
      <x:c r="B1090" s="184" t="inlineStr">
        <x:is>
          <x:t xml:space="preserve">HILADO ASSEMBLE ROVING 2400 TEX</x:t>
        </x:is>
      </x:c>
      <x:c r="C1090" s="184" t="n">
        <x:v>1834</x:v>
      </x:c>
      <x:c r="D1090" s="184" t="n">
        <x:v>0</x:v>
      </x:c>
      <x:c r="E1090" s="184" t="n">
        <x:v>0</x:v>
      </x:c>
      <x:c r="F1090" s="184" t="n">
        <x:v>1834</x:v>
      </x:c>
      <x:c r="G1090" s="184" t="n">
        <x:v>1390919</x:v>
      </x:c>
      <x:c r="H1090" s="193" t="n">
        <x:v>0</x:v>
      </x:c>
      <x:c r="I1090" s="185" t="n">
        <x:v>0</x:v>
      </x:c>
      <x:c r="J1090" s="185" t="n">
        <x:v>1390919</x:v>
      </x:c>
      <x:c r="K1090" s="289" t="n">
        <x:v>758.407241</x:v>
      </x:c>
    </x:row>
    <x:row r="1091" s="117" customFormat="1" hidden="1">
      <x:c r="A1091" s="184" t="inlineStr">
        <x:is>
          <x:t xml:space="preserve">MTPQUIADT051</x:t>
        </x:is>
      </x:c>
      <x:c r="B1091" s="184" t="inlineStr">
        <x:is>
          <x:t xml:space="preserve">MASILLA MAGICA TRADICIONAL</x:t>
        </x:is>
      </x:c>
      <x:c r="C1091" s="184" t="n">
        <x:v>0</x:v>
      </x:c>
      <x:c r="D1091" s="184" t="n">
        <x:v>0</x:v>
      </x:c>
      <x:c r="E1091" s="184" t="n">
        <x:v>0</x:v>
      </x:c>
      <x:c r="F1091" s="184" t="n">
        <x:v>0</x:v>
      </x:c>
      <x:c r="G1091" s="184" t="n">
        <x:v>0</x:v>
      </x:c>
      <x:c r="H1091" s="193" t="n">
        <x:v>0</x:v>
      </x:c>
      <x:c r="I1091" s="185" t="n">
        <x:v>0</x:v>
      </x:c>
      <x:c r="J1091" s="185" t="n">
        <x:v>0</x:v>
      </x:c>
      <x:c r="K1091" s="289" t="n">
        <x:v>7272</x:v>
      </x:c>
    </x:row>
    <x:row r="1092" s="117" customFormat="1" hidden="1">
      <x:c r="A1092" s="184" t="inlineStr">
        <x:is>
          <x:t xml:space="preserve">MTPQUIADT052</x:t>
        </x:is>
      </x:c>
      <x:c r="B1092" s="184" t="inlineStr">
        <x:is>
          <x:t xml:space="preserve">PEROXIDO BENZOILO BLANCO</x:t>
        </x:is>
      </x:c>
      <x:c r="C1092" s="184" t="n">
        <x:v>9</x:v>
      </x:c>
      <x:c r="D1092" s="184" t="n">
        <x:v>0</x:v>
      </x:c>
      <x:c r="E1092" s="184" t="n">
        <x:v>0</x:v>
      </x:c>
      <x:c r="F1092" s="184" t="n">
        <x:v>9</x:v>
      </x:c>
      <x:c r="G1092" s="184" t="n">
        <x:v>92713</x:v>
      </x:c>
      <x:c r="H1092" s="193" t="n">
        <x:v>0</x:v>
      </x:c>
      <x:c r="I1092" s="185" t="n">
        <x:v>0</x:v>
      </x:c>
      <x:c r="J1092" s="185" t="n">
        <x:v>92713</x:v>
      </x:c>
      <x:c r="K1092" s="289" t="n">
        <x:v>10301.48656438</x:v>
      </x:c>
    </x:row>
    <x:row r="1093" s="117" customFormat="1" hidden="1">
      <x:c r="A1093" s="184" t="inlineStr">
        <x:is>
          <x:t xml:space="preserve">MTPQUIADT053</x:t>
        </x:is>
      </x:c>
      <x:c r="B1093" s="184" t="inlineStr">
        <x:is>
          <x:t xml:space="preserve">ACELERANTE DMA 100%</x:t>
        </x:is>
      </x:c>
      <x:c r="C1093" s="184" t="n">
        <x:v>1</x:v>
      </x:c>
      <x:c r="D1093" s="184" t="n">
        <x:v>0</x:v>
      </x:c>
      <x:c r="E1093" s="184" t="n">
        <x:v>0</x:v>
      </x:c>
      <x:c r="F1093" s="184" t="n">
        <x:v>1</x:v>
      </x:c>
      <x:c r="G1093" s="184" t="n">
        <x:v>13345</x:v>
      </x:c>
      <x:c r="H1093" s="193" t="n">
        <x:v>0</x:v>
      </x:c>
      <x:c r="I1093" s="185" t="n">
        <x:v>0</x:v>
      </x:c>
      <x:c r="J1093" s="185" t="n">
        <x:v>13345</x:v>
      </x:c>
      <x:c r="K1093" s="289" t="n">
        <x:v>13345</x:v>
      </x:c>
    </x:row>
    <x:row r="1094" s="117" customFormat="1" hidden="1">
      <x:c r="A1094" s="184" t="inlineStr">
        <x:is>
          <x:t xml:space="preserve">MTPQUIADT054</x:t>
        </x:is>
      </x:c>
      <x:c r="B1094" s="184" t="inlineStr">
        <x:is>
          <x:t xml:space="preserve">ADITIVO ANTI UV TINUVIN</x:t>
        </x:is>
      </x:c>
      <x:c r="C1094" s="184" t="n">
        <x:v>12.445</x:v>
      </x:c>
      <x:c r="D1094" s="184" t="n">
        <x:v>0</x:v>
      </x:c>
      <x:c r="E1094" s="184" t="n">
        <x:v>0</x:v>
      </x:c>
      <x:c r="F1094" s="184" t="n">
        <x:v>12.445</x:v>
      </x:c>
      <x:c r="G1094" s="184" t="n">
        <x:v>687886</x:v>
      </x:c>
      <x:c r="H1094" s="193" t="n">
        <x:v>0</x:v>
      </x:c>
      <x:c r="I1094" s="185" t="n">
        <x:v>0</x:v>
      </x:c>
      <x:c r="J1094" s="185" t="n">
        <x:v>687886</x:v>
      </x:c>
      <x:c r="K1094" s="289" t="n">
        <x:v>55273.98290407</x:v>
      </x:c>
    </x:row>
    <x:row r="1095" s="117" customFormat="1" hidden="1">
      <x:c r="A1095" s="184" t="inlineStr">
        <x:is>
          <x:t xml:space="preserve">MTPQUIADT055</x:t>
        </x:is>
      </x:c>
      <x:c r="B1095" s="184" t="inlineStr">
        <x:is>
          <x:t xml:space="preserve">PEROXIDO BRASNOX HD (K-12)</x:t>
        </x:is>
      </x:c>
      <x:c r="C1095" s="184" t="n">
        <x:v>0</x:v>
      </x:c>
      <x:c r="D1095" s="184" t="n">
        <x:v>0</x:v>
      </x:c>
      <x:c r="E1095" s="184" t="n">
        <x:v>0</x:v>
      </x:c>
      <x:c r="F1095" s="184" t="n">
        <x:v>0</x:v>
      </x:c>
      <x:c r="G1095" s="184" t="n">
        <x:v>-10</x:v>
      </x:c>
      <x:c r="H1095" s="193" t="n">
        <x:v>0</x:v>
      </x:c>
      <x:c r="I1095" s="185" t="n">
        <x:v>0</x:v>
      </x:c>
      <x:c r="J1095" s="185" t="n">
        <x:v>-10</x:v>
      </x:c>
      <x:c r="K1095" s="289" t="n">
        <x:v>3699</x:v>
      </x:c>
    </x:row>
    <x:row r="1096" s="117" customFormat="1" hidden="1">
      <x:c r="A1096" s="184" t="inlineStr">
        <x:is>
          <x:t xml:space="preserve">MTPQUIADT056</x:t>
        </x:is>
      </x:c>
      <x:c r="B1096" s="184" t="inlineStr">
        <x:is>
          <x:t xml:space="preserve">FIBRA DE VIDRIO TELA 600</x:t>
        </x:is>
      </x:c>
      <x:c r="C1096" s="184" t="n">
        <x:v>0</x:v>
      </x:c>
      <x:c r="D1096" s="184" t="n">
        <x:v>0</x:v>
      </x:c>
      <x:c r="E1096" s="184" t="n">
        <x:v>0</x:v>
      </x:c>
      <x:c r="F1096" s="184" t="n">
        <x:v>0</x:v>
      </x:c>
      <x:c r="G1096" s="184" t="n">
        <x:v>0</x:v>
      </x:c>
      <x:c r="H1096" s="193" t="n">
        <x:v>0</x:v>
      </x:c>
      <x:c r="I1096" s="185" t="n">
        <x:v>0</x:v>
      </x:c>
      <x:c r="J1096" s="185" t="n">
        <x:v>0</x:v>
      </x:c>
      <x:c r="K1096" s="289" t="n">
        <x:v>1700</x:v>
      </x:c>
    </x:row>
    <x:row r="1097" s="117" customFormat="1" hidden="1">
      <x:c r="A1097" s="184" t="inlineStr">
        <x:is>
          <x:t xml:space="preserve">MTPQUIADT057</x:t>
        </x:is>
      </x:c>
      <x:c r="B1097" s="184" t="inlineStr">
        <x:is>
          <x:t xml:space="preserve">PEROXIDO BUTANOX L-50</x:t>
        </x:is>
      </x:c>
      <x:c r="C1097" s="184" t="n">
        <x:v>0</x:v>
      </x:c>
      <x:c r="D1097" s="184" t="n">
        <x:v>0</x:v>
      </x:c>
      <x:c r="E1097" s="184" t="n">
        <x:v>0</x:v>
      </x:c>
      <x:c r="F1097" s="184" t="n">
        <x:v>0</x:v>
      </x:c>
      <x:c r="G1097" s="184" t="n">
        <x:v>2</x:v>
      </x:c>
      <x:c r="H1097" s="193" t="n">
        <x:v>0</x:v>
      </x:c>
      <x:c r="I1097" s="185" t="n">
        <x:v>0</x:v>
      </x:c>
      <x:c r="J1097" s="185" t="n">
        <x:v>2</x:v>
      </x:c>
      <x:c r="K1097" s="289" t="n">
        <x:v>4908</x:v>
      </x:c>
    </x:row>
    <x:row r="1098" s="117" customFormat="1" hidden="1">
      <x:c r="A1098" s="184" t="inlineStr">
        <x:is>
          <x:t xml:space="preserve">MTPQUIADT058</x:t>
        </x:is>
      </x:c>
      <x:c r="B1098" s="184" t="inlineStr">
        <x:is>
          <x:t xml:space="preserve">HIDROQUINONA</x:t>
        </x:is>
      </x:c>
      <x:c r="C1098" s="184" t="n">
        <x:v>0</x:v>
      </x:c>
      <x:c r="D1098" s="184" t="n">
        <x:v>0</x:v>
      </x:c>
      <x:c r="E1098" s="184" t="n">
        <x:v>0</x:v>
      </x:c>
      <x:c r="F1098" s="184" t="n">
        <x:v>0</x:v>
      </x:c>
      <x:c r="G1098" s="184" t="n">
        <x:v>0</x:v>
      </x:c>
      <x:c r="H1098" s="193" t="n">
        <x:v>0</x:v>
      </x:c>
      <x:c r="I1098" s="185" t="n">
        <x:v>0</x:v>
      </x:c>
      <x:c r="J1098" s="185" t="n">
        <x:v>0</x:v>
      </x:c>
      <x:c r="K1098" s="289" t="n">
        <x:v>75887</x:v>
      </x:c>
    </x:row>
    <x:row r="1099" s="117" customFormat="1" hidden="1">
      <x:c r="A1099" s="184" t="inlineStr">
        <x:is>
          <x:t xml:space="preserve">MTPQUIADT059</x:t>
        </x:is>
      </x:c>
      <x:c r="B1099" s="184" t="inlineStr">
        <x:is>
          <x:t xml:space="preserve">POLYESTER CELULAR DESBURBUJADOR CLOTH DENSITY 50GR/MT2 200 MM ANCHO</x:t>
        </x:is>
      </x:c>
      <x:c r="C1099" s="184" t="n">
        <x:v>277.3</x:v>
      </x:c>
      <x:c r="D1099" s="184" t="n">
        <x:v>0</x:v>
      </x:c>
      <x:c r="E1099" s="184" t="n">
        <x:v>0</x:v>
      </x:c>
      <x:c r="F1099" s="184" t="n">
        <x:v>277.3</x:v>
      </x:c>
      <x:c r="G1099" s="184" t="n">
        <x:v>1039875</x:v>
      </x:c>
      <x:c r="H1099" s="193" t="n">
        <x:v>0</x:v>
      </x:c>
      <x:c r="I1099" s="185" t="n">
        <x:v>0</x:v>
      </x:c>
      <x:c r="J1099" s="185" t="n">
        <x:v>1039875</x:v>
      </x:c>
      <x:c r="K1099" s="289" t="n">
        <x:v>3750</x:v>
      </x:c>
    </x:row>
    <x:row r="1100" s="117" customFormat="1" hidden="1">
      <x:c r="A1100" s="184" t="inlineStr">
        <x:is>
          <x:t xml:space="preserve">MTPQUIADT060</x:t>
        </x:is>
      </x:c>
      <x:c r="B1100" s="184" t="inlineStr">
        <x:is>
          <x:t xml:space="preserve">VELO C SURFACE DENSITY 30 GR/MT2 200 MM ANCHO (FW VERTICAL)</x:t>
        </x:is>
      </x:c>
      <x:c r="C1100" s="184" t="n">
        <x:v>0</x:v>
      </x:c>
      <x:c r="D1100" s="184" t="n">
        <x:v>0</x:v>
      </x:c>
      <x:c r="E1100" s="184" t="n">
        <x:v>0</x:v>
      </x:c>
      <x:c r="F1100" s="184" t="n">
        <x:v>0</x:v>
      </x:c>
      <x:c r="G1100" s="184" t="n">
        <x:v>-14</x:v>
      </x:c>
      <x:c r="H1100" s="193" t="n">
        <x:v>0</x:v>
      </x:c>
      <x:c r="I1100" s="185" t="n">
        <x:v>0</x:v>
      </x:c>
      <x:c r="J1100" s="185" t="n">
        <x:v>-14</x:v>
      </x:c>
      <x:c r="K1100" s="289" t="n">
        <x:v>4778.986183</x:v>
      </x:c>
    </x:row>
    <x:row r="1101" s="117" customFormat="1" hidden="1">
      <x:c r="A1101" s="184" t="inlineStr">
        <x:is>
          <x:t xml:space="preserve">MTPQUIADT061</x:t>
        </x:is>
      </x:c>
      <x:c r="B1101" s="184" t="inlineStr">
        <x:is>
          <x:t xml:space="preserve">MYLAR FILM 36 MICRON ANCHO 200 MM</x:t>
        </x:is>
      </x:c>
      <x:c r="C1101" s="184" t="n">
        <x:v>1568</x:v>
      </x:c>
      <x:c r="D1101" s="184" t="n">
        <x:v>0</x:v>
      </x:c>
      <x:c r="E1101" s="184" t="n">
        <x:v>0</x:v>
      </x:c>
      <x:c r="F1101" s="184" t="n">
        <x:v>1568</x:v>
      </x:c>
      <x:c r="G1101" s="184" t="n">
        <x:v>3313134</x:v>
      </x:c>
      <x:c r="H1101" s="193" t="n">
        <x:v>0</x:v>
      </x:c>
      <x:c r="I1101" s="185" t="n">
        <x:v>0</x:v>
      </x:c>
      <x:c r="J1101" s="185" t="n">
        <x:v>3313134</x:v>
      </x:c>
      <x:c r="K1101" s="289" t="n">
        <x:v>2112.96833773</x:v>
      </x:c>
    </x:row>
    <x:row r="1102" s="117" customFormat="1" hidden="1">
      <x:c r="A1102" s="184" t="inlineStr">
        <x:is>
          <x:t xml:space="preserve">MTPQUIADT062</x:t>
        </x:is>
      </x:c>
      <x:c r="B1102" s="184" t="inlineStr">
        <x:is>
          <x:t xml:space="preserve">ESCAMAS DE VIDRIO</x:t>
        </x:is>
      </x:c>
      <x:c r="C1102" s="184" t="n">
        <x:v>14</x:v>
      </x:c>
      <x:c r="D1102" s="184" t="n">
        <x:v>0</x:v>
      </x:c>
      <x:c r="E1102" s="184" t="n">
        <x:v>0</x:v>
      </x:c>
      <x:c r="F1102" s="184" t="n">
        <x:v>14</x:v>
      </x:c>
      <x:c r="G1102" s="184" t="n">
        <x:v>320867</x:v>
      </x:c>
      <x:c r="H1102" s="193" t="n">
        <x:v>0</x:v>
      </x:c>
      <x:c r="I1102" s="185" t="n">
        <x:v>0</x:v>
      </x:c>
      <x:c r="J1102" s="185" t="n">
        <x:v>320867</x:v>
      </x:c>
      <x:c r="K1102" s="289" t="n">
        <x:v>22919</x:v>
      </x:c>
    </x:row>
    <x:row r="1103" s="117" customFormat="1" hidden="1">
      <x:c r="A1103" s="184" t="inlineStr">
        <x:is>
          <x:t xml:space="preserve">MTPQUIADT063</x:t>
        </x:is>
      </x:c>
      <x:c r="B1103" s="184" t="inlineStr">
        <x:is>
          <x:t xml:space="preserve">PEROXIDO BRASNOX ROJO DM50 E DR</x:t>
        </x:is>
      </x:c>
      <x:c r="C1103" s="184" t="n">
        <x:v>0</x:v>
      </x:c>
      <x:c r="D1103" s="184" t="n">
        <x:v>0</x:v>
      </x:c>
      <x:c r="E1103" s="184" t="n">
        <x:v>0</x:v>
      </x:c>
      <x:c r="F1103" s="184" t="n">
        <x:v>0</x:v>
      </x:c>
      <x:c r="G1103" s="184" t="n">
        <x:v>-6</x:v>
      </x:c>
      <x:c r="H1103" s="193" t="n">
        <x:v>0</x:v>
      </x:c>
      <x:c r="I1103" s="185" t="n">
        <x:v>0</x:v>
      </x:c>
      <x:c r="J1103" s="185" t="n">
        <x:v>-6</x:v>
      </x:c>
      <x:c r="K1103" s="289" t="n">
        <x:v>3709.67957746</x:v>
      </x:c>
    </x:row>
    <x:row r="1104" s="117" customFormat="1" hidden="1">
      <x:c r="A1104" s="184" t="inlineStr">
        <x:is>
          <x:t xml:space="preserve">MTPQUIADT064</x:t>
        </x:is>
      </x:c>
      <x:c r="B1104" s="184" t="inlineStr">
        <x:is>
          <x:t xml:space="preserve">BYK A 515 DESAIRANTE</x:t>
        </x:is>
      </x:c>
      <x:c r="C1104" s="184" t="n">
        <x:v>0</x:v>
      </x:c>
      <x:c r="D1104" s="184" t="n">
        <x:v>0</x:v>
      </x:c>
      <x:c r="E1104" s="184" t="n">
        <x:v>0</x:v>
      </x:c>
      <x:c r="F1104" s="184" t="n">
        <x:v>0</x:v>
      </x:c>
      <x:c r="G1104" s="184" t="n">
        <x:v>0</x:v>
      </x:c>
      <x:c r="H1104" s="193" t="n">
        <x:v>0</x:v>
      </x:c>
      <x:c r="I1104" s="185" t="n">
        <x:v>0</x:v>
      </x:c>
      <x:c r="J1104" s="185" t="n">
        <x:v>0</x:v>
      </x:c>
      <x:c r="K1104" s="289" t="n">
        <x:v>21243</x:v>
      </x:c>
    </x:row>
    <x:row r="1105" s="117" customFormat="1" hidden="1">
      <x:c r="A1105" s="184" t="inlineStr">
        <x:is>
          <x:t xml:space="preserve">MTPQUIADT065</x:t>
        </x:is>
      </x:c>
      <x:c r="B1105" s="184" t="inlineStr">
        <x:is>
          <x:t xml:space="preserve">PIGMENTO PASTA COLOR VERDE</x:t>
        </x:is>
      </x:c>
      <x:c r="C1105" s="184" t="n">
        <x:v>0</x:v>
      </x:c>
      <x:c r="D1105" s="184" t="n">
        <x:v>0</x:v>
      </x:c>
      <x:c r="E1105" s="184" t="n">
        <x:v>0</x:v>
      </x:c>
      <x:c r="F1105" s="184" t="n">
        <x:v>0</x:v>
      </x:c>
      <x:c r="G1105" s="184" t="n">
        <x:v>0</x:v>
      </x:c>
      <x:c r="H1105" s="193" t="n">
        <x:v>0</x:v>
      </x:c>
      <x:c r="I1105" s="185" t="n">
        <x:v>0</x:v>
      </x:c>
      <x:c r="J1105" s="185" t="n">
        <x:v>0</x:v>
      </x:c>
      <x:c r="K1105" s="289" t="n">
        <x:v>0</x:v>
      </x:c>
    </x:row>
    <x:row r="1106" s="117" customFormat="1" hidden="1">
      <x:c r="A1106" s="184" t="inlineStr">
        <x:is>
          <x:t xml:space="preserve">MTPQUIADT066</x:t>
        </x:is>
      </x:c>
      <x:c r="B1106" s="184" t="inlineStr">
        <x:is>
          <x:t xml:space="preserve">VELO C SUPERFICIE TIPO C DENSIDAD 30GR/MT2 1000 MM ANCHO</x:t>
        </x:is>
      </x:c>
      <x:c r="C1106" s="184" t="n">
        <x:v>197.215</x:v>
      </x:c>
      <x:c r="D1106" s="184" t="n">
        <x:v>0</x:v>
      </x:c>
      <x:c r="E1106" s="184" t="n">
        <x:v>3.2</x:v>
      </x:c>
      <x:c r="F1106" s="184" t="n">
        <x:v>194.015</x:v>
      </x:c>
      <x:c r="G1106" s="184" t="n">
        <x:v>1251324</x:v>
      </x:c>
      <x:c r="H1106" s="193" t="n">
        <x:v>0</x:v>
      </x:c>
      <x:c r="I1106" s="185" t="n">
        <x:v>20304</x:v>
      </x:c>
      <x:c r="J1106" s="185" t="n">
        <x:v>1231020</x:v>
      </x:c>
      <x:c r="K1106" s="289" t="n">
        <x:v>6345.0049517</x:v>
      </x:c>
    </x:row>
    <x:row r="1107" s="117" customFormat="1" hidden="1">
      <x:c r="A1107" s="184" t="inlineStr">
        <x:is>
          <x:t xml:space="preserve">MTPQUIADT067</x:t>
        </x:is>
      </x:c>
      <x:c r="B1107" s="184" t="inlineStr">
        <x:is>
          <x:t xml:space="preserve">TELA UNIDIRECCIONAL FIBRA DE VIDRIO DENSIDAD 525GR/MT2 ANCHO 300 MM</x:t>
        </x:is>
      </x:c>
      <x:c r="C1107" s="184" t="n">
        <x:v>10675.5</x:v>
      </x:c>
      <x:c r="D1107" s="184" t="n">
        <x:v>0</x:v>
      </x:c>
      <x:c r="E1107" s="184" t="n">
        <x:v>25</x:v>
      </x:c>
      <x:c r="F1107" s="184" t="n">
        <x:v>10650.5</x:v>
      </x:c>
      <x:c r="G1107" s="184" t="n">
        <x:v>13586245</x:v>
      </x:c>
      <x:c r="H1107" s="193" t="n">
        <x:v>0</x:v>
      </x:c>
      <x:c r="I1107" s="185" t="n">
        <x:v>31816</x:v>
      </x:c>
      <x:c r="J1107" s="185" t="n">
        <x:v>13554429</x:v>
      </x:c>
      <x:c r="K1107" s="289" t="n">
        <x:v>1272.6572535</x:v>
      </x:c>
    </x:row>
    <x:row r="1108" s="117" customFormat="1" hidden="1">
      <x:c r="A1108" s="184" t="inlineStr">
        <x:is>
          <x:t xml:space="preserve">MTPQUIADT068</x:t>
        </x:is>
      </x:c>
      <x:c r="B1108" s="184" t="inlineStr">
        <x:is>
          <x:t xml:space="preserve">FIBRA DE VIDRIO MAT 450GR/MT2 E6CRMC450-1400-P20  JUSHI</x:t>
        </x:is>
      </x:c>
      <x:c r="C1108" s="184" t="n">
        <x:v>10965.21</x:v>
      </x:c>
      <x:c r="D1108" s="184" t="n">
        <x:v>0</x:v>
      </x:c>
      <x:c r="E1108" s="184" t="n">
        <x:v>260.21</x:v>
      </x:c>
      <x:c r="F1108" s="184" t="n">
        <x:v>10705</x:v>
      </x:c>
      <x:c r="G1108" s="184" t="n">
        <x:v>12204151</x:v>
      </x:c>
      <x:c r="H1108" s="193" t="n">
        <x:v>0</x:v>
      </x:c>
      <x:c r="I1108" s="185" t="n">
        <x:v>289613</x:v>
      </x:c>
      <x:c r="J1108" s="185" t="n">
        <x:v>11914538</x:v>
      </x:c>
      <x:c r="K1108" s="289" t="n">
        <x:v>1112.98751698</x:v>
      </x:c>
    </x:row>
    <x:row r="1109" s="117" customFormat="1" hidden="1">
      <x:c r="A1109" s="184" t="inlineStr">
        <x:is>
          <x:t xml:space="preserve">MTPQUIADT069</x:t>
        </x:is>
      </x:c>
      <x:c r="B1109" s="184" t="inlineStr">
        <x:is>
          <x:t xml:space="preserve">AGENTE TIXOTROPICO HL-200</x:t>
        </x:is>
      </x:c>
      <x:c r="C1109" s="184" t="n">
        <x:v>0</x:v>
      </x:c>
      <x:c r="D1109" s="184" t="n">
        <x:v>0</x:v>
      </x:c>
      <x:c r="E1109" s="184" t="n">
        <x:v>0</x:v>
      </x:c>
      <x:c r="F1109" s="184" t="n">
        <x:v>0</x:v>
      </x:c>
      <x:c r="G1109" s="184" t="n">
        <x:v>0</x:v>
      </x:c>
      <x:c r="H1109" s="193" t="n">
        <x:v>0</x:v>
      </x:c>
      <x:c r="I1109" s="185" t="n">
        <x:v>0</x:v>
      </x:c>
      <x:c r="J1109" s="185" t="n">
        <x:v>0</x:v>
      </x:c>
      <x:c r="K1109" s="289" t="n">
        <x:v>9140</x:v>
      </x:c>
    </x:row>
    <x:row r="1110" s="117" customFormat="1" hidden="1">
      <x:c r="A1110" s="184" t="inlineStr">
        <x:is>
          <x:t xml:space="preserve">MTPQUIADT070</x:t>
        </x:is>
      </x:c>
      <x:c r="B1110" s="184" t="inlineStr">
        <x:is>
          <x:t xml:space="preserve">PASTA AEROSIL</x:t>
        </x:is>
      </x:c>
      <x:c r="C1110" s="184" t="n">
        <x:v>0</x:v>
      </x:c>
      <x:c r="D1110" s="184" t="n">
        <x:v>0</x:v>
      </x:c>
      <x:c r="E1110" s="184" t="n">
        <x:v>0</x:v>
      </x:c>
      <x:c r="F1110" s="184" t="n">
        <x:v>0</x:v>
      </x:c>
      <x:c r="G1110" s="184" t="n">
        <x:v>0</x:v>
      </x:c>
      <x:c r="H1110" s="193" t="n">
        <x:v>0</x:v>
      </x:c>
      <x:c r="I1110" s="185" t="n">
        <x:v>0</x:v>
      </x:c>
      <x:c r="J1110" s="185" t="n">
        <x:v>0</x:v>
      </x:c>
      <x:c r="K1110" s="289" t="n">
        <x:v>4733</x:v>
      </x:c>
    </x:row>
    <x:row r="1111" s="117" customFormat="1" hidden="1">
      <x:c r="A1111" s="184" t="inlineStr">
        <x:is>
          <x:t xml:space="preserve">MTPQUIADT071</x:t>
        </x:is>
      </x:c>
      <x:c r="B1111" s="184" t="inlineStr">
        <x:is>
          <x:t xml:space="preserve">PEROXIDO BRASNOX DM50</x:t>
        </x:is>
      </x:c>
      <x:c r="C1111" s="184" t="n">
        <x:v>0</x:v>
      </x:c>
      <x:c r="D1111" s="184" t="n">
        <x:v>0</x:v>
      </x:c>
      <x:c r="E1111" s="184" t="n">
        <x:v>0</x:v>
      </x:c>
      <x:c r="F1111" s="184" t="n">
        <x:v>0</x:v>
      </x:c>
      <x:c r="G1111" s="184" t="n">
        <x:v>0</x:v>
      </x:c>
      <x:c r="H1111" s="193" t="n">
        <x:v>0</x:v>
      </x:c>
      <x:c r="I1111" s="185" t="n">
        <x:v>0</x:v>
      </x:c>
      <x:c r="J1111" s="185" t="n">
        <x:v>0</x:v>
      </x:c>
      <x:c r="K1111" s="289" t="n">
        <x:v>6341</x:v>
      </x:c>
    </x:row>
    <x:row r="1112" s="117" customFormat="1" hidden="1">
      <x:c r="A1112" s="184" t="inlineStr">
        <x:is>
          <x:t xml:space="preserve">MTPQUIADT073</x:t>
        </x:is>
      </x:c>
      <x:c r="B1112" s="184" t="inlineStr">
        <x:is>
          <x:t xml:space="preserve">AGENTE TIXOTROPICO HJSIL R-110</x:t>
        </x:is>
      </x:c>
      <x:c r="C1112" s="184" t="n">
        <x:v>18.315</x:v>
      </x:c>
      <x:c r="D1112" s="184" t="n">
        <x:v>0</x:v>
      </x:c>
      <x:c r="E1112" s="184" t="n">
        <x:v>0</x:v>
      </x:c>
      <x:c r="F1112" s="184" t="n">
        <x:v>18.315</x:v>
      </x:c>
      <x:c r="G1112" s="184" t="n">
        <x:v>403676</x:v>
      </x:c>
      <x:c r="H1112" s="193" t="n">
        <x:v>0</x:v>
      </x:c>
      <x:c r="I1112" s="185" t="n">
        <x:v>0</x:v>
      </x:c>
      <x:c r="J1112" s="185" t="n">
        <x:v>403676</x:v>
      </x:c>
      <x:c r="K1112" s="289" t="n">
        <x:v>22040.44102845</x:v>
      </x:c>
    </x:row>
    <x:row r="1113" s="117" customFormat="1" hidden="1">
      <x:c r="A1113" s="184" t="inlineStr">
        <x:is>
          <x:t xml:space="preserve">MTPQUIADT074</x:t>
        </x:is>
      </x:c>
      <x:c r="B1113" s="184" t="inlineStr">
        <x:is>
          <x:t xml:space="preserve">PEROXIDO PEROXICOL 80 (PARA POLIESTER)</x:t>
        </x:is>
      </x:c>
      <x:c r="C1113" s="184" t="n">
        <x:v>0</x:v>
      </x:c>
      <x:c r="D1113" s="184" t="n">
        <x:v>0</x:v>
      </x:c>
      <x:c r="E1113" s="184" t="n">
        <x:v>0</x:v>
      </x:c>
      <x:c r="F1113" s="184" t="n">
        <x:v>0</x:v>
      </x:c>
      <x:c r="G1113" s="184" t="n">
        <x:v>-1</x:v>
      </x:c>
      <x:c r="H1113" s="193" t="n">
        <x:v>0</x:v>
      </x:c>
      <x:c r="I1113" s="185" t="n">
        <x:v>0</x:v>
      </x:c>
      <x:c r="J1113" s="185" t="n">
        <x:v>-1</x:v>
      </x:c>
      <x:c r="K1113" s="289" t="n">
        <x:v>4745</x:v>
      </x:c>
    </x:row>
    <x:row r="1114" s="117" customFormat="1" hidden="1">
      <x:c r="A1114" s="184" t="inlineStr">
        <x:is>
          <x:t xml:space="preserve">MTPQUIADT075</x:t>
        </x:is>
      </x:c>
      <x:c r="B1114" s="184" t="inlineStr">
        <x:is>
          <x:t xml:space="preserve">LAMINA DE PLOMO 6 MM PPEE</x:t>
        </x:is>
      </x:c>
      <x:c r="C1114" s="184" t="n">
        <x:v>3</x:v>
      </x:c>
      <x:c r="D1114" s="184" t="n">
        <x:v>0</x:v>
      </x:c>
      <x:c r="E1114" s="184" t="n">
        <x:v>0</x:v>
      </x:c>
      <x:c r="F1114" s="184" t="n">
        <x:v>3</x:v>
      </x:c>
      <x:c r="G1114" s="184" t="n">
        <x:v>4264749</x:v>
      </x:c>
      <x:c r="H1114" s="193" t="n">
        <x:v>0</x:v>
      </x:c>
      <x:c r="I1114" s="185" t="n">
        <x:v>0</x:v>
      </x:c>
      <x:c r="J1114" s="185" t="n">
        <x:v>4264749</x:v>
      </x:c>
      <x:c r="K1114" s="289" t="n">
        <x:v>1421583</x:v>
      </x:c>
    </x:row>
    <x:row r="1115" s="117" customFormat="1" hidden="1">
      <x:c r="A1115" s="184" t="inlineStr">
        <x:is>
          <x:t xml:space="preserve">MTPQUIADT076</x:t>
        </x:is>
      </x:c>
      <x:c r="B1115" s="184" t="inlineStr">
        <x:is>
          <x:t xml:space="preserve">TRIOXIDO DE ANTIMONIO</x:t>
        </x:is>
      </x:c>
      <x:c r="C1115" s="184" t="n">
        <x:v>0</x:v>
      </x:c>
      <x:c r="D1115" s="184" t="n">
        <x:v>0</x:v>
      </x:c>
      <x:c r="E1115" s="184" t="n">
        <x:v>0</x:v>
      </x:c>
      <x:c r="F1115" s="184" t="n">
        <x:v>0</x:v>
      </x:c>
      <x:c r="G1115" s="184" t="n">
        <x:v>0</x:v>
      </x:c>
      <x:c r="H1115" s="193" t="n">
        <x:v>0</x:v>
      </x:c>
      <x:c r="I1115" s="185" t="n">
        <x:v>0</x:v>
      </x:c>
      <x:c r="J1115" s="185" t="n">
        <x:v>0</x:v>
      </x:c>
      <x:c r="K1115" s="289" t="n">
        <x:v>0</x:v>
      </x:c>
    </x:row>
    <x:row r="1116" s="117" customFormat="1" hidden="1">
      <x:c r="A1116" s="184" t="inlineStr">
        <x:is>
          <x:t xml:space="preserve">MTPQUIADT077</x:t>
        </x:is>
      </x:c>
      <x:c r="B1116" s="184" t="inlineStr">
        <x:is>
          <x:t xml:space="preserve">TRIOXIDO DE ANTIMONIO</x:t>
        </x:is>
      </x:c>
      <x:c r="C1116" s="184" t="n">
        <x:v>0</x:v>
      </x:c>
      <x:c r="D1116" s="184" t="n">
        <x:v>0</x:v>
      </x:c>
      <x:c r="E1116" s="184" t="n">
        <x:v>0</x:v>
      </x:c>
      <x:c r="F1116" s="184" t="n">
        <x:v>0</x:v>
      </x:c>
      <x:c r="G1116" s="184" t="n">
        <x:v>0</x:v>
      </x:c>
      <x:c r="H1116" s="193" t="n">
        <x:v>0</x:v>
      </x:c>
      <x:c r="I1116" s="185" t="n">
        <x:v>0</x:v>
      </x:c>
      <x:c r="J1116" s="185" t="n">
        <x:v>0</x:v>
      </x:c>
      <x:c r="K1116" s="289" t="n">
        <x:v>0</x:v>
      </x:c>
    </x:row>
    <x:row r="1117" s="117" customFormat="1" hidden="1">
      <x:c r="A1117" s="184" t="inlineStr">
        <x:is>
          <x:t xml:space="preserve">MTPQUIADT078</x:t>
        </x:is>
      </x:c>
      <x:c r="B1117" s="184" t="inlineStr">
        <x:is>
          <x:t xml:space="preserve">SOLDADURA PLOMO PPEE</x:t>
        </x:is>
      </x:c>
      <x:c r="C1117" s="184" t="n">
        <x:v>0</x:v>
      </x:c>
      <x:c r="D1117" s="184" t="n">
        <x:v>0</x:v>
      </x:c>
      <x:c r="E1117" s="184" t="n">
        <x:v>0</x:v>
      </x:c>
      <x:c r="F1117" s="184" t="n">
        <x:v>0</x:v>
      </x:c>
      <x:c r="G1117" s="184" t="n">
        <x:v>0</x:v>
      </x:c>
      <x:c r="H1117" s="193" t="n">
        <x:v>0</x:v>
      </x:c>
      <x:c r="I1117" s="185" t="n">
        <x:v>0</x:v>
      </x:c>
      <x:c r="J1117" s="185" t="n">
        <x:v>0</x:v>
      </x:c>
      <x:c r="K1117" s="289" t="n">
        <x:v>152312</x:v>
      </x:c>
    </x:row>
    <x:row r="1118" s="117" customFormat="1" hidden="1">
      <x:c r="A1118" s="184" t="inlineStr">
        <x:is>
          <x:t xml:space="preserve">MTPQUIADT079</x:t>
        </x:is>
      </x:c>
      <x:c r="B1118" s="184" t="inlineStr">
        <x:is>
          <x:t xml:space="preserve">PEROXIDO BRASNOX DM60 POLINOX</x:t>
        </x:is>
      </x:c>
      <x:c r="C1118" s="184" t="n">
        <x:v>0</x:v>
      </x:c>
      <x:c r="D1118" s="184" t="n">
        <x:v>0</x:v>
      </x:c>
      <x:c r="E1118" s="184" t="n">
        <x:v>0</x:v>
      </x:c>
      <x:c r="F1118" s="184" t="n">
        <x:v>0</x:v>
      </x:c>
      <x:c r="G1118" s="184" t="n">
        <x:v>0</x:v>
      </x:c>
      <x:c r="H1118" s="193" t="n">
        <x:v>0</x:v>
      </x:c>
      <x:c r="I1118" s="185" t="n">
        <x:v>0</x:v>
      </x:c>
      <x:c r="J1118" s="185" t="n">
        <x:v>0</x:v>
      </x:c>
      <x:c r="K1118" s="289" t="n">
        <x:v>5185</x:v>
      </x:c>
    </x:row>
    <x:row r="1119" s="117" customFormat="1" hidden="1">
      <x:c r="A1119" s="184" t="inlineStr">
        <x:is>
          <x:t xml:space="preserve">MTPQUIADT080</x:t>
        </x:is>
      </x:c>
      <x:c r="B1119" s="184" t="inlineStr">
        <x:is>
          <x:t xml:space="preserve">PEROXIDO M50 PARA RESINA POLIESTER</x:t>
        </x:is>
      </x:c>
      <x:c r="C1119" s="184" t="n">
        <x:v>0</x:v>
      </x:c>
      <x:c r="D1119" s="184" t="n">
        <x:v>0</x:v>
      </x:c>
      <x:c r="E1119" s="184" t="n">
        <x:v>0</x:v>
      </x:c>
      <x:c r="F1119" s="184" t="n">
        <x:v>0</x:v>
      </x:c>
      <x:c r="G1119" s="184" t="n">
        <x:v>0</x:v>
      </x:c>
      <x:c r="H1119" s="193" t="n">
        <x:v>0</x:v>
      </x:c>
      <x:c r="I1119" s="185" t="n">
        <x:v>0</x:v>
      </x:c>
      <x:c r="J1119" s="185" t="n">
        <x:v>0</x:v>
      </x:c>
      <x:c r="K1119" s="289" t="n">
        <x:v>5172</x:v>
      </x:c>
    </x:row>
    <x:row r="1120" s="117" customFormat="1" hidden="1">
      <x:c r="A1120" s="184" t="inlineStr">
        <x:is>
          <x:t xml:space="preserve">MTPQUIADT081</x:t>
        </x:is>
      </x:c>
      <x:c r="B1120" s="184" t="inlineStr">
        <x:is>
          <x:t xml:space="preserve">POLVO S-1  SACO DE 20 KG BASF  SIMTECH (CEILCOTE)</x:t>
        </x:is>
      </x:c>
      <x:c r="C1120" s="184" t="n">
        <x:v>0</x:v>
      </x:c>
      <x:c r="D1120" s="184" t="n">
        <x:v>0</x:v>
      </x:c>
      <x:c r="E1120" s="184" t="n">
        <x:v>0</x:v>
      </x:c>
      <x:c r="F1120" s="184" t="n">
        <x:v>0</x:v>
      </x:c>
      <x:c r="G1120" s="184" t="n">
        <x:v>0</x:v>
      </x:c>
      <x:c r="H1120" s="193" t="n">
        <x:v>0</x:v>
      </x:c>
      <x:c r="I1120" s="185" t="n">
        <x:v>0</x:v>
      </x:c>
      <x:c r="J1120" s="185" t="n">
        <x:v>0</x:v>
      </x:c>
      <x:c r="K1120" s="289" t="n">
        <x:v>147276.25510204</x:v>
      </x:c>
    </x:row>
    <x:row r="1121" s="117" customFormat="1" hidden="1">
      <x:c r="A1121" s="184" t="inlineStr">
        <x:is>
          <x:t xml:space="preserve">MTPQUIADT082</x:t>
        </x:is>
      </x:c>
      <x:c r="B1121" s="184" t="inlineStr">
        <x:is>
          <x:t xml:space="preserve">VELO NEXUS POLYESTER VEIL TE4030 X 1060 MM</x:t>
        </x:is>
      </x:c>
      <x:c r="C1121" s="184" t="n">
        <x:v>60</x:v>
      </x:c>
      <x:c r="D1121" s="184" t="n">
        <x:v>0</x:v>
      </x:c>
      <x:c r="E1121" s="184" t="n">
        <x:v>0</x:v>
      </x:c>
      <x:c r="F1121" s="184" t="n">
        <x:v>60</x:v>
      </x:c>
      <x:c r="G1121" s="184" t="n">
        <x:v>582240</x:v>
      </x:c>
      <x:c r="H1121" s="193" t="n">
        <x:v>0</x:v>
      </x:c>
      <x:c r="I1121" s="185" t="n">
        <x:v>0</x:v>
      </x:c>
      <x:c r="J1121" s="185" t="n">
        <x:v>582240</x:v>
      </x:c>
      <x:c r="K1121" s="289" t="n">
        <x:v>9704</x:v>
      </x:c>
    </x:row>
    <x:row r="1122" s="117" customFormat="1" hidden="1">
      <x:c r="A1122" s="184" t="inlineStr">
        <x:is>
          <x:t xml:space="preserve">MTPQUIADT083</x:t>
        </x:is>
      </x:c>
      <x:c r="B1122" s="184" t="inlineStr">
        <x:is>
          <x:t xml:space="preserve">POLYESTER FILM 20MICRON X 500 MM  (IMPORTADO)</x:t>
        </x:is>
      </x:c>
      <x:c r="C1122" s="184" t="n">
        <x:v>794</x:v>
      </x:c>
      <x:c r="D1122" s="184" t="n">
        <x:v>0</x:v>
      </x:c>
      <x:c r="E1122" s="184" t="n">
        <x:v>0</x:v>
      </x:c>
      <x:c r="F1122" s="184" t="n">
        <x:v>794</x:v>
      </x:c>
      <x:c r="G1122" s="184" t="n">
        <x:v>1248168</x:v>
      </x:c>
      <x:c r="H1122" s="193" t="n">
        <x:v>0</x:v>
      </x:c>
      <x:c r="I1122" s="185" t="n">
        <x:v>0</x:v>
      </x:c>
      <x:c r="J1122" s="185" t="n">
        <x:v>1248168</x:v>
      </x:c>
      <x:c r="K1122" s="289" t="n">
        <x:v>1572</x:v>
      </x:c>
    </x:row>
    <x:row r="1123" s="117" customFormat="1" hidden="1">
      <x:c r="A1123" s="184" t="inlineStr">
        <x:is>
          <x:t xml:space="preserve">MTPQUIADT085</x:t>
        </x:is>
      </x:c>
      <x:c r="B1123" s="184" t="inlineStr">
        <x:is>
          <x:t xml:space="preserve">PERFIL TUBULAR EN FRP POLIESTER 63X3 MM COLOR GRIS</x:t>
        </x:is>
      </x:c>
      <x:c r="C1123" s="184" t="n">
        <x:v>0</x:v>
      </x:c>
      <x:c r="D1123" s="184" t="n">
        <x:v>0</x:v>
      </x:c>
      <x:c r="E1123" s="184" t="n">
        <x:v>0</x:v>
      </x:c>
      <x:c r="F1123" s="184" t="n">
        <x:v>0</x:v>
      </x:c>
      <x:c r="G1123" s="184" t="n">
        <x:v>0</x:v>
      </x:c>
      <x:c r="H1123" s="193" t="n">
        <x:v>0</x:v>
      </x:c>
      <x:c r="I1123" s="185" t="n">
        <x:v>0</x:v>
      </x:c>
      <x:c r="J1123" s="185" t="n">
        <x:v>0</x:v>
      </x:c>
      <x:c r="K1123" s="289" t="n">
        <x:v>7842</x:v>
      </x:c>
    </x:row>
    <x:row r="1124" s="117" customFormat="1" hidden="1">
      <x:c r="A1124" s="184" t="inlineStr">
        <x:is>
          <x:t xml:space="preserve">MTPQUIADT086</x:t>
        </x:is>
      </x:c>
      <x:c r="B1124" s="184" t="inlineStr">
        <x:is>
          <x:t xml:space="preserve">AGREGADO MIX 80 (SACO 30 KILOS) (S-1)</x:t>
        </x:is>
      </x:c>
      <x:c r="C1124" s="184" t="n">
        <x:v>69</x:v>
      </x:c>
      <x:c r="D1124" s="184" t="n">
        <x:v>0</x:v>
      </x:c>
      <x:c r="E1124" s="184" t="n">
        <x:v>0</x:v>
      </x:c>
      <x:c r="F1124" s="184" t="n">
        <x:v>69</x:v>
      </x:c>
      <x:c r="G1124" s="184" t="n">
        <x:v>1173000</x:v>
      </x:c>
      <x:c r="H1124" s="193" t="n">
        <x:v>0</x:v>
      </x:c>
      <x:c r="I1124" s="185" t="n">
        <x:v>0</x:v>
      </x:c>
      <x:c r="J1124" s="185" t="n">
        <x:v>1173000</x:v>
      </x:c>
      <x:c r="K1124" s="289" t="n">
        <x:v>17000</x:v>
      </x:c>
    </x:row>
    <x:row r="1125" s="117" customFormat="1" hidden="1">
      <x:c r="A1125" s="184" t="inlineStr">
        <x:is>
          <x:t xml:space="preserve">MTPQUIADT087</x:t>
        </x:is>
      </x:c>
      <x:c r="B1125" s="184" t="inlineStr">
        <x:is>
          <x:t xml:space="preserve">ADVANCE GREASE MULTI EP 2  TAMBOR</x:t>
        </x:is>
      </x:c>
      <x:c r="C1125" s="184" t="n">
        <x:v>0</x:v>
      </x:c>
      <x:c r="D1125" s="184" t="n">
        <x:v>0</x:v>
      </x:c>
      <x:c r="E1125" s="184" t="n">
        <x:v>0</x:v>
      </x:c>
      <x:c r="F1125" s="184" t="n">
        <x:v>0</x:v>
      </x:c>
      <x:c r="G1125" s="184" t="n">
        <x:v>0</x:v>
      </x:c>
      <x:c r="H1125" s="193" t="n">
        <x:v>0</x:v>
      </x:c>
      <x:c r="I1125" s="185" t="n">
        <x:v>0</x:v>
      </x:c>
      <x:c r="J1125" s="185" t="n">
        <x:v>0</x:v>
      </x:c>
      <x:c r="K1125" s="289" t="n">
        <x:v>5544</x:v>
      </x:c>
    </x:row>
    <x:row r="1126" s="117" customFormat="1" hidden="1">
      <x:c r="A1126" s="184" t="inlineStr">
        <x:is>
          <x:t xml:space="preserve">MTPQUIADT088</x:t>
        </x:is>
      </x:c>
      <x:c r="B1126" s="184" t="inlineStr">
        <x:is>
          <x:t xml:space="preserve">Peróxido Peroxicol 80</x:t>
        </x:is>
      </x:c>
      <x:c r="C1126" s="184" t="n">
        <x:v>0</x:v>
      </x:c>
      <x:c r="D1126" s="184" t="n">
        <x:v>0</x:v>
      </x:c>
      <x:c r="E1126" s="184" t="n">
        <x:v>0</x:v>
      </x:c>
      <x:c r="F1126" s="184" t="n">
        <x:v>0</x:v>
      </x:c>
      <x:c r="G1126" s="184" t="n">
        <x:v>0</x:v>
      </x:c>
      <x:c r="H1126" s="193" t="n">
        <x:v>0</x:v>
      </x:c>
      <x:c r="I1126" s="185" t="n">
        <x:v>0</x:v>
      </x:c>
      <x:c r="J1126" s="185" t="n">
        <x:v>0</x:v>
      </x:c>
      <x:c r="K1126" s="289" t="n">
        <x:v>5057</x:v>
      </x:c>
    </x:row>
    <x:row r="1127" s="117" customFormat="1" hidden="1">
      <x:c r="A1127" s="184" t="inlineStr">
        <x:is>
          <x:t xml:space="preserve">MTPQUIADT089</x:t>
        </x:is>
      </x:c>
      <x:c r="B1127" s="184" t="inlineStr">
        <x:is>
          <x:t xml:space="preserve">VELO FIBRA DE CARBONO CFM-015</x:t>
        </x:is>
      </x:c>
      <x:c r="C1127" s="184" t="n">
        <x:v>18</x:v>
      </x:c>
      <x:c r="D1127" s="184" t="n">
        <x:v>0</x:v>
      </x:c>
      <x:c r="E1127" s="184" t="n">
        <x:v>0</x:v>
      </x:c>
      <x:c r="F1127" s="184" t="n">
        <x:v>18</x:v>
      </x:c>
      <x:c r="G1127" s="184" t="n">
        <x:v>1556928</x:v>
      </x:c>
      <x:c r="H1127" s="193" t="n">
        <x:v>0</x:v>
      </x:c>
      <x:c r="I1127" s="185" t="n">
        <x:v>0</x:v>
      </x:c>
      <x:c r="J1127" s="185" t="n">
        <x:v>1556928</x:v>
      </x:c>
      <x:c r="K1127" s="289" t="n">
        <x:v>86496</x:v>
      </x:c>
    </x:row>
    <x:row r="1128" s="117" customFormat="1" hidden="1">
      <x:c r="A1128" s="184" t="inlineStr">
        <x:is>
          <x:t xml:space="preserve">MTPQUIADT090</x:t>
        </x:is>
      </x:c>
      <x:c r="B1128" s="184" t="inlineStr">
        <x:is>
          <x:t xml:space="preserve">PEROXIDO AKPEROX A50 20KG 3H1 PARA RESINA POLIESTER</x:t>
        </x:is>
      </x:c>
      <x:c r="C1128" s="184" t="n">
        <x:v>18.48</x:v>
      </x:c>
      <x:c r="D1128" s="184" t="n">
        <x:v>0</x:v>
      </x:c>
      <x:c r="E1128" s="184" t="n">
        <x:v>0</x:v>
      </x:c>
      <x:c r="F1128" s="184" t="n">
        <x:v>18.48</x:v>
      </x:c>
      <x:c r="G1128" s="184" t="n">
        <x:v>93421</x:v>
      </x:c>
      <x:c r="H1128" s="193" t="n">
        <x:v>0</x:v>
      </x:c>
      <x:c r="I1128" s="185" t="n">
        <x:v>0</x:v>
      </x:c>
      <x:c r="J1128" s="185" t="n">
        <x:v>93421</x:v>
      </x:c>
      <x:c r="K1128" s="289" t="n">
        <x:v>5055.48184548</x:v>
      </x:c>
    </x:row>
    <x:row r="1129" s="117" customFormat="1" hidden="1">
      <x:c r="A1129" s="184" t="inlineStr">
        <x:is>
          <x:t xml:space="preserve">MTPQUIADT091</x:t>
        </x:is>
      </x:c>
      <x:c r="B1129" s="184" t="inlineStr">
        <x:is>
          <x:t xml:space="preserve">LIMPIADOR AEROSOL MULTI EP 2</x:t>
        </x:is>
      </x:c>
      <x:c r="C1129" s="184" t="n">
        <x:v>0</x:v>
      </x:c>
      <x:c r="D1129" s="184" t="n">
        <x:v>0</x:v>
      </x:c>
      <x:c r="E1129" s="184" t="n">
        <x:v>0</x:v>
      </x:c>
      <x:c r="F1129" s="184" t="n">
        <x:v>0</x:v>
      </x:c>
      <x:c r="G1129" s="184" t="n">
        <x:v>0</x:v>
      </x:c>
      <x:c r="H1129" s="193" t="n">
        <x:v>0</x:v>
      </x:c>
      <x:c r="I1129" s="185" t="n">
        <x:v>0</x:v>
      </x:c>
      <x:c r="J1129" s="185" t="n">
        <x:v>0</x:v>
      </x:c>
      <x:c r="K1129" s="289" t="n">
        <x:v>24965</x:v>
      </x:c>
    </x:row>
    <x:row r="1130" s="117" customFormat="1" hidden="1">
      <x:c r="A1130" s="184" t="inlineStr">
        <x:is>
          <x:t xml:space="preserve">MTPQUIADT092</x:t>
        </x:is>
      </x:c>
      <x:c r="B1130" s="184" t="inlineStr">
        <x:is>
          <x:t xml:space="preserve">PENETRANTE AEROSOL CRIX 110</x:t>
        </x:is>
      </x:c>
      <x:c r="C1130" s="184" t="n">
        <x:v>0</x:v>
      </x:c>
      <x:c r="D1130" s="184" t="n">
        <x:v>0</x:v>
      </x:c>
      <x:c r="E1130" s="184" t="n">
        <x:v>0</x:v>
      </x:c>
      <x:c r="F1130" s="184" t="n">
        <x:v>0</x:v>
      </x:c>
      <x:c r="G1130" s="184" t="n">
        <x:v>0</x:v>
      </x:c>
      <x:c r="H1130" s="193" t="n">
        <x:v>0</x:v>
      </x:c>
      <x:c r="I1130" s="185" t="n">
        <x:v>0</x:v>
      </x:c>
      <x:c r="J1130" s="185" t="n">
        <x:v>0</x:v>
      </x:c>
      <x:c r="K1130" s="289" t="n">
        <x:v>24965</x:v>
      </x:c>
    </x:row>
    <x:row r="1131" s="117" customFormat="1" hidden="1">
      <x:c r="A1131" s="184" t="inlineStr">
        <x:is>
          <x:t xml:space="preserve">MTPQUIADT093</x:t>
        </x:is>
      </x:c>
      <x:c r="B1131" s="184" t="inlineStr">
        <x:is>
          <x:t xml:space="preserve">PEROXIDO AKPEROX LPT-N  (PARA RESINA VINILESTER)</x:t>
        </x:is>
      </x:c>
      <x:c r="C1131" s="184" t="n">
        <x:v>135.28</x:v>
      </x:c>
      <x:c r="D1131" s="184" t="n">
        <x:v>0</x:v>
      </x:c>
      <x:c r="E1131" s="184" t="n">
        <x:v>10.28</x:v>
      </x:c>
      <x:c r="F1131" s="184" t="n">
        <x:v>125</x:v>
      </x:c>
      <x:c r="G1131" s="184" t="n">
        <x:v>1168220</x:v>
      </x:c>
      <x:c r="H1131" s="193" t="n">
        <x:v>0</x:v>
      </x:c>
      <x:c r="I1131" s="185" t="n">
        <x:v>88771</x:v>
      </x:c>
      <x:c r="J1131" s="185" t="n">
        <x:v>1079449</x:v>
      </x:c>
      <x:c r="K1131" s="289" t="n">
        <x:v>8635.34621623</x:v>
      </x:c>
    </x:row>
    <x:row r="1132" s="117" customFormat="1" hidden="1">
      <x:c r="A1132" s="184" t="inlineStr">
        <x:is>
          <x:t xml:space="preserve">MTPQUIADT094</x:t>
        </x:is>
      </x:c>
      <x:c r="B1132" s="184" t="inlineStr">
        <x:is>
          <x:t xml:space="preserve">COMBO MAT  600 GRS/MT2 + MAT 450 GRS/MT2</x:t>
        </x:is>
      </x:c>
      <x:c r="C1132" s="184" t="n">
        <x:v>2394</x:v>
      </x:c>
      <x:c r="D1132" s="184" t="n">
        <x:v>0</x:v>
      </x:c>
      <x:c r="E1132" s="184" t="n">
        <x:v>0</x:v>
      </x:c>
      <x:c r="F1132" s="184" t="n">
        <x:v>2394</x:v>
      </x:c>
      <x:c r="G1132" s="184" t="n">
        <x:v>2970511</x:v>
      </x:c>
      <x:c r="H1132" s="193" t="n">
        <x:v>0</x:v>
      </x:c>
      <x:c r="I1132" s="185" t="n">
        <x:v>0</x:v>
      </x:c>
      <x:c r="J1132" s="185" t="n">
        <x:v>2970511</x:v>
      </x:c>
      <x:c r="K1132" s="289" t="n">
        <x:v>1240.8151261</x:v>
      </x:c>
    </x:row>
    <x:row r="1133" s="117" customFormat="1" hidden="1">
      <x:c r="A1133" s="184" t="inlineStr">
        <x:is>
          <x:t xml:space="preserve">MTPQUIADT095</x:t>
        </x:is>
      </x:c>
      <x:c r="B1133" s="184" t="inlineStr">
        <x:is>
          <x:t xml:space="preserve">NAFTENATO DE COBRE AL 8% (1 KG)</x:t>
        </x:is>
      </x:c>
      <x:c r="C1133" s="184" t="n">
        <x:v>1</x:v>
      </x:c>
      <x:c r="D1133" s="184" t="n">
        <x:v>0</x:v>
      </x:c>
      <x:c r="E1133" s="184" t="n">
        <x:v>0</x:v>
      </x:c>
      <x:c r="F1133" s="184" t="n">
        <x:v>1</x:v>
      </x:c>
      <x:c r="G1133" s="184" t="n">
        <x:v>40000</x:v>
      </x:c>
      <x:c r="H1133" s="193" t="n">
        <x:v>0</x:v>
      </x:c>
      <x:c r="I1133" s="185" t="n">
        <x:v>0</x:v>
      </x:c>
      <x:c r="J1133" s="185" t="n">
        <x:v>40000</x:v>
      </x:c>
      <x:c r="K1133" s="289" t="n">
        <x:v>40000</x:v>
      </x:c>
    </x:row>
    <x:row r="1134" s="117" customFormat="1" hidden="1">
      <x:c r="A1134" s="184" t="inlineStr">
        <x:is>
          <x:t xml:space="preserve">MTPQUIADT096</x:t>
        </x:is>
      </x:c>
      <x:c r="B1134" s="184" t="inlineStr">
        <x:is>
          <x:t xml:space="preserve">GELCOAT ISOFTALICO 2002 X 240KG</x:t>
        </x:is>
      </x:c>
      <x:c r="C1134" s="184" t="n">
        <x:v>35</x:v>
      </x:c>
      <x:c r="D1134" s="184" t="n">
        <x:v>0</x:v>
      </x:c>
      <x:c r="E1134" s="184" t="n">
        <x:v>0</x:v>
      </x:c>
      <x:c r="F1134" s="184" t="n">
        <x:v>35</x:v>
      </x:c>
      <x:c r="G1134" s="184" t="n">
        <x:v>236461</x:v>
      </x:c>
      <x:c r="H1134" s="193" t="n">
        <x:v>0</x:v>
      </x:c>
      <x:c r="I1134" s="185" t="n">
        <x:v>0</x:v>
      </x:c>
      <x:c r="J1134" s="185" t="n">
        <x:v>236461</x:v>
      </x:c>
      <x:c r="K1134" s="289" t="n">
        <x:v>6756</x:v>
      </x:c>
    </x:row>
    <x:row r="1135" s="117" customFormat="1" hidden="1">
      <x:c r="A1135" s="184" t="inlineStr">
        <x:is>
          <x:t xml:space="preserve">MTPQUIADT097</x:t>
        </x:is>
      </x:c>
      <x:c r="B1135" s="184" t="inlineStr">
        <x:is>
          <x:t xml:space="preserve">PEROXIDO GRANOX C5 HQ</x:t>
        </x:is>
      </x:c>
      <x:c r="C1135" s="184" t="n">
        <x:v>0</x:v>
      </x:c>
      <x:c r="D1135" s="184" t="n">
        <x:v>0</x:v>
      </x:c>
      <x:c r="E1135" s="184" t="n">
        <x:v>0</x:v>
      </x:c>
      <x:c r="F1135" s="184" t="n">
        <x:v>0</x:v>
      </x:c>
      <x:c r="G1135" s="184" t="n">
        <x:v>0</x:v>
      </x:c>
      <x:c r="H1135" s="193" t="n">
        <x:v>0</x:v>
      </x:c>
      <x:c r="I1135" s="185" t="n">
        <x:v>0</x:v>
      </x:c>
      <x:c r="J1135" s="185" t="n">
        <x:v>0</x:v>
      </x:c>
      <x:c r="K1135" s="289" t="n">
        <x:v>6880</x:v>
      </x:c>
    </x:row>
    <x:row r="1136" s="117" customFormat="1" hidden="1">
      <x:c r="A1136" s="184" t="inlineStr">
        <x:is>
          <x:t xml:space="preserve">MTPQUIADT098</x:t>
        </x:is>
      </x:c>
      <x:c r="B1136" s="184" t="inlineStr">
        <x:is>
          <x:t xml:space="preserve">ROVING FW 2200 E6 CR JSH (NACIONAL)</x:t>
        </x:is>
      </x:c>
      <x:c r="C1136" s="184" t="n">
        <x:v>0</x:v>
      </x:c>
      <x:c r="D1136" s="184" t="n">
        <x:v>0</x:v>
      </x:c>
      <x:c r="E1136" s="184" t="n">
        <x:v>0</x:v>
      </x:c>
      <x:c r="F1136" s="184" t="n">
        <x:v>0</x:v>
      </x:c>
      <x:c r="G1136" s="184" t="n">
        <x:v>0</x:v>
      </x:c>
      <x:c r="H1136" s="193" t="n">
        <x:v>0</x:v>
      </x:c>
      <x:c r="I1136" s="185" t="n">
        <x:v>0</x:v>
      </x:c>
      <x:c r="J1136" s="185" t="n">
        <x:v>0</x:v>
      </x:c>
      <x:c r="K1136" s="289" t="n">
        <x:v>710</x:v>
      </x:c>
    </x:row>
    <x:row r="1137" s="117" customFormat="1" hidden="1">
      <x:c r="A1137" s="184" t="inlineStr">
        <x:is>
          <x:t xml:space="preserve">MTPQUIADT099</x:t>
        </x:is>
      </x:c>
      <x:c r="B1137" s="184" t="inlineStr">
        <x:is>
          <x:t xml:space="preserve">VELO SINTETICO POLIESTER 40GR/M2 1,2mts</x:t>
        </x:is>
      </x:c>
      <x:c r="C1137" s="184" t="n">
        <x:v>0</x:v>
      </x:c>
      <x:c r="D1137" s="184" t="n">
        <x:v>0</x:v>
      </x:c>
      <x:c r="E1137" s="184" t="n">
        <x:v>0</x:v>
      </x:c>
      <x:c r="F1137" s="184" t="n">
        <x:v>0</x:v>
      </x:c>
      <x:c r="G1137" s="184" t="n">
        <x:v>0</x:v>
      </x:c>
      <x:c r="H1137" s="193" t="n">
        <x:v>0</x:v>
      </x:c>
      <x:c r="I1137" s="185" t="n">
        <x:v>0</x:v>
      </x:c>
      <x:c r="J1137" s="185" t="n">
        <x:v>0</x:v>
      </x:c>
      <x:c r="K1137" s="289" t="n">
        <x:v>10886</x:v>
      </x:c>
    </x:row>
    <x:row r="1138" s="117" customFormat="1" hidden="1">
      <x:c r="A1138" s="184" t="inlineStr">
        <x:is>
          <x:t xml:space="preserve">MTPQUIADT100</x:t>
        </x:is>
      </x:c>
      <x:c r="B1138" s="184" t="inlineStr">
        <x:is>
          <x:t xml:space="preserve">GELCOAT BLANCO ISOFTALICO TAMBOR DE 220KG</x:t>
        </x:is>
      </x:c>
      <x:c r="C1138" s="184" t="n">
        <x:v>0</x:v>
      </x:c>
      <x:c r="D1138" s="184" t="n">
        <x:v>0</x:v>
      </x:c>
      <x:c r="E1138" s="184" t="n">
        <x:v>0</x:v>
      </x:c>
      <x:c r="F1138" s="184" t="n">
        <x:v>0</x:v>
      </x:c>
      <x:c r="G1138" s="184" t="n">
        <x:v>0</x:v>
      </x:c>
      <x:c r="H1138" s="193" t="n">
        <x:v>0</x:v>
      </x:c>
      <x:c r="I1138" s="185" t="n">
        <x:v>0</x:v>
      </x:c>
      <x:c r="J1138" s="185" t="n">
        <x:v>0</x:v>
      </x:c>
      <x:c r="K1138" s="289" t="n">
        <x:v>5227</x:v>
      </x:c>
    </x:row>
    <x:row r="1139" s="117" customFormat="1" hidden="1">
      <x:c r="A1139" s="184" t="inlineStr">
        <x:is>
          <x:t xml:space="preserve">MTPQUIADT101</x:t>
        </x:is>
      </x:c>
      <x:c r="B1139" s="184" t="inlineStr">
        <x:is>
          <x:t xml:space="preserve">SOLUC. INHIBIDORA</x:t>
        </x:is>
      </x:c>
      <x:c r="C1139" s="184" t="n">
        <x:v>19</x:v>
      </x:c>
      <x:c r="D1139" s="184" t="n">
        <x:v>0</x:v>
      </x:c>
      <x:c r="E1139" s="184" t="n">
        <x:v>9</x:v>
      </x:c>
      <x:c r="F1139" s="184" t="n">
        <x:v>10</x:v>
      </x:c>
      <x:c r="G1139" s="184" t="n">
        <x:v>214320</x:v>
      </x:c>
      <x:c r="H1139" s="193" t="n">
        <x:v>0</x:v>
      </x:c>
      <x:c r="I1139" s="185" t="n">
        <x:v>101520</x:v>
      </x:c>
      <x:c r="J1139" s="185" t="n">
        <x:v>112800</x:v>
      </x:c>
      <x:c r="K1139" s="289" t="n">
        <x:v>11280</x:v>
      </x:c>
    </x:row>
    <x:row r="1140" s="117" customFormat="1" hidden="1">
      <x:c r="A1140" s="184" t="inlineStr">
        <x:is>
          <x:t xml:space="preserve">MTPQUIPDT001</x:t>
        </x:is>
      </x:c>
      <x:c r="B1140" s="184" t="inlineStr">
        <x:is>
          <x:t xml:space="preserve">MASILLA VINILESTER</x:t>
        </x:is>
      </x:c>
      <x:c r="C1140" s="184" t="n">
        <x:v>0</x:v>
      </x:c>
      <x:c r="D1140" s="184" t="n">
        <x:v>0</x:v>
      </x:c>
      <x:c r="E1140" s="184" t="n">
        <x:v>0</x:v>
      </x:c>
      <x:c r="F1140" s="184" t="n">
        <x:v>0</x:v>
      </x:c>
      <x:c r="G1140" s="184" t="n">
        <x:v>0</x:v>
      </x:c>
      <x:c r="H1140" s="193" t="n">
        <x:v>0</x:v>
      </x:c>
      <x:c r="I1140" s="185" t="n">
        <x:v>0</x:v>
      </x:c>
      <x:c r="J1140" s="185" t="n">
        <x:v>0</x:v>
      </x:c>
      <x:c r="K1140" s="289" t="n">
        <x:v>0</x:v>
      </x:c>
    </x:row>
    <x:row r="1141" s="117" customFormat="1" hidden="1">
      <x:c r="A1141" s="184" t="inlineStr">
        <x:is>
          <x:t xml:space="preserve">MTPQUIPDT002</x:t>
        </x:is>
      </x:c>
      <x:c r="B1141" s="184" t="inlineStr">
        <x:is>
          <x:t xml:space="preserve">GELCOAT BLANCO</x:t>
        </x:is>
      </x:c>
      <x:c r="C1141" s="184" t="n">
        <x:v>0.33</x:v>
      </x:c>
      <x:c r="D1141" s="184" t="n">
        <x:v>0</x:v>
      </x:c>
      <x:c r="E1141" s="184" t="n">
        <x:v>0</x:v>
      </x:c>
      <x:c r="F1141" s="184" t="n">
        <x:v>0.33</x:v>
      </x:c>
      <x:c r="G1141" s="184" t="n">
        <x:v>2189</x:v>
      </x:c>
      <x:c r="H1141" s="193" t="n">
        <x:v>0</x:v>
      </x:c>
      <x:c r="I1141" s="185" t="n">
        <x:v>0</x:v>
      </x:c>
      <x:c r="J1141" s="185" t="n">
        <x:v>2189</x:v>
      </x:c>
      <x:c r="K1141" s="289" t="n">
        <x:v>6627.01176712</x:v>
      </x:c>
    </x:row>
    <x:row r="1142" s="117" customFormat="1" hidden="1">
      <x:c r="A1142" s="184" t="inlineStr">
        <x:is>
          <x:t xml:space="preserve">MTPQUIPDT003</x:t>
        </x:is>
      </x:c>
      <x:c r="B1142" s="184" t="inlineStr">
        <x:is>
          <x:t xml:space="preserve">GEL COAT NARANJO</x:t>
        </x:is>
      </x:c>
      <x:c r="C1142" s="184" t="n">
        <x:v>90</x:v>
      </x:c>
      <x:c r="D1142" s="184" t="n">
        <x:v>0</x:v>
      </x:c>
      <x:c r="E1142" s="184" t="n">
        <x:v>40</x:v>
      </x:c>
      <x:c r="F1142" s="184" t="n">
        <x:v>50</x:v>
      </x:c>
      <x:c r="G1142" s="184" t="n">
        <x:v>559260</x:v>
      </x:c>
      <x:c r="H1142" s="193" t="n">
        <x:v>0</x:v>
      </x:c>
      <x:c r="I1142" s="185" t="n">
        <x:v>248560</x:v>
      </x:c>
      <x:c r="J1142" s="185" t="n">
        <x:v>310700</x:v>
      </x:c>
      <x:c r="K1142" s="289" t="n">
        <x:v>6214</x:v>
      </x:c>
    </x:row>
    <x:row r="1143" s="117" customFormat="1" hidden="1">
      <x:c r="A1143" s="184" t="inlineStr">
        <x:is>
          <x:t xml:space="preserve">MTPQUIPDT004</x:t>
        </x:is>
      </x:c>
      <x:c r="B1143" s="184" t="inlineStr">
        <x:is>
          <x:t xml:space="preserve">GEL COAT VERDE</x:t>
        </x:is>
      </x:c>
      <x:c r="C1143" s="184" t="n">
        <x:v>12</x:v>
      </x:c>
      <x:c r="D1143" s="184" t="n">
        <x:v>0</x:v>
      </x:c>
      <x:c r="E1143" s="184" t="n">
        <x:v>0</x:v>
      </x:c>
      <x:c r="F1143" s="184" t="n">
        <x:v>12</x:v>
      </x:c>
      <x:c r="G1143" s="184" t="n">
        <x:v>72912</x:v>
      </x:c>
      <x:c r="H1143" s="193" t="n">
        <x:v>0</x:v>
      </x:c>
      <x:c r="I1143" s="185" t="n">
        <x:v>0</x:v>
      </x:c>
      <x:c r="J1143" s="185" t="n">
        <x:v>72912</x:v>
      </x:c>
      <x:c r="K1143" s="289" t="n">
        <x:v>6076</x:v>
      </x:c>
    </x:row>
    <x:row r="1144" s="117" customFormat="1" hidden="1">
      <x:c r="A1144" s="184" t="inlineStr">
        <x:is>
          <x:t xml:space="preserve">MTPQUIPDT005</x:t>
        </x:is>
      </x:c>
      <x:c r="B1144" s="184" t="inlineStr">
        <x:is>
          <x:t xml:space="preserve">GEL COAT MARRON (CAFE)</x:t>
        </x:is>
      </x:c>
      <x:c r="C1144" s="184" t="n">
        <x:v>0</x:v>
      </x:c>
      <x:c r="D1144" s="184" t="n">
        <x:v>0</x:v>
      </x:c>
      <x:c r="E1144" s="184" t="n">
        <x:v>0</x:v>
      </x:c>
      <x:c r="F1144" s="184" t="n">
        <x:v>0</x:v>
      </x:c>
      <x:c r="G1144" s="184" t="n">
        <x:v>0</x:v>
      </x:c>
      <x:c r="H1144" s="193" t="n">
        <x:v>0</x:v>
      </x:c>
      <x:c r="I1144" s="185" t="n">
        <x:v>0</x:v>
      </x:c>
      <x:c r="J1144" s="185" t="n">
        <x:v>0</x:v>
      </x:c>
      <x:c r="K1144" s="289" t="n">
        <x:v>5941</x:v>
      </x:c>
    </x:row>
    <x:row r="1145" s="117" customFormat="1" hidden="1">
      <x:c r="A1145" s="184" t="inlineStr">
        <x:is>
          <x:t xml:space="preserve">MTPQUIPDT006</x:t>
        </x:is>
      </x:c>
      <x:c r="B1145" s="184" t="inlineStr">
        <x:is>
          <x:t xml:space="preserve">GEL COAT VINILESTER COLOR AMARILLO</x:t>
        </x:is>
      </x:c>
      <x:c r="C1145" s="184" t="n">
        <x:v>10</x:v>
      </x:c>
      <x:c r="D1145" s="184" t="n">
        <x:v>0</x:v>
      </x:c>
      <x:c r="E1145" s="184" t="n">
        <x:v>0</x:v>
      </x:c>
      <x:c r="F1145" s="184" t="n">
        <x:v>10</x:v>
      </x:c>
      <x:c r="G1145" s="184" t="n">
        <x:v>57020</x:v>
      </x:c>
      <x:c r="H1145" s="193" t="n">
        <x:v>0</x:v>
      </x:c>
      <x:c r="I1145" s="185" t="n">
        <x:v>0</x:v>
      </x:c>
      <x:c r="J1145" s="185" t="n">
        <x:v>57020</x:v>
      </x:c>
      <x:c r="K1145" s="289" t="n">
        <x:v>5702</x:v>
      </x:c>
    </x:row>
    <x:row r="1146" s="117" customFormat="1" hidden="1">
      <x:c r="A1146" s="184" t="inlineStr">
        <x:is>
          <x:t xml:space="preserve">MTPQUIPDT007</x:t>
        </x:is>
      </x:c>
      <x:c r="B1146" s="184" t="inlineStr">
        <x:is>
          <x:t xml:space="preserve">GEL COAT ROJO</x:t>
        </x:is>
      </x:c>
      <x:c r="C1146" s="184" t="n">
        <x:v>24</x:v>
      </x:c>
      <x:c r="D1146" s="184" t="n">
        <x:v>0</x:v>
      </x:c>
      <x:c r="E1146" s="184" t="n">
        <x:v>0</x:v>
      </x:c>
      <x:c r="F1146" s="184" t="n">
        <x:v>24</x:v>
      </x:c>
      <x:c r="G1146" s="184" t="n">
        <x:v>159048</x:v>
      </x:c>
      <x:c r="H1146" s="193" t="n">
        <x:v>0</x:v>
      </x:c>
      <x:c r="I1146" s="185" t="n">
        <x:v>0</x:v>
      </x:c>
      <x:c r="J1146" s="185" t="n">
        <x:v>159048</x:v>
      </x:c>
      <x:c r="K1146" s="289" t="n">
        <x:v>6627</x:v>
      </x:c>
    </x:row>
    <x:row r="1147" s="117" customFormat="1" hidden="1">
      <x:c r="A1147" s="184" t="inlineStr">
        <x:is>
          <x:t xml:space="preserve">MTPQUIPDT008</x:t>
        </x:is>
      </x:c>
      <x:c r="B1147" s="184" t="inlineStr">
        <x:is>
          <x:t xml:space="preserve">GELCOAT BLANCO FR</x:t>
        </x:is>
      </x:c>
      <x:c r="C1147" s="184" t="n">
        <x:v>0</x:v>
      </x:c>
      <x:c r="D1147" s="184" t="n">
        <x:v>0</x:v>
      </x:c>
      <x:c r="E1147" s="184" t="n">
        <x:v>0</x:v>
      </x:c>
      <x:c r="F1147" s="184" t="n">
        <x:v>0</x:v>
      </x:c>
      <x:c r="G1147" s="184" t="n">
        <x:v>-1</x:v>
      </x:c>
      <x:c r="H1147" s="193" t="n">
        <x:v>0</x:v>
      </x:c>
      <x:c r="I1147" s="185" t="n">
        <x:v>0</x:v>
      </x:c>
      <x:c r="J1147" s="185" t="n">
        <x:v>-1</x:v>
      </x:c>
      <x:c r="K1147" s="289" t="n">
        <x:v>7073</x:v>
      </x:c>
    </x:row>
    <x:row r="1148" s="117" customFormat="1" hidden="1">
      <x:c r="A1148" s="184" t="inlineStr">
        <x:is>
          <x:t xml:space="preserve">MTPQUIPDT009</x:t>
        </x:is>
      </x:c>
      <x:c r="B1148" s="184" t="inlineStr">
        <x:is>
          <x:t xml:space="preserve">GEL COAT A400 COLOR BLANCO</x:t>
        </x:is>
      </x:c>
      <x:c r="C1148" s="184" t="n">
        <x:v>0</x:v>
      </x:c>
      <x:c r="D1148" s="184" t="n">
        <x:v>0</x:v>
      </x:c>
      <x:c r="E1148" s="184" t="n">
        <x:v>0</x:v>
      </x:c>
      <x:c r="F1148" s="184" t="n">
        <x:v>0</x:v>
      </x:c>
      <x:c r="G1148" s="184" t="n">
        <x:v>0</x:v>
      </x:c>
      <x:c r="H1148" s="193" t="n">
        <x:v>0</x:v>
      </x:c>
      <x:c r="I1148" s="185" t="n">
        <x:v>0</x:v>
      </x:c>
      <x:c r="J1148" s="185" t="n">
        <x:v>0</x:v>
      </x:c>
      <x:c r="K1148" s="289" t="n">
        <x:v>3564</x:v>
      </x:c>
    </x:row>
    <x:row r="1149" s="117" customFormat="1" hidden="1">
      <x:c r="A1149" s="184" t="inlineStr">
        <x:is>
          <x:t xml:space="preserve">MTPQUIPDT010</x:t>
        </x:is>
      </x:c>
      <x:c r="B1149" s="184" t="inlineStr">
        <x:is>
          <x:t xml:space="preserve">GEL COAT COLOR GRIS RAL 7037</x:t>
        </x:is>
      </x:c>
      <x:c r="C1149" s="184" t="n">
        <x:v>9.382</x:v>
      </x:c>
      <x:c r="D1149" s="184" t="n">
        <x:v>0</x:v>
      </x:c>
      <x:c r="E1149" s="184" t="n">
        <x:v>0</x:v>
      </x:c>
      <x:c r="F1149" s="184" t="n">
        <x:v>9.382</x:v>
      </x:c>
      <x:c r="G1149" s="184" t="n">
        <x:v>57924</x:v>
      </x:c>
      <x:c r="H1149" s="193" t="n">
        <x:v>0</x:v>
      </x:c>
      <x:c r="I1149" s="185" t="n">
        <x:v>0</x:v>
      </x:c>
      <x:c r="J1149" s="185" t="n">
        <x:v>57924</x:v>
      </x:c>
      <x:c r="K1149" s="289" t="n">
        <x:v>6174</x:v>
      </x:c>
    </x:row>
    <x:row r="1150" s="117" customFormat="1" hidden="1">
      <x:c r="A1150" s="184" t="inlineStr">
        <x:is>
          <x:t xml:space="preserve">MTPQUIPDT011</x:t>
        </x:is>
      </x:c>
      <x:c r="B1150" s="184" t="inlineStr">
        <x:is>
          <x:t xml:space="preserve">PASTA CARBONO MP</x:t>
        </x:is>
      </x:c>
      <x:c r="C1150" s="184" t="n">
        <x:v>0</x:v>
      </x:c>
      <x:c r="D1150" s="184" t="n">
        <x:v>0</x:v>
      </x:c>
      <x:c r="E1150" s="184" t="n">
        <x:v>0</x:v>
      </x:c>
      <x:c r="F1150" s="184" t="n">
        <x:v>0</x:v>
      </x:c>
      <x:c r="G1150" s="184" t="n">
        <x:v>0</x:v>
      </x:c>
      <x:c r="H1150" s="193" t="n">
        <x:v>0</x:v>
      </x:c>
      <x:c r="I1150" s="185" t="n">
        <x:v>0</x:v>
      </x:c>
      <x:c r="J1150" s="185" t="n">
        <x:v>0</x:v>
      </x:c>
      <x:c r="K1150" s="289" t="n">
        <x:v>5526</x:v>
      </x:c>
    </x:row>
    <x:row r="1151" s="117" customFormat="1" hidden="1">
      <x:c r="A1151" s="184" t="inlineStr">
        <x:is>
          <x:t xml:space="preserve">MTPQUIRES001</x:t>
        </x:is>
      </x:c>
      <x:c r="B1151" s="184" t="inlineStr">
        <x:is>
          <x:t xml:space="preserve">RESINA VINILESTER HETRON 922</x:t>
        </x:is>
      </x:c>
      <x:c r="C1151" s="184" t="n">
        <x:v>0</x:v>
      </x:c>
      <x:c r="D1151" s="184" t="n">
        <x:v>0</x:v>
      </x:c>
      <x:c r="E1151" s="184" t="n">
        <x:v>0</x:v>
      </x:c>
      <x:c r="F1151" s="184" t="n">
        <x:v>0</x:v>
      </x:c>
      <x:c r="G1151" s="184" t="n">
        <x:v>0</x:v>
      </x:c>
      <x:c r="H1151" s="193" t="n">
        <x:v>0</x:v>
      </x:c>
      <x:c r="I1151" s="185" t="n">
        <x:v>0</x:v>
      </x:c>
      <x:c r="J1151" s="185" t="n">
        <x:v>0</x:v>
      </x:c>
      <x:c r="K1151" s="289" t="n">
        <x:v>2401</x:v>
      </x:c>
    </x:row>
    <x:row r="1152" s="117" customFormat="1" hidden="1">
      <x:c r="A1152" s="184" t="inlineStr">
        <x:is>
          <x:t xml:space="preserve">MTPQUIRES003</x:t>
        </x:is>
      </x:c>
      <x:c r="B1152" s="184" t="inlineStr">
        <x:is>
          <x:t xml:space="preserve">RESINA PALATAL A430FR (230 KG/TAMBOR)</x:t>
        </x:is>
      </x:c>
      <x:c r="C1152" s="184" t="n">
        <x:v>0</x:v>
      </x:c>
      <x:c r="D1152" s="184" t="n">
        <x:v>0</x:v>
      </x:c>
      <x:c r="E1152" s="184" t="n">
        <x:v>0</x:v>
      </x:c>
      <x:c r="F1152" s="184" t="n">
        <x:v>0</x:v>
      </x:c>
      <x:c r="G1152" s="184" t="n">
        <x:v>0</x:v>
      </x:c>
      <x:c r="H1152" s="193" t="n">
        <x:v>0</x:v>
      </x:c>
      <x:c r="I1152" s="185" t="n">
        <x:v>0</x:v>
      </x:c>
      <x:c r="J1152" s="185" t="n">
        <x:v>0</x:v>
      </x:c>
      <x:c r="K1152" s="289" t="n">
        <x:v>7219</x:v>
      </x:c>
    </x:row>
    <x:row r="1153" s="117" customFormat="1" hidden="1">
      <x:c r="A1153" s="184" t="inlineStr">
        <x:is>
          <x:t xml:space="preserve">MTPQUIRES004</x:t>
        </x:is>
      </x:c>
      <x:c r="B1153" s="184" t="inlineStr">
        <x:is>
          <x:t xml:space="preserve">RESINA AOC VIPEL F013 (TAMBOR DE 220 KG)</x:t>
        </x:is>
      </x:c>
      <x:c r="C1153" s="184" t="n">
        <x:v>0</x:v>
      </x:c>
      <x:c r="D1153" s="184" t="n">
        <x:v>0</x:v>
      </x:c>
      <x:c r="E1153" s="184" t="n">
        <x:v>0</x:v>
      </x:c>
      <x:c r="F1153" s="184" t="n">
        <x:v>0</x:v>
      </x:c>
      <x:c r="G1153" s="184" t="n">
        <x:v>0</x:v>
      </x:c>
      <x:c r="H1153" s="193" t="n">
        <x:v>0</x:v>
      </x:c>
      <x:c r="I1153" s="185" t="n">
        <x:v>0</x:v>
      </x:c>
      <x:c r="J1153" s="185" t="n">
        <x:v>0</x:v>
      </x:c>
      <x:c r="K1153" s="289" t="n">
        <x:v>0</x:v>
      </x:c>
    </x:row>
    <x:row r="1154" s="117" customFormat="1" hidden="1">
      <x:c r="A1154" s="184" t="inlineStr">
        <x:is>
          <x:t xml:space="preserve">MTPQUIRES005</x:t>
        </x:is>
      </x:c>
      <x:c r="B1154" s="184" t="inlineStr">
        <x:is>
          <x:t xml:space="preserve">RESINA DERAKANE 470-300</x:t>
        </x:is>
      </x:c>
      <x:c r="C1154" s="184" t="n">
        <x:v>0</x:v>
      </x:c>
      <x:c r="D1154" s="184" t="n">
        <x:v>0</x:v>
      </x:c>
      <x:c r="E1154" s="184" t="n">
        <x:v>0</x:v>
      </x:c>
      <x:c r="F1154" s="184" t="n">
        <x:v>0</x:v>
      </x:c>
      <x:c r="G1154" s="184" t="n">
        <x:v>0</x:v>
      </x:c>
      <x:c r="H1154" s="193" t="n">
        <x:v>0</x:v>
      </x:c>
      <x:c r="I1154" s="185" t="n">
        <x:v>0</x:v>
      </x:c>
      <x:c r="J1154" s="185" t="n">
        <x:v>0</x:v>
      </x:c>
      <x:c r="K1154" s="289" t="n">
        <x:v>4270</x:v>
      </x:c>
    </x:row>
    <x:row r="1155" s="117" customFormat="1" hidden="1">
      <x:c r="A1155" s="184" t="inlineStr">
        <x:is>
          <x:t xml:space="preserve">MTPQUIRES006</x:t>
        </x:is>
      </x:c>
      <x:c r="B1155" s="184" t="inlineStr">
        <x:is>
          <x:t xml:space="preserve">RESINA AOC VIPEL F010-CNT-00</x:t>
        </x:is>
      </x:c>
      <x:c r="C1155" s="184" t="n">
        <x:v>0</x:v>
      </x:c>
      <x:c r="D1155" s="184" t="n">
        <x:v>0</x:v>
      </x:c>
      <x:c r="E1155" s="184" t="n">
        <x:v>0</x:v>
      </x:c>
      <x:c r="F1155" s="184" t="n">
        <x:v>0</x:v>
      </x:c>
      <x:c r="G1155" s="184" t="n">
        <x:v>0</x:v>
      </x:c>
      <x:c r="H1155" s="193" t="n">
        <x:v>0</x:v>
      </x:c>
      <x:c r="I1155" s="185" t="n">
        <x:v>0</x:v>
      </x:c>
      <x:c r="J1155" s="185" t="n">
        <x:v>0</x:v>
      </x:c>
      <x:c r="K1155" s="289" t="n">
        <x:v>2761</x:v>
      </x:c>
    </x:row>
    <x:row r="1156" s="117" customFormat="1" hidden="1">
      <x:c r="A1156" s="184" t="inlineStr">
        <x:is>
          <x:t xml:space="preserve">MTPQUIRES007</x:t>
        </x:is>
      </x:c>
      <x:c r="B1156" s="184" t="inlineStr">
        <x:is>
          <x:t xml:space="preserve">RESINA DERAKANE 411-350</x:t>
        </x:is>
      </x:c>
      <x:c r="C1156" s="184" t="n">
        <x:v>0</x:v>
      </x:c>
      <x:c r="D1156" s="184" t="n">
        <x:v>0</x:v>
      </x:c>
      <x:c r="E1156" s="184" t="n">
        <x:v>0</x:v>
      </x:c>
      <x:c r="F1156" s="184" t="n">
        <x:v>0</x:v>
      </x:c>
      <x:c r="G1156" s="184" t="n">
        <x:v>0</x:v>
      </x:c>
      <x:c r="H1156" s="193" t="n">
        <x:v>0</x:v>
      </x:c>
      <x:c r="I1156" s="185" t="n">
        <x:v>0</x:v>
      </x:c>
      <x:c r="J1156" s="185" t="n">
        <x:v>0</x:v>
      </x:c>
      <x:c r="K1156" s="289" t="n">
        <x:v>0</x:v>
      </x:c>
    </x:row>
    <x:row r="1157" s="117" customFormat="1" hidden="1">
      <x:c r="A1157" s="184" t="inlineStr">
        <x:is>
          <x:t xml:space="preserve">MTPQUIRES008</x:t>
        </x:is>
      </x:c>
      <x:c r="B1157" s="184" t="inlineStr">
        <x:is>
          <x:t xml:space="preserve">RESINA DERAKANE 510B-400 (FR)</x:t>
        </x:is>
      </x:c>
      <x:c r="C1157" s="184" t="n">
        <x:v>0</x:v>
      </x:c>
      <x:c r="D1157" s="184" t="n">
        <x:v>0</x:v>
      </x:c>
      <x:c r="E1157" s="184" t="n">
        <x:v>0</x:v>
      </x:c>
      <x:c r="F1157" s="184" t="n">
        <x:v>0</x:v>
      </x:c>
      <x:c r="G1157" s="184" t="n">
        <x:v>0</x:v>
      </x:c>
      <x:c r="H1157" s="193" t="n">
        <x:v>0</x:v>
      </x:c>
      <x:c r="I1157" s="185" t="n">
        <x:v>0</x:v>
      </x:c>
      <x:c r="J1157" s="185" t="n">
        <x:v>0</x:v>
      </x:c>
      <x:c r="K1157" s="289" t="n">
        <x:v>8533</x:v>
      </x:c>
    </x:row>
    <x:row r="1158" s="117" customFormat="1" hidden="1">
      <x:c r="A1158" s="184" t="inlineStr">
        <x:is>
          <x:t xml:space="preserve">MTPQUIRES009</x:t>
        </x:is>
      </x:c>
      <x:c r="B1158" s="184" t="inlineStr">
        <x:is>
          <x:t xml:space="preserve">RESINA A410 (ISOFTALICA NPG)</x:t>
        </x:is>
      </x:c>
      <x:c r="C1158" s="184" t="n">
        <x:v>0</x:v>
      </x:c>
      <x:c r="D1158" s="184" t="n">
        <x:v>0</x:v>
      </x:c>
      <x:c r="E1158" s="184" t="n">
        <x:v>0</x:v>
      </x:c>
      <x:c r="F1158" s="184" t="n">
        <x:v>0</x:v>
      </x:c>
      <x:c r="G1158" s="184" t="n">
        <x:v>0</x:v>
      </x:c>
      <x:c r="H1158" s="193" t="n">
        <x:v>0</x:v>
      </x:c>
      <x:c r="I1158" s="185" t="n">
        <x:v>0</x:v>
      </x:c>
      <x:c r="J1158" s="185" t="n">
        <x:v>0</x:v>
      </x:c>
      <x:c r="K1158" s="289" t="n">
        <x:v>0</x:v>
      </x:c>
    </x:row>
    <x:row r="1159" s="117" customFormat="1" hidden="1">
      <x:c r="A1159" s="184" t="inlineStr">
        <x:is>
          <x:t xml:space="preserve">MTPQUIRES010</x:t>
        </x:is>
      </x:c>
      <x:c r="B1159" s="184" t="inlineStr">
        <x:is>
          <x:t xml:space="preserve">RESINA E200 (ISOFTALICA ELASTICA NPG)</x:t>
        </x:is>
      </x:c>
      <x:c r="C1159" s="184" t="n">
        <x:v>0</x:v>
      </x:c>
      <x:c r="D1159" s="184" t="n">
        <x:v>0</x:v>
      </x:c>
      <x:c r="E1159" s="184" t="n">
        <x:v>0</x:v>
      </x:c>
      <x:c r="F1159" s="184" t="n">
        <x:v>0</x:v>
      </x:c>
      <x:c r="G1159" s="184" t="n">
        <x:v>0</x:v>
      </x:c>
      <x:c r="H1159" s="193" t="n">
        <x:v>0</x:v>
      </x:c>
      <x:c r="I1159" s="185" t="n">
        <x:v>0</x:v>
      </x:c>
      <x:c r="J1159" s="185" t="n">
        <x:v>0</x:v>
      </x:c>
      <x:c r="K1159" s="289" t="n">
        <x:v>3832</x:v>
      </x:c>
    </x:row>
    <x:row r="1160" s="117" customFormat="1" hidden="1">
      <x:c r="A1160" s="184" t="inlineStr">
        <x:is>
          <x:t xml:space="preserve">MTPQUIRES011</x:t>
        </x:is>
      </x:c>
      <x:c r="B1160" s="184" t="inlineStr">
        <x:is>
          <x:t xml:space="preserve">RESINA PALATAL A440 (NOVOLAC)</x:t>
        </x:is>
      </x:c>
      <x:c r="C1160" s="184" t="n">
        <x:v>0</x:v>
      </x:c>
      <x:c r="D1160" s="184" t="n">
        <x:v>0</x:v>
      </x:c>
      <x:c r="E1160" s="184" t="n">
        <x:v>0</x:v>
      </x:c>
      <x:c r="F1160" s="184" t="n">
        <x:v>0</x:v>
      </x:c>
      <x:c r="G1160" s="184" t="n">
        <x:v>1</x:v>
      </x:c>
      <x:c r="H1160" s="193" t="n">
        <x:v>0</x:v>
      </x:c>
      <x:c r="I1160" s="185" t="n">
        <x:v>0</x:v>
      </x:c>
      <x:c r="J1160" s="185" t="n">
        <x:v>1</x:v>
      </x:c>
      <x:c r="K1160" s="289" t="n">
        <x:v>7357</x:v>
      </x:c>
    </x:row>
    <x:row r="1161" s="117" customFormat="1" hidden="1">
      <x:c r="A1161" s="184" t="inlineStr">
        <x:is>
          <x:t xml:space="preserve">MTPQUIRES012</x:t>
        </x:is>
      </x:c>
      <x:c r="B1161" s="184" t="inlineStr">
        <x:is>
          <x:t xml:space="preserve">RESINA PALATAL E200</x:t>
        </x:is>
      </x:c>
      <x:c r="C1161" s="184" t="n">
        <x:v>0</x:v>
      </x:c>
      <x:c r="D1161" s="184" t="n">
        <x:v>0</x:v>
      </x:c>
      <x:c r="E1161" s="184" t="n">
        <x:v>0</x:v>
      </x:c>
      <x:c r="F1161" s="184" t="n">
        <x:v>0</x:v>
      </x:c>
      <x:c r="G1161" s="184" t="n">
        <x:v>0</x:v>
      </x:c>
      <x:c r="H1161" s="193" t="n">
        <x:v>0</x:v>
      </x:c>
      <x:c r="I1161" s="185" t="n">
        <x:v>0</x:v>
      </x:c>
      <x:c r="J1161" s="185" t="n">
        <x:v>0</x:v>
      </x:c>
      <x:c r="K1161" s="289" t="n">
        <x:v>4169</x:v>
      </x:c>
    </x:row>
    <x:row r="1162" s="117" customFormat="1" hidden="1">
      <x:c r="A1162" s="184" t="inlineStr">
        <x:is>
          <x:t xml:space="preserve">MTPQUIRES013</x:t>
        </x:is>
      </x:c>
      <x:c r="B1162" s="184" t="inlineStr">
        <x:is>
          <x:t xml:space="preserve">RESINA POLYLITE 33915</x:t>
        </x:is>
      </x:c>
      <x:c r="C1162" s="184" t="n">
        <x:v>0</x:v>
      </x:c>
      <x:c r="D1162" s="184" t="n">
        <x:v>0</x:v>
      </x:c>
      <x:c r="E1162" s="184" t="n">
        <x:v>0</x:v>
      </x:c>
      <x:c r="F1162" s="184" t="n">
        <x:v>0</x:v>
      </x:c>
      <x:c r="G1162" s="184" t="n">
        <x:v>6</x:v>
      </x:c>
      <x:c r="H1162" s="193" t="n">
        <x:v>0</x:v>
      </x:c>
      <x:c r="I1162" s="185" t="n">
        <x:v>0</x:v>
      </x:c>
      <x:c r="J1162" s="185" t="n">
        <x:v>6</x:v>
      </x:c>
      <x:c r="K1162" s="289" t="n">
        <x:v>1841</x:v>
      </x:c>
    </x:row>
    <x:row r="1163" s="117" customFormat="1" hidden="1">
      <x:c r="A1163" s="184" t="inlineStr">
        <x:is>
          <x:t xml:space="preserve">MTPQUIRES014</x:t>
        </x:is>
      </x:c>
      <x:c r="B1163" s="184" t="inlineStr">
        <x:is>
          <x:t xml:space="preserve">RESINA PRIMER CEILCOTE 380 TINETA 20 LTS</x:t>
        </x:is>
      </x:c>
      <x:c r="C1163" s="184" t="n">
        <x:v>246.03</x:v>
      </x:c>
      <x:c r="D1163" s="184" t="n">
        <x:v>0</x:v>
      </x:c>
      <x:c r="E1163" s="184" t="n">
        <x:v>0</x:v>
      </x:c>
      <x:c r="F1163" s="184" t="n">
        <x:v>246.03</x:v>
      </x:c>
      <x:c r="G1163" s="184" t="n">
        <x:v>22698395</x:v>
      </x:c>
      <x:c r="H1163" s="193" t="n">
        <x:v>0</x:v>
      </x:c>
      <x:c r="I1163" s="185" t="n">
        <x:v>0</x:v>
      </x:c>
      <x:c r="J1163" s="185" t="n">
        <x:v>22698395</x:v>
      </x:c>
      <x:c r="K1163" s="289" t="n">
        <x:v>92258.65328098</x:v>
      </x:c>
    </x:row>
    <x:row r="1164" s="117" customFormat="1" hidden="1">
      <x:c r="A1164" s="184" t="inlineStr">
        <x:is>
          <x:t xml:space="preserve">MTPQUIRES015</x:t>
        </x:is>
      </x:c>
      <x:c r="B1164" s="184" t="inlineStr">
        <x:is>
          <x:t xml:space="preserve">RESINA DERAKANE 411 RESIN DR444</x:t>
        </x:is>
      </x:c>
      <x:c r="C1164" s="184" t="n">
        <x:v>0</x:v>
      </x:c>
      <x:c r="D1164" s="184" t="n">
        <x:v>0</x:v>
      </x:c>
      <x:c r="E1164" s="184" t="n">
        <x:v>0</x:v>
      </x:c>
      <x:c r="F1164" s="184" t="n">
        <x:v>0</x:v>
      </x:c>
      <x:c r="G1164" s="184" t="n">
        <x:v>0</x:v>
      </x:c>
      <x:c r="H1164" s="193" t="n">
        <x:v>0</x:v>
      </x:c>
      <x:c r="I1164" s="185" t="n">
        <x:v>0</x:v>
      </x:c>
      <x:c r="J1164" s="185" t="n">
        <x:v>0</x:v>
      </x:c>
      <x:c r="K1164" s="289" t="n">
        <x:v>0</x:v>
      </x:c>
    </x:row>
    <x:row r="1165" s="117" customFormat="1" hidden="1">
      <x:c r="A1165" s="184" t="inlineStr">
        <x:is>
          <x:t xml:space="preserve">MTPQUIRES016</x:t>
        </x:is>
      </x:c>
      <x:c r="B1165" s="184" t="inlineStr">
        <x:is>
          <x:t xml:space="preserve">RESINA POLYLITE 32379-00</x:t>
        </x:is>
      </x:c>
      <x:c r="C1165" s="184" t="n">
        <x:v>0</x:v>
      </x:c>
      <x:c r="D1165" s="184" t="n">
        <x:v>0</x:v>
      </x:c>
      <x:c r="E1165" s="184" t="n">
        <x:v>0</x:v>
      </x:c>
      <x:c r="F1165" s="184" t="n">
        <x:v>0</x:v>
      </x:c>
      <x:c r="G1165" s="184" t="n">
        <x:v>0</x:v>
      </x:c>
      <x:c r="H1165" s="193" t="n">
        <x:v>0</x:v>
      </x:c>
      <x:c r="I1165" s="185" t="n">
        <x:v>0</x:v>
      </x:c>
      <x:c r="J1165" s="185" t="n">
        <x:v>0</x:v>
      </x:c>
      <x:c r="K1165" s="289" t="n">
        <x:v>2139</x:v>
      </x:c>
    </x:row>
    <x:row r="1166" s="117" customFormat="1" hidden="1">
      <x:c r="A1166" s="184" t="inlineStr">
        <x:is>
          <x:t xml:space="preserve">MTPQUIRES017</x:t>
        </x:is>
      </x:c>
      <x:c r="B1166" s="184" t="inlineStr">
        <x:is>
          <x:t xml:space="preserve">RESINA PQ 33011-12 TPA</x:t>
        </x:is>
      </x:c>
      <x:c r="C1166" s="184" t="n">
        <x:v>0</x:v>
      </x:c>
      <x:c r="D1166" s="184" t="n">
        <x:v>0</x:v>
      </x:c>
      <x:c r="E1166" s="184" t="n">
        <x:v>0</x:v>
      </x:c>
      <x:c r="F1166" s="184" t="n">
        <x:v>0</x:v>
      </x:c>
      <x:c r="G1166" s="184" t="n">
        <x:v>0</x:v>
      </x:c>
      <x:c r="H1166" s="193" t="n">
        <x:v>0</x:v>
      </x:c>
      <x:c r="I1166" s="185" t="n">
        <x:v>0</x:v>
      </x:c>
      <x:c r="J1166" s="185" t="n">
        <x:v>0</x:v>
      </x:c>
      <x:c r="K1166" s="289" t="n">
        <x:v>1576</x:v>
      </x:c>
    </x:row>
    <x:row r="1167" s="117" customFormat="1" hidden="1">
      <x:c r="A1167" s="184" t="inlineStr">
        <x:is>
          <x:t xml:space="preserve">MTPQUIRES018</x:t>
        </x:is>
      </x:c>
      <x:c r="B1167" s="184" t="inlineStr">
        <x:is>
          <x:t xml:space="preserve">CEILCOTE 74  LINING NCA762 A/5GL + CATALIZADOR</x:t>
        </x:is>
      </x:c>
      <x:c r="C1167" s="184" t="n">
        <x:v>0</x:v>
      </x:c>
      <x:c r="D1167" s="184" t="n">
        <x:v>0</x:v>
      </x:c>
      <x:c r="E1167" s="184" t="n">
        <x:v>0</x:v>
      </x:c>
      <x:c r="F1167" s="184" t="n">
        <x:v>0</x:v>
      </x:c>
      <x:c r="G1167" s="184" t="n">
        <x:v>0</x:v>
      </x:c>
      <x:c r="H1167" s="193" t="n">
        <x:v>0</x:v>
      </x:c>
      <x:c r="I1167" s="185" t="n">
        <x:v>0</x:v>
      </x:c>
      <x:c r="J1167" s="185" t="n">
        <x:v>0</x:v>
      </x:c>
      <x:c r="K1167" s="289" t="n">
        <x:v>515865</x:v>
      </x:c>
    </x:row>
    <x:row r="1168" s="117" customFormat="1" hidden="1">
      <x:c r="A1168" s="184" t="inlineStr">
        <x:is>
          <x:t xml:space="preserve">MTPQUIRES019</x:t>
        </x:is>
      </x:c>
      <x:c r="B1168" s="184" t="inlineStr">
        <x:is>
          <x:t xml:space="preserve">RESINA BASF ORTOFTALICA P90</x:t>
        </x:is>
      </x:c>
      <x:c r="C1168" s="184" t="n">
        <x:v>0</x:v>
      </x:c>
      <x:c r="D1168" s="184" t="n">
        <x:v>0</x:v>
      </x:c>
      <x:c r="E1168" s="184" t="n">
        <x:v>0</x:v>
      </x:c>
      <x:c r="F1168" s="184" t="n">
        <x:v>0</x:v>
      </x:c>
      <x:c r="G1168" s="184" t="n">
        <x:v>0</x:v>
      </x:c>
      <x:c r="H1168" s="193" t="n">
        <x:v>0</x:v>
      </x:c>
      <x:c r="I1168" s="185" t="n">
        <x:v>0</x:v>
      </x:c>
      <x:c r="J1168" s="185" t="n">
        <x:v>0</x:v>
      </x:c>
      <x:c r="K1168" s="289" t="n">
        <x:v>1928</x:v>
      </x:c>
    </x:row>
    <x:row r="1169" s="117" customFormat="1" hidden="1">
      <x:c r="A1169" s="184" t="inlineStr">
        <x:is>
          <x:t xml:space="preserve">MTPQUIRES020</x:t>
        </x:is>
      </x:c>
      <x:c r="B1169" s="184" t="inlineStr">
        <x:is>
          <x:t xml:space="preserve">RESINA BASF ORTOFTALICA P90T</x:t>
        </x:is>
      </x:c>
      <x:c r="C1169" s="184" t="n">
        <x:v>0</x:v>
      </x:c>
      <x:c r="D1169" s="184" t="n">
        <x:v>0</x:v>
      </x:c>
      <x:c r="E1169" s="184" t="n">
        <x:v>0</x:v>
      </x:c>
      <x:c r="F1169" s="184" t="n">
        <x:v>0</x:v>
      </x:c>
      <x:c r="G1169" s="184" t="n">
        <x:v>0</x:v>
      </x:c>
      <x:c r="H1169" s="193" t="n">
        <x:v>0</x:v>
      </x:c>
      <x:c r="I1169" s="185" t="n">
        <x:v>0</x:v>
      </x:c>
      <x:c r="J1169" s="185" t="n">
        <x:v>0</x:v>
      </x:c>
      <x:c r="K1169" s="289" t="n">
        <x:v>2089</x:v>
      </x:c>
    </x:row>
    <x:row r="1170" s="117" customFormat="1" hidden="1">
      <x:c r="A1170" s="184" t="inlineStr">
        <x:is>
          <x:t xml:space="preserve">MTPQUIRES021</x:t>
        </x:is>
      </x:c>
      <x:c r="B1170" s="184" t="inlineStr">
        <x:is>
          <x:t xml:space="preserve">RESINA BASF PALATAL  P3</x:t>
        </x:is>
      </x:c>
      <x:c r="C1170" s="184" t="n">
        <x:v>0</x:v>
      </x:c>
      <x:c r="D1170" s="184" t="n">
        <x:v>0</x:v>
      </x:c>
      <x:c r="E1170" s="184" t="n">
        <x:v>0</x:v>
      </x:c>
      <x:c r="F1170" s="184" t="n">
        <x:v>0</x:v>
      </x:c>
      <x:c r="G1170" s="184" t="n">
        <x:v>0</x:v>
      </x:c>
      <x:c r="H1170" s="193" t="n">
        <x:v>0</x:v>
      </x:c>
      <x:c r="I1170" s="185" t="n">
        <x:v>0</x:v>
      </x:c>
      <x:c r="J1170" s="185" t="n">
        <x:v>0</x:v>
      </x:c>
      <x:c r="K1170" s="289" t="n">
        <x:v>1488.49</x:v>
      </x:c>
    </x:row>
    <x:row r="1171" s="117" customFormat="1" hidden="1">
      <x:c r="A1171" s="184" t="inlineStr">
        <x:is>
          <x:t xml:space="preserve">MTPQUIRES022</x:t>
        </x:is>
      </x:c>
      <x:c r="B1171" s="184" t="inlineStr">
        <x:is>
          <x:t xml:space="preserve">RESINA BASF PALATAL  7417LC</x:t>
        </x:is>
      </x:c>
      <x:c r="C1171" s="184" t="n">
        <x:v>0</x:v>
      </x:c>
      <x:c r="D1171" s="184" t="n">
        <x:v>0</x:v>
      </x:c>
      <x:c r="E1171" s="184" t="n">
        <x:v>0</x:v>
      </x:c>
      <x:c r="F1171" s="184" t="n">
        <x:v>0</x:v>
      </x:c>
      <x:c r="G1171" s="184" t="n">
        <x:v>0</x:v>
      </x:c>
      <x:c r="H1171" s="193" t="n">
        <x:v>0</x:v>
      </x:c>
      <x:c r="I1171" s="185" t="n">
        <x:v>0</x:v>
      </x:c>
      <x:c r="J1171" s="185" t="n">
        <x:v>0</x:v>
      </x:c>
      <x:c r="K1171" s="289" t="n">
        <x:v>2121</x:v>
      </x:c>
    </x:row>
    <x:row r="1172" s="117" customFormat="1" hidden="1">
      <x:c r="A1172" s="184" t="inlineStr">
        <x:is>
          <x:t xml:space="preserve">MTPQUIRES023</x:t>
        </x:is>
      </x:c>
      <x:c r="B1172" s="184" t="inlineStr">
        <x:is>
          <x:t xml:space="preserve">RESINA DERAKANE 8084 FLEXIBLE</x:t>
        </x:is>
      </x:c>
      <x:c r="C1172" s="184" t="n">
        <x:v>0</x:v>
      </x:c>
      <x:c r="D1172" s="184" t="n">
        <x:v>0</x:v>
      </x:c>
      <x:c r="E1172" s="184" t="n">
        <x:v>0</x:v>
      </x:c>
      <x:c r="F1172" s="184" t="n">
        <x:v>0</x:v>
      </x:c>
      <x:c r="G1172" s="184" t="n">
        <x:v>0</x:v>
      </x:c>
      <x:c r="H1172" s="193" t="n">
        <x:v>0</x:v>
      </x:c>
      <x:c r="I1172" s="185" t="n">
        <x:v>0</x:v>
      </x:c>
      <x:c r="J1172" s="185" t="n">
        <x:v>0</x:v>
      </x:c>
      <x:c r="K1172" s="289" t="n">
        <x:v>8888</x:v>
      </x:c>
    </x:row>
    <x:row r="1173" s="117" customFormat="1" hidden="1">
      <x:c r="A1173" s="184" t="inlineStr">
        <x:is>
          <x:t xml:space="preserve">MTPQUIRES024</x:t>
        </x:is>
      </x:c>
      <x:c r="B1173" s="184" t="inlineStr">
        <x:is>
          <x:t xml:space="preserve">CRISTALAN 7 5920 BF T-230 KG</x:t>
        </x:is>
      </x:c>
      <x:c r="C1173" s="184" t="n">
        <x:v>0</x:v>
      </x:c>
      <x:c r="D1173" s="184" t="n">
        <x:v>0</x:v>
      </x:c>
      <x:c r="E1173" s="184" t="n">
        <x:v>0</x:v>
      </x:c>
      <x:c r="F1173" s="184" t="n">
        <x:v>0</x:v>
      </x:c>
      <x:c r="G1173" s="184" t="n">
        <x:v>0</x:v>
      </x:c>
      <x:c r="H1173" s="193" t="n">
        <x:v>0</x:v>
      </x:c>
      <x:c r="I1173" s="185" t="n">
        <x:v>0</x:v>
      </x:c>
      <x:c r="J1173" s="185" t="n">
        <x:v>0</x:v>
      </x:c>
      <x:c r="K1173" s="289" t="n">
        <x:v>3393</x:v>
      </x:c>
    </x:row>
    <x:row r="1174" s="117" customFormat="1" hidden="1">
      <x:c r="A1174" s="184" t="inlineStr">
        <x:is>
          <x:t xml:space="preserve">MTPQUIRES025</x:t>
        </x:is>
      </x:c>
      <x:c r="B1174" s="184" t="inlineStr">
        <x:is>
          <x:t xml:space="preserve">RESINA BASF ORTOFTALICA P90-02</x:t>
        </x:is>
      </x:c>
      <x:c r="C1174" s="184" t="n">
        <x:v>110</x:v>
      </x:c>
      <x:c r="D1174" s="184" t="n">
        <x:v>0</x:v>
      </x:c>
      <x:c r="E1174" s="184" t="n">
        <x:v>0</x:v>
      </x:c>
      <x:c r="F1174" s="184" t="n">
        <x:v>110</x:v>
      </x:c>
      <x:c r="G1174" s="184" t="n">
        <x:v>249369</x:v>
      </x:c>
      <x:c r="H1174" s="193" t="n">
        <x:v>0</x:v>
      </x:c>
      <x:c r="I1174" s="185" t="n">
        <x:v>0</x:v>
      </x:c>
      <x:c r="J1174" s="185" t="n">
        <x:v>249369</x:v>
      </x:c>
      <x:c r="K1174" s="289" t="n">
        <x:v>2267</x:v>
      </x:c>
    </x:row>
    <x:row r="1175" s="117" customFormat="1" hidden="1">
      <x:c r="A1175" s="184" t="inlineStr">
        <x:is>
          <x:t xml:space="preserve">MTPQUIRES026</x:t>
        </x:is>
      </x:c>
      <x:c r="B1175" s="184" t="inlineStr">
        <x:is>
          <x:t xml:space="preserve">RESINA BASF PALATAL E-210</x:t>
        </x:is>
      </x:c>
      <x:c r="C1175" s="184" t="n">
        <x:v>20</x:v>
      </x:c>
      <x:c r="D1175" s="184" t="n">
        <x:v>0</x:v>
      </x:c>
      <x:c r="E1175" s="184" t="n">
        <x:v>0</x:v>
      </x:c>
      <x:c r="F1175" s="184" t="n">
        <x:v>20</x:v>
      </x:c>
      <x:c r="G1175" s="184" t="n">
        <x:v>81900</x:v>
      </x:c>
      <x:c r="H1175" s="193" t="n">
        <x:v>0</x:v>
      </x:c>
      <x:c r="I1175" s="185" t="n">
        <x:v>0</x:v>
      </x:c>
      <x:c r="J1175" s="185" t="n">
        <x:v>81900</x:v>
      </x:c>
      <x:c r="K1175" s="289" t="n">
        <x:v>4095</x:v>
      </x:c>
    </x:row>
    <x:row r="1176" s="117" customFormat="1" hidden="1">
      <x:c r="A1176" s="184" t="inlineStr">
        <x:is>
          <x:t xml:space="preserve">MTPQUIRES027</x:t>
        </x:is>
      </x:c>
      <x:c r="B1176" s="184" t="inlineStr">
        <x:is>
          <x:t xml:space="preserve">RESINA FORTCOM 5575</x:t>
        </x:is>
      </x:c>
      <x:c r="C1176" s="184" t="n">
        <x:v>230</x:v>
      </x:c>
      <x:c r="D1176" s="184" t="n">
        <x:v>0</x:v>
      </x:c>
      <x:c r="E1176" s="184" t="n">
        <x:v>0</x:v>
      </x:c>
      <x:c r="F1176" s="184" t="n">
        <x:v>230</x:v>
      </x:c>
      <x:c r="G1176" s="184" t="n">
        <x:v>674992</x:v>
      </x:c>
      <x:c r="H1176" s="193" t="n">
        <x:v>0</x:v>
      </x:c>
      <x:c r="I1176" s="185" t="n">
        <x:v>0</x:v>
      </x:c>
      <x:c r="J1176" s="185" t="n">
        <x:v>674992</x:v>
      </x:c>
      <x:c r="K1176" s="289" t="n">
        <x:v>2934.75</x:v>
      </x:c>
    </x:row>
    <x:row r="1177" s="117" customFormat="1" hidden="1">
      <x:c r="A1177" s="184" t="inlineStr">
        <x:is>
          <x:t xml:space="preserve">MTPQUIRES028</x:t>
        </x:is>
      </x:c>
      <x:c r="B1177" s="184" t="inlineStr">
        <x:is>
          <x:t xml:space="preserve">Ceilcote #2 hardener</x:t>
        </x:is>
      </x:c>
      <x:c r="C1177" s="184" t="n">
        <x:v>4.8</x:v>
      </x:c>
      <x:c r="D1177" s="184" t="n">
        <x:v>0</x:v>
      </x:c>
      <x:c r="E1177" s="184" t="n">
        <x:v>0</x:v>
      </x:c>
      <x:c r="F1177" s="184" t="n">
        <x:v>4.8</x:v>
      </x:c>
      <x:c r="G1177" s="184" t="n">
        <x:v>941798</x:v>
      </x:c>
      <x:c r="H1177" s="193" t="n">
        <x:v>0</x:v>
      </x:c>
      <x:c r="I1177" s="185" t="n">
        <x:v>0</x:v>
      </x:c>
      <x:c r="J1177" s="185" t="n">
        <x:v>941798</x:v>
      </x:c>
      <x:c r="K1177" s="289" t="n">
        <x:v>196208</x:v>
      </x:c>
    </x:row>
    <x:row r="1178" s="117" customFormat="1" hidden="1">
      <x:c r="A1178" s="184" t="inlineStr">
        <x:is>
          <x:t xml:space="preserve">MTPRACFUN001</x:t>
        </x:is>
      </x:c>
      <x:c r="B1178" s="184" t="inlineStr">
        <x:is>
          <x:t xml:space="preserve">PA?OS DE LIMPIEZA</x:t>
        </x:is>
      </x:c>
      <x:c r="C1178" s="184" t="n">
        <x:v>0</x:v>
      </x:c>
      <x:c r="D1178" s="184" t="n">
        <x:v>0</x:v>
      </x:c>
      <x:c r="E1178" s="184" t="n">
        <x:v>0</x:v>
      </x:c>
      <x:c r="F1178" s="184" t="n">
        <x:v>0</x:v>
      </x:c>
      <x:c r="G1178" s="184" t="n">
        <x:v>0</x:v>
      </x:c>
      <x:c r="H1178" s="193" t="n">
        <x:v>0</x:v>
      </x:c>
      <x:c r="I1178" s="185" t="n">
        <x:v>0</x:v>
      </x:c>
      <x:c r="J1178" s="185" t="n">
        <x:v>0</x:v>
      </x:c>
      <x:c r="K1178" s="289" t="n">
        <x:v>1125</x:v>
      </x:c>
    </x:row>
    <x:row r="1179" s="117" customFormat="1" hidden="1">
      <x:c r="A1179" s="184" t="inlineStr">
        <x:is>
          <x:t xml:space="preserve">MTPRACFUN002</x:t>
        </x:is>
      </x:c>
      <x:c r="B1179" s="184" t="inlineStr">
        <x:is>
          <x:t xml:space="preserve">PLIEGO LIJA #60 TELA ESMERIL</x:t>
        </x:is>
      </x:c>
      <x:c r="C1179" s="184" t="n">
        <x:v>160</x:v>
      </x:c>
      <x:c r="D1179" s="184" t="n">
        <x:v>0</x:v>
      </x:c>
      <x:c r="E1179" s="184" t="n">
        <x:v>14</x:v>
      </x:c>
      <x:c r="F1179" s="184" t="n">
        <x:v>146</x:v>
      </x:c>
      <x:c r="G1179" s="184" t="n">
        <x:v>65607</x:v>
      </x:c>
      <x:c r="H1179" s="193" t="n">
        <x:v>0</x:v>
      </x:c>
      <x:c r="I1179" s="185" t="n">
        <x:v>5740</x:v>
      </x:c>
      <x:c r="J1179" s="185" t="n">
        <x:v>59867</x:v>
      </x:c>
      <x:c r="K1179" s="289" t="n">
        <x:v>410</x:v>
      </x:c>
    </x:row>
    <x:row r="1180" s="117" customFormat="1" hidden="1">
      <x:c r="A1180" s="184" t="inlineStr">
        <x:is>
          <x:t xml:space="preserve">MTPRACFUN003</x:t>
        </x:is>
      </x:c>
      <x:c r="B1180" s="184" t="inlineStr">
        <x:is>
          <x:t xml:space="preserve">PLIEGO LIJA #80 TELA ESMERIL</x:t>
        </x:is>
      </x:c>
      <x:c r="C1180" s="184" t="n">
        <x:v>170</x:v>
      </x:c>
      <x:c r="D1180" s="184" t="n">
        <x:v>0</x:v>
      </x:c>
      <x:c r="E1180" s="184" t="n">
        <x:v>19</x:v>
      </x:c>
      <x:c r="F1180" s="184" t="n">
        <x:v>151</x:v>
      </x:c>
      <x:c r="G1180" s="184" t="n">
        <x:v>75642</x:v>
      </x:c>
      <x:c r="H1180" s="193" t="n">
        <x:v>0</x:v>
      </x:c>
      <x:c r="I1180" s="185" t="n">
        <x:v>8455</x:v>
      </x:c>
      <x:c r="J1180" s="185" t="n">
        <x:v>67187</x:v>
      </x:c>
      <x:c r="K1180" s="289" t="n">
        <x:v>445</x:v>
      </x:c>
    </x:row>
    <x:row r="1181" s="117" customFormat="1" hidden="1">
      <x:c r="A1181" s="184" t="inlineStr">
        <x:is>
          <x:t xml:space="preserve">MTPRACFUN004</x:t>
        </x:is>
      </x:c>
      <x:c r="B1181" s="184" t="inlineStr">
        <x:is>
          <x:t xml:space="preserve">LIJA MADERA #80</x:t>
        </x:is>
      </x:c>
      <x:c r="C1181" s="184" t="n">
        <x:v>0</x:v>
      </x:c>
      <x:c r="D1181" s="184" t="n">
        <x:v>0</x:v>
      </x:c>
      <x:c r="E1181" s="184" t="n">
        <x:v>0</x:v>
      </x:c>
      <x:c r="F1181" s="184" t="n">
        <x:v>0</x:v>
      </x:c>
      <x:c r="G1181" s="184" t="n">
        <x:v>0</x:v>
      </x:c>
      <x:c r="H1181" s="193" t="n">
        <x:v>0</x:v>
      </x:c>
      <x:c r="I1181" s="185" t="n">
        <x:v>0</x:v>
      </x:c>
      <x:c r="J1181" s="185" t="n">
        <x:v>0</x:v>
      </x:c>
      <x:c r="K1181" s="289" t="n">
        <x:v>128</x:v>
      </x:c>
    </x:row>
    <x:row r="1182" s="117" customFormat="1" hidden="1">
      <x:c r="A1182" s="184" t="inlineStr">
        <x:is>
          <x:t xml:space="preserve">MTPRACFUN005</x:t>
        </x:is>
      </x:c>
      <x:c r="B1182" s="184" t="inlineStr">
        <x:is>
          <x:t xml:space="preserve">DISCO CORTE ACERO CARBONO 4.1/2 X 1 MM</x:t>
        </x:is>
      </x:c>
      <x:c r="C1182" s="184" t="n">
        <x:v>244</x:v>
      </x:c>
      <x:c r="D1182" s="184" t="n">
        <x:v>0</x:v>
      </x:c>
      <x:c r="E1182" s="184" t="n">
        <x:v>24</x:v>
      </x:c>
      <x:c r="F1182" s="184" t="n">
        <x:v>220</x:v>
      </x:c>
      <x:c r="G1182" s="184" t="n">
        <x:v>119561</x:v>
      </x:c>
      <x:c r="H1182" s="193" t="n">
        <x:v>0</x:v>
      </x:c>
      <x:c r="I1182" s="185" t="n">
        <x:v>11760</x:v>
      </x:c>
      <x:c r="J1182" s="185" t="n">
        <x:v>107801</x:v>
      </x:c>
      <x:c r="K1182" s="289" t="n">
        <x:v>490</x:v>
      </x:c>
    </x:row>
    <x:row r="1183" s="117" customFormat="1" hidden="1">
      <x:c r="A1183" s="184" t="inlineStr">
        <x:is>
          <x:t xml:space="preserve">MTPRACFUN006</x:t>
        </x:is>
      </x:c>
      <x:c r="B1183" s="184" t="inlineStr">
        <x:is>
          <x:t xml:space="preserve">DISCO CORTE ACERO CARBONO 4.1/2 X 2.5 MM</x:t>
        </x:is>
      </x:c>
      <x:c r="C1183" s="184" t="n">
        <x:v>0</x:v>
      </x:c>
      <x:c r="D1183" s="184" t="n">
        <x:v>0</x:v>
      </x:c>
      <x:c r="E1183" s="184" t="n">
        <x:v>0</x:v>
      </x:c>
      <x:c r="F1183" s="184" t="n">
        <x:v>0</x:v>
      </x:c>
      <x:c r="G1183" s="184" t="n">
        <x:v>0</x:v>
      </x:c>
      <x:c r="H1183" s="193" t="n">
        <x:v>0</x:v>
      </x:c>
      <x:c r="I1183" s="185" t="n">
        <x:v>0</x:v>
      </x:c>
      <x:c r="J1183" s="185" t="n">
        <x:v>0</x:v>
      </x:c>
      <x:c r="K1183" s="289" t="n">
        <x:v>542.419355</x:v>
      </x:c>
    </x:row>
    <x:row r="1184" s="117" customFormat="1" hidden="1">
      <x:c r="A1184" s="184" t="inlineStr">
        <x:is>
          <x:t xml:space="preserve">MTPRACFUN007</x:t>
        </x:is>
      </x:c>
      <x:c r="B1184" s="184" t="inlineStr">
        <x:is>
          <x:t xml:space="preserve">DISCO CORTE ACERO CARBONO 7 x 1,6mm</x:t>
        </x:is>
      </x:c>
      <x:c r="C1184" s="184" t="n">
        <x:v>63</x:v>
      </x:c>
      <x:c r="D1184" s="184" t="n">
        <x:v>0</x:v>
      </x:c>
      <x:c r="E1184" s="184" t="n">
        <x:v>0</x:v>
      </x:c>
      <x:c r="F1184" s="184" t="n">
        <x:v>63</x:v>
      </x:c>
      <x:c r="G1184" s="184" t="n">
        <x:v>52294</x:v>
      </x:c>
      <x:c r="H1184" s="193" t="n">
        <x:v>0</x:v>
      </x:c>
      <x:c r="I1184" s="185" t="n">
        <x:v>0</x:v>
      </x:c>
      <x:c r="J1184" s="185" t="n">
        <x:v>52294</x:v>
      </x:c>
      <x:c r="K1184" s="289" t="n">
        <x:v>830</x:v>
      </x:c>
    </x:row>
    <x:row r="1185" s="117" customFormat="1" hidden="1">
      <x:c r="A1185" s="184" t="inlineStr">
        <x:is>
          <x:t xml:space="preserve">MTPRACFUN008</x:t>
        </x:is>
      </x:c>
      <x:c r="B1185" s="184" t="inlineStr">
        <x:is>
          <x:t xml:space="preserve">BROCHA PLANA DE 1/2 X 1.1/2</x:t>
        </x:is>
      </x:c>
      <x:c r="C1185" s="184" t="n">
        <x:v>63</x:v>
      </x:c>
      <x:c r="D1185" s="184" t="n">
        <x:v>0</x:v>
      </x:c>
      <x:c r="E1185" s="184" t="n">
        <x:v>12</x:v>
      </x:c>
      <x:c r="F1185" s="184" t="n">
        <x:v>51</x:v>
      </x:c>
      <x:c r="G1185" s="184" t="n">
        <x:v>92562</x:v>
      </x:c>
      <x:c r="H1185" s="193" t="n">
        <x:v>0</x:v>
      </x:c>
      <x:c r="I1185" s="185" t="n">
        <x:v>17629</x:v>
      </x:c>
      <x:c r="J1185" s="185" t="n">
        <x:v>74933</x:v>
      </x:c>
      <x:c r="K1185" s="289" t="n">
        <x:v>1469.10734439</x:v>
      </x:c>
    </x:row>
    <x:row r="1186" s="117" customFormat="1" hidden="1">
      <x:c r="A1186" s="184" t="inlineStr">
        <x:is>
          <x:t xml:space="preserve">MTPRACFUN009</x:t>
        </x:is>
      </x:c>
      <x:c r="B1186" s="184" t="inlineStr">
        <x:is>
          <x:t xml:space="preserve">BROCHA PLANA DE 1/2 X 2</x:t>
        </x:is>
      </x:c>
      <x:c r="C1186" s="184" t="n">
        <x:v>29</x:v>
      </x:c>
      <x:c r="D1186" s="184" t="n">
        <x:v>0</x:v>
      </x:c>
      <x:c r="E1186" s="184" t="n">
        <x:v>0</x:v>
      </x:c>
      <x:c r="F1186" s="184" t="n">
        <x:v>29</x:v>
      </x:c>
      <x:c r="G1186" s="184" t="n">
        <x:v>46626</x:v>
      </x:c>
      <x:c r="H1186" s="193" t="n">
        <x:v>0</x:v>
      </x:c>
      <x:c r="I1186" s="185" t="n">
        <x:v>0</x:v>
      </x:c>
      <x:c r="J1186" s="185" t="n">
        <x:v>46626</x:v>
      </x:c>
      <x:c r="K1186" s="289" t="n">
        <x:v>1607.93866667</x:v>
      </x:c>
    </x:row>
    <x:row r="1187" s="117" customFormat="1" hidden="1">
      <x:c r="A1187" s="184" t="inlineStr">
        <x:is>
          <x:t xml:space="preserve">MTPRACFUN010</x:t>
        </x:is>
      </x:c>
      <x:c r="B1187" s="184" t="inlineStr">
        <x:is>
          <x:t xml:space="preserve">BALDE DE 5 LTS</x:t>
        </x:is>
      </x:c>
      <x:c r="C1187" s="184" t="n">
        <x:v>0</x:v>
      </x:c>
      <x:c r="D1187" s="184" t="n">
        <x:v>0</x:v>
      </x:c>
      <x:c r="E1187" s="184" t="n">
        <x:v>0</x:v>
      </x:c>
      <x:c r="F1187" s="184" t="n">
        <x:v>0</x:v>
      </x:c>
      <x:c r="G1187" s="184" t="n">
        <x:v>0</x:v>
      </x:c>
      <x:c r="H1187" s="193" t="n">
        <x:v>0</x:v>
      </x:c>
      <x:c r="I1187" s="185" t="n">
        <x:v>0</x:v>
      </x:c>
      <x:c r="J1187" s="185" t="n">
        <x:v>0</x:v>
      </x:c>
      <x:c r="K1187" s="289" t="n">
        <x:v>3250</x:v>
      </x:c>
    </x:row>
    <x:row r="1188" s="117" customFormat="1" hidden="1">
      <x:c r="A1188" s="184" t="inlineStr">
        <x:is>
          <x:t xml:space="preserve">MTPRACFUN011</x:t>
        </x:is>
      </x:c>
      <x:c r="B1188" s="184" t="inlineStr">
        <x:is>
          <x:t xml:space="preserve">BALDE TIPO TINETA CON TAPA DE 10 LTS</x:t>
        </x:is>
      </x:c>
      <x:c r="C1188" s="184" t="n">
        <x:v>0</x:v>
      </x:c>
      <x:c r="D1188" s="184" t="n">
        <x:v>0</x:v>
      </x:c>
      <x:c r="E1188" s="184" t="n">
        <x:v>0</x:v>
      </x:c>
      <x:c r="F1188" s="184" t="n">
        <x:v>0</x:v>
      </x:c>
      <x:c r="G1188" s="184" t="n">
        <x:v>0</x:v>
      </x:c>
      <x:c r="H1188" s="193" t="n">
        <x:v>0</x:v>
      </x:c>
      <x:c r="I1188" s="185" t="n">
        <x:v>0</x:v>
      </x:c>
      <x:c r="J1188" s="185" t="n">
        <x:v>0</x:v>
      </x:c>
      <x:c r="K1188" s="289" t="n">
        <x:v>2040</x:v>
      </x:c>
    </x:row>
    <x:row r="1189" s="117" customFormat="1" hidden="1">
      <x:c r="A1189" s="184" t="inlineStr">
        <x:is>
          <x:t xml:space="preserve">MTPRACFUN012</x:t>
        </x:is>
      </x:c>
      <x:c r="B1189" s="184" t="inlineStr">
        <x:is>
          <x:t xml:space="preserve">BALDE TIPO TINETA CON TAPA DE 15 LTS</x:t>
        </x:is>
      </x:c>
      <x:c r="C1189" s="184" t="n">
        <x:v>0</x:v>
      </x:c>
      <x:c r="D1189" s="184" t="n">
        <x:v>0</x:v>
      </x:c>
      <x:c r="E1189" s="184" t="n">
        <x:v>0</x:v>
      </x:c>
      <x:c r="F1189" s="184" t="n">
        <x:v>0</x:v>
      </x:c>
      <x:c r="G1189" s="184" t="n">
        <x:v>0</x:v>
      </x:c>
      <x:c r="H1189" s="193" t="n">
        <x:v>0</x:v>
      </x:c>
      <x:c r="I1189" s="185" t="n">
        <x:v>0</x:v>
      </x:c>
      <x:c r="J1189" s="185" t="n">
        <x:v>0</x:v>
      </x:c>
      <x:c r="K1189" s="289" t="n">
        <x:v>0</x:v>
      </x:c>
    </x:row>
    <x:row r="1190" s="117" customFormat="1" hidden="1">
      <x:c r="A1190" s="184" t="inlineStr">
        <x:is>
          <x:t xml:space="preserve">MTPRACFUN013</x:t>
        </x:is>
      </x:c>
      <x:c r="B1190" s="184" t="inlineStr">
        <x:is>
          <x:t xml:space="preserve">BALDE TIPO TINETA CON TAPA DE 20 LTS</x:t>
        </x:is>
      </x:c>
      <x:c r="C1190" s="184" t="n">
        <x:v>0</x:v>
      </x:c>
      <x:c r="D1190" s="184" t="n">
        <x:v>0</x:v>
      </x:c>
      <x:c r="E1190" s="184" t="n">
        <x:v>0</x:v>
      </x:c>
      <x:c r="F1190" s="184" t="n">
        <x:v>0</x:v>
      </x:c>
      <x:c r="G1190" s="184" t="n">
        <x:v>0</x:v>
      </x:c>
      <x:c r="H1190" s="193" t="n">
        <x:v>0</x:v>
      </x:c>
      <x:c r="I1190" s="185" t="n">
        <x:v>0</x:v>
      </x:c>
      <x:c r="J1190" s="185" t="n">
        <x:v>0</x:v>
      </x:c>
      <x:c r="K1190" s="289" t="n">
        <x:v>2530</x:v>
      </x:c>
    </x:row>
    <x:row r="1191" s="117" customFormat="1" hidden="1">
      <x:c r="A1191" s="184" t="inlineStr">
        <x:is>
          <x:t xml:space="preserve">MTPRACFUN014</x:t>
        </x:is>
      </x:c>
      <x:c r="B1191" s="184" t="inlineStr">
        <x:is>
          <x:t xml:space="preserve">ROLLO DE CARTON CORRUGADO</x:t>
        </x:is>
      </x:c>
      <x:c r="C1191" s="184" t="n">
        <x:v>10</x:v>
      </x:c>
      <x:c r="D1191" s="184" t="n">
        <x:v>1</x:v>
      </x:c>
      <x:c r="E1191" s="184" t="n">
        <x:v>1</x:v>
      </x:c>
      <x:c r="F1191" s="184" t="n">
        <x:v>10</x:v>
      </x:c>
      <x:c r="G1191" s="184" t="n">
        <x:v>528998</x:v>
      </x:c>
      <x:c r="H1191" s="193" t="n">
        <x:v>52900</x:v>
      </x:c>
      <x:c r="I1191" s="185" t="n">
        <x:v>52900</x:v>
      </x:c>
      <x:c r="J1191" s="185" t="n">
        <x:v>528998</x:v>
      </x:c>
      <x:c r="K1191" s="289" t="n">
        <x:v>52900</x:v>
      </x:c>
    </x:row>
    <x:row r="1192" s="117" customFormat="1" hidden="1">
      <x:c r="A1192" s="184" t="inlineStr">
        <x:is>
          <x:t xml:space="preserve">MTPRACFUN015</x:t>
        </x:is>
      </x:c>
      <x:c r="B1192" s="184" t="inlineStr">
        <x:is>
          <x:t xml:space="preserve">DISCO DE SILICIO PARA ESMERIL 4-1/2</x:t>
        </x:is>
      </x:c>
      <x:c r="C1192" s="184" t="n">
        <x:v>772</x:v>
      </x:c>
      <x:c r="D1192" s="184" t="n">
        <x:v>0</x:v>
      </x:c>
      <x:c r="E1192" s="184" t="n">
        <x:v>101</x:v>
      </x:c>
      <x:c r="F1192" s="184" t="n">
        <x:v>671</x:v>
      </x:c>
      <x:c r="G1192" s="184" t="n">
        <x:v>3267714</x:v>
      </x:c>
      <x:c r="H1192" s="193" t="n">
        <x:v>0</x:v>
      </x:c>
      <x:c r="I1192" s="185" t="n">
        <x:v>427511</x:v>
      </x:c>
      <x:c r="J1192" s="185" t="n">
        <x:v>2840203</x:v>
      </x:c>
      <x:c r="K1192" s="289" t="n">
        <x:v>4232.76505186</x:v>
      </x:c>
    </x:row>
    <x:row r="1193" s="117" customFormat="1" hidden="1">
      <x:c r="A1193" s="184" t="inlineStr">
        <x:is>
          <x:t xml:space="preserve">MTPRACFUN016</x:t>
        </x:is>
      </x:c>
      <x:c r="B1193" s="184" t="inlineStr">
        <x:is>
          <x:t xml:space="preserve">DISCO DE SILICIO PARA ESMERIL 7</x:t>
        </x:is>
      </x:c>
      <x:c r="C1193" s="184" t="n">
        <x:v>16</x:v>
      </x:c>
      <x:c r="D1193" s="184" t="n">
        <x:v>0</x:v>
      </x:c>
      <x:c r="E1193" s="184" t="n">
        <x:v>3</x:v>
      </x:c>
      <x:c r="F1193" s="184" t="n">
        <x:v>13</x:v>
      </x:c>
      <x:c r="G1193" s="184" t="n">
        <x:v>134572</x:v>
      </x:c>
      <x:c r="H1193" s="193" t="n">
        <x:v>0</x:v>
      </x:c>
      <x:c r="I1193" s="185" t="n">
        <x:v>25231</x:v>
      </x:c>
      <x:c r="J1193" s="185" t="n">
        <x:v>109341</x:v>
      </x:c>
      <x:c r="K1193" s="289" t="n">
        <x:v>8410.422668720001</x:v>
      </x:c>
    </x:row>
    <x:row r="1194" s="117" customFormat="1" hidden="1">
      <x:c r="A1194" s="184" t="inlineStr">
        <x:is>
          <x:t xml:space="preserve">MTPRACFUN017</x:t>
        </x:is>
      </x:c>
      <x:c r="B1194" s="184" t="inlineStr">
        <x:is>
          <x:t xml:space="preserve">DISCO DE LIJA GRANO P24 DE 4-1/2</x:t>
        </x:is>
      </x:c>
      <x:c r="C1194" s="184" t="n">
        <x:v>533</x:v>
      </x:c>
      <x:c r="D1194" s="184" t="n">
        <x:v>0</x:v>
      </x:c>
      <x:c r="E1194" s="184" t="n">
        <x:v>39</x:v>
      </x:c>
      <x:c r="F1194" s="184" t="n">
        <x:v>494</x:v>
      </x:c>
      <x:c r="G1194" s="184" t="n">
        <x:v>490353</x:v>
      </x:c>
      <x:c r="H1194" s="193" t="n">
        <x:v>0</x:v>
      </x:c>
      <x:c r="I1194" s="185" t="n">
        <x:v>35880</x:v>
      </x:c>
      <x:c r="J1194" s="185" t="n">
        <x:v>454473</x:v>
      </x:c>
      <x:c r="K1194" s="289" t="n">
        <x:v>920</x:v>
      </x:c>
    </x:row>
    <x:row r="1195" s="117" customFormat="1" hidden="1">
      <x:c r="A1195" s="184" t="inlineStr">
        <x:is>
          <x:t xml:space="preserve">MTPRACFUN018</x:t>
        </x:is>
      </x:c>
      <x:c r="B1195" s="184" t="inlineStr">
        <x:is>
          <x:t xml:space="preserve">DISCO DE LIJA GRANO P24 DE 7</x:t>
        </x:is>
      </x:c>
      <x:c r="C1195" s="184" t="n">
        <x:v>179</x:v>
      </x:c>
      <x:c r="D1195" s="184" t="n">
        <x:v>0</x:v>
      </x:c>
      <x:c r="E1195" s="184" t="n">
        <x:v>2</x:v>
      </x:c>
      <x:c r="F1195" s="184" t="n">
        <x:v>177</x:v>
      </x:c>
      <x:c r="G1195" s="184" t="n">
        <x:v>413351</x:v>
      </x:c>
      <x:c r="H1195" s="193" t="n">
        <x:v>0</x:v>
      </x:c>
      <x:c r="I1195" s="185" t="n">
        <x:v>4618</x:v>
      </x:c>
      <x:c r="J1195" s="185" t="n">
        <x:v>408733</x:v>
      </x:c>
      <x:c r="K1195" s="289" t="n">
        <x:v>2309.21197591</x:v>
      </x:c>
    </x:row>
    <x:row r="1196" s="117" customFormat="1" hidden="1">
      <x:c r="A1196" s="184" t="inlineStr">
        <x:is>
          <x:t xml:space="preserve">MTPRACFUN019</x:t>
        </x:is>
      </x:c>
      <x:c r="B1196" s="184" t="inlineStr">
        <x:is>
          <x:t xml:space="preserve">PERMACEL O MASKING TAPE 1 O 24MM</x:t>
        </x:is>
      </x:c>
      <x:c r="C1196" s="184" t="n">
        <x:v>44</x:v>
      </x:c>
      <x:c r="D1196" s="184" t="n">
        <x:v>0</x:v>
      </x:c>
      <x:c r="E1196" s="184" t="n">
        <x:v>7</x:v>
      </x:c>
      <x:c r="F1196" s="184" t="n">
        <x:v>37</x:v>
      </x:c>
      <x:c r="G1196" s="184" t="n">
        <x:v>37896</x:v>
      </x:c>
      <x:c r="H1196" s="193" t="n">
        <x:v>0</x:v>
      </x:c>
      <x:c r="I1196" s="185" t="n">
        <x:v>6028</x:v>
      </x:c>
      <x:c r="J1196" s="185" t="n">
        <x:v>31868</x:v>
      </x:c>
      <x:c r="K1196" s="289" t="n">
        <x:v>861.2793281199999</x:v>
      </x:c>
    </x:row>
    <x:row r="1197" s="117" customFormat="1" hidden="1">
      <x:c r="A1197" s="184" t="inlineStr">
        <x:is>
          <x:t xml:space="preserve">MTPRACFUN020</x:t>
        </x:is>
      </x:c>
      <x:c r="B1197" s="184" t="inlineStr">
        <x:is>
          <x:t xml:space="preserve">PERMACEL O MASKING TAPE 2 O 48MM</x:t>
        </x:is>
      </x:c>
      <x:c r="C1197" s="184" t="n">
        <x:v>68</x:v>
      </x:c>
      <x:c r="D1197" s="184" t="n">
        <x:v>0</x:v>
      </x:c>
      <x:c r="E1197" s="184" t="n">
        <x:v>18</x:v>
      </x:c>
      <x:c r="F1197" s="184" t="n">
        <x:v>50</x:v>
      </x:c>
      <x:c r="G1197" s="184" t="n">
        <x:v>150694</x:v>
      </x:c>
      <x:c r="H1197" s="193" t="n">
        <x:v>0</x:v>
      </x:c>
      <x:c r="I1197" s="185" t="n">
        <x:v>39888</x:v>
      </x:c>
      <x:c r="J1197" s="185" t="n">
        <x:v>110806</x:v>
      </x:c>
      <x:c r="K1197" s="289" t="n">
        <x:v>2215.83889338</x:v>
      </x:c>
    </x:row>
    <x:row r="1198" s="117" customFormat="1" hidden="1">
      <x:c r="A1198" s="184" t="inlineStr">
        <x:is>
          <x:t xml:space="preserve">MTPRACFUN021</x:t>
        </x:is>
      </x:c>
      <x:c r="B1198" s="184" t="inlineStr">
        <x:is>
          <x:t xml:space="preserve">CINTA DE EMBALAJE TRANSPARENTE 48MM</x:t>
        </x:is>
      </x:c>
      <x:c r="C1198" s="184" t="n">
        <x:v>50</x:v>
      </x:c>
      <x:c r="D1198" s="184" t="n">
        <x:v>0</x:v>
      </x:c>
      <x:c r="E1198" s="184" t="n">
        <x:v>0</x:v>
      </x:c>
      <x:c r="F1198" s="184" t="n">
        <x:v>50</x:v>
      </x:c>
      <x:c r="G1198" s="184" t="n">
        <x:v>24250</x:v>
      </x:c>
      <x:c r="H1198" s="193" t="n">
        <x:v>0</x:v>
      </x:c>
      <x:c r="I1198" s="185" t="n">
        <x:v>0</x:v>
      </x:c>
      <x:c r="J1198" s="185" t="n">
        <x:v>24250</x:v>
      </x:c>
      <x:c r="K1198" s="289" t="n">
        <x:v>485</x:v>
      </x:c>
    </x:row>
    <x:row r="1199" s="117" customFormat="1" hidden="1">
      <x:c r="A1199" s="184" t="inlineStr">
        <x:is>
          <x:t xml:space="preserve">MTPRACFUN022</x:t>
        </x:is>
      </x:c>
      <x:c r="B1199" s="184" t="inlineStr">
        <x:is>
          <x:t xml:space="preserve">SCOTCH MAGIC TAPE 19MM</x:t>
        </x:is>
      </x:c>
      <x:c r="C1199" s="184" t="n">
        <x:v>2</x:v>
      </x:c>
      <x:c r="D1199" s="184" t="n">
        <x:v>0</x:v>
      </x:c>
      <x:c r="E1199" s="184" t="n">
        <x:v>0</x:v>
      </x:c>
      <x:c r="F1199" s="184" t="n">
        <x:v>2</x:v>
      </x:c>
      <x:c r="G1199" s="184" t="n">
        <x:v>5900</x:v>
      </x:c>
      <x:c r="H1199" s="193" t="n">
        <x:v>0</x:v>
      </x:c>
      <x:c r="I1199" s="185" t="n">
        <x:v>0</x:v>
      </x:c>
      <x:c r="J1199" s="185" t="n">
        <x:v>5900</x:v>
      </x:c>
      <x:c r="K1199" s="289" t="n">
        <x:v>2950</x:v>
      </x:c>
    </x:row>
    <x:row r="1200" s="117" customFormat="1" hidden="1">
      <x:c r="A1200" s="184" t="inlineStr">
        <x:is>
          <x:t xml:space="preserve">MTPRACFUN023</x:t>
        </x:is>
      </x:c>
      <x:c r="B1200" s="184" t="inlineStr">
        <x:is>
          <x:t xml:space="preserve">CAJA DE PLASTICINA EN BARRAS</x:t>
        </x:is>
      </x:c>
      <x:c r="C1200" s="184" t="n">
        <x:v>0</x:v>
      </x:c>
      <x:c r="D1200" s="184" t="n">
        <x:v>0</x:v>
      </x:c>
      <x:c r="E1200" s="184" t="n">
        <x:v>0</x:v>
      </x:c>
      <x:c r="F1200" s="184" t="n">
        <x:v>0</x:v>
      </x:c>
      <x:c r="G1200" s="184" t="n">
        <x:v>-1</x:v>
      </x:c>
      <x:c r="H1200" s="193" t="n">
        <x:v>0</x:v>
      </x:c>
      <x:c r="I1200" s="185" t="n">
        <x:v>0</x:v>
      </x:c>
      <x:c r="J1200" s="185" t="n">
        <x:v>-1</x:v>
      </x:c>
      <x:c r="K1200" s="289" t="n">
        <x:v>2150</x:v>
      </x:c>
    </x:row>
    <x:row r="1201" s="117" customFormat="1" hidden="1">
      <x:c r="A1201" s="184" t="inlineStr">
        <x:is>
          <x:t xml:space="preserve">MTPRACFUN024</x:t>
        </x:is>
      </x:c>
      <x:c r="B1201" s="184" t="inlineStr">
        <x:is>
          <x:t xml:space="preserve">DISCO RESPALDO DE GOMA 4-1/2</x:t>
        </x:is>
      </x:c>
      <x:c r="C1201" s="184" t="n">
        <x:v>21</x:v>
      </x:c>
      <x:c r="D1201" s="184" t="n">
        <x:v>0</x:v>
      </x:c>
      <x:c r="E1201" s="184" t="n">
        <x:v>6</x:v>
      </x:c>
      <x:c r="F1201" s="184" t="n">
        <x:v>15</x:v>
      </x:c>
      <x:c r="G1201" s="184" t="n">
        <x:v>103890</x:v>
      </x:c>
      <x:c r="H1201" s="193" t="n">
        <x:v>0</x:v>
      </x:c>
      <x:c r="I1201" s="185" t="n">
        <x:v>29682</x:v>
      </x:c>
      <x:c r="J1201" s="185" t="n">
        <x:v>74208</x:v>
      </x:c>
      <x:c r="K1201" s="289" t="n">
        <x:v>4947.00426359</x:v>
      </x:c>
    </x:row>
    <x:row r="1202" s="117" customFormat="1" hidden="1">
      <x:c r="A1202" s="184" t="inlineStr">
        <x:is>
          <x:t xml:space="preserve">MTPRACFUN025</x:t>
        </x:is>
      </x:c>
      <x:c r="B1202" s="184" t="inlineStr">
        <x:is>
          <x:t xml:space="preserve">DISCO RESPALDO DE GOMA 7</x:t>
        </x:is>
      </x:c>
      <x:c r="C1202" s="184" t="n">
        <x:v>17</x:v>
      </x:c>
      <x:c r="D1202" s="184" t="n">
        <x:v>0</x:v>
      </x:c>
      <x:c r="E1202" s="184" t="n">
        <x:v>0</x:v>
      </x:c>
      <x:c r="F1202" s="184" t="n">
        <x:v>17</x:v>
      </x:c>
      <x:c r="G1202" s="184" t="n">
        <x:v>123868</x:v>
      </x:c>
      <x:c r="H1202" s="193" t="n">
        <x:v>0</x:v>
      </x:c>
      <x:c r="I1202" s="185" t="n">
        <x:v>0</x:v>
      </x:c>
      <x:c r="J1202" s="185" t="n">
        <x:v>123868</x:v>
      </x:c>
      <x:c r="K1202" s="289" t="n">
        <x:v>7286.52173913</x:v>
      </x:c>
    </x:row>
    <x:row r="1203" s="117" customFormat="1" hidden="1">
      <x:c r="A1203" s="184" t="inlineStr">
        <x:is>
          <x:t xml:space="preserve">MTPRACFUN026</x:t>
        </x:is>
      </x:c>
      <x:c r="B1203" s="184" t="inlineStr">
        <x:is>
          <x:t xml:space="preserve">DISCO DIAMANTADO PARA FDV O ELECTROLITICO 4-1/2</x:t>
        </x:is>
      </x:c>
      <x:c r="C1203" s="184" t="n">
        <x:v>4</x:v>
      </x:c>
      <x:c r="D1203" s="184" t="n">
        <x:v>0</x:v>
      </x:c>
      <x:c r="E1203" s="184" t="n">
        <x:v>0</x:v>
      </x:c>
      <x:c r="F1203" s="184" t="n">
        <x:v>4</x:v>
      </x:c>
      <x:c r="G1203" s="184" t="n">
        <x:v>105998</x:v>
      </x:c>
      <x:c r="H1203" s="193" t="n">
        <x:v>0</x:v>
      </x:c>
      <x:c r="I1203" s="185" t="n">
        <x:v>0</x:v>
      </x:c>
      <x:c r="J1203" s="185" t="n">
        <x:v>105998</x:v>
      </x:c>
      <x:c r="K1203" s="289" t="n">
        <x:v>26500</x:v>
      </x:c>
    </x:row>
    <x:row r="1204" s="117" customFormat="1" hidden="1">
      <x:c r="A1204" s="184" t="inlineStr">
        <x:is>
          <x:t xml:space="preserve">MTPRACFUN027</x:t>
        </x:is>
      </x:c>
      <x:c r="B1204" s="184" t="inlineStr">
        <x:is>
          <x:t xml:space="preserve">DISCO DIAMANTADO PARA FDV O ELECTROLITICO 7</x:t>
        </x:is>
      </x:c>
      <x:c r="C1204" s="184" t="n">
        <x:v>18</x:v>
      </x:c>
      <x:c r="D1204" s="184" t="n">
        <x:v>0</x:v>
      </x:c>
      <x:c r="E1204" s="184" t="n">
        <x:v>1</x:v>
      </x:c>
      <x:c r="F1204" s="184" t="n">
        <x:v>17</x:v>
      </x:c>
      <x:c r="G1204" s="184" t="n">
        <x:v>657000</x:v>
      </x:c>
      <x:c r="H1204" s="193" t="n">
        <x:v>0</x:v>
      </x:c>
      <x:c r="I1204" s="185" t="n">
        <x:v>36500</x:v>
      </x:c>
      <x:c r="J1204" s="185" t="n">
        <x:v>620500</x:v>
      </x:c>
      <x:c r="K1204" s="289" t="n">
        <x:v>36500</x:v>
      </x:c>
    </x:row>
    <x:row r="1205" s="117" customFormat="1" hidden="1">
      <x:c r="A1205" s="184" t="inlineStr">
        <x:is>
          <x:t xml:space="preserve">MTPRACFUN028</x:t>
        </x:is>
      </x:c>
      <x:c r="B1205" s="184" t="inlineStr">
        <x:is>
          <x:t xml:space="preserve">DISCO DESBASTE PARA ACERO 4-1/2</x:t>
        </x:is>
      </x:c>
      <x:c r="C1205" s="184" t="n">
        <x:v>49</x:v>
      </x:c>
      <x:c r="D1205" s="184" t="n">
        <x:v>0</x:v>
      </x:c>
      <x:c r="E1205" s="184" t="n">
        <x:v>4</x:v>
      </x:c>
      <x:c r="F1205" s="184" t="n">
        <x:v>45</x:v>
      </x:c>
      <x:c r="G1205" s="184" t="n">
        <x:v>48515</x:v>
      </x:c>
      <x:c r="H1205" s="193" t="n">
        <x:v>0</x:v>
      </x:c>
      <x:c r="I1205" s="185" t="n">
        <x:v>3960</x:v>
      </x:c>
      <x:c r="J1205" s="185" t="n">
        <x:v>44555</x:v>
      </x:c>
      <x:c r="K1205" s="289" t="n">
        <x:v>990.07828818</x:v>
      </x:c>
    </x:row>
    <x:row r="1206" s="117" customFormat="1" hidden="1">
      <x:c r="A1206" s="184" t="inlineStr">
        <x:is>
          <x:t xml:space="preserve">MTPRACFUN029</x:t>
        </x:is>
      </x:c>
      <x:c r="B1206" s="184" t="inlineStr">
        <x:is>
          <x:t xml:space="preserve">DISCO DESBASTE PARA ACERO 7</x:t>
        </x:is>
      </x:c>
      <x:c r="C1206" s="184" t="n">
        <x:v>82</x:v>
      </x:c>
      <x:c r="D1206" s="184" t="n">
        <x:v>0</x:v>
      </x:c>
      <x:c r="E1206" s="184" t="n">
        <x:v>0</x:v>
      </x:c>
      <x:c r="F1206" s="184" t="n">
        <x:v>82</x:v>
      </x:c>
      <x:c r="G1206" s="184" t="n">
        <x:v>159900</x:v>
      </x:c>
      <x:c r="H1206" s="193" t="n">
        <x:v>0</x:v>
      </x:c>
      <x:c r="I1206" s="185" t="n">
        <x:v>0</x:v>
      </x:c>
      <x:c r="J1206" s="185" t="n">
        <x:v>159900</x:v>
      </x:c>
      <x:c r="K1206" s="289" t="n">
        <x:v>1950</x:v>
      </x:c>
    </x:row>
    <x:row r="1207" s="117" customFormat="1" hidden="1">
      <x:c r="A1207" s="184" t="inlineStr">
        <x:is>
          <x:t xml:space="preserve">MTPRACFUN030</x:t>
        </x:is>
      </x:c>
      <x:c r="B1207" s="184" t="inlineStr">
        <x:is>
          <x:t xml:space="preserve">ESPATULA 40MM</x:t>
        </x:is>
      </x:c>
      <x:c r="C1207" s="184" t="n">
        <x:v>57</x:v>
      </x:c>
      <x:c r="D1207" s="184" t="n">
        <x:v>0</x:v>
      </x:c>
      <x:c r="E1207" s="184" t="n">
        <x:v>10</x:v>
      </x:c>
      <x:c r="F1207" s="184" t="n">
        <x:v>47</x:v>
      </x:c>
      <x:c r="G1207" s="184" t="n">
        <x:v>118654</x:v>
      </x:c>
      <x:c r="H1207" s="193" t="n">
        <x:v>0</x:v>
      </x:c>
      <x:c r="I1207" s="185" t="n">
        <x:v>20816</x:v>
      </x:c>
      <x:c r="J1207" s="185" t="n">
        <x:v>97838</x:v>
      </x:c>
      <x:c r="K1207" s="289" t="n">
        <x:v>2081.59004711</x:v>
      </x:c>
    </x:row>
    <x:row r="1208" s="117" customFormat="1" hidden="1">
      <x:c r="A1208" s="184" t="inlineStr">
        <x:is>
          <x:t xml:space="preserve">MTPRACFUN031</x:t>
        </x:is>
      </x:c>
      <x:c r="B1208" s="184" t="inlineStr">
        <x:is>
          <x:t xml:space="preserve">ESPATULA 60MM</x:t>
        </x:is>
      </x:c>
      <x:c r="C1208" s="184" t="n">
        <x:v>12</x:v>
      </x:c>
      <x:c r="D1208" s="184" t="n">
        <x:v>0</x:v>
      </x:c>
      <x:c r="E1208" s="184" t="n">
        <x:v>0</x:v>
      </x:c>
      <x:c r="F1208" s="184" t="n">
        <x:v>12</x:v>
      </x:c>
      <x:c r="G1208" s="184" t="n">
        <x:v>20160</x:v>
      </x:c>
      <x:c r="H1208" s="193" t="n">
        <x:v>0</x:v>
      </x:c>
      <x:c r="I1208" s="185" t="n">
        <x:v>0</x:v>
      </x:c>
      <x:c r="J1208" s="185" t="n">
        <x:v>20160</x:v>
      </x:c>
      <x:c r="K1208" s="289" t="n">
        <x:v>1680</x:v>
      </x:c>
    </x:row>
    <x:row r="1209" s="117" customFormat="1" hidden="1">
      <x:c r="A1209" s="184" t="inlineStr">
        <x:is>
          <x:t xml:space="preserve">MTPRACFUN032</x:t>
        </x:is>
      </x:c>
      <x:c r="B1209" s="184" t="inlineStr">
        <x:is>
          <x:t xml:space="preserve">BROCHA PLANA DE 1/2 X 2-1/2</x:t>
        </x:is>
      </x:c>
      <x:c r="C1209" s="184" t="n">
        <x:v>421</x:v>
      </x:c>
      <x:c r="D1209" s="184" t="n">
        <x:v>0</x:v>
      </x:c>
      <x:c r="E1209" s="184" t="n">
        <x:v>27</x:v>
      </x:c>
      <x:c r="F1209" s="184" t="n">
        <x:v>394</x:v>
      </x:c>
      <x:c r="G1209" s="184" t="n">
        <x:v>818563</x:v>
      </x:c>
      <x:c r="H1209" s="193" t="n">
        <x:v>0</x:v>
      </x:c>
      <x:c r="I1209" s="185" t="n">
        <x:v>52499</x:v>
      </x:c>
      <x:c r="J1209" s="185" t="n">
        <x:v>766064</x:v>
      </x:c>
      <x:c r="K1209" s="289" t="n">
        <x:v>1944.33726474</x:v>
      </x:c>
    </x:row>
    <x:row r="1210" s="117" customFormat="1" hidden="1">
      <x:c r="A1210" s="184" t="inlineStr">
        <x:is>
          <x:t xml:space="preserve">MTPRACFUN033</x:t>
        </x:is>
      </x:c>
      <x:c r="B1210" s="184" t="inlineStr">
        <x:is>
          <x:t xml:space="preserve">BROCHA PLANA DE 1/2 X 3</x:t>
        </x:is>
      </x:c>
      <x:c r="C1210" s="184" t="n">
        <x:v>114</x:v>
      </x:c>
      <x:c r="D1210" s="184" t="n">
        <x:v>0</x:v>
      </x:c>
      <x:c r="E1210" s="184" t="n">
        <x:v>0</x:v>
      </x:c>
      <x:c r="F1210" s="184" t="n">
        <x:v>114</x:v>
      </x:c>
      <x:c r="G1210" s="184" t="n">
        <x:v>273628</x:v>
      </x:c>
      <x:c r="H1210" s="193" t="n">
        <x:v>0</x:v>
      </x:c>
      <x:c r="I1210" s="185" t="n">
        <x:v>0</x:v>
      </x:c>
      <x:c r="J1210" s="185" t="n">
        <x:v>273628</x:v>
      </x:c>
      <x:c r="K1210" s="289" t="n">
        <x:v>2400.2750047</x:v>
      </x:c>
    </x:row>
    <x:row r="1211" s="117" customFormat="1" hidden="1">
      <x:c r="A1211" s="184" t="inlineStr">
        <x:is>
          <x:t xml:space="preserve">MTPRACFUN034</x:t>
        </x:is>
      </x:c>
      <x:c r="B1211" s="184" t="inlineStr">
        <x:is>
          <x:t xml:space="preserve">BROCHA PLANA DE 1/2 X 4</x:t>
        </x:is>
      </x:c>
      <x:c r="C1211" s="184" t="n">
        <x:v>0</x:v>
      </x:c>
      <x:c r="D1211" s="184" t="n">
        <x:v>0</x:v>
      </x:c>
      <x:c r="E1211" s="184" t="n">
        <x:v>0</x:v>
      </x:c>
      <x:c r="F1211" s="184" t="n">
        <x:v>0</x:v>
      </x:c>
      <x:c r="G1211" s="184" t="n">
        <x:v>0</x:v>
      </x:c>
      <x:c r="H1211" s="193" t="n">
        <x:v>0</x:v>
      </x:c>
      <x:c r="I1211" s="185" t="n">
        <x:v>0</x:v>
      </x:c>
      <x:c r="J1211" s="185" t="n">
        <x:v>0</x:v>
      </x:c>
      <x:c r="K1211" s="289" t="n">
        <x:v>1933</x:v>
      </x:c>
    </x:row>
    <x:row r="1212" s="117" customFormat="1" hidden="1">
      <x:c r="A1212" s="184" t="inlineStr">
        <x:is>
          <x:t xml:space="preserve">MTPRACFUN035</x:t>
        </x:is>
      </x:c>
      <x:c r="B1212" s="184" t="inlineStr">
        <x:is>
          <x:t xml:space="preserve">DOSIFICADOR 1000 CC</x:t>
        </x:is>
      </x:c>
      <x:c r="C1212" s="184" t="n">
        <x:v>100</x:v>
      </x:c>
      <x:c r="D1212" s="184" t="n">
        <x:v>20</x:v>
      </x:c>
      <x:c r="E1212" s="184" t="n">
        <x:v>31</x:v>
      </x:c>
      <x:c r="F1212" s="184" t="n">
        <x:v>89</x:v>
      </x:c>
      <x:c r="G1212" s="184" t="n">
        <x:v>119662</x:v>
      </x:c>
      <x:c r="H1212" s="193" t="n">
        <x:v>23934</x:v>
      </x:c>
      <x:c r="I1212" s="185" t="n">
        <x:v>37097</x:v>
      </x:c>
      <x:c r="J1212" s="185" t="n">
        <x:v>106499</x:v>
      </x:c>
      <x:c r="K1212" s="289" t="n">
        <x:v>1196.69706603</x:v>
      </x:c>
    </x:row>
    <x:row r="1213" s="117" customFormat="1" hidden="1">
      <x:c r="A1213" s="184" t="inlineStr">
        <x:is>
          <x:t xml:space="preserve">MTPRACFUN036</x:t>
        </x:is>
      </x:c>
      <x:c r="B1213" s="184" t="inlineStr">
        <x:is>
          <x:t xml:space="preserve">DOSIFICADOR 500 CC</x:t>
        </x:is>
      </x:c>
      <x:c r="C1213" s="184" t="n">
        <x:v>98</x:v>
      </x:c>
      <x:c r="D1213" s="184" t="n">
        <x:v>0</x:v>
      </x:c>
      <x:c r="E1213" s="184" t="n">
        <x:v>2</x:v>
      </x:c>
      <x:c r="F1213" s="184" t="n">
        <x:v>96</x:v>
      </x:c>
      <x:c r="G1213" s="184" t="n">
        <x:v>122091</x:v>
      </x:c>
      <x:c r="H1213" s="193" t="n">
        <x:v>0</x:v>
      </x:c>
      <x:c r="I1213" s="185" t="n">
        <x:v>2492</x:v>
      </x:c>
      <x:c r="J1213" s="185" t="n">
        <x:v>119599</x:v>
      </x:c>
      <x:c r="K1213" s="289" t="n">
        <x:v>1245.86329866</x:v>
      </x:c>
    </x:row>
    <x:row r="1214" s="117" customFormat="1" hidden="1">
      <x:c r="A1214" s="184" t="inlineStr">
        <x:is>
          <x:t xml:space="preserve">MTPRACFUN037</x:t>
        </x:is>
      </x:c>
      <x:c r="B1214" s="184" t="inlineStr">
        <x:is>
          <x:t xml:space="preserve">CUCHILLO CARTONERO PROFESIONAL STANLEY HOJA CORTA</x:t>
        </x:is>
      </x:c>
      <x:c r="C1214" s="184" t="n">
        <x:v>0</x:v>
      </x:c>
      <x:c r="D1214" s="184" t="n">
        <x:v>0</x:v>
      </x:c>
      <x:c r="E1214" s="184" t="n">
        <x:v>0</x:v>
      </x:c>
      <x:c r="F1214" s="184" t="n">
        <x:v>0</x:v>
      </x:c>
      <x:c r="G1214" s="184" t="n">
        <x:v>0</x:v>
      </x:c>
      <x:c r="H1214" s="193" t="n">
        <x:v>0</x:v>
      </x:c>
      <x:c r="I1214" s="185" t="n">
        <x:v>0</x:v>
      </x:c>
      <x:c r="J1214" s="185" t="n">
        <x:v>0</x:v>
      </x:c>
      <x:c r="K1214" s="289" t="n">
        <x:v>6085</x:v>
      </x:c>
    </x:row>
    <x:row r="1215" s="117" customFormat="1" hidden="1">
      <x:c r="A1215" s="184" t="inlineStr">
        <x:is>
          <x:t xml:space="preserve">MTPRACFUN038</x:t>
        </x:is>
      </x:c>
      <x:c r="B1215" s="184" t="inlineStr">
        <x:is>
          <x:t xml:space="preserve">REPUESTO DE CUCHILLO CARTONERO HOJA CORTA</x:t>
        </x:is>
      </x:c>
      <x:c r="C1215" s="184" t="n">
        <x:v>0</x:v>
      </x:c>
      <x:c r="D1215" s="184" t="n">
        <x:v>0</x:v>
      </x:c>
      <x:c r="E1215" s="184" t="n">
        <x:v>0</x:v>
      </x:c>
      <x:c r="F1215" s="184" t="n">
        <x:v>0</x:v>
      </x:c>
      <x:c r="G1215" s="184" t="n">
        <x:v>0</x:v>
      </x:c>
      <x:c r="H1215" s="193" t="n">
        <x:v>0</x:v>
      </x:c>
      <x:c r="I1215" s="185" t="n">
        <x:v>0</x:v>
      </x:c>
      <x:c r="J1215" s="185" t="n">
        <x:v>0</x:v>
      </x:c>
      <x:c r="K1215" s="289" t="n">
        <x:v>1117</x:v>
      </x:c>
    </x:row>
    <x:row r="1216" s="117" customFormat="1" hidden="1">
      <x:c r="A1216" s="184" t="inlineStr">
        <x:is>
          <x:t xml:space="preserve">MTPRACFUN039</x:t>
        </x:is>
      </x:c>
      <x:c r="B1216" s="184" t="inlineStr">
        <x:is>
          <x:t xml:space="preserve">CUCHILLO CARTONERO PROFESIONAL STANLEY HOJA LARGA</x:t>
        </x:is>
      </x:c>
      <x:c r="C1216" s="184" t="n">
        <x:v>0</x:v>
      </x:c>
      <x:c r="D1216" s="184" t="n">
        <x:v>0</x:v>
      </x:c>
      <x:c r="E1216" s="184" t="n">
        <x:v>0</x:v>
      </x:c>
      <x:c r="F1216" s="184" t="n">
        <x:v>0</x:v>
      </x:c>
      <x:c r="G1216" s="184" t="n">
        <x:v>0</x:v>
      </x:c>
      <x:c r="H1216" s="193" t="n">
        <x:v>0</x:v>
      </x:c>
      <x:c r="I1216" s="185" t="n">
        <x:v>0</x:v>
      </x:c>
      <x:c r="J1216" s="185" t="n">
        <x:v>0</x:v>
      </x:c>
      <x:c r="K1216" s="289" t="n">
        <x:v>2242</x:v>
      </x:c>
    </x:row>
    <x:row r="1217" s="117" customFormat="1" hidden="1">
      <x:c r="A1217" s="184" t="inlineStr">
        <x:is>
          <x:t xml:space="preserve">MTPRACFUN040</x:t>
        </x:is>
      </x:c>
      <x:c r="B1217" s="184" t="inlineStr">
        <x:is>
          <x:t xml:space="preserve">REPUESTO DE CUCHILLO CARTONERO HOJA LARGA</x:t>
        </x:is>
      </x:c>
      <x:c r="C1217" s="184" t="n">
        <x:v>23</x:v>
      </x:c>
      <x:c r="D1217" s="184" t="n">
        <x:v>0</x:v>
      </x:c>
      <x:c r="E1217" s="184" t="n">
        <x:v>0</x:v>
      </x:c>
      <x:c r="F1217" s="184" t="n">
        <x:v>23</x:v>
      </x:c>
      <x:c r="G1217" s="184" t="n">
        <x:v>24373</x:v>
      </x:c>
      <x:c r="H1217" s="193" t="n">
        <x:v>0</x:v>
      </x:c>
      <x:c r="I1217" s="185" t="n">
        <x:v>0</x:v>
      </x:c>
      <x:c r="J1217" s="185" t="n">
        <x:v>24373</x:v>
      </x:c>
      <x:c r="K1217" s="289" t="n">
        <x:v>1059.76229508</x:v>
      </x:c>
    </x:row>
    <x:row r="1218" s="117" customFormat="1" hidden="1">
      <x:c r="A1218" s="184" t="inlineStr">
        <x:is>
          <x:t xml:space="preserve">MTPRACFUN041</x:t>
        </x:is>
      </x:c>
      <x:c r="B1218" s="184" t="inlineStr">
        <x:is>
          <x:t xml:space="preserve">CUCHILLO CARTONERO HOJA RETRACTIL</x:t>
        </x:is>
      </x:c>
      <x:c r="C1218" s="184" t="n">
        <x:v>21</x:v>
      </x:c>
      <x:c r="D1218" s="184" t="n">
        <x:v>0</x:v>
      </x:c>
      <x:c r="E1218" s="184" t="n">
        <x:v>1</x:v>
      </x:c>
      <x:c r="F1218" s="184" t="n">
        <x:v>20</x:v>
      </x:c>
      <x:c r="G1218" s="184" t="n">
        <x:v>80473</x:v>
      </x:c>
      <x:c r="H1218" s="193" t="n">
        <x:v>0</x:v>
      </x:c>
      <x:c r="I1218" s="185" t="n">
        <x:v>3832</x:v>
      </x:c>
      <x:c r="J1218" s="185" t="n">
        <x:v>76641</x:v>
      </x:c>
      <x:c r="K1218" s="289" t="n">
        <x:v>3832.00326087</x:v>
      </x:c>
    </x:row>
    <x:row r="1219" s="117" customFormat="1" hidden="1">
      <x:c r="A1219" s="184" t="inlineStr">
        <x:is>
          <x:t xml:space="preserve">MTPRACFUN042</x:t>
        </x:is>
      </x:c>
      <x:c r="B1219" s="184" t="inlineStr">
        <x:is>
          <x:t xml:space="preserve">FILM PALETIZADOR TRANSPARENTE</x:t>
        </x:is>
      </x:c>
      <x:c r="C1219" s="184" t="n">
        <x:v>85</x:v>
      </x:c>
      <x:c r="D1219" s="184" t="n">
        <x:v>0</x:v>
      </x:c>
      <x:c r="E1219" s="184" t="n">
        <x:v>0</x:v>
      </x:c>
      <x:c r="F1219" s="184" t="n">
        <x:v>85</x:v>
      </x:c>
      <x:c r="G1219" s="184" t="n">
        <x:v>280502</x:v>
      </x:c>
      <x:c r="H1219" s="193" t="n">
        <x:v>0</x:v>
      </x:c>
      <x:c r="I1219" s="185" t="n">
        <x:v>0</x:v>
      </x:c>
      <x:c r="J1219" s="185" t="n">
        <x:v>280502</x:v>
      </x:c>
      <x:c r="K1219" s="289" t="n">
        <x:v>3300</x:v>
      </x:c>
    </x:row>
    <x:row r="1220" s="117" customFormat="1" hidden="1">
      <x:c r="A1220" s="184" t="inlineStr">
        <x:is>
          <x:t xml:space="preserve">MTPRACFUN043</x:t>
        </x:is>
      </x:c>
      <x:c r="B1220" s="184" t="inlineStr">
        <x:is>
          <x:t xml:space="preserve">FILM PALETIZADOR NEGRO</x:t>
        </x:is>
      </x:c>
      <x:c r="C1220" s="184" t="n">
        <x:v>33</x:v>
      </x:c>
      <x:c r="D1220" s="184" t="n">
        <x:v>0</x:v>
      </x:c>
      <x:c r="E1220" s="184" t="n">
        <x:v>0</x:v>
      </x:c>
      <x:c r="F1220" s="184" t="n">
        <x:v>33</x:v>
      </x:c>
      <x:c r="G1220" s="184" t="n">
        <x:v>166484</x:v>
      </x:c>
      <x:c r="H1220" s="193" t="n">
        <x:v>0</x:v>
      </x:c>
      <x:c r="I1220" s="185" t="n">
        <x:v>0</x:v>
      </x:c>
      <x:c r="J1220" s="185" t="n">
        <x:v>166484</x:v>
      </x:c>
      <x:c r="K1220" s="289" t="n">
        <x:v>5044.98069498</x:v>
      </x:c>
    </x:row>
    <x:row r="1221" s="117" customFormat="1" hidden="1">
      <x:c r="A1221" s="184" t="inlineStr">
        <x:is>
          <x:t xml:space="preserve">MTPRACFUN044</x:t>
        </x:is>
      </x:c>
      <x:c r="B1221" s="184" t="inlineStr">
        <x:is>
          <x:t xml:space="preserve">HUINCHA DE MEDIR METALICA STANLEY DE 8 METROS</x:t>
        </x:is>
      </x:c>
      <x:c r="C1221" s="184" t="n">
        <x:v>0</x:v>
      </x:c>
      <x:c r="D1221" s="184" t="n">
        <x:v>0</x:v>
      </x:c>
      <x:c r="E1221" s="184" t="n">
        <x:v>0</x:v>
      </x:c>
      <x:c r="F1221" s="184" t="n">
        <x:v>0</x:v>
      </x:c>
      <x:c r="G1221" s="184" t="n">
        <x:v>0</x:v>
      </x:c>
      <x:c r="H1221" s="193" t="n">
        <x:v>0</x:v>
      </x:c>
      <x:c r="I1221" s="185" t="n">
        <x:v>0</x:v>
      </x:c>
      <x:c r="J1221" s="185" t="n">
        <x:v>0</x:v>
      </x:c>
      <x:c r="K1221" s="289" t="n">
        <x:v>15832</x:v>
      </x:c>
    </x:row>
    <x:row r="1222" s="117" customFormat="1" hidden="1">
      <x:c r="A1222" s="184" t="inlineStr">
        <x:is>
          <x:t xml:space="preserve">MTPRACFUN045</x:t>
        </x:is>
      </x:c>
      <x:c r="B1222" s="184" t="inlineStr">
        <x:is>
          <x:t xml:space="preserve">HUINCHA DE MEDIR METALICA STANLEY DE 5 METROS</x:t>
        </x:is>
      </x:c>
      <x:c r="C1222" s="184" t="n">
        <x:v>0</x:v>
      </x:c>
      <x:c r="D1222" s="184" t="n">
        <x:v>0</x:v>
      </x:c>
      <x:c r="E1222" s="184" t="n">
        <x:v>0</x:v>
      </x:c>
      <x:c r="F1222" s="184" t="n">
        <x:v>0</x:v>
      </x:c>
      <x:c r="G1222" s="184" t="n">
        <x:v>0</x:v>
      </x:c>
      <x:c r="H1222" s="193" t="n">
        <x:v>0</x:v>
      </x:c>
      <x:c r="I1222" s="185" t="n">
        <x:v>0</x:v>
      </x:c>
      <x:c r="J1222" s="185" t="n">
        <x:v>0</x:v>
      </x:c>
      <x:c r="K1222" s="289" t="n">
        <x:v>8143</x:v>
      </x:c>
    </x:row>
    <x:row r="1223" s="117" customFormat="1" hidden="1">
      <x:c r="A1223" s="184" t="inlineStr">
        <x:is>
          <x:t xml:space="preserve">MTPRACFUN046</x:t>
        </x:is>
      </x:c>
      <x:c r="B1223" s="184" t="inlineStr">
        <x:is>
          <x:t xml:space="preserve">HUINCHA DE MEDIR METALICA STANLEY DE 3 METROS</x:t>
        </x:is>
      </x:c>
      <x:c r="C1223" s="184" t="n">
        <x:v>0</x:v>
      </x:c>
      <x:c r="D1223" s="184" t="n">
        <x:v>0</x:v>
      </x:c>
      <x:c r="E1223" s="184" t="n">
        <x:v>0</x:v>
      </x:c>
      <x:c r="F1223" s="184" t="n">
        <x:v>0</x:v>
      </x:c>
      <x:c r="G1223" s="184" t="n">
        <x:v>0</x:v>
      </x:c>
      <x:c r="H1223" s="193" t="n">
        <x:v>0</x:v>
      </x:c>
      <x:c r="I1223" s="185" t="n">
        <x:v>0</x:v>
      </x:c>
      <x:c r="J1223" s="185" t="n">
        <x:v>0</x:v>
      </x:c>
      <x:c r="K1223" s="289" t="n">
        <x:v>0</x:v>
      </x:c>
    </x:row>
    <x:row r="1224" s="117" customFormat="1" hidden="1">
      <x:c r="A1224" s="184" t="inlineStr">
        <x:is>
          <x:t xml:space="preserve">MTPRACFUN047</x:t>
        </x:is>
      </x:c>
      <x:c r="B1224" s="184" t="inlineStr">
        <x:is>
          <x:t xml:space="preserve">NIVEL 3 AGUAS 48</x:t>
        </x:is>
      </x:c>
      <x:c r="C1224" s="184" t="n">
        <x:v>0</x:v>
      </x:c>
      <x:c r="D1224" s="184" t="n">
        <x:v>0</x:v>
      </x:c>
      <x:c r="E1224" s="184" t="n">
        <x:v>0</x:v>
      </x:c>
      <x:c r="F1224" s="184" t="n">
        <x:v>0</x:v>
      </x:c>
      <x:c r="G1224" s="184" t="n">
        <x:v>0</x:v>
      </x:c>
      <x:c r="H1224" s="193" t="n">
        <x:v>0</x:v>
      </x:c>
      <x:c r="I1224" s="185" t="n">
        <x:v>0</x:v>
      </x:c>
      <x:c r="J1224" s="185" t="n">
        <x:v>0</x:v>
      </x:c>
      <x:c r="K1224" s="289" t="n">
        <x:v>1000</x:v>
      </x:c>
    </x:row>
    <x:row r="1225" s="117" customFormat="1" hidden="1">
      <x:c r="A1225" s="184" t="inlineStr">
        <x:is>
          <x:t xml:space="preserve">MTPRACFUN048</x:t>
        </x:is>
      </x:c>
      <x:c r="B1225" s="184" t="inlineStr">
        <x:is>
          <x:t xml:space="preserve">NIVEL 3 AGUAS 35</x:t>
        </x:is>
      </x:c>
      <x:c r="C1225" s="184" t="n">
        <x:v>0</x:v>
      </x:c>
      <x:c r="D1225" s="184" t="n">
        <x:v>0</x:v>
      </x:c>
      <x:c r="E1225" s="184" t="n">
        <x:v>0</x:v>
      </x:c>
      <x:c r="F1225" s="184" t="n">
        <x:v>0</x:v>
      </x:c>
      <x:c r="G1225" s="184" t="n">
        <x:v>0</x:v>
      </x:c>
      <x:c r="H1225" s="193" t="n">
        <x:v>0</x:v>
      </x:c>
      <x:c r="I1225" s="185" t="n">
        <x:v>0</x:v>
      </x:c>
      <x:c r="J1225" s="185" t="n">
        <x:v>0</x:v>
      </x:c>
      <x:c r="K1225" s="289" t="n">
        <x:v>0</x:v>
      </x:c>
    </x:row>
    <x:row r="1226" s="117" customFormat="1" hidden="1">
      <x:c r="A1226" s="184" t="inlineStr">
        <x:is>
          <x:t xml:space="preserve">MTPRACFUN049</x:t>
        </x:is>
      </x:c>
      <x:c r="B1226" s="184" t="inlineStr">
        <x:is>
          <x:t xml:space="preserve">NIVEL 3 AGUAS 12</x:t>
        </x:is>
      </x:c>
      <x:c r="C1226" s="184" t="n">
        <x:v>0</x:v>
      </x:c>
      <x:c r="D1226" s="184" t="n">
        <x:v>0</x:v>
      </x:c>
      <x:c r="E1226" s="184" t="n">
        <x:v>0</x:v>
      </x:c>
      <x:c r="F1226" s="184" t="n">
        <x:v>0</x:v>
      </x:c>
      <x:c r="G1226" s="184" t="n">
        <x:v>0</x:v>
      </x:c>
      <x:c r="H1226" s="193" t="n">
        <x:v>0</x:v>
      </x:c>
      <x:c r="I1226" s="185" t="n">
        <x:v>0</x:v>
      </x:c>
      <x:c r="J1226" s="185" t="n">
        <x:v>0</x:v>
      </x:c>
      <x:c r="K1226" s="289" t="n">
        <x:v>2950</x:v>
      </x:c>
    </x:row>
    <x:row r="1227" s="117" customFormat="1" hidden="1">
      <x:c r="A1227" s="184" t="inlineStr">
        <x:is>
          <x:t xml:space="preserve">MTPRACFUN050</x:t>
        </x:is>
      </x:c>
      <x:c r="B1227" s="184" t="inlineStr">
        <x:is>
          <x:t xml:space="preserve">PLIEGO LIJA N°240 FERRO TELA ESMERIL</x:t>
        </x:is>
      </x:c>
      <x:c r="C1227" s="184" t="n">
        <x:v>0</x:v>
      </x:c>
      <x:c r="D1227" s="184" t="n">
        <x:v>0</x:v>
      </x:c>
      <x:c r="E1227" s="184" t="n">
        <x:v>0</x:v>
      </x:c>
      <x:c r="F1227" s="184" t="n">
        <x:v>0</x:v>
      </x:c>
      <x:c r="G1227" s="184" t="n">
        <x:v>0</x:v>
      </x:c>
      <x:c r="H1227" s="193" t="n">
        <x:v>0</x:v>
      </x:c>
      <x:c r="I1227" s="185" t="n">
        <x:v>0</x:v>
      </x:c>
      <x:c r="J1227" s="185" t="n">
        <x:v>0</x:v>
      </x:c>
      <x:c r="K1227" s="289" t="n">
        <x:v>0</x:v>
      </x:c>
    </x:row>
    <x:row r="1228" s="117" customFormat="1" hidden="1">
      <x:c r="A1228" s="184" t="inlineStr">
        <x:is>
          <x:t xml:space="preserve">MTPRACFUN051</x:t>
        </x:is>
      </x:c>
      <x:c r="B1228" s="184" t="inlineStr">
        <x:is>
          <x:t xml:space="preserve">PLIEGO LIJA N°360 FERRO TELA ESMERIL</x:t>
        </x:is>
      </x:c>
      <x:c r="C1228" s="184" t="n">
        <x:v>0</x:v>
      </x:c>
      <x:c r="D1228" s="184" t="n">
        <x:v>0</x:v>
      </x:c>
      <x:c r="E1228" s="184" t="n">
        <x:v>0</x:v>
      </x:c>
      <x:c r="F1228" s="184" t="n">
        <x:v>0</x:v>
      </x:c>
      <x:c r="G1228" s="184" t="n">
        <x:v>0</x:v>
      </x:c>
      <x:c r="H1228" s="193" t="n">
        <x:v>0</x:v>
      </x:c>
      <x:c r="I1228" s="185" t="n">
        <x:v>0</x:v>
      </x:c>
      <x:c r="J1228" s="185" t="n">
        <x:v>0</x:v>
      </x:c>
      <x:c r="K1228" s="289" t="n">
        <x:v>0</x:v>
      </x:c>
    </x:row>
    <x:row r="1229" s="117" customFormat="1" hidden="1">
      <x:c r="A1229" s="184" t="inlineStr">
        <x:is>
          <x:t xml:space="preserve">MTPRACFUN052</x:t>
        </x:is>
      </x:c>
      <x:c r="B1229" s="184" t="inlineStr">
        <x:is>
          <x:t xml:space="preserve">PLIEGO LIJA N°100  TELA ESMERIL</x:t>
        </x:is>
      </x:c>
      <x:c r="C1229" s="184" t="n">
        <x:v>97</x:v>
      </x:c>
      <x:c r="D1229" s="184" t="n">
        <x:v>0</x:v>
      </x:c>
      <x:c r="E1229" s="184" t="n">
        <x:v>0</x:v>
      </x:c>
      <x:c r="F1229" s="184" t="n">
        <x:v>97</x:v>
      </x:c>
      <x:c r="G1229" s="184" t="n">
        <x:v>39770</x:v>
      </x:c>
      <x:c r="H1229" s="193" t="n">
        <x:v>0</x:v>
      </x:c>
      <x:c r="I1229" s="185" t="n">
        <x:v>0</x:v>
      </x:c>
      <x:c r="J1229" s="185" t="n">
        <x:v>39770</x:v>
      </x:c>
      <x:c r="K1229" s="289" t="n">
        <x:v>410</x:v>
      </x:c>
    </x:row>
    <x:row r="1230" s="117" customFormat="1" hidden="1">
      <x:c r="A1230" s="184" t="inlineStr">
        <x:is>
          <x:t xml:space="preserve">MTPRACFUN053</x:t>
        </x:is>
      </x:c>
      <x:c r="B1230" s="184" t="inlineStr">
        <x:is>
          <x:t xml:space="preserve">BALDE 10 TLS</x:t>
        </x:is>
      </x:c>
      <x:c r="C1230" s="184" t="n">
        <x:v>0</x:v>
      </x:c>
      <x:c r="D1230" s="184" t="n">
        <x:v>0</x:v>
      </x:c>
      <x:c r="E1230" s="184" t="n">
        <x:v>0</x:v>
      </x:c>
      <x:c r="F1230" s="184" t="n">
        <x:v>0</x:v>
      </x:c>
      <x:c r="G1230" s="184" t="n">
        <x:v>0</x:v>
      </x:c>
      <x:c r="H1230" s="193" t="n">
        <x:v>0</x:v>
      </x:c>
      <x:c r="I1230" s="185" t="n">
        <x:v>0</x:v>
      </x:c>
      <x:c r="J1230" s="185" t="n">
        <x:v>0</x:v>
      </x:c>
      <x:c r="K1230" s="289" t="n">
        <x:v>2040</x:v>
      </x:c>
    </x:row>
    <x:row r="1231" s="117" customFormat="1" hidden="1">
      <x:c r="A1231" s="184" t="inlineStr">
        <x:is>
          <x:t xml:space="preserve">MTPRACFUN054</x:t>
        </x:is>
      </x:c>
      <x:c r="B1231" s="184" t="inlineStr">
        <x:is>
          <x:t xml:space="preserve">FOCOS LED ANTIEXPLISIVOS</x:t>
        </x:is>
      </x:c>
      <x:c r="C1231" s="184" t="n">
        <x:v>0</x:v>
      </x:c>
      <x:c r="D1231" s="184" t="n">
        <x:v>0</x:v>
      </x:c>
      <x:c r="E1231" s="184" t="n">
        <x:v>0</x:v>
      </x:c>
      <x:c r="F1231" s="184" t="n">
        <x:v>0</x:v>
      </x:c>
      <x:c r="G1231" s="184" t="n">
        <x:v>0</x:v>
      </x:c>
      <x:c r="H1231" s="193" t="n">
        <x:v>0</x:v>
      </x:c>
      <x:c r="I1231" s="185" t="n">
        <x:v>0</x:v>
      </x:c>
      <x:c r="J1231" s="185" t="n">
        <x:v>0</x:v>
      </x:c>
      <x:c r="K1231" s="289" t="n">
        <x:v>5000</x:v>
      </x:c>
    </x:row>
    <x:row r="1232" s="117" customFormat="1" hidden="1">
      <x:c r="A1232" s="184" t="inlineStr">
        <x:is>
          <x:t xml:space="preserve">MTPRACFUN055</x:t>
        </x:is>
      </x:c>
      <x:c r="B1232" s="184" t="inlineStr">
        <x:is>
          <x:t xml:space="preserve">ALICATE</x:t>
        </x:is>
      </x:c>
      <x:c r="C1232" s="184" t="n">
        <x:v>0</x:v>
      </x:c>
      <x:c r="D1232" s="184" t="n">
        <x:v>0</x:v>
      </x:c>
      <x:c r="E1232" s="184" t="n">
        <x:v>0</x:v>
      </x:c>
      <x:c r="F1232" s="184" t="n">
        <x:v>0</x:v>
      </x:c>
      <x:c r="G1232" s="184" t="n">
        <x:v>0</x:v>
      </x:c>
      <x:c r="H1232" s="193" t="n">
        <x:v>0</x:v>
      </x:c>
      <x:c r="I1232" s="185" t="n">
        <x:v>0</x:v>
      </x:c>
      <x:c r="J1232" s="185" t="n">
        <x:v>0</x:v>
      </x:c>
      <x:c r="K1232" s="289" t="n">
        <x:v>2819</x:v>
      </x:c>
    </x:row>
    <x:row r="1233" s="117" customFormat="1" hidden="1">
      <x:c r="A1233" s="184" t="inlineStr">
        <x:is>
          <x:t xml:space="preserve">MTPRACFUN056</x:t>
        </x:is>
      </x:c>
      <x:c r="B1233" s="184" t="inlineStr">
        <x:is>
          <x:t xml:space="preserve">BALDE CONCRETERO</x:t>
        </x:is>
      </x:c>
      <x:c r="C1233" s="184" t="n">
        <x:v>25</x:v>
      </x:c>
      <x:c r="D1233" s="184" t="n">
        <x:v>0</x:v>
      </x:c>
      <x:c r="E1233" s="184" t="n">
        <x:v>0</x:v>
      </x:c>
      <x:c r="F1233" s="184" t="n">
        <x:v>25</x:v>
      </x:c>
      <x:c r="G1233" s="184" t="n">
        <x:v>69068</x:v>
      </x:c>
      <x:c r="H1233" s="193" t="n">
        <x:v>0</x:v>
      </x:c>
      <x:c r="I1233" s="185" t="n">
        <x:v>0</x:v>
      </x:c>
      <x:c r="J1233" s="185" t="n">
        <x:v>69068</x:v>
      </x:c>
      <x:c r="K1233" s="289" t="n">
        <x:v>2762.77896954</x:v>
      </x:c>
    </x:row>
    <x:row r="1234" s="117" customFormat="1" hidden="1">
      <x:c r="A1234" s="184" t="inlineStr">
        <x:is>
          <x:t xml:space="preserve">MTPRACFUN057</x:t>
        </x:is>
      </x:c>
      <x:c r="B1234" s="184" t="inlineStr">
        <x:is>
          <x:t xml:space="preserve">BIDONES 10 LTS</x:t>
        </x:is>
      </x:c>
      <x:c r="C1234" s="184" t="n">
        <x:v>6</x:v>
      </x:c>
      <x:c r="D1234" s="184" t="n">
        <x:v>0</x:v>
      </x:c>
      <x:c r="E1234" s="184" t="n">
        <x:v>0</x:v>
      </x:c>
      <x:c r="F1234" s="184" t="n">
        <x:v>6</x:v>
      </x:c>
      <x:c r="G1234" s="184" t="n">
        <x:v>35880</x:v>
      </x:c>
      <x:c r="H1234" s="193" t="n">
        <x:v>0</x:v>
      </x:c>
      <x:c r="I1234" s="185" t="n">
        <x:v>0</x:v>
      </x:c>
      <x:c r="J1234" s="185" t="n">
        <x:v>35880</x:v>
      </x:c>
      <x:c r="K1234" s="289" t="n">
        <x:v>5980</x:v>
      </x:c>
    </x:row>
    <x:row r="1235" s="117" customFormat="1" hidden="1">
      <x:c r="A1235" s="184" t="inlineStr">
        <x:is>
          <x:t xml:space="preserve">MTPRACFUN058</x:t>
        </x:is>
      </x:c>
      <x:c r="B1235" s="184" t="inlineStr">
        <x:is>
          <x:t xml:space="preserve">DISCO DE CORTE DIAMANTADO 4 1/2</x:t>
        </x:is>
      </x:c>
      <x:c r="C1235" s="184" t="n">
        <x:v>9</x:v>
      </x:c>
      <x:c r="D1235" s="184" t="n">
        <x:v>0</x:v>
      </x:c>
      <x:c r="E1235" s="184" t="n">
        <x:v>0</x:v>
      </x:c>
      <x:c r="F1235" s="184" t="n">
        <x:v>9</x:v>
      </x:c>
      <x:c r="G1235" s="184" t="n">
        <x:v>238500</x:v>
      </x:c>
      <x:c r="H1235" s="193" t="n">
        <x:v>0</x:v>
      </x:c>
      <x:c r="I1235" s="185" t="n">
        <x:v>0</x:v>
      </x:c>
      <x:c r="J1235" s="185" t="n">
        <x:v>238500</x:v>
      </x:c>
      <x:c r="K1235" s="289" t="n">
        <x:v>26500</x:v>
      </x:c>
    </x:row>
    <x:row r="1236" s="117" customFormat="1" hidden="1">
      <x:c r="A1236" s="184" t="inlineStr">
        <x:is>
          <x:t xml:space="preserve">MTPRACFUN059</x:t>
        </x:is>
      </x:c>
      <x:c r="B1236" s="184" t="inlineStr">
        <x:is>
          <x:t xml:space="preserve">DISCO DE CORTE DIAMANTADO 7</x:t>
        </x:is>
      </x:c>
      <x:c r="C1236" s="184" t="n">
        <x:v>0</x:v>
      </x:c>
      <x:c r="D1236" s="184" t="n">
        <x:v>0</x:v>
      </x:c>
      <x:c r="E1236" s="184" t="n">
        <x:v>0</x:v>
      </x:c>
      <x:c r="F1236" s="184" t="n">
        <x:v>0</x:v>
      </x:c>
      <x:c r="G1236" s="184" t="n">
        <x:v>-3</x:v>
      </x:c>
      <x:c r="H1236" s="193" t="n">
        <x:v>0</x:v>
      </x:c>
      <x:c r="I1236" s="185" t="n">
        <x:v>0</x:v>
      </x:c>
      <x:c r="J1236" s="185" t="n">
        <x:v>-3</x:v>
      </x:c>
      <x:c r="K1236" s="289" t="n">
        <x:v>36235.41666667</x:v>
      </x:c>
    </x:row>
    <x:row r="1237" s="117" customFormat="1" hidden="1">
      <x:c r="A1237" s="184" t="inlineStr">
        <x:is>
          <x:t xml:space="preserve">MTPRACFUN060</x:t>
        </x:is>
      </x:c>
      <x:c r="B1237" s="184" t="inlineStr">
        <x:is>
          <x:t xml:space="preserve">ENCHUFE LEGRAND HEMBRA</x:t>
        </x:is>
      </x:c>
      <x:c r="C1237" s="184" t="n">
        <x:v>0</x:v>
      </x:c>
      <x:c r="D1237" s="184" t="n">
        <x:v>0</x:v>
      </x:c>
      <x:c r="E1237" s="184" t="n">
        <x:v>0</x:v>
      </x:c>
      <x:c r="F1237" s="184" t="n">
        <x:v>0</x:v>
      </x:c>
      <x:c r="G1237" s="184" t="n">
        <x:v>0</x:v>
      </x:c>
      <x:c r="H1237" s="193" t="n">
        <x:v>0</x:v>
      </x:c>
      <x:c r="I1237" s="185" t="n">
        <x:v>0</x:v>
      </x:c>
      <x:c r="J1237" s="185" t="n">
        <x:v>0</x:v>
      </x:c>
      <x:c r="K1237" s="289" t="n">
        <x:v>8455</x:v>
      </x:c>
    </x:row>
    <x:row r="1238" s="117" customFormat="1" hidden="1">
      <x:c r="A1238" s="184" t="inlineStr">
        <x:is>
          <x:t xml:space="preserve">MTPRACFUN061</x:t>
        </x:is>
      </x:c>
      <x:c r="B1238" s="184" t="inlineStr">
        <x:is>
          <x:t xml:space="preserve">ENCHUFE LEGRAND MACHO</x:t>
        </x:is>
      </x:c>
      <x:c r="C1238" s="184" t="n">
        <x:v>0</x:v>
      </x:c>
      <x:c r="D1238" s="184" t="n">
        <x:v>0</x:v>
      </x:c>
      <x:c r="E1238" s="184" t="n">
        <x:v>0</x:v>
      </x:c>
      <x:c r="F1238" s="184" t="n">
        <x:v>0</x:v>
      </x:c>
      <x:c r="G1238" s="184" t="n">
        <x:v>0</x:v>
      </x:c>
      <x:c r="H1238" s="193" t="n">
        <x:v>0</x:v>
      </x:c>
      <x:c r="I1238" s="185" t="n">
        <x:v>0</x:v>
      </x:c>
      <x:c r="J1238" s="185" t="n">
        <x:v>0</x:v>
      </x:c>
      <x:c r="K1238" s="289" t="n">
        <x:v>1245</x:v>
      </x:c>
    </x:row>
    <x:row r="1239" s="117" customFormat="1" hidden="1">
      <x:c r="A1239" s="184" t="inlineStr">
        <x:is>
          <x:t xml:space="preserve">MTPRACFUN062</x:t>
        </x:is>
      </x:c>
      <x:c r="B1239" s="184" t="inlineStr">
        <x:is>
          <x:t xml:space="preserve">ESCOBILLON</x:t>
        </x:is>
      </x:c>
      <x:c r="C1239" s="184" t="n">
        <x:v>0</x:v>
      </x:c>
      <x:c r="D1239" s="184" t="n">
        <x:v>0</x:v>
      </x:c>
      <x:c r="E1239" s="184" t="n">
        <x:v>0</x:v>
      </x:c>
      <x:c r="F1239" s="184" t="n">
        <x:v>0</x:v>
      </x:c>
      <x:c r="G1239" s="184" t="n">
        <x:v>0</x:v>
      </x:c>
      <x:c r="H1239" s="193" t="n">
        <x:v>0</x:v>
      </x:c>
      <x:c r="I1239" s="185" t="n">
        <x:v>0</x:v>
      </x:c>
      <x:c r="J1239" s="185" t="n">
        <x:v>0</x:v>
      </x:c>
      <x:c r="K1239" s="289" t="n">
        <x:v>1557</x:v>
      </x:c>
    </x:row>
    <x:row r="1240" s="117" customFormat="1" hidden="1">
      <x:c r="A1240" s="184" t="inlineStr">
        <x:is>
          <x:t xml:space="preserve">MTPRACFUN063</x:t>
        </x:is>
      </x:c>
      <x:c r="B1240" s="184" t="inlineStr">
        <x:is>
          <x:t xml:space="preserve">ESLINGA IZAJE 1 MT</x:t>
        </x:is>
      </x:c>
      <x:c r="C1240" s="184" t="n">
        <x:v>0</x:v>
      </x:c>
      <x:c r="D1240" s="184" t="n">
        <x:v>0</x:v>
      </x:c>
      <x:c r="E1240" s="184" t="n">
        <x:v>0</x:v>
      </x:c>
      <x:c r="F1240" s="184" t="n">
        <x:v>0</x:v>
      </x:c>
      <x:c r="G1240" s="184" t="n">
        <x:v>0</x:v>
      </x:c>
      <x:c r="H1240" s="193" t="n">
        <x:v>0</x:v>
      </x:c>
      <x:c r="I1240" s="185" t="n">
        <x:v>0</x:v>
      </x:c>
      <x:c r="J1240" s="185" t="n">
        <x:v>0</x:v>
      </x:c>
      <x:c r="K1240" s="289" t="n">
        <x:v>5206</x:v>
      </x:c>
    </x:row>
    <x:row r="1241" s="117" customFormat="1" hidden="1">
      <x:c r="A1241" s="184" t="inlineStr">
        <x:is>
          <x:t xml:space="preserve">MTPRACFUN064</x:t>
        </x:is>
      </x:c>
      <x:c r="B1241" s="184" t="inlineStr">
        <x:is>
          <x:t xml:space="preserve">ESLINGA IZAJE 12 MT</x:t>
        </x:is>
      </x:c>
      <x:c r="C1241" s="184" t="n">
        <x:v>0</x:v>
      </x:c>
      <x:c r="D1241" s="184" t="n">
        <x:v>0</x:v>
      </x:c>
      <x:c r="E1241" s="184" t="n">
        <x:v>0</x:v>
      </x:c>
      <x:c r="F1241" s="184" t="n">
        <x:v>0</x:v>
      </x:c>
      <x:c r="G1241" s="184" t="n">
        <x:v>0</x:v>
      </x:c>
      <x:c r="H1241" s="193" t="n">
        <x:v>0</x:v>
      </x:c>
      <x:c r="I1241" s="185" t="n">
        <x:v>0</x:v>
      </x:c>
      <x:c r="J1241" s="185" t="n">
        <x:v>0</x:v>
      </x:c>
      <x:c r="K1241" s="289" t="n">
        <x:v>0</x:v>
      </x:c>
    </x:row>
    <x:row r="1242" s="117" customFormat="1" hidden="1">
      <x:c r="A1242" s="184" t="inlineStr">
        <x:is>
          <x:t xml:space="preserve">MTPRACFUN065</x:t>
        </x:is>
      </x:c>
      <x:c r="B1242" s="184" t="inlineStr">
        <x:is>
          <x:t xml:space="preserve">ESLINGA IZAJE 2 MT</x:t>
        </x:is>
      </x:c>
      <x:c r="C1242" s="184" t="n">
        <x:v>0</x:v>
      </x:c>
      <x:c r="D1242" s="184" t="n">
        <x:v>0</x:v>
      </x:c>
      <x:c r="E1242" s="184" t="n">
        <x:v>0</x:v>
      </x:c>
      <x:c r="F1242" s="184" t="n">
        <x:v>0</x:v>
      </x:c>
      <x:c r="G1242" s="184" t="n">
        <x:v>0</x:v>
      </x:c>
      <x:c r="H1242" s="193" t="n">
        <x:v>0</x:v>
      </x:c>
      <x:c r="I1242" s="185" t="n">
        <x:v>0</x:v>
      </x:c>
      <x:c r="J1242" s="185" t="n">
        <x:v>0</x:v>
      </x:c>
      <x:c r="K1242" s="289" t="n">
        <x:v>7894</x:v>
      </x:c>
    </x:row>
    <x:row r="1243" s="117" customFormat="1" hidden="1">
      <x:c r="A1243" s="184" t="inlineStr">
        <x:is>
          <x:t xml:space="preserve">MTPRACFUN066</x:t>
        </x:is>
      </x:c>
      <x:c r="B1243" s="184" t="inlineStr">
        <x:is>
          <x:t xml:space="preserve">ESLINGA IZAJE 6 MT</x:t>
        </x:is>
      </x:c>
      <x:c r="C1243" s="184" t="n">
        <x:v>0</x:v>
      </x:c>
      <x:c r="D1243" s="184" t="n">
        <x:v>0</x:v>
      </x:c>
      <x:c r="E1243" s="184" t="n">
        <x:v>0</x:v>
      </x:c>
      <x:c r="F1243" s="184" t="n">
        <x:v>0</x:v>
      </x:c>
      <x:c r="G1243" s="184" t="n">
        <x:v>0</x:v>
      </x:c>
      <x:c r="H1243" s="193" t="n">
        <x:v>0</x:v>
      </x:c>
      <x:c r="I1243" s="185" t="n">
        <x:v>0</x:v>
      </x:c>
      <x:c r="J1243" s="185" t="n">
        <x:v>0</x:v>
      </x:c>
      <x:c r="K1243" s="289" t="n">
        <x:v>11456</x:v>
      </x:c>
    </x:row>
    <x:row r="1244" s="117" customFormat="1" hidden="1">
      <x:c r="A1244" s="184" t="inlineStr">
        <x:is>
          <x:t xml:space="preserve">MTPRACFUN067</x:t>
        </x:is>
      </x:c>
      <x:c r="B1244" s="184" t="inlineStr">
        <x:is>
          <x:t xml:space="preserve">ESMERIL ANGULAR  4 1/2 720W SISTEMA HOMBRE MUERTO</x:t>
        </x:is>
      </x:c>
      <x:c r="C1244" s="184" t="n">
        <x:v>0</x:v>
      </x:c>
      <x:c r="D1244" s="184" t="n">
        <x:v>0</x:v>
      </x:c>
      <x:c r="E1244" s="184" t="n">
        <x:v>0</x:v>
      </x:c>
      <x:c r="F1244" s="184" t="n">
        <x:v>0</x:v>
      </x:c>
      <x:c r="G1244" s="184" t="n">
        <x:v>-1</x:v>
      </x:c>
      <x:c r="H1244" s="193" t="n">
        <x:v>0</x:v>
      </x:c>
      <x:c r="I1244" s="185" t="n">
        <x:v>0</x:v>
      </x:c>
      <x:c r="J1244" s="185" t="n">
        <x:v>-1</x:v>
      </x:c>
      <x:c r="K1244" s="289" t="n">
        <x:v>58811</x:v>
      </x:c>
    </x:row>
    <x:row r="1245" s="117" customFormat="1" hidden="1">
      <x:c r="A1245" s="184" t="inlineStr">
        <x:is>
          <x:t xml:space="preserve">MTPRACFUN068</x:t>
        </x:is>
      </x:c>
      <x:c r="B1245" s="184" t="inlineStr">
        <x:is>
          <x:t xml:space="preserve">ESMERIL ANGULAR 7  720W SISTEMA HOMBRE MUERTO</x:t>
        </x:is>
      </x:c>
      <x:c r="C1245" s="184" t="n">
        <x:v>0</x:v>
      </x:c>
      <x:c r="D1245" s="184" t="n">
        <x:v>0</x:v>
      </x:c>
      <x:c r="E1245" s="184" t="n">
        <x:v>0</x:v>
      </x:c>
      <x:c r="F1245" s="184" t="n">
        <x:v>0</x:v>
      </x:c>
      <x:c r="G1245" s="184" t="n">
        <x:v>0</x:v>
      </x:c>
      <x:c r="H1245" s="193" t="n">
        <x:v>0</x:v>
      </x:c>
      <x:c r="I1245" s="185" t="n">
        <x:v>0</x:v>
      </x:c>
      <x:c r="J1245" s="185" t="n">
        <x:v>0</x:v>
      </x:c>
      <x:c r="K1245" s="289" t="n">
        <x:v>129000</x:v>
      </x:c>
    </x:row>
    <x:row r="1246" s="117" customFormat="1" hidden="1">
      <x:c r="A1246" s="184" t="inlineStr">
        <x:is>
          <x:t xml:space="preserve">MTPRACFUN069</x:t>
        </x:is>
      </x:c>
      <x:c r="B1246" s="184" t="inlineStr">
        <x:is>
          <x:t xml:space="preserve">ESMERIL ANGULAR 4 1/2 720W</x:t>
        </x:is>
      </x:c>
      <x:c r="C1246" s="184" t="n">
        <x:v>0</x:v>
      </x:c>
      <x:c r="D1246" s="184" t="n">
        <x:v>0</x:v>
      </x:c>
      <x:c r="E1246" s="184" t="n">
        <x:v>0</x:v>
      </x:c>
      <x:c r="F1246" s="184" t="n">
        <x:v>0</x:v>
      </x:c>
      <x:c r="G1246" s="184" t="n">
        <x:v>0</x:v>
      </x:c>
      <x:c r="H1246" s="193" t="n">
        <x:v>0</x:v>
      </x:c>
      <x:c r="I1246" s="185" t="n">
        <x:v>0</x:v>
      </x:c>
      <x:c r="J1246" s="185" t="n">
        <x:v>0</x:v>
      </x:c>
      <x:c r="K1246" s="289" t="n">
        <x:v>39500</x:v>
      </x:c>
    </x:row>
    <x:row r="1247" s="117" customFormat="1" hidden="1">
      <x:c r="A1247" s="184" t="inlineStr">
        <x:is>
          <x:t xml:space="preserve">MTPRACFUN070</x:t>
        </x:is>
      </x:c>
      <x:c r="B1247" s="184" t="inlineStr">
        <x:is>
          <x:t xml:space="preserve">ESMERIL ANGULAR 7 720W</x:t>
        </x:is>
      </x:c>
      <x:c r="C1247" s="184" t="n">
        <x:v>0</x:v>
      </x:c>
      <x:c r="D1247" s="184" t="n">
        <x:v>0</x:v>
      </x:c>
      <x:c r="E1247" s="184" t="n">
        <x:v>0</x:v>
      </x:c>
      <x:c r="F1247" s="184" t="n">
        <x:v>0</x:v>
      </x:c>
      <x:c r="G1247" s="184" t="n">
        <x:v>0</x:v>
      </x:c>
      <x:c r="H1247" s="193" t="n">
        <x:v>0</x:v>
      </x:c>
      <x:c r="I1247" s="185" t="n">
        <x:v>0</x:v>
      </x:c>
      <x:c r="J1247" s="185" t="n">
        <x:v>0</x:v>
      </x:c>
      <x:c r="K1247" s="289" t="n">
        <x:v>131029</x:v>
      </x:c>
    </x:row>
    <x:row r="1248" s="117" customFormat="1" hidden="1">
      <x:c r="A1248" s="184" t="inlineStr">
        <x:is>
          <x:t xml:space="preserve">MTPRACFUN071</x:t>
        </x:is>
      </x:c>
      <x:c r="B1248" s="184" t="inlineStr">
        <x:is>
          <x:t xml:space="preserve">GRILLETES 1 1/2</x:t>
        </x:is>
      </x:c>
      <x:c r="C1248" s="184" t="n">
        <x:v>0</x:v>
      </x:c>
      <x:c r="D1248" s="184" t="n">
        <x:v>0</x:v>
      </x:c>
      <x:c r="E1248" s="184" t="n">
        <x:v>0</x:v>
      </x:c>
      <x:c r="F1248" s="184" t="n">
        <x:v>0</x:v>
      </x:c>
      <x:c r="G1248" s="184" t="n">
        <x:v>0</x:v>
      </x:c>
      <x:c r="H1248" s="193" t="n">
        <x:v>0</x:v>
      </x:c>
      <x:c r="I1248" s="185" t="n">
        <x:v>0</x:v>
      </x:c>
      <x:c r="J1248" s="185" t="n">
        <x:v>0</x:v>
      </x:c>
      <x:c r="K1248" s="289" t="n">
        <x:v>26780</x:v>
      </x:c>
    </x:row>
    <x:row r="1249" s="117" customFormat="1" hidden="1">
      <x:c r="A1249" s="184" t="inlineStr">
        <x:is>
          <x:t xml:space="preserve">MTPRACFUN072</x:t>
        </x:is>
      </x:c>
      <x:c r="B1249" s="184" t="inlineStr">
        <x:is>
          <x:t xml:space="preserve">GRILLETES  DE 3/4</x:t>
        </x:is>
      </x:c>
      <x:c r="C1249" s="184" t="n">
        <x:v>6</x:v>
      </x:c>
      <x:c r="D1249" s="184" t="n">
        <x:v>0</x:v>
      </x:c>
      <x:c r="E1249" s="184" t="n">
        <x:v>0</x:v>
      </x:c>
      <x:c r="F1249" s="184" t="n">
        <x:v>6</x:v>
      </x:c>
      <x:c r="G1249" s="184" t="n">
        <x:v>18654</x:v>
      </x:c>
      <x:c r="H1249" s="193" t="n">
        <x:v>0</x:v>
      </x:c>
      <x:c r="I1249" s="185" t="n">
        <x:v>0</x:v>
      </x:c>
      <x:c r="J1249" s="185" t="n">
        <x:v>18654</x:v>
      </x:c>
      <x:c r="K1249" s="289" t="n">
        <x:v>3109</x:v>
      </x:c>
    </x:row>
    <x:row r="1250" s="117" customFormat="1" hidden="1">
      <x:c r="A1250" s="184" t="inlineStr">
        <x:is>
          <x:t xml:space="preserve">MTPRACFUN073</x:t>
        </x:is>
      </x:c>
      <x:c r="B1250" s="184" t="inlineStr">
        <x:is>
          <x:t xml:space="preserve">HUINCHA DE MEDIR 5 MTS</x:t>
        </x:is>
      </x:c>
      <x:c r="C1250" s="184" t="n">
        <x:v>5</x:v>
      </x:c>
      <x:c r="D1250" s="184" t="n">
        <x:v>0</x:v>
      </x:c>
      <x:c r="E1250" s="184" t="n">
        <x:v>1</x:v>
      </x:c>
      <x:c r="F1250" s="184" t="n">
        <x:v>4</x:v>
      </x:c>
      <x:c r="G1250" s="184" t="n">
        <x:v>15428</x:v>
      </x:c>
      <x:c r="H1250" s="193" t="n">
        <x:v>0</x:v>
      </x:c>
      <x:c r="I1250" s="185" t="n">
        <x:v>3085</x:v>
      </x:c>
      <x:c r="J1250" s="185" t="n">
        <x:v>12343</x:v>
      </x:c>
      <x:c r="K1250" s="289" t="n">
        <x:v>3085.46153846</x:v>
      </x:c>
    </x:row>
    <x:row r="1251" s="117" customFormat="1" hidden="1">
      <x:c r="A1251" s="184" t="inlineStr">
        <x:is>
          <x:t xml:space="preserve">MTPRACFUN074</x:t>
        </x:is>
      </x:c>
      <x:c r="B1251" s="184" t="inlineStr">
        <x:is>
          <x:t xml:space="preserve">HUINCHA AISLADORA AMARILLA</x:t>
        </x:is>
      </x:c>
      <x:c r="C1251" s="184" t="n">
        <x:v>14</x:v>
      </x:c>
      <x:c r="D1251" s="184" t="n">
        <x:v>0</x:v>
      </x:c>
      <x:c r="E1251" s="184" t="n">
        <x:v>0</x:v>
      </x:c>
      <x:c r="F1251" s="184" t="n">
        <x:v>14</x:v>
      </x:c>
      <x:c r="G1251" s="184" t="n">
        <x:v>15180</x:v>
      </x:c>
      <x:c r="H1251" s="193" t="n">
        <x:v>0</x:v>
      </x:c>
      <x:c r="I1251" s="185" t="n">
        <x:v>0</x:v>
      </x:c>
      <x:c r="J1251" s="185" t="n">
        <x:v>15180</x:v>
      </x:c>
      <x:c r="K1251" s="289" t="n">
        <x:v>1084.28571429</x:v>
      </x:c>
    </x:row>
    <x:row r="1252" s="117" customFormat="1" hidden="1">
      <x:c r="A1252" s="184" t="inlineStr">
        <x:is>
          <x:t xml:space="preserve">MTPRACFUN075</x:t>
        </x:is>
      </x:c>
      <x:c r="B1252" s="184" t="inlineStr">
        <x:is>
          <x:t xml:space="preserve">HUINCHA AISLADORA VERDE</x:t>
        </x:is>
      </x:c>
      <x:c r="C1252" s="184" t="n">
        <x:v>31</x:v>
      </x:c>
      <x:c r="D1252" s="184" t="n">
        <x:v>0</x:v>
      </x:c>
      <x:c r="E1252" s="184" t="n">
        <x:v>0</x:v>
      </x:c>
      <x:c r="F1252" s="184" t="n">
        <x:v>31</x:v>
      </x:c>
      <x:c r="G1252" s="184" t="n">
        <x:v>22427</x:v>
      </x:c>
      <x:c r="H1252" s="193" t="n">
        <x:v>0</x:v>
      </x:c>
      <x:c r="I1252" s="185" t="n">
        <x:v>0</x:v>
      </x:c>
      <x:c r="J1252" s="185" t="n">
        <x:v>22427</x:v>
      </x:c>
      <x:c r="K1252" s="289" t="n">
        <x:v>723.46774193</x:v>
      </x:c>
    </x:row>
    <x:row r="1253" s="117" customFormat="1" hidden="1">
      <x:c r="A1253" s="184" t="inlineStr">
        <x:is>
          <x:t xml:space="preserve">MTPRACFUN076</x:t>
        </x:is>
      </x:c>
      <x:c r="B1253" s="184" t="inlineStr">
        <x:is>
          <x:t xml:space="preserve">HUINCHA AISLADORA AZUL</x:t>
        </x:is>
      </x:c>
      <x:c r="C1253" s="184" t="n">
        <x:v>9</x:v>
      </x:c>
      <x:c r="D1253" s="184" t="n">
        <x:v>0</x:v>
      </x:c>
      <x:c r="E1253" s="184" t="n">
        <x:v>0</x:v>
      </x:c>
      <x:c r="F1253" s="184" t="n">
        <x:v>9</x:v>
      </x:c>
      <x:c r="G1253" s="184" t="n">
        <x:v>7905</x:v>
      </x:c>
      <x:c r="H1253" s="193" t="n">
        <x:v>0</x:v>
      </x:c>
      <x:c r="I1253" s="185" t="n">
        <x:v>0</x:v>
      </x:c>
      <x:c r="J1253" s="185" t="n">
        <x:v>7905</x:v>
      </x:c>
      <x:c r="K1253" s="289" t="n">
        <x:v>878.33333333</x:v>
      </x:c>
    </x:row>
    <x:row r="1254" s="117" customFormat="1" hidden="1">
      <x:c r="A1254" s="184" t="inlineStr">
        <x:is>
          <x:t xml:space="preserve">MTPRACFUN077</x:t>
        </x:is>
      </x:c>
      <x:c r="B1254" s="184" t="inlineStr">
        <x:is>
          <x:t xml:space="preserve">HUIINCHA AISLADORA NEGRA</x:t>
        </x:is>
      </x:c>
      <x:c r="C1254" s="184" t="n">
        <x:v>0</x:v>
      </x:c>
      <x:c r="D1254" s="184" t="n">
        <x:v>0</x:v>
      </x:c>
      <x:c r="E1254" s="184" t="n">
        <x:v>0</x:v>
      </x:c>
      <x:c r="F1254" s="184" t="n">
        <x:v>0</x:v>
      </x:c>
      <x:c r="G1254" s="184" t="n">
        <x:v>0</x:v>
      </x:c>
      <x:c r="H1254" s="193" t="n">
        <x:v>0</x:v>
      </x:c>
      <x:c r="I1254" s="185" t="n">
        <x:v>0</x:v>
      </x:c>
      <x:c r="J1254" s="185" t="n">
        <x:v>0</x:v>
      </x:c>
      <x:c r="K1254" s="289" t="n">
        <x:v>1282</x:v>
      </x:c>
    </x:row>
    <x:row r="1255" s="117" customFormat="1" hidden="1">
      <x:c r="A1255" s="184" t="inlineStr">
        <x:is>
          <x:t xml:space="preserve">MTPRACFUN078</x:t>
        </x:is>
      </x:c>
      <x:c r="B1255" s="184" t="inlineStr">
        <x:is>
          <x:t xml:space="preserve">HIINCHA AISLADORA BLANCA</x:t>
        </x:is>
      </x:c>
      <x:c r="C1255" s="184" t="n">
        <x:v>0</x:v>
      </x:c>
      <x:c r="D1255" s="184" t="n">
        <x:v>0</x:v>
      </x:c>
      <x:c r="E1255" s="184" t="n">
        <x:v>0</x:v>
      </x:c>
      <x:c r="F1255" s="184" t="n">
        <x:v>0</x:v>
      </x:c>
      <x:c r="G1255" s="184" t="n">
        <x:v>0</x:v>
      </x:c>
      <x:c r="H1255" s="193" t="n">
        <x:v>0</x:v>
      </x:c>
      <x:c r="I1255" s="185" t="n">
        <x:v>0</x:v>
      </x:c>
      <x:c r="J1255" s="185" t="n">
        <x:v>0</x:v>
      </x:c>
      <x:c r="K1255" s="289" t="n">
        <x:v>1282</x:v>
      </x:c>
    </x:row>
    <x:row r="1256" s="117" customFormat="1" hidden="1">
      <x:c r="A1256" s="184" t="inlineStr">
        <x:is>
          <x:t xml:space="preserve">MTPRACFUN079</x:t>
        </x:is>
      </x:c>
      <x:c r="B1256" s="184" t="inlineStr">
        <x:is>
          <x:t xml:space="preserve">MANGA DE POLIETILENO NEGRA</x:t>
        </x:is>
      </x:c>
      <x:c r="C1256" s="184" t="n">
        <x:v>0</x:v>
      </x:c>
      <x:c r="D1256" s="184" t="n">
        <x:v>0</x:v>
      </x:c>
      <x:c r="E1256" s="184" t="n">
        <x:v>0</x:v>
      </x:c>
      <x:c r="F1256" s="184" t="n">
        <x:v>0</x:v>
      </x:c>
      <x:c r="G1256" s="184" t="n">
        <x:v>0</x:v>
      </x:c>
      <x:c r="H1256" s="193" t="n">
        <x:v>0</x:v>
      </x:c>
      <x:c r="I1256" s="185" t="n">
        <x:v>0</x:v>
      </x:c>
      <x:c r="J1256" s="185" t="n">
        <x:v>0</x:v>
      </x:c>
      <x:c r="K1256" s="289" t="n">
        <x:v>64260</x:v>
      </x:c>
    </x:row>
    <x:row r="1257" s="117" customFormat="1" hidden="1">
      <x:c r="A1257" s="184" t="inlineStr">
        <x:is>
          <x:t xml:space="preserve">MTPRACFUN080</x:t>
        </x:is>
      </x:c>
      <x:c r="B1257" s="184" t="inlineStr">
        <x:is>
          <x:t xml:space="preserve">MARTILLO CARPINTERO</x:t>
        </x:is>
      </x:c>
      <x:c r="C1257" s="184" t="n">
        <x:v>2</x:v>
      </x:c>
      <x:c r="D1257" s="184" t="n">
        <x:v>0</x:v>
      </x:c>
      <x:c r="E1257" s="184" t="n">
        <x:v>0</x:v>
      </x:c>
      <x:c r="F1257" s="184" t="n">
        <x:v>2</x:v>
      </x:c>
      <x:c r="G1257" s="184" t="n">
        <x:v>9936</x:v>
      </x:c>
      <x:c r="H1257" s="193" t="n">
        <x:v>0</x:v>
      </x:c>
      <x:c r="I1257" s="185" t="n">
        <x:v>0</x:v>
      </x:c>
      <x:c r="J1257" s="185" t="n">
        <x:v>9936</x:v>
      </x:c>
      <x:c r="K1257" s="289" t="n">
        <x:v>4968</x:v>
      </x:c>
    </x:row>
    <x:row r="1258" s="117" customFormat="1" hidden="1">
      <x:c r="A1258" s="184" t="inlineStr">
        <x:is>
          <x:t xml:space="preserve">MTPRACFUN081</x:t>
        </x:is>
      </x:c>
      <x:c r="B1258" s="184" t="inlineStr">
        <x:is>
          <x:t xml:space="preserve">PLASTICINA POR KG</x:t>
        </x:is>
      </x:c>
      <x:c r="C1258" s="184" t="n">
        <x:v>2.8</x:v>
      </x:c>
      <x:c r="D1258" s="184" t="n">
        <x:v>0</x:v>
      </x:c>
      <x:c r="E1258" s="184" t="n">
        <x:v>0</x:v>
      </x:c>
      <x:c r="F1258" s="184" t="n">
        <x:v>2.8</x:v>
      </x:c>
      <x:c r="G1258" s="184" t="n">
        <x:v>23836</x:v>
      </x:c>
      <x:c r="H1258" s="193" t="n">
        <x:v>0</x:v>
      </x:c>
      <x:c r="I1258" s="185" t="n">
        <x:v>0</x:v>
      </x:c>
      <x:c r="J1258" s="185" t="n">
        <x:v>23836</x:v>
      </x:c>
      <x:c r="K1258" s="289" t="n">
        <x:v>8512.66666667</x:v>
      </x:c>
    </x:row>
    <x:row r="1259" s="117" customFormat="1" hidden="1">
      <x:c r="A1259" s="184" t="inlineStr">
        <x:is>
          <x:t xml:space="preserve">MTPRACFUN082</x:t>
        </x:is>
      </x:c>
      <x:c r="B1259" s="184" t="inlineStr">
        <x:is>
          <x:t xml:space="preserve">BALDE DE 5 LTS. SIN TAPA</x:t>
        </x:is>
      </x:c>
      <x:c r="C1259" s="184" t="n">
        <x:v>0</x:v>
      </x:c>
      <x:c r="D1259" s="184" t="n">
        <x:v>0</x:v>
      </x:c>
      <x:c r="E1259" s="184" t="n">
        <x:v>0</x:v>
      </x:c>
      <x:c r="F1259" s="184" t="n">
        <x:v>0</x:v>
      </x:c>
      <x:c r="G1259" s="184" t="n">
        <x:v>3</x:v>
      </x:c>
      <x:c r="H1259" s="193" t="n">
        <x:v>0</x:v>
      </x:c>
      <x:c r="I1259" s="185" t="n">
        <x:v>0</x:v>
      </x:c>
      <x:c r="J1259" s="185" t="n">
        <x:v>3</x:v>
      </x:c>
      <x:c r="K1259" s="289" t="n">
        <x:v>1483</x:v>
      </x:c>
    </x:row>
    <x:row r="1260" s="117" customFormat="1" hidden="1">
      <x:c r="A1260" s="184" t="inlineStr">
        <x:is>
          <x:t xml:space="preserve">MTPRACFUN083</x:t>
        </x:is>
      </x:c>
      <x:c r="B1260" s="184" t="inlineStr">
        <x:is>
          <x:t xml:space="preserve">BALDE TIPO TINETA SIN TAPA DE 10 LTS</x:t>
        </x:is>
      </x:c>
      <x:c r="C1260" s="184" t="n">
        <x:v>386</x:v>
      </x:c>
      <x:c r="D1260" s="184" t="n">
        <x:v>25</x:v>
      </x:c>
      <x:c r="E1260" s="184" t="n">
        <x:v>49</x:v>
      </x:c>
      <x:c r="F1260" s="184" t="n">
        <x:v>362</x:v>
      </x:c>
      <x:c r="G1260" s="184" t="n">
        <x:v>795479</x:v>
      </x:c>
      <x:c r="H1260" s="193" t="n">
        <x:v>51521</x:v>
      </x:c>
      <x:c r="I1260" s="185" t="n">
        <x:v>100983</x:v>
      </x:c>
      <x:c r="J1260" s="185" t="n">
        <x:v>746017</x:v>
      </x:c>
      <x:c r="K1260" s="289" t="n">
        <x:v>2060.84627942</x:v>
      </x:c>
    </x:row>
    <x:row r="1261" s="117" customFormat="1" hidden="1">
      <x:c r="A1261" s="184" t="inlineStr">
        <x:is>
          <x:t xml:space="preserve">MTPRACFUN084</x:t>
        </x:is>
      </x:c>
      <x:c r="B1261" s="184" t="inlineStr">
        <x:is>
          <x:t xml:space="preserve">BALDE TIPO TINETA SIN TAPA DE 15 LTS</x:t>
        </x:is>
      </x:c>
      <x:c r="C1261" s="184" t="n">
        <x:v>0</x:v>
      </x:c>
      <x:c r="D1261" s="184" t="n">
        <x:v>0</x:v>
      </x:c>
      <x:c r="E1261" s="184" t="n">
        <x:v>0</x:v>
      </x:c>
      <x:c r="F1261" s="184" t="n">
        <x:v>0</x:v>
      </x:c>
      <x:c r="G1261" s="184" t="n">
        <x:v>0</x:v>
      </x:c>
      <x:c r="H1261" s="193" t="n">
        <x:v>0</x:v>
      </x:c>
      <x:c r="I1261" s="185" t="n">
        <x:v>0</x:v>
      </x:c>
      <x:c r="J1261" s="185" t="n">
        <x:v>0</x:v>
      </x:c>
      <x:c r="K1261" s="289" t="n">
        <x:v>0</x:v>
      </x:c>
    </x:row>
    <x:row r="1262" s="117" customFormat="1" hidden="1">
      <x:c r="A1262" s="184" t="inlineStr">
        <x:is>
          <x:t xml:space="preserve">MTPRACFUN085</x:t>
        </x:is>
      </x:c>
      <x:c r="B1262" s="184" t="inlineStr">
        <x:is>
          <x:t xml:space="preserve">BALDE TIPO TINETA SIN TAPA DE 20 LTS</x:t>
        </x:is>
      </x:c>
      <x:c r="C1262" s="184" t="n">
        <x:v>389</x:v>
      </x:c>
      <x:c r="D1262" s="184" t="n">
        <x:v>27</x:v>
      </x:c>
      <x:c r="E1262" s="184" t="n">
        <x:v>48</x:v>
      </x:c>
      <x:c r="F1262" s="184" t="n">
        <x:v>368</x:v>
      </x:c>
      <x:c r="G1262" s="184" t="n">
        <x:v>925353</x:v>
      </x:c>
      <x:c r="H1262" s="193" t="n">
        <x:v>64227</x:v>
      </x:c>
      <x:c r="I1262" s="185" t="n">
        <x:v>114182</x:v>
      </x:c>
      <x:c r="J1262" s="185" t="n">
        <x:v>875398</x:v>
      </x:c>
      <x:c r="K1262" s="289" t="n">
        <x:v>2378.76653687</x:v>
      </x:c>
    </x:row>
    <x:row r="1263" s="117" customFormat="1" hidden="1">
      <x:c r="A1263" s="184" t="inlineStr">
        <x:is>
          <x:t xml:space="preserve">MTPRACFUN086</x:t>
        </x:is>
      </x:c>
      <x:c r="B1263" s="184" t="inlineStr">
        <x:is>
          <x:t xml:space="preserve">TIJERA SASTRE</x:t>
        </x:is>
      </x:c>
      <x:c r="C1263" s="184" t="n">
        <x:v>0</x:v>
      </x:c>
      <x:c r="D1263" s="184" t="n">
        <x:v>0</x:v>
      </x:c>
      <x:c r="E1263" s="184" t="n">
        <x:v>0</x:v>
      </x:c>
      <x:c r="F1263" s="184" t="n">
        <x:v>0</x:v>
      </x:c>
      <x:c r="G1263" s="184" t="n">
        <x:v>0</x:v>
      </x:c>
      <x:c r="H1263" s="193" t="n">
        <x:v>0</x:v>
      </x:c>
      <x:c r="I1263" s="185" t="n">
        <x:v>0</x:v>
      </x:c>
      <x:c r="J1263" s="185" t="n">
        <x:v>0</x:v>
      </x:c>
      <x:c r="K1263" s="289" t="n">
        <x:v>26000</x:v>
      </x:c>
    </x:row>
    <x:row r="1264" s="117" customFormat="1" hidden="1">
      <x:c r="A1264" s="184" t="inlineStr">
        <x:is>
          <x:t xml:space="preserve">MTPRACFUN087</x:t>
        </x:is>
      </x:c>
      <x:c r="B1264" s="184" t="inlineStr">
        <x:is>
          <x:t xml:space="preserve">LAPIZ CARPINTERO</x:t>
        </x:is>
      </x:c>
      <x:c r="C1264" s="184" t="n">
        <x:v>0</x:v>
      </x:c>
      <x:c r="D1264" s="184" t="n">
        <x:v>0</x:v>
      </x:c>
      <x:c r="E1264" s="184" t="n">
        <x:v>0</x:v>
      </x:c>
      <x:c r="F1264" s="184" t="n">
        <x:v>0</x:v>
      </x:c>
      <x:c r="G1264" s="184" t="n">
        <x:v>0</x:v>
      </x:c>
      <x:c r="H1264" s="193" t="n">
        <x:v>0</x:v>
      </x:c>
      <x:c r="I1264" s="185" t="n">
        <x:v>0</x:v>
      </x:c>
      <x:c r="J1264" s="185" t="n">
        <x:v>0</x:v>
      </x:c>
      <x:c r="K1264" s="289" t="n">
        <x:v>535</x:v>
      </x:c>
    </x:row>
    <x:row r="1265" s="117" customFormat="1" hidden="1">
      <x:c r="A1265" s="184" t="inlineStr">
        <x:is>
          <x:t xml:space="preserve">MTPRACFUN088</x:t>
        </x:is>
      </x:c>
      <x:c r="B1265" s="184" t="inlineStr">
        <x:is>
          <x:t xml:space="preserve">DISCO DE TRASLAPE FLAP 4 1/2 GRANO N° 80</x:t>
        </x:is>
      </x:c>
      <x:c r="C1265" s="184" t="n">
        <x:v>103</x:v>
      </x:c>
      <x:c r="D1265" s="184" t="n">
        <x:v>0</x:v>
      </x:c>
      <x:c r="E1265" s="184" t="n">
        <x:v>6</x:v>
      </x:c>
      <x:c r="F1265" s="184" t="n">
        <x:v>97</x:v>
      </x:c>
      <x:c r="G1265" s="184" t="n">
        <x:v>247196</x:v>
      </x:c>
      <x:c r="H1265" s="193" t="n">
        <x:v>0</x:v>
      </x:c>
      <x:c r="I1265" s="185" t="n">
        <x:v>14400</x:v>
      </x:c>
      <x:c r="J1265" s="185" t="n">
        <x:v>232796</x:v>
      </x:c>
      <x:c r="K1265" s="289" t="n">
        <x:v>2400</x:v>
      </x:c>
    </x:row>
    <x:row r="1266" s="117" customFormat="1" hidden="1">
      <x:c r="A1266" s="184" t="inlineStr">
        <x:is>
          <x:t xml:space="preserve">MTPRACFUN089</x:t>
        </x:is>
      </x:c>
      <x:c r="B1266" s="184" t="inlineStr">
        <x:is>
          <x:t xml:space="preserve">ESLINGA DE IZAJE 3 MT</x:t>
        </x:is>
      </x:c>
      <x:c r="C1266" s="184" t="n">
        <x:v>0</x:v>
      </x:c>
      <x:c r="D1266" s="184" t="n">
        <x:v>0</x:v>
      </x:c>
      <x:c r="E1266" s="184" t="n">
        <x:v>0</x:v>
      </x:c>
      <x:c r="F1266" s="184" t="n">
        <x:v>0</x:v>
      </x:c>
      <x:c r="G1266" s="184" t="n">
        <x:v>0</x:v>
      </x:c>
      <x:c r="H1266" s="193" t="n">
        <x:v>0</x:v>
      </x:c>
      <x:c r="I1266" s="185" t="n">
        <x:v>0</x:v>
      </x:c>
      <x:c r="J1266" s="185" t="n">
        <x:v>0</x:v>
      </x:c>
      <x:c r="K1266" s="289" t="n">
        <x:v>9634</x:v>
      </x:c>
    </x:row>
    <x:row r="1267" s="117" customFormat="1" hidden="1">
      <x:c r="A1267" s="184" t="inlineStr">
        <x:is>
          <x:t xml:space="preserve">MTPRACFUN090</x:t>
        </x:is>
      </x:c>
      <x:c r="B1267" s="184" t="inlineStr">
        <x:is>
          <x:t xml:space="preserve">TORNILLO VOLCANITA 2 (NEGRO)</x:t>
        </x:is>
      </x:c>
      <x:c r="C1267" s="184" t="n">
        <x:v>0</x:v>
      </x:c>
      <x:c r="D1267" s="184" t="n">
        <x:v>0</x:v>
      </x:c>
      <x:c r="E1267" s="184" t="n">
        <x:v>0</x:v>
      </x:c>
      <x:c r="F1267" s="184" t="n">
        <x:v>0</x:v>
      </x:c>
      <x:c r="G1267" s="184" t="n">
        <x:v>0</x:v>
      </x:c>
      <x:c r="H1267" s="193" t="n">
        <x:v>0</x:v>
      </x:c>
      <x:c r="I1267" s="185" t="n">
        <x:v>0</x:v>
      </x:c>
      <x:c r="J1267" s="185" t="n">
        <x:v>0</x:v>
      </x:c>
      <x:c r="K1267" s="289" t="n">
        <x:v>15</x:v>
      </x:c>
    </x:row>
    <x:row r="1268" s="117" customFormat="1" hidden="1">
      <x:c r="A1268" s="184" t="inlineStr">
        <x:is>
          <x:t xml:space="preserve">MTPRACFUN091</x:t>
        </x:is>
      </x:c>
      <x:c r="B1268" s="184" t="inlineStr">
        <x:is>
          <x:t xml:space="preserve">TORNILLO VOLCANITA 2 1/2 (NEGRO)</x:t>
        </x:is>
      </x:c>
      <x:c r="C1268" s="184" t="n">
        <x:v>0</x:v>
      </x:c>
      <x:c r="D1268" s="184" t="n">
        <x:v>0</x:v>
      </x:c>
      <x:c r="E1268" s="184" t="n">
        <x:v>0</x:v>
      </x:c>
      <x:c r="F1268" s="184" t="n">
        <x:v>0</x:v>
      </x:c>
      <x:c r="G1268" s="184" t="n">
        <x:v>0</x:v>
      </x:c>
      <x:c r="H1268" s="193" t="n">
        <x:v>0</x:v>
      </x:c>
      <x:c r="I1268" s="185" t="n">
        <x:v>0</x:v>
      </x:c>
      <x:c r="J1268" s="185" t="n">
        <x:v>0</x:v>
      </x:c>
      <x:c r="K1268" s="289" t="n">
        <x:v>21</x:v>
      </x:c>
    </x:row>
    <x:row r="1269" s="117" customFormat="1" hidden="1">
      <x:c r="A1269" s="184" t="inlineStr">
        <x:is>
          <x:t xml:space="preserve">MTPRACFUN092</x:t>
        </x:is>
      </x:c>
      <x:c r="B1269" s="184" t="inlineStr">
        <x:is>
          <x:t xml:space="preserve">TORNILLO VOLCANITA 3 (NEGRO)</x:t>
        </x:is>
      </x:c>
      <x:c r="C1269" s="184" t="n">
        <x:v>0</x:v>
      </x:c>
      <x:c r="D1269" s="184" t="n">
        <x:v>0</x:v>
      </x:c>
      <x:c r="E1269" s="184" t="n">
        <x:v>0</x:v>
      </x:c>
      <x:c r="F1269" s="184" t="n">
        <x:v>0</x:v>
      </x:c>
      <x:c r="G1269" s="184" t="n">
        <x:v>1</x:v>
      </x:c>
      <x:c r="H1269" s="193" t="n">
        <x:v>0</x:v>
      </x:c>
      <x:c r="I1269" s="185" t="n">
        <x:v>0</x:v>
      </x:c>
      <x:c r="J1269" s="185" t="n">
        <x:v>1</x:v>
      </x:c>
      <x:c r="K1269" s="289" t="n">
        <x:v>21.538462</x:v>
      </x:c>
    </x:row>
    <x:row r="1270" s="117" customFormat="1" hidden="1">
      <x:c r="A1270" s="184" t="inlineStr">
        <x:is>
          <x:t xml:space="preserve">MTPRACFUN093</x:t>
        </x:is>
      </x:c>
      <x:c r="B1270" s="184" t="inlineStr">
        <x:is>
          <x:t xml:space="preserve">ESPATULA 70MM</x:t>
        </x:is>
      </x:c>
      <x:c r="C1270" s="184" t="n">
        <x:v>0</x:v>
      </x:c>
      <x:c r="D1270" s="184" t="n">
        <x:v>0</x:v>
      </x:c>
      <x:c r="E1270" s="184" t="n">
        <x:v>0</x:v>
      </x:c>
      <x:c r="F1270" s="184" t="n">
        <x:v>0</x:v>
      </x:c>
      <x:c r="G1270" s="184" t="n">
        <x:v>0</x:v>
      </x:c>
      <x:c r="H1270" s="193" t="n">
        <x:v>0</x:v>
      </x:c>
      <x:c r="I1270" s="185" t="n">
        <x:v>0</x:v>
      </x:c>
      <x:c r="J1270" s="185" t="n">
        <x:v>0</x:v>
      </x:c>
      <x:c r="K1270" s="289" t="n">
        <x:v>2684</x:v>
      </x:c>
    </x:row>
    <x:row r="1271" s="117" customFormat="1" hidden="1">
      <x:c r="A1271" s="184" t="inlineStr">
        <x:is>
          <x:t xml:space="preserve">MTPRACFUN094</x:t>
        </x:is>
      </x:c>
      <x:c r="B1271" s="184" t="inlineStr">
        <x:is>
          <x:t xml:space="preserve">SIERRA CALADORA TOMA RAPIDA 720W MAKITA (4350CT)</x:t>
        </x:is>
      </x:c>
      <x:c r="C1271" s="184" t="n">
        <x:v>1</x:v>
      </x:c>
      <x:c r="D1271" s="184" t="n">
        <x:v>0</x:v>
      </x:c>
      <x:c r="E1271" s="184" t="n">
        <x:v>0</x:v>
      </x:c>
      <x:c r="F1271" s="184" t="n">
        <x:v>1</x:v>
      </x:c>
      <x:c r="G1271" s="184" t="n">
        <x:v>234498</x:v>
      </x:c>
      <x:c r="H1271" s="193" t="n">
        <x:v>0</x:v>
      </x:c>
      <x:c r="I1271" s="185" t="n">
        <x:v>0</x:v>
      </x:c>
      <x:c r="J1271" s="185" t="n">
        <x:v>234498</x:v>
      </x:c>
      <x:c r="K1271" s="289" t="n">
        <x:v>234498</x:v>
      </x:c>
    </x:row>
    <x:row r="1272" s="117" customFormat="1" hidden="1">
      <x:c r="A1272" s="184" t="inlineStr">
        <x:is>
          <x:t xml:space="preserve">MTPRACFUN095</x:t>
        </x:is>
      </x:c>
      <x:c r="B1272" s="184" t="inlineStr">
        <x:is>
          <x:t xml:space="preserve">REPUESTO SIERRA CALADORA X 5 PZAS</x:t>
        </x:is>
      </x:c>
      <x:c r="C1272" s="184" t="n">
        <x:v>0</x:v>
      </x:c>
      <x:c r="D1272" s="184" t="n">
        <x:v>0</x:v>
      </x:c>
      <x:c r="E1272" s="184" t="n">
        <x:v>0</x:v>
      </x:c>
      <x:c r="F1272" s="184" t="n">
        <x:v>0</x:v>
      </x:c>
      <x:c r="G1272" s="184" t="n">
        <x:v>0</x:v>
      </x:c>
      <x:c r="H1272" s="193" t="n">
        <x:v>0</x:v>
      </x:c>
      <x:c r="I1272" s="185" t="n">
        <x:v>0</x:v>
      </x:c>
      <x:c r="J1272" s="185" t="n">
        <x:v>0</x:v>
      </x:c>
      <x:c r="K1272" s="289" t="n">
        <x:v>0</x:v>
      </x:c>
    </x:row>
    <x:row r="1273" s="117" customFormat="1" hidden="1">
      <x:c r="A1273" s="184" t="inlineStr">
        <x:is>
          <x:t xml:space="preserve">MTPRACFUN096</x:t>
        </x:is>
      </x:c>
      <x:c r="B1273" s="184" t="inlineStr">
        <x:is>
          <x:t xml:space="preserve">CLAVOS PARA PISTOLA NEUMATICA 2 (CAJA)</x:t>
        </x:is>
      </x:c>
      <x:c r="C1273" s="184" t="n">
        <x:v>0</x:v>
      </x:c>
      <x:c r="D1273" s="184" t="n">
        <x:v>0</x:v>
      </x:c>
      <x:c r="E1273" s="184" t="n">
        <x:v>0</x:v>
      </x:c>
      <x:c r="F1273" s="184" t="n">
        <x:v>0</x:v>
      </x:c>
      <x:c r="G1273" s="184" t="n">
        <x:v>0</x:v>
      </x:c>
      <x:c r="H1273" s="193" t="n">
        <x:v>0</x:v>
      </x:c>
      <x:c r="I1273" s="185" t="n">
        <x:v>0</x:v>
      </x:c>
      <x:c r="J1273" s="185" t="n">
        <x:v>0</x:v>
      </x:c>
      <x:c r="K1273" s="289" t="n">
        <x:v>0</x:v>
      </x:c>
    </x:row>
    <x:row r="1274" s="117" customFormat="1" hidden="1">
      <x:c r="A1274" s="184" t="inlineStr">
        <x:is>
          <x:t xml:space="preserve">MTPRACFUN097</x:t>
        </x:is>
      </x:c>
      <x:c r="B1274" s="184" t="inlineStr">
        <x:is>
          <x:t xml:space="preserve">CLAVOS PARA PISTOLA NEUMATICA 3 (CAJA)</x:t>
        </x:is>
      </x:c>
      <x:c r="C1274" s="184" t="n">
        <x:v>0</x:v>
      </x:c>
      <x:c r="D1274" s="184" t="n">
        <x:v>0</x:v>
      </x:c>
      <x:c r="E1274" s="184" t="n">
        <x:v>0</x:v>
      </x:c>
      <x:c r="F1274" s="184" t="n">
        <x:v>0</x:v>
      </x:c>
      <x:c r="G1274" s="184" t="n">
        <x:v>0</x:v>
      </x:c>
      <x:c r="H1274" s="193" t="n">
        <x:v>0</x:v>
      </x:c>
      <x:c r="I1274" s="185" t="n">
        <x:v>0</x:v>
      </x:c>
      <x:c r="J1274" s="185" t="n">
        <x:v>0</x:v>
      </x:c>
      <x:c r="K1274" s="289" t="n">
        <x:v>0</x:v>
      </x:c>
    </x:row>
    <x:row r="1275" s="117" customFormat="1" hidden="1">
      <x:c r="A1275" s="184" t="inlineStr">
        <x:is>
          <x:t xml:space="preserve">MTPRACFUN098</x:t>
        </x:is>
      </x:c>
      <x:c r="B1275" s="184" t="inlineStr">
        <x:is>
          <x:t xml:space="preserve">MAQUINA ENZUNCHADORA METAL</x:t>
        </x:is>
      </x:c>
      <x:c r="C1275" s="184" t="n">
        <x:v>0</x:v>
      </x:c>
      <x:c r="D1275" s="184" t="n">
        <x:v>0</x:v>
      </x:c>
      <x:c r="E1275" s="184" t="n">
        <x:v>0</x:v>
      </x:c>
      <x:c r="F1275" s="184" t="n">
        <x:v>0</x:v>
      </x:c>
      <x:c r="G1275" s="184" t="n">
        <x:v>0</x:v>
      </x:c>
      <x:c r="H1275" s="193" t="n">
        <x:v>0</x:v>
      </x:c>
      <x:c r="I1275" s="185" t="n">
        <x:v>0</x:v>
      </x:c>
      <x:c r="J1275" s="185" t="n">
        <x:v>0</x:v>
      </x:c>
      <x:c r="K1275" s="289" t="n">
        <x:v>192000</x:v>
      </x:c>
    </x:row>
    <x:row r="1276" s="117" customFormat="1" hidden="1">
      <x:c r="A1276" s="184" t="inlineStr">
        <x:is>
          <x:t xml:space="preserve">MTPRACFUN099</x:t>
        </x:is>
      </x:c>
      <x:c r="B1276" s="184" t="inlineStr">
        <x:is>
          <x:t xml:space="preserve">HEBILLAS DE ACERO PARA ENZUNCHADORA</x:t>
        </x:is>
      </x:c>
      <x:c r="C1276" s="184" t="n">
        <x:v>0</x:v>
      </x:c>
      <x:c r="D1276" s="184" t="n">
        <x:v>0</x:v>
      </x:c>
      <x:c r="E1276" s="184" t="n">
        <x:v>0</x:v>
      </x:c>
      <x:c r="F1276" s="184" t="n">
        <x:v>0</x:v>
      </x:c>
      <x:c r="G1276" s="184" t="n">
        <x:v>0</x:v>
      </x:c>
      <x:c r="H1276" s="193" t="n">
        <x:v>0</x:v>
      </x:c>
      <x:c r="I1276" s="185" t="n">
        <x:v>0</x:v>
      </x:c>
      <x:c r="J1276" s="185" t="n">
        <x:v>0</x:v>
      </x:c>
      <x:c r="K1276" s="289" t="n">
        <x:v>37772</x:v>
      </x:c>
    </x:row>
    <x:row r="1277" s="117" customFormat="1" hidden="1">
      <x:c r="A1277" s="184" t="inlineStr">
        <x:is>
          <x:t xml:space="preserve">MTPRACFUN100</x:t>
        </x:is>
      </x:c>
      <x:c r="B1277" s="184" t="inlineStr">
        <x:is>
          <x:t xml:space="preserve">TIJERA METAL</x:t>
        </x:is>
      </x:c>
      <x:c r="C1277" s="184" t="n">
        <x:v>0</x:v>
      </x:c>
      <x:c r="D1277" s="184" t="n">
        <x:v>0</x:v>
      </x:c>
      <x:c r="E1277" s="184" t="n">
        <x:v>0</x:v>
      </x:c>
      <x:c r="F1277" s="184" t="n">
        <x:v>0</x:v>
      </x:c>
      <x:c r="G1277" s="184" t="n">
        <x:v>0</x:v>
      </x:c>
      <x:c r="H1277" s="193" t="n">
        <x:v>0</x:v>
      </x:c>
      <x:c r="I1277" s="185" t="n">
        <x:v>0</x:v>
      </x:c>
      <x:c r="J1277" s="185" t="n">
        <x:v>0</x:v>
      </x:c>
      <x:c r="K1277" s="289" t="n">
        <x:v>0</x:v>
      </x:c>
    </x:row>
    <x:row r="1278" s="117" customFormat="1" hidden="1">
      <x:c r="A1278" s="184" t="inlineStr">
        <x:is>
          <x:t xml:space="preserve">MTPRACFUN101</x:t>
        </x:is>
      </x:c>
      <x:c r="B1278" s="184" t="inlineStr">
        <x:is>
          <x:t xml:space="preserve">CLAVOS 1 x KG</x:t>
        </x:is>
      </x:c>
      <x:c r="C1278" s="184" t="n">
        <x:v>6</x:v>
      </x:c>
      <x:c r="D1278" s="184" t="n">
        <x:v>0</x:v>
      </x:c>
      <x:c r="E1278" s="184" t="n">
        <x:v>0</x:v>
      </x:c>
      <x:c r="F1278" s="184" t="n">
        <x:v>6</x:v>
      </x:c>
      <x:c r="G1278" s="184" t="n">
        <x:v>42348</x:v>
      </x:c>
      <x:c r="H1278" s="193" t="n">
        <x:v>0</x:v>
      </x:c>
      <x:c r="I1278" s="185" t="n">
        <x:v>0</x:v>
      </x:c>
      <x:c r="J1278" s="185" t="n">
        <x:v>42348</x:v>
      </x:c>
      <x:c r="K1278" s="289" t="n">
        <x:v>7058</x:v>
      </x:c>
    </x:row>
    <x:row r="1279" s="117" customFormat="1" hidden="1">
      <x:c r="A1279" s="184" t="inlineStr">
        <x:is>
          <x:t xml:space="preserve">MTPRACFUN102</x:t>
        </x:is>
      </x:c>
      <x:c r="B1279" s="184" t="inlineStr">
        <x:is>
          <x:t xml:space="preserve">CLAVOS 2 x KG</x:t>
        </x:is>
      </x:c>
      <x:c r="C1279" s="184" t="n">
        <x:v>0</x:v>
      </x:c>
      <x:c r="D1279" s="184" t="n">
        <x:v>0</x:v>
      </x:c>
      <x:c r="E1279" s="184" t="n">
        <x:v>0</x:v>
      </x:c>
      <x:c r="F1279" s="184" t="n">
        <x:v>0</x:v>
      </x:c>
      <x:c r="G1279" s="184" t="n">
        <x:v>0</x:v>
      </x:c>
      <x:c r="H1279" s="193" t="n">
        <x:v>0</x:v>
      </x:c>
      <x:c r="I1279" s="185" t="n">
        <x:v>0</x:v>
      </x:c>
      <x:c r="J1279" s="185" t="n">
        <x:v>0</x:v>
      </x:c>
      <x:c r="K1279" s="289" t="n">
        <x:v>0</x:v>
      </x:c>
    </x:row>
    <x:row r="1280" s="117" customFormat="1" hidden="1">
      <x:c r="A1280" s="184" t="inlineStr">
        <x:is>
          <x:t xml:space="preserve">MTPRACFUN103</x:t>
        </x:is>
      </x:c>
      <x:c r="B1280" s="184" t="inlineStr">
        <x:is>
          <x:t xml:space="preserve">DISPENSADOR DE CINTA DE EMBALAJE</x:t>
        </x:is>
      </x:c>
      <x:c r="C1280" s="184" t="n">
        <x:v>0</x:v>
      </x:c>
      <x:c r="D1280" s="184" t="n">
        <x:v>0</x:v>
      </x:c>
      <x:c r="E1280" s="184" t="n">
        <x:v>0</x:v>
      </x:c>
      <x:c r="F1280" s="184" t="n">
        <x:v>0</x:v>
      </x:c>
      <x:c r="G1280" s="184" t="n">
        <x:v>0</x:v>
      </x:c>
      <x:c r="H1280" s="193" t="n">
        <x:v>0</x:v>
      </x:c>
      <x:c r="I1280" s="185" t="n">
        <x:v>0</x:v>
      </x:c>
      <x:c r="J1280" s="185" t="n">
        <x:v>0</x:v>
      </x:c>
      <x:c r="K1280" s="289" t="n">
        <x:v>790</x:v>
      </x:c>
    </x:row>
    <x:row r="1281" s="117" customFormat="1" hidden="1">
      <x:c r="A1281" s="184" t="inlineStr">
        <x:is>
          <x:t xml:space="preserve">MTPRACFUN104</x:t>
        </x:is>
      </x:c>
      <x:c r="B1281" s="184" t="inlineStr">
        <x:is>
          <x:t xml:space="preserve">CAJA TORNILLO 6 X 1</x:t>
        </x:is>
      </x:c>
      <x:c r="C1281" s="184" t="n">
        <x:v>0</x:v>
      </x:c>
      <x:c r="D1281" s="184" t="n">
        <x:v>0</x:v>
      </x:c>
      <x:c r="E1281" s="184" t="n">
        <x:v>0</x:v>
      </x:c>
      <x:c r="F1281" s="184" t="n">
        <x:v>0</x:v>
      </x:c>
      <x:c r="G1281" s="184" t="n">
        <x:v>0</x:v>
      </x:c>
      <x:c r="H1281" s="193" t="n">
        <x:v>0</x:v>
      </x:c>
      <x:c r="I1281" s="185" t="n">
        <x:v>0</x:v>
      </x:c>
      <x:c r="J1281" s="185" t="n">
        <x:v>0</x:v>
      </x:c>
      <x:c r="K1281" s="289" t="n">
        <x:v>0</x:v>
      </x:c>
    </x:row>
    <x:row r="1282" s="117" customFormat="1" hidden="1">
      <x:c r="A1282" s="184" t="inlineStr">
        <x:is>
          <x:t xml:space="preserve">MTPRACFUN105</x:t>
        </x:is>
      </x:c>
      <x:c r="B1282" s="184" t="inlineStr">
        <x:is>
          <x:t xml:space="preserve">ESPATULA 100MM</x:t>
        </x:is>
      </x:c>
      <x:c r="C1282" s="184" t="n">
        <x:v>30</x:v>
      </x:c>
      <x:c r="D1282" s="184" t="n">
        <x:v>0</x:v>
      </x:c>
      <x:c r="E1282" s="184" t="n">
        <x:v>0</x:v>
      </x:c>
      <x:c r="F1282" s="184" t="n">
        <x:v>30</x:v>
      </x:c>
      <x:c r="G1282" s="184" t="n">
        <x:v>49020</x:v>
      </x:c>
      <x:c r="H1282" s="193" t="n">
        <x:v>0</x:v>
      </x:c>
      <x:c r="I1282" s="185" t="n">
        <x:v>0</x:v>
      </x:c>
      <x:c r="J1282" s="185" t="n">
        <x:v>49020</x:v>
      </x:c>
      <x:c r="K1282" s="289" t="n">
        <x:v>1634</x:v>
      </x:c>
    </x:row>
    <x:row r="1283" s="117" customFormat="1" hidden="1">
      <x:c r="A1283" s="184" t="inlineStr">
        <x:is>
          <x:t xml:space="preserve">MTPRACFUN106</x:t>
        </x:is>
      </x:c>
      <x:c r="B1283" s="184" t="inlineStr">
        <x:is>
          <x:t xml:space="preserve">CUCHARON ALUMINIO INDUSTRIAL</x:t>
        </x:is>
      </x:c>
      <x:c r="C1283" s="184" t="n">
        <x:v>14</x:v>
      </x:c>
      <x:c r="D1283" s="184" t="n">
        <x:v>0</x:v>
      </x:c>
      <x:c r="E1283" s="184" t="n">
        <x:v>1</x:v>
      </x:c>
      <x:c r="F1283" s="184" t="n">
        <x:v>13</x:v>
      </x:c>
      <x:c r="G1283" s="184" t="n">
        <x:v>279398</x:v>
      </x:c>
      <x:c r="H1283" s="193" t="n">
        <x:v>0</x:v>
      </x:c>
      <x:c r="I1283" s="185" t="n">
        <x:v>19957</x:v>
      </x:c>
      <x:c r="J1283" s="185" t="n">
        <x:v>259441</x:v>
      </x:c>
      <x:c r="K1283" s="289" t="n">
        <x:v>19957</x:v>
      </x:c>
    </x:row>
    <x:row r="1284" s="117" customFormat="1" hidden="1">
      <x:c r="A1284" s="184" t="inlineStr">
        <x:is>
          <x:t xml:space="preserve">MTPRACFUN107</x:t>
        </x:is>
      </x:c>
      <x:c r="B1284" s="184" t="inlineStr">
        <x:is>
          <x:t xml:space="preserve">CUCHARON ALUMINIO INDUSTRIAL 1/2 KG</x:t>
        </x:is>
      </x:c>
      <x:c r="C1284" s="184" t="n">
        <x:v>0</x:v>
      </x:c>
      <x:c r="D1284" s="184" t="n">
        <x:v>0</x:v>
      </x:c>
      <x:c r="E1284" s="184" t="n">
        <x:v>0</x:v>
      </x:c>
      <x:c r="F1284" s="184" t="n">
        <x:v>0</x:v>
      </x:c>
      <x:c r="G1284" s="184" t="n">
        <x:v>0</x:v>
      </x:c>
      <x:c r="H1284" s="193" t="n">
        <x:v>0</x:v>
      </x:c>
      <x:c r="I1284" s="185" t="n">
        <x:v>0</x:v>
      </x:c>
      <x:c r="J1284" s="185" t="n">
        <x:v>0</x:v>
      </x:c>
      <x:c r="K1284" s="289" t="n">
        <x:v>9800</x:v>
      </x:c>
    </x:row>
    <x:row r="1285" s="117" customFormat="1" hidden="1">
      <x:c r="A1285" s="184" t="inlineStr">
        <x:is>
          <x:t xml:space="preserve">MTPRACFUN108</x:t>
        </x:is>
      </x:c>
      <x:c r="B1285" s="184" t="inlineStr">
        <x:is>
          <x:t xml:space="preserve">WD-40 311 GRS. ANTICORROSIVO</x:t>
        </x:is>
      </x:c>
      <x:c r="C1285" s="184" t="n">
        <x:v>26</x:v>
      </x:c>
      <x:c r="D1285" s="184" t="n">
        <x:v>10</x:v>
      </x:c>
      <x:c r="E1285" s="184" t="n">
        <x:v>0</x:v>
      </x:c>
      <x:c r="F1285" s="184" t="n">
        <x:v>36</x:v>
      </x:c>
      <x:c r="G1285" s="184" t="n">
        <x:v>227149</x:v>
      </x:c>
      <x:c r="H1285" s="193" t="n">
        <x:v>86640</x:v>
      </x:c>
      <x:c r="I1285" s="185" t="n">
        <x:v>0</x:v>
      </x:c>
      <x:c r="J1285" s="185" t="n">
        <x:v>313789</x:v>
      </x:c>
      <x:c r="K1285" s="289" t="n">
        <x:v>8716.394903210001</x:v>
      </x:c>
    </x:row>
    <x:row r="1286" s="117" customFormat="1" hidden="1">
      <x:c r="A1286" s="184" t="inlineStr">
        <x:is>
          <x:t xml:space="preserve">MTPRACFUN109</x:t>
        </x:is>
      </x:c>
      <x:c r="B1286" s="184" t="inlineStr">
        <x:is>
          <x:t xml:space="preserve">CINTA ADHESIVA ALUMINIO 2 X 50 MTS</x:t>
        </x:is>
      </x:c>
      <x:c r="C1286" s="184" t="n">
        <x:v>0</x:v>
      </x:c>
      <x:c r="D1286" s="184" t="n">
        <x:v>0</x:v>
      </x:c>
      <x:c r="E1286" s="184" t="n">
        <x:v>0</x:v>
      </x:c>
      <x:c r="F1286" s="184" t="n">
        <x:v>0</x:v>
      </x:c>
      <x:c r="G1286" s="184" t="n">
        <x:v>1</x:v>
      </x:c>
      <x:c r="H1286" s="193" t="n">
        <x:v>0</x:v>
      </x:c>
      <x:c r="I1286" s="185" t="n">
        <x:v>0</x:v>
      </x:c>
      <x:c r="J1286" s="185" t="n">
        <x:v>1</x:v>
      </x:c>
      <x:c r="K1286" s="289" t="n">
        <x:v>8996</x:v>
      </x:c>
    </x:row>
    <x:row r="1287" s="117" customFormat="1" hidden="1">
      <x:c r="A1287" s="184" t="inlineStr">
        <x:is>
          <x:t xml:space="preserve">MTPRACFUN110</x:t>
        </x:is>
      </x:c>
      <x:c r="B1287" s="184" t="inlineStr">
        <x:is>
          <x:t xml:space="preserve">BOMBA PARA TRASVASIJE DE RESINA</x:t>
        </x:is>
      </x:c>
      <x:c r="C1287" s="184" t="n">
        <x:v>0</x:v>
      </x:c>
      <x:c r="D1287" s="184" t="n">
        <x:v>0</x:v>
      </x:c>
      <x:c r="E1287" s="184" t="n">
        <x:v>0</x:v>
      </x:c>
      <x:c r="F1287" s="184" t="n">
        <x:v>0</x:v>
      </x:c>
      <x:c r="G1287" s="184" t="n">
        <x:v>0</x:v>
      </x:c>
      <x:c r="H1287" s="193" t="n">
        <x:v>0</x:v>
      </x:c>
      <x:c r="I1287" s="185" t="n">
        <x:v>0</x:v>
      </x:c>
      <x:c r="J1287" s="185" t="n">
        <x:v>0</x:v>
      </x:c>
      <x:c r="K1287" s="289" t="n">
        <x:v>39849</x:v>
      </x:c>
    </x:row>
    <x:row r="1288" s="117" customFormat="1" hidden="1">
      <x:c r="A1288" s="184" t="inlineStr">
        <x:is>
          <x:t xml:space="preserve">MTPRACFUN111</x:t>
        </x:is>
      </x:c>
      <x:c r="B1288" s="184" t="inlineStr">
        <x:is>
          <x:t xml:space="preserve">PILA ALCALINA CHICA 3A</x:t>
        </x:is>
      </x:c>
      <x:c r="C1288" s="184" t="n">
        <x:v>0</x:v>
      </x:c>
      <x:c r="D1288" s="184" t="n">
        <x:v>0</x:v>
      </x:c>
      <x:c r="E1288" s="184" t="n">
        <x:v>0</x:v>
      </x:c>
      <x:c r="F1288" s="184" t="n">
        <x:v>0</x:v>
      </x:c>
      <x:c r="G1288" s="184" t="n">
        <x:v>0</x:v>
      </x:c>
      <x:c r="H1288" s="193" t="n">
        <x:v>0</x:v>
      </x:c>
      <x:c r="I1288" s="185" t="n">
        <x:v>0</x:v>
      </x:c>
      <x:c r="J1288" s="185" t="n">
        <x:v>0</x:v>
      </x:c>
      <x:c r="K1288" s="289" t="n">
        <x:v>0</x:v>
      </x:c>
    </x:row>
    <x:row r="1289" s="117" customFormat="1" hidden="1">
      <x:c r="A1289" s="184" t="inlineStr">
        <x:is>
          <x:t xml:space="preserve">MTPRACFUN112</x:t>
        </x:is>
      </x:c>
      <x:c r="B1289" s="184" t="inlineStr">
        <x:is>
          <x:t xml:space="preserve">PISTOLA SILICONA BARRA</x:t>
        </x:is>
      </x:c>
      <x:c r="C1289" s="184" t="n">
        <x:v>0</x:v>
      </x:c>
      <x:c r="D1289" s="184" t="n">
        <x:v>0</x:v>
      </x:c>
      <x:c r="E1289" s="184" t="n">
        <x:v>0</x:v>
      </x:c>
      <x:c r="F1289" s="184" t="n">
        <x:v>0</x:v>
      </x:c>
      <x:c r="G1289" s="184" t="n">
        <x:v>0</x:v>
      </x:c>
      <x:c r="H1289" s="193" t="n">
        <x:v>0</x:v>
      </x:c>
      <x:c r="I1289" s="185" t="n">
        <x:v>0</x:v>
      </x:c>
      <x:c r="J1289" s="185" t="n">
        <x:v>0</x:v>
      </x:c>
      <x:c r="K1289" s="289" t="n">
        <x:v>11333</x:v>
      </x:c>
    </x:row>
    <x:row r="1290" s="117" customFormat="1" hidden="1">
      <x:c r="A1290" s="184" t="inlineStr">
        <x:is>
          <x:t xml:space="preserve">MTPRACFUN113</x:t>
        </x:is>
      </x:c>
      <x:c r="B1290" s="184" t="inlineStr">
        <x:is>
          <x:t xml:space="preserve">COMBO 4 LB. MANGO FIBRA</x:t>
        </x:is>
      </x:c>
      <x:c r="C1290" s="184" t="n">
        <x:v>0</x:v>
      </x:c>
      <x:c r="D1290" s="184" t="n">
        <x:v>0</x:v>
      </x:c>
      <x:c r="E1290" s="184" t="n">
        <x:v>0</x:v>
      </x:c>
      <x:c r="F1290" s="184" t="n">
        <x:v>0</x:v>
      </x:c>
      <x:c r="G1290" s="184" t="n">
        <x:v>0</x:v>
      </x:c>
      <x:c r="H1290" s="193" t="n">
        <x:v>0</x:v>
      </x:c>
      <x:c r="I1290" s="185" t="n">
        <x:v>0</x:v>
      </x:c>
      <x:c r="J1290" s="185" t="n">
        <x:v>0</x:v>
      </x:c>
      <x:c r="K1290" s="289" t="n">
        <x:v>7375</x:v>
      </x:c>
    </x:row>
    <x:row r="1291" s="117" customFormat="1" hidden="1">
      <x:c r="A1291" s="184" t="inlineStr">
        <x:is>
          <x:t xml:space="preserve">MTPRACFUN114</x:t>
        </x:is>
      </x:c>
      <x:c r="B1291" s="184" t="inlineStr">
        <x:is>
          <x:t xml:space="preserve">HOJA SIERRA SABLE B05044</x:t>
        </x:is>
      </x:c>
      <x:c r="C1291" s="184" t="n">
        <x:v>0</x:v>
      </x:c>
      <x:c r="D1291" s="184" t="n">
        <x:v>0</x:v>
      </x:c>
      <x:c r="E1291" s="184" t="n">
        <x:v>0</x:v>
      </x:c>
      <x:c r="F1291" s="184" t="n">
        <x:v>0</x:v>
      </x:c>
      <x:c r="G1291" s="184" t="n">
        <x:v>0</x:v>
      </x:c>
      <x:c r="H1291" s="193" t="n">
        <x:v>0</x:v>
      </x:c>
      <x:c r="I1291" s="185" t="n">
        <x:v>0</x:v>
      </x:c>
      <x:c r="J1291" s="185" t="n">
        <x:v>0</x:v>
      </x:c>
      <x:c r="K1291" s="289" t="n">
        <x:v>26900</x:v>
      </x:c>
    </x:row>
    <x:row r="1292" s="117" customFormat="1" hidden="1">
      <x:c r="A1292" s="184" t="inlineStr">
        <x:is>
          <x:t xml:space="preserve">MTPRACFUN115</x:t>
        </x:is>
      </x:c>
      <x:c r="B1292" s="184" t="inlineStr">
        <x:is>
          <x:t xml:space="preserve">MAXISACO 1000 KG 90X90X110</x:t>
        </x:is>
      </x:c>
      <x:c r="C1292" s="184" t="n">
        <x:v>0</x:v>
      </x:c>
      <x:c r="D1292" s="184" t="n">
        <x:v>0</x:v>
      </x:c>
      <x:c r="E1292" s="184" t="n">
        <x:v>0</x:v>
      </x:c>
      <x:c r="F1292" s="184" t="n">
        <x:v>0</x:v>
      </x:c>
      <x:c r="G1292" s="184" t="n">
        <x:v>0</x:v>
      </x:c>
      <x:c r="H1292" s="193" t="n">
        <x:v>0</x:v>
      </x:c>
      <x:c r="I1292" s="185" t="n">
        <x:v>0</x:v>
      </x:c>
      <x:c r="J1292" s="185" t="n">
        <x:v>0</x:v>
      </x:c>
      <x:c r="K1292" s="289" t="n">
        <x:v>8540</x:v>
      </x:c>
    </x:row>
    <x:row r="1293" s="117" customFormat="1" hidden="1">
      <x:c r="A1293" s="184" t="inlineStr">
        <x:is>
          <x:t xml:space="preserve">MTPRACFUN116</x:t>
        </x:is>
      </x:c>
      <x:c r="B1293" s="184" t="inlineStr">
        <x:is>
          <x:t xml:space="preserve">CADENA PLASTICA BLANCA 50MTS</x:t>
        </x:is>
      </x:c>
      <x:c r="C1293" s="184" t="n">
        <x:v>0</x:v>
      </x:c>
      <x:c r="D1293" s="184" t="n">
        <x:v>0</x:v>
      </x:c>
      <x:c r="E1293" s="184" t="n">
        <x:v>0</x:v>
      </x:c>
      <x:c r="F1293" s="184" t="n">
        <x:v>0</x:v>
      </x:c>
      <x:c r="G1293" s="184" t="n">
        <x:v>0</x:v>
      </x:c>
      <x:c r="H1293" s="193" t="n">
        <x:v>0</x:v>
      </x:c>
      <x:c r="I1293" s="185" t="n">
        <x:v>0</x:v>
      </x:c>
      <x:c r="J1293" s="185" t="n">
        <x:v>0</x:v>
      </x:c>
      <x:c r="K1293" s="289" t="n">
        <x:v>380</x:v>
      </x:c>
    </x:row>
    <x:row r="1294" s="117" customFormat="1" hidden="1">
      <x:c r="A1294" s="184" t="inlineStr">
        <x:is>
          <x:t xml:space="preserve">MTPRACFUN117</x:t>
        </x:is>
      </x:c>
      <x:c r="B1294" s="184" t="inlineStr">
        <x:is>
          <x:t xml:space="preserve">LLANAS DE ACERO TEMPLADO LISA 300X180 LIZCAL</x:t>
        </x:is>
      </x:c>
      <x:c r="C1294" s="184" t="n">
        <x:v>0</x:v>
      </x:c>
      <x:c r="D1294" s="184" t="n">
        <x:v>0</x:v>
      </x:c>
      <x:c r="E1294" s="184" t="n">
        <x:v>0</x:v>
      </x:c>
      <x:c r="F1294" s="184" t="n">
        <x:v>0</x:v>
      </x:c>
      <x:c r="G1294" s="184" t="n">
        <x:v>0</x:v>
      </x:c>
      <x:c r="H1294" s="193" t="n">
        <x:v>0</x:v>
      </x:c>
      <x:c r="I1294" s="185" t="n">
        <x:v>0</x:v>
      </x:c>
      <x:c r="J1294" s="185" t="n">
        <x:v>0</x:v>
      </x:c>
      <x:c r="K1294" s="289" t="n">
        <x:v>9234</x:v>
      </x:c>
    </x:row>
    <x:row r="1295" s="117" customFormat="1" hidden="1">
      <x:c r="A1295" s="184" t="inlineStr">
        <x:is>
          <x:t xml:space="preserve">MTPRACFUN118</x:t>
        </x:is>
      </x:c>
      <x:c r="B1295" s="184" t="inlineStr">
        <x:is>
          <x:t xml:space="preserve">ESCOBILLON MUNICIPAL C/MANGO</x:t>
        </x:is>
      </x:c>
      <x:c r="C1295" s="184" t="n">
        <x:v>0</x:v>
      </x:c>
      <x:c r="D1295" s="184" t="n">
        <x:v>0</x:v>
      </x:c>
      <x:c r="E1295" s="184" t="n">
        <x:v>0</x:v>
      </x:c>
      <x:c r="F1295" s="184" t="n">
        <x:v>0</x:v>
      </x:c>
      <x:c r="G1295" s="184" t="n">
        <x:v>0</x:v>
      </x:c>
      <x:c r="H1295" s="193" t="n">
        <x:v>0</x:v>
      </x:c>
      <x:c r="I1295" s="185" t="n">
        <x:v>0</x:v>
      </x:c>
      <x:c r="J1295" s="185" t="n">
        <x:v>0</x:v>
      </x:c>
      <x:c r="K1295" s="289" t="n">
        <x:v>2210</x:v>
      </x:c>
    </x:row>
    <x:row r="1296" s="117" customFormat="1" hidden="1">
      <x:c r="A1296" s="184" t="inlineStr">
        <x:is>
          <x:t xml:space="preserve">MTPRACFUN119</x:t>
        </x:is>
      </x:c>
      <x:c r="B1296" s="184" t="inlineStr">
        <x:is>
          <x:t xml:space="preserve">BOLSA ROJA 110X120X0.0070</x:t>
        </x:is>
      </x:c>
      <x:c r="C1296" s="184" t="n">
        <x:v>0</x:v>
      </x:c>
      <x:c r="D1296" s="184" t="n">
        <x:v>0</x:v>
      </x:c>
      <x:c r="E1296" s="184" t="n">
        <x:v>0</x:v>
      </x:c>
      <x:c r="F1296" s="184" t="n">
        <x:v>0</x:v>
      </x:c>
      <x:c r="G1296" s="184" t="n">
        <x:v>0</x:v>
      </x:c>
      <x:c r="H1296" s="193" t="n">
        <x:v>0</x:v>
      </x:c>
      <x:c r="I1296" s="185" t="n">
        <x:v>0</x:v>
      </x:c>
      <x:c r="J1296" s="185" t="n">
        <x:v>0</x:v>
      </x:c>
      <x:c r="K1296" s="289" t="n">
        <x:v>600</x:v>
      </x:c>
    </x:row>
    <x:row r="1297" s="117" customFormat="1" hidden="1">
      <x:c r="A1297" s="184" t="inlineStr">
        <x:is>
          <x:t xml:space="preserve">MTPRACFUN120</x:t>
        </x:is>
      </x:c>
      <x:c r="B1297" s="184" t="inlineStr">
        <x:is>
          <x:t xml:space="preserve">ALAMBRE NEGRO # 18</x:t>
        </x:is>
      </x:c>
      <x:c r="C1297" s="184" t="n">
        <x:v>0</x:v>
      </x:c>
      <x:c r="D1297" s="184" t="n">
        <x:v>0</x:v>
      </x:c>
      <x:c r="E1297" s="184" t="n">
        <x:v>0</x:v>
      </x:c>
      <x:c r="F1297" s="184" t="n">
        <x:v>0</x:v>
      </x:c>
      <x:c r="G1297" s="184" t="n">
        <x:v>0</x:v>
      </x:c>
      <x:c r="H1297" s="193" t="n">
        <x:v>0</x:v>
      </x:c>
      <x:c r="I1297" s="185" t="n">
        <x:v>0</x:v>
      </x:c>
      <x:c r="J1297" s="185" t="n">
        <x:v>0</x:v>
      </x:c>
      <x:c r="K1297" s="289" t="n">
        <x:v>1378</x:v>
      </x:c>
    </x:row>
    <x:row r="1298" s="117" customFormat="1" hidden="1">
      <x:c r="A1298" s="184" t="inlineStr">
        <x:is>
          <x:t xml:space="preserve">MTPRACFUN121</x:t>
        </x:is>
      </x:c>
      <x:c r="B1298" s="184" t="inlineStr">
        <x:is>
          <x:t xml:space="preserve">MALLA RASCHEL 2.1X80%X100 NEGRA</x:t>
        </x:is>
      </x:c>
      <x:c r="C1298" s="184" t="n">
        <x:v>0</x:v>
      </x:c>
      <x:c r="D1298" s="184" t="n">
        <x:v>0</x:v>
      </x:c>
      <x:c r="E1298" s="184" t="n">
        <x:v>0</x:v>
      </x:c>
      <x:c r="F1298" s="184" t="n">
        <x:v>0</x:v>
      </x:c>
      <x:c r="G1298" s="184" t="n">
        <x:v>0</x:v>
      </x:c>
      <x:c r="H1298" s="193" t="n">
        <x:v>0</x:v>
      </x:c>
      <x:c r="I1298" s="185" t="n">
        <x:v>0</x:v>
      </x:c>
      <x:c r="J1298" s="185" t="n">
        <x:v>0</x:v>
      </x:c>
      <x:c r="K1298" s="289" t="n">
        <x:v>49750</x:v>
      </x:c>
    </x:row>
    <x:row r="1299" s="117" customFormat="1" hidden="1">
      <x:c r="A1299" s="184" t="inlineStr">
        <x:is>
          <x:t xml:space="preserve">MTPRACFUN122</x:t>
        </x:is>
      </x:c>
      <x:c r="B1299" s="184" t="inlineStr">
        <x:is>
          <x:t xml:space="preserve">TABLERO FAENA PORTATIL 380/230V. 12KVA</x:t>
        </x:is>
      </x:c>
      <x:c r="C1299" s="184" t="n">
        <x:v>0</x:v>
      </x:c>
      <x:c r="D1299" s="184" t="n">
        <x:v>0</x:v>
      </x:c>
      <x:c r="E1299" s="184" t="n">
        <x:v>0</x:v>
      </x:c>
      <x:c r="F1299" s="184" t="n">
        <x:v>0</x:v>
      </x:c>
      <x:c r="G1299" s="184" t="n">
        <x:v>0</x:v>
      </x:c>
      <x:c r="H1299" s="193" t="n">
        <x:v>0</x:v>
      </x:c>
      <x:c r="I1299" s="185" t="n">
        <x:v>0</x:v>
      </x:c>
      <x:c r="J1299" s="185" t="n">
        <x:v>0</x:v>
      </x:c>
      <x:c r="K1299" s="289" t="n">
        <x:v>185000</x:v>
      </x:c>
    </x:row>
    <x:row r="1300" s="117" customFormat="1" hidden="1">
      <x:c r="A1300" s="184" t="inlineStr">
        <x:is>
          <x:t xml:space="preserve">MTPRACFUN123</x:t>
        </x:is>
      </x:c>
      <x:c r="B1300" s="184" t="inlineStr">
        <x:is>
          <x:t xml:space="preserve">JUEGO BROCA HSS 1-13MM. KP25</x:t>
        </x:is>
      </x:c>
      <x:c r="C1300" s="184" t="n">
        <x:v>0</x:v>
      </x:c>
      <x:c r="D1300" s="184" t="n">
        <x:v>0</x:v>
      </x:c>
      <x:c r="E1300" s="184" t="n">
        <x:v>0</x:v>
      </x:c>
      <x:c r="F1300" s="184" t="n">
        <x:v>0</x:v>
      </x:c>
      <x:c r="G1300" s="184" t="n">
        <x:v>0</x:v>
      </x:c>
      <x:c r="H1300" s="193" t="n">
        <x:v>0</x:v>
      </x:c>
      <x:c r="I1300" s="185" t="n">
        <x:v>0</x:v>
      </x:c>
      <x:c r="J1300" s="185" t="n">
        <x:v>0</x:v>
      </x:c>
      <x:c r="K1300" s="289" t="n">
        <x:v>39915</x:v>
      </x:c>
    </x:row>
    <x:row r="1301" s="117" customFormat="1" hidden="1">
      <x:c r="A1301" s="184" t="inlineStr">
        <x:is>
          <x:t xml:space="preserve">MTPRACFUN124</x:t>
        </x:is>
      </x:c>
      <x:c r="B1301" s="184" t="inlineStr">
        <x:is>
          <x:t xml:space="preserve">ESMERIL DE BANCO 6", 250 W. (GB602) - MAKITA</x:t>
        </x:is>
      </x:c>
      <x:c r="C1301" s="184" t="n">
        <x:v>0</x:v>
      </x:c>
      <x:c r="D1301" s="184" t="n">
        <x:v>0</x:v>
      </x:c>
      <x:c r="E1301" s="184" t="n">
        <x:v>0</x:v>
      </x:c>
      <x:c r="F1301" s="184" t="n">
        <x:v>0</x:v>
      </x:c>
      <x:c r="G1301" s="184" t="n">
        <x:v>0</x:v>
      </x:c>
      <x:c r="H1301" s="193" t="n">
        <x:v>0</x:v>
      </x:c>
      <x:c r="I1301" s="185" t="n">
        <x:v>0</x:v>
      </x:c>
      <x:c r="J1301" s="185" t="n">
        <x:v>0</x:v>
      </x:c>
      <x:c r="K1301" s="289" t="n">
        <x:v>84191</x:v>
      </x:c>
    </x:row>
    <x:row r="1302" s="117" customFormat="1" hidden="1">
      <x:c r="A1302" s="184" t="inlineStr">
        <x:is>
          <x:t xml:space="preserve">MTPRACFUN125</x:t>
        </x:is>
      </x:c>
      <x:c r="B1302" s="184" t="inlineStr">
        <x:is>
          <x:t xml:space="preserve">ESMERIL RECTO DE 5", 750 W. (GS5000) - MAKITA</x:t>
        </x:is>
      </x:c>
      <x:c r="C1302" s="184" t="n">
        <x:v>0</x:v>
      </x:c>
      <x:c r="D1302" s="184" t="n">
        <x:v>0</x:v>
      </x:c>
      <x:c r="E1302" s="184" t="n">
        <x:v>0</x:v>
      </x:c>
      <x:c r="F1302" s="184" t="n">
        <x:v>0</x:v>
      </x:c>
      <x:c r="G1302" s="184" t="n">
        <x:v>0</x:v>
      </x:c>
      <x:c r="H1302" s="193" t="n">
        <x:v>0</x:v>
      </x:c>
      <x:c r="I1302" s="185" t="n">
        <x:v>0</x:v>
      </x:c>
      <x:c r="J1302" s="185" t="n">
        <x:v>0</x:v>
      </x:c>
      <x:c r="K1302" s="289" t="n">
        <x:v>0</x:v>
      </x:c>
    </x:row>
    <x:row r="1303" s="117" customFormat="1" hidden="1">
      <x:c r="A1303" s="184" t="inlineStr">
        <x:is>
          <x:t xml:space="preserve">MTPRACFUN126</x:t>
        </x:is>
      </x:c>
      <x:c r="B1303" s="184" t="inlineStr">
        <x:is>
          <x:t xml:space="preserve">RECTIFICADORA 1/4" 750 W. H.M. (GD0801C) - MAKITA</x:t>
        </x:is>
      </x:c>
      <x:c r="C1303" s="184" t="n">
        <x:v>0</x:v>
      </x:c>
      <x:c r="D1303" s="184" t="n">
        <x:v>0</x:v>
      </x:c>
      <x:c r="E1303" s="184" t="n">
        <x:v>0</x:v>
      </x:c>
      <x:c r="F1303" s="184" t="n">
        <x:v>0</x:v>
      </x:c>
      <x:c r="G1303" s="184" t="n">
        <x:v>0</x:v>
      </x:c>
      <x:c r="H1303" s="193" t="n">
        <x:v>0</x:v>
      </x:c>
      <x:c r="I1303" s="185" t="n">
        <x:v>0</x:v>
      </x:c>
      <x:c r="J1303" s="185" t="n">
        <x:v>0</x:v>
      </x:c>
      <x:c r="K1303" s="289" t="n">
        <x:v>223174</x:v>
      </x:c>
    </x:row>
    <x:row r="1304" s="117" customFormat="1" hidden="1">
      <x:c r="A1304" s="184" t="inlineStr">
        <x:is>
          <x:t xml:space="preserve">MTPRACFUN127</x:t>
        </x:is>
      </x:c>
      <x:c r="B1304" s="184" t="inlineStr">
        <x:is>
          <x:t xml:space="preserve">ZUNCHO PLASTICO 1/2</x:t>
        </x:is>
      </x:c>
      <x:c r="C1304" s="184" t="n">
        <x:v>0</x:v>
      </x:c>
      <x:c r="D1304" s="184" t="n">
        <x:v>0</x:v>
      </x:c>
      <x:c r="E1304" s="184" t="n">
        <x:v>0</x:v>
      </x:c>
      <x:c r="F1304" s="184" t="n">
        <x:v>0</x:v>
      </x:c>
      <x:c r="G1304" s="184" t="n">
        <x:v>0</x:v>
      </x:c>
      <x:c r="H1304" s="193" t="n">
        <x:v>0</x:v>
      </x:c>
      <x:c r="I1304" s="185" t="n">
        <x:v>0</x:v>
      </x:c>
      <x:c r="J1304" s="185" t="n">
        <x:v>0</x:v>
      </x:c>
      <x:c r="K1304" s="289" t="n">
        <x:v>18000</x:v>
      </x:c>
    </x:row>
    <x:row r="1305" s="117" customFormat="1" hidden="1">
      <x:c r="A1305" s="184" t="inlineStr">
        <x:is>
          <x:t xml:space="preserve">MTPRACFUN128</x:t>
        </x:is>
      </x:c>
      <x:c r="B1305" s="184" t="inlineStr">
        <x:is>
          <x:t xml:space="preserve">ZUNCHO METALICO DE 3/4</x:t>
        </x:is>
      </x:c>
      <x:c r="C1305" s="184" t="n">
        <x:v>0</x:v>
      </x:c>
      <x:c r="D1305" s="184" t="n">
        <x:v>0</x:v>
      </x:c>
      <x:c r="E1305" s="184" t="n">
        <x:v>0</x:v>
      </x:c>
      <x:c r="F1305" s="184" t="n">
        <x:v>0</x:v>
      </x:c>
      <x:c r="G1305" s="184" t="n">
        <x:v>0</x:v>
      </x:c>
      <x:c r="H1305" s="193" t="n">
        <x:v>0</x:v>
      </x:c>
      <x:c r="I1305" s="185" t="n">
        <x:v>0</x:v>
      </x:c>
      <x:c r="J1305" s="185" t="n">
        <x:v>0</x:v>
      </x:c>
      <x:c r="K1305" s="289" t="n">
        <x:v>49980</x:v>
      </x:c>
    </x:row>
    <x:row r="1306" s="117" customFormat="1" hidden="1">
      <x:c r="A1306" s="184" t="inlineStr">
        <x:is>
          <x:t xml:space="preserve">MTPRACFUN129</x:t>
        </x:is>
      </x:c>
      <x:c r="B1306" s="184" t="inlineStr">
        <x:is>
          <x:t xml:space="preserve">ZUNCHO METALICO DE 1/2</x:t>
        </x:is>
      </x:c>
      <x:c r="C1306" s="184" t="n">
        <x:v>0</x:v>
      </x:c>
      <x:c r="D1306" s="184" t="n">
        <x:v>0</x:v>
      </x:c>
      <x:c r="E1306" s="184" t="n">
        <x:v>0</x:v>
      </x:c>
      <x:c r="F1306" s="184" t="n">
        <x:v>0</x:v>
      </x:c>
      <x:c r="G1306" s="184" t="n">
        <x:v>0</x:v>
      </x:c>
      <x:c r="H1306" s="193" t="n">
        <x:v>0</x:v>
      </x:c>
      <x:c r="I1306" s="185" t="n">
        <x:v>0</x:v>
      </x:c>
      <x:c r="J1306" s="185" t="n">
        <x:v>0</x:v>
      </x:c>
      <x:c r="K1306" s="289" t="n">
        <x:v>2331</x:v>
      </x:c>
    </x:row>
    <x:row r="1307" s="117" customFormat="1" hidden="1">
      <x:c r="A1307" s="184" t="inlineStr">
        <x:is>
          <x:t xml:space="preserve">MTPRACFUN130</x:t>
        </x:is>
      </x:c>
      <x:c r="B1307" s="184" t="inlineStr">
        <x:is>
          <x:t xml:space="preserve">CINTA TEFLON 1 X 10 MTS</x:t>
        </x:is>
      </x:c>
      <x:c r="C1307" s="184" t="n">
        <x:v>0</x:v>
      </x:c>
      <x:c r="D1307" s="184" t="n">
        <x:v>0</x:v>
      </x:c>
      <x:c r="E1307" s="184" t="n">
        <x:v>0</x:v>
      </x:c>
      <x:c r="F1307" s="184" t="n">
        <x:v>0</x:v>
      </x:c>
      <x:c r="G1307" s="184" t="n">
        <x:v>0</x:v>
      </x:c>
      <x:c r="H1307" s="193" t="n">
        <x:v>0</x:v>
      </x:c>
      <x:c r="I1307" s="185" t="n">
        <x:v>0</x:v>
      </x:c>
      <x:c r="J1307" s="185" t="n">
        <x:v>0</x:v>
      </x:c>
      <x:c r="K1307" s="289" t="n">
        <x:v>310</x:v>
      </x:c>
    </x:row>
    <x:row r="1308" s="117" customFormat="1" hidden="1">
      <x:c r="A1308" s="184" t="inlineStr">
        <x:is>
          <x:t xml:space="preserve">MTPRACFUN131</x:t>
        </x:is>
      </x:c>
      <x:c r="B1308" s="184" t="inlineStr">
        <x:is>
          <x:t xml:space="preserve">PISTOLA AIRE CALIENTE 2.000 W. (HG6020) - MAKITA</x:t>
        </x:is>
      </x:c>
      <x:c r="C1308" s="184" t="n">
        <x:v>0</x:v>
      </x:c>
      <x:c r="D1308" s="184" t="n">
        <x:v>0</x:v>
      </x:c>
      <x:c r="E1308" s="184" t="n">
        <x:v>0</x:v>
      </x:c>
      <x:c r="F1308" s="184" t="n">
        <x:v>0</x:v>
      </x:c>
      <x:c r="G1308" s="184" t="n">
        <x:v>0</x:v>
      </x:c>
      <x:c r="H1308" s="193" t="n">
        <x:v>0</x:v>
      </x:c>
      <x:c r="I1308" s="185" t="n">
        <x:v>0</x:v>
      </x:c>
      <x:c r="J1308" s="185" t="n">
        <x:v>0</x:v>
      </x:c>
      <x:c r="K1308" s="289" t="n">
        <x:v>72590</x:v>
      </x:c>
    </x:row>
    <x:row r="1309" s="117" customFormat="1" hidden="1">
      <x:c r="A1309" s="184" t="inlineStr">
        <x:is>
          <x:t xml:space="preserve">MTPRACFUN132</x:t>
        </x:is>
      </x:c>
      <x:c r="B1309" s="184" t="inlineStr">
        <x:is>
          <x:t xml:space="preserve">RECTIFICADOR ANILLO 3-8MM 18V INAL (DGD800Z) - MAKITA</x:t>
        </x:is>
      </x:c>
      <x:c r="C1309" s="184" t="n">
        <x:v>0</x:v>
      </x:c>
      <x:c r="D1309" s="184" t="n">
        <x:v>0</x:v>
      </x:c>
      <x:c r="E1309" s="184" t="n">
        <x:v>0</x:v>
      </x:c>
      <x:c r="F1309" s="184" t="n">
        <x:v>0</x:v>
      </x:c>
      <x:c r="G1309" s="184" t="n">
        <x:v>0</x:v>
      </x:c>
      <x:c r="H1309" s="193" t="n">
        <x:v>0</x:v>
      </x:c>
      <x:c r="I1309" s="185" t="n">
        <x:v>0</x:v>
      </x:c>
      <x:c r="J1309" s="185" t="n">
        <x:v>0</x:v>
      </x:c>
      <x:c r="K1309" s="289" t="n">
        <x:v>159360</x:v>
      </x:c>
    </x:row>
    <x:row r="1310" s="117" customFormat="1" hidden="1">
      <x:c r="A1310" s="184" t="inlineStr">
        <x:is>
          <x:t xml:space="preserve">MTPRACFUN133</x:t>
        </x:is>
      </x:c>
      <x:c r="B1310" s="184" t="inlineStr">
        <x:is>
          <x:t xml:space="preserve">HOJA SIERRA 1/2 X24 TPI</x:t>
        </x:is>
      </x:c>
      <x:c r="C1310" s="184" t="n">
        <x:v>0</x:v>
      </x:c>
      <x:c r="D1310" s="184" t="n">
        <x:v>0</x:v>
      </x:c>
      <x:c r="E1310" s="184" t="n">
        <x:v>0</x:v>
      </x:c>
      <x:c r="F1310" s="184" t="n">
        <x:v>0</x:v>
      </x:c>
      <x:c r="G1310" s="184" t="n">
        <x:v>0</x:v>
      </x:c>
      <x:c r="H1310" s="193" t="n">
        <x:v>0</x:v>
      </x:c>
      <x:c r="I1310" s="185" t="n">
        <x:v>0</x:v>
      </x:c>
      <x:c r="J1310" s="185" t="n">
        <x:v>0</x:v>
      </x:c>
      <x:c r="K1310" s="289" t="n">
        <x:v>690</x:v>
      </x:c>
    </x:row>
    <x:row r="1311" s="117" customFormat="1" hidden="1">
      <x:c r="A1311" s="184" t="inlineStr">
        <x:is>
          <x:t xml:space="preserve">MTPRACFUN134</x:t>
        </x:is>
      </x:c>
      <x:c r="B1311" s="184" t="inlineStr">
        <x:is>
          <x:t xml:space="preserve">SIERRA BANDA x 24DTS 194692-6</x:t>
        </x:is>
      </x:c>
      <x:c r="C1311" s="184" t="n">
        <x:v>0</x:v>
      </x:c>
      <x:c r="D1311" s="184" t="n">
        <x:v>0</x:v>
      </x:c>
      <x:c r="E1311" s="184" t="n">
        <x:v>0</x:v>
      </x:c>
      <x:c r="F1311" s="184" t="n">
        <x:v>0</x:v>
      </x:c>
      <x:c r="G1311" s="184" t="n">
        <x:v>0</x:v>
      </x:c>
      <x:c r="H1311" s="193" t="n">
        <x:v>0</x:v>
      </x:c>
      <x:c r="I1311" s="185" t="n">
        <x:v>0</x:v>
      </x:c>
      <x:c r="J1311" s="185" t="n">
        <x:v>0</x:v>
      </x:c>
      <x:c r="K1311" s="289" t="n">
        <x:v>41235</x:v>
      </x:c>
    </x:row>
    <x:row r="1312" s="117" customFormat="1" hidden="1">
      <x:c r="A1312" s="184" t="inlineStr">
        <x:is>
          <x:t xml:space="preserve">MTPRACFUN135</x:t>
        </x:is>
      </x:c>
      <x:c r="B1312" s="184" t="inlineStr">
        <x:is>
          <x:t xml:space="preserve">ESMERIL ANGULAR 4.1/2" H.M. (9557HPG)</x:t>
        </x:is>
      </x:c>
      <x:c r="C1312" s="184" t="n">
        <x:v>10</x:v>
      </x:c>
      <x:c r="D1312" s="184" t="n">
        <x:v>0</x:v>
      </x:c>
      <x:c r="E1312" s="184" t="n">
        <x:v>0</x:v>
      </x:c>
      <x:c r="F1312" s="184" t="n">
        <x:v>10</x:v>
      </x:c>
      <x:c r="G1312" s="184" t="n">
        <x:v>661945</x:v>
      </x:c>
      <x:c r="H1312" s="193" t="n">
        <x:v>0</x:v>
      </x:c>
      <x:c r="I1312" s="185" t="n">
        <x:v>0</x:v>
      </x:c>
      <x:c r="J1312" s="185" t="n">
        <x:v>661945</x:v>
      </x:c>
      <x:c r="K1312" s="289" t="n">
        <x:v>66194.45500928001</x:v>
      </x:c>
    </x:row>
    <x:row r="1313" s="117" customFormat="1" hidden="1">
      <x:c r="A1313" s="184" t="inlineStr">
        <x:is>
          <x:t xml:space="preserve">MTPRACFUN136</x:t>
        </x:is>
      </x:c>
      <x:c r="B1313" s="184" t="inlineStr">
        <x:is>
          <x:t xml:space="preserve">SIERRA CIRCULAR 7.1/4" 1800W. (5007NK)</x:t>
        </x:is>
      </x:c>
      <x:c r="C1313" s="184" t="n">
        <x:v>0</x:v>
      </x:c>
      <x:c r="D1313" s="184" t="n">
        <x:v>0</x:v>
      </x:c>
      <x:c r="E1313" s="184" t="n">
        <x:v>0</x:v>
      </x:c>
      <x:c r="F1313" s="184" t="n">
        <x:v>0</x:v>
      </x:c>
      <x:c r="G1313" s="184" t="n">
        <x:v>0</x:v>
      </x:c>
      <x:c r="H1313" s="193" t="n">
        <x:v>0</x:v>
      </x:c>
      <x:c r="I1313" s="185" t="n">
        <x:v>0</x:v>
      </x:c>
      <x:c r="J1313" s="185" t="n">
        <x:v>0</x:v>
      </x:c>
      <x:c r="K1313" s="289" t="n">
        <x:v>80650</x:v>
      </x:c>
    </x:row>
    <x:row r="1314" s="117" customFormat="1" hidden="1">
      <x:c r="A1314" s="184" t="inlineStr">
        <x:is>
          <x:t xml:space="preserve">MTPRACFUN137</x:t>
        </x:is>
      </x:c>
      <x:c r="B1314" s="184" t="inlineStr">
        <x:is>
          <x:t xml:space="preserve">PUNTA ATORN. CRUZ #2x50x1/4</x:t>
        </x:is>
      </x:c>
      <x:c r="C1314" s="184" t="n">
        <x:v>0</x:v>
      </x:c>
      <x:c r="D1314" s="184" t="n">
        <x:v>0</x:v>
      </x:c>
      <x:c r="E1314" s="184" t="n">
        <x:v>0</x:v>
      </x:c>
      <x:c r="F1314" s="184" t="n">
        <x:v>0</x:v>
      </x:c>
      <x:c r="G1314" s="184" t="n">
        <x:v>0</x:v>
      </x:c>
      <x:c r="H1314" s="193" t="n">
        <x:v>0</x:v>
      </x:c>
      <x:c r="I1314" s="185" t="n">
        <x:v>0</x:v>
      </x:c>
      <x:c r="J1314" s="185" t="n">
        <x:v>0</x:v>
      </x:c>
      <x:c r="K1314" s="289" t="n">
        <x:v>797</x:v>
      </x:c>
    </x:row>
    <x:row r="1315" s="117" customFormat="1" hidden="1">
      <x:c r="A1315" s="184" t="inlineStr">
        <x:is>
          <x:t xml:space="preserve">MTPRACFUN138</x:t>
        </x:is>
      </x:c>
      <x:c r="B1315" s="184" t="inlineStr">
        <x:is>
          <x:t xml:space="preserve">LOCTITE 495- 20 GRS</x:t>
        </x:is>
      </x:c>
      <x:c r="C1315" s="184" t="n">
        <x:v>40</x:v>
      </x:c>
      <x:c r="D1315" s="184" t="n">
        <x:v>0</x:v>
      </x:c>
      <x:c r="E1315" s="184" t="n">
        <x:v>0</x:v>
      </x:c>
      <x:c r="F1315" s="184" t="n">
        <x:v>40</x:v>
      </x:c>
      <x:c r="G1315" s="184" t="n">
        <x:v>489138</x:v>
      </x:c>
      <x:c r="H1315" s="193" t="n">
        <x:v>0</x:v>
      </x:c>
      <x:c r="I1315" s="185" t="n">
        <x:v>0</x:v>
      </x:c>
      <x:c r="J1315" s="185" t="n">
        <x:v>489138</x:v>
      </x:c>
      <x:c r="K1315" s="289" t="n">
        <x:v>12228.37362637</x:v>
      </x:c>
    </x:row>
    <x:row r="1316" s="117" customFormat="1" hidden="1">
      <x:c r="A1316" s="184" t="inlineStr">
        <x:is>
          <x:t xml:space="preserve">MTPRACFUN139</x:t>
        </x:is>
      </x:c>
      <x:c r="B1316" s="184" t="inlineStr">
        <x:is>
          <x:t xml:space="preserve">SOLDADURA ELECTRODO 7018 3/32 INDURA</x:t>
        </x:is>
      </x:c>
      <x:c r="C1316" s="184" t="n">
        <x:v>0</x:v>
      </x:c>
      <x:c r="D1316" s="184" t="n">
        <x:v>0</x:v>
      </x:c>
      <x:c r="E1316" s="184" t="n">
        <x:v>0</x:v>
      </x:c>
      <x:c r="F1316" s="184" t="n">
        <x:v>0</x:v>
      </x:c>
      <x:c r="G1316" s="184" t="n">
        <x:v>0</x:v>
      </x:c>
      <x:c r="H1316" s="193" t="n">
        <x:v>0</x:v>
      </x:c>
      <x:c r="I1316" s="185" t="n">
        <x:v>0</x:v>
      </x:c>
      <x:c r="J1316" s="185" t="n">
        <x:v>0</x:v>
      </x:c>
      <x:c r="K1316" s="289" t="n">
        <x:v>4972</x:v>
      </x:c>
    </x:row>
    <x:row r="1317" s="117" customFormat="1" hidden="1">
      <x:c r="A1317" s="184" t="inlineStr">
        <x:is>
          <x:t xml:space="preserve">MTPRACFUN140</x:t>
        </x:is>
      </x:c>
      <x:c r="B1317" s="184" t="inlineStr">
        <x:is>
          <x:t xml:space="preserve">SOLDADURA ELECTRODO 7018 1/8 INDURA</x:t>
        </x:is>
      </x:c>
      <x:c r="C1317" s="184" t="n">
        <x:v>0</x:v>
      </x:c>
      <x:c r="D1317" s="184" t="n">
        <x:v>0</x:v>
      </x:c>
      <x:c r="E1317" s="184" t="n">
        <x:v>0</x:v>
      </x:c>
      <x:c r="F1317" s="184" t="n">
        <x:v>0</x:v>
      </x:c>
      <x:c r="G1317" s="184" t="n">
        <x:v>0</x:v>
      </x:c>
      <x:c r="H1317" s="193" t="n">
        <x:v>0</x:v>
      </x:c>
      <x:c r="I1317" s="185" t="n">
        <x:v>0</x:v>
      </x:c>
      <x:c r="J1317" s="185" t="n">
        <x:v>0</x:v>
      </x:c>
      <x:c r="K1317" s="289" t="n">
        <x:v>3890</x:v>
      </x:c>
    </x:row>
    <x:row r="1318" s="117" customFormat="1" hidden="1">
      <x:c r="A1318" s="184" t="inlineStr">
        <x:is>
          <x:t xml:space="preserve">MTPRACFUN141</x:t>
        </x:is>
      </x:c>
      <x:c r="B1318" s="184" t="inlineStr">
        <x:is>
          <x:t xml:space="preserve">BOLSAS NEGRAS 120 x100 x0.10 4 x KG</x:t>
        </x:is>
      </x:c>
      <x:c r="C1318" s="184" t="n">
        <x:v>0</x:v>
      </x:c>
      <x:c r="D1318" s="184" t="n">
        <x:v>0</x:v>
      </x:c>
      <x:c r="E1318" s="184" t="n">
        <x:v>0</x:v>
      </x:c>
      <x:c r="F1318" s="184" t="n">
        <x:v>0</x:v>
      </x:c>
      <x:c r="G1318" s="184" t="n">
        <x:v>0</x:v>
      </x:c>
      <x:c r="H1318" s="193" t="n">
        <x:v>0</x:v>
      </x:c>
      <x:c r="I1318" s="185" t="n">
        <x:v>0</x:v>
      </x:c>
      <x:c r="J1318" s="185" t="n">
        <x:v>0</x:v>
      </x:c>
      <x:c r="K1318" s="289" t="n">
        <x:v>1980</x:v>
      </x:c>
    </x:row>
    <x:row r="1319" s="117" customFormat="1" hidden="1">
      <x:c r="A1319" s="184" t="inlineStr">
        <x:is>
          <x:t xml:space="preserve">MTPRACFUN142</x:t>
        </x:is>
      </x:c>
      <x:c r="B1319" s="184" t="inlineStr">
        <x:is>
          <x:t xml:space="preserve">HUINCHA DE MEDIR 3 MTS TACTIX</x:t>
        </x:is>
      </x:c>
      <x:c r="C1319" s="184" t="n">
        <x:v>0</x:v>
      </x:c>
      <x:c r="D1319" s="184" t="n">
        <x:v>0</x:v>
      </x:c>
      <x:c r="E1319" s="184" t="n">
        <x:v>0</x:v>
      </x:c>
      <x:c r="F1319" s="184" t="n">
        <x:v>0</x:v>
      </x:c>
      <x:c r="G1319" s="184" t="n">
        <x:v>0</x:v>
      </x:c>
      <x:c r="H1319" s="193" t="n">
        <x:v>0</x:v>
      </x:c>
      <x:c r="I1319" s="185" t="n">
        <x:v>0</x:v>
      </x:c>
      <x:c r="J1319" s="185" t="n">
        <x:v>0</x:v>
      </x:c>
      <x:c r="K1319" s="289" t="n">
        <x:v>4956</x:v>
      </x:c>
    </x:row>
    <x:row r="1320" s="117" customFormat="1" hidden="1">
      <x:c r="A1320" s="184" t="inlineStr">
        <x:is>
          <x:t xml:space="preserve">MTPRACFUN143</x:t>
        </x:is>
      </x:c>
      <x:c r="B1320" s="184" t="inlineStr">
        <x:is>
          <x:t xml:space="preserve">HUINCHA DE MEDIR 5 MTS TACTIX</x:t>
        </x:is>
      </x:c>
      <x:c r="C1320" s="184" t="n">
        <x:v>0</x:v>
      </x:c>
      <x:c r="D1320" s="184" t="n">
        <x:v>0</x:v>
      </x:c>
      <x:c r="E1320" s="184" t="n">
        <x:v>0</x:v>
      </x:c>
      <x:c r="F1320" s="184" t="n">
        <x:v>0</x:v>
      </x:c>
      <x:c r="G1320" s="184" t="n">
        <x:v>0</x:v>
      </x:c>
      <x:c r="H1320" s="193" t="n">
        <x:v>0</x:v>
      </x:c>
      <x:c r="I1320" s="185" t="n">
        <x:v>0</x:v>
      </x:c>
      <x:c r="J1320" s="185" t="n">
        <x:v>0</x:v>
      </x:c>
      <x:c r="K1320" s="289" t="n">
        <x:v>3788</x:v>
      </x:c>
    </x:row>
    <x:row r="1321" s="117" customFormat="1" hidden="1">
      <x:c r="A1321" s="184" t="inlineStr">
        <x:is>
          <x:t xml:space="preserve">MTPRACFUN144</x:t>
        </x:is>
      </x:c>
      <x:c r="B1321" s="184" t="inlineStr">
        <x:is>
          <x:t xml:space="preserve">HUINCHA DE MEDIR 8 MTS</x:t>
        </x:is>
      </x:c>
      <x:c r="C1321" s="184" t="n">
        <x:v>0</x:v>
      </x:c>
      <x:c r="D1321" s="184" t="n">
        <x:v>0</x:v>
      </x:c>
      <x:c r="E1321" s="184" t="n">
        <x:v>0</x:v>
      </x:c>
      <x:c r="F1321" s="184" t="n">
        <x:v>0</x:v>
      </x:c>
      <x:c r="G1321" s="184" t="n">
        <x:v>0</x:v>
      </x:c>
      <x:c r="H1321" s="193" t="n">
        <x:v>0</x:v>
      </x:c>
      <x:c r="I1321" s="185" t="n">
        <x:v>0</x:v>
      </x:c>
      <x:c r="J1321" s="185" t="n">
        <x:v>0</x:v>
      </x:c>
      <x:c r="K1321" s="289" t="n">
        <x:v>4695</x:v>
      </x:c>
    </x:row>
    <x:row r="1322" s="117" customFormat="1" hidden="1">
      <x:c r="A1322" s="184" t="inlineStr">
        <x:is>
          <x:t xml:space="preserve">MTPRACFUN145</x:t>
        </x:is>
      </x:c>
      <x:c r="B1322" s="184" t="inlineStr">
        <x:is>
          <x:t xml:space="preserve">CABLE ARAFLEX RV-K 3x2.5 mm2</x:t>
        </x:is>
      </x:c>
      <x:c r="C1322" s="184" t="n">
        <x:v>0</x:v>
      </x:c>
      <x:c r="D1322" s="184" t="n">
        <x:v>0</x:v>
      </x:c>
      <x:c r="E1322" s="184" t="n">
        <x:v>0</x:v>
      </x:c>
      <x:c r="F1322" s="184" t="n">
        <x:v>0</x:v>
      </x:c>
      <x:c r="G1322" s="184" t="n">
        <x:v>0</x:v>
      </x:c>
      <x:c r="H1322" s="193" t="n">
        <x:v>0</x:v>
      </x:c>
      <x:c r="I1322" s="185" t="n">
        <x:v>0</x:v>
      </x:c>
      <x:c r="J1322" s="185" t="n">
        <x:v>0</x:v>
      </x:c>
      <x:c r="K1322" s="289" t="n">
        <x:v>850</x:v>
      </x:c>
    </x:row>
    <x:row r="1323" s="117" customFormat="1" hidden="1">
      <x:c r="A1323" s="184" t="inlineStr">
        <x:is>
          <x:t xml:space="preserve">MTPRACFUN146</x:t>
        </x:is>
      </x:c>
      <x:c r="B1323" s="184" t="inlineStr">
        <x:is>
          <x:t xml:space="preserve">CORDEL PERLON 1/2</x:t>
        </x:is>
      </x:c>
      <x:c r="C1323" s="184" t="n">
        <x:v>0</x:v>
      </x:c>
      <x:c r="D1323" s="184" t="n">
        <x:v>0</x:v>
      </x:c>
      <x:c r="E1323" s="184" t="n">
        <x:v>0</x:v>
      </x:c>
      <x:c r="F1323" s="184" t="n">
        <x:v>0</x:v>
      </x:c>
      <x:c r="G1323" s="184" t="n">
        <x:v>0</x:v>
      </x:c>
      <x:c r="H1323" s="193" t="n">
        <x:v>0</x:v>
      </x:c>
      <x:c r="I1323" s="185" t="n">
        <x:v>0</x:v>
      </x:c>
      <x:c r="J1323" s="185" t="n">
        <x:v>0</x:v>
      </x:c>
      <x:c r="K1323" s="289" t="n">
        <x:v>1012</x:v>
      </x:c>
    </x:row>
    <x:row r="1324" s="117" customFormat="1" hidden="1">
      <x:c r="A1324" s="184" t="inlineStr">
        <x:is>
          <x:t xml:space="preserve">MTPRACFUN147</x:t>
        </x:is>
      </x:c>
      <x:c r="B1324" s="184" t="inlineStr">
        <x:is>
          <x:t xml:space="preserve">CUCHILLO CARTONERO RETRACTIL STANLEY 10-189C</x:t>
        </x:is>
      </x:c>
      <x:c r="C1324" s="184" t="n">
        <x:v>0</x:v>
      </x:c>
      <x:c r="D1324" s="184" t="n">
        <x:v>0</x:v>
      </x:c>
      <x:c r="E1324" s="184" t="n">
        <x:v>0</x:v>
      </x:c>
      <x:c r="F1324" s="184" t="n">
        <x:v>0</x:v>
      </x:c>
      <x:c r="G1324" s="184" t="n">
        <x:v>0</x:v>
      </x:c>
      <x:c r="H1324" s="193" t="n">
        <x:v>0</x:v>
      </x:c>
      <x:c r="I1324" s="185" t="n">
        <x:v>0</x:v>
      </x:c>
      <x:c r="J1324" s="185" t="n">
        <x:v>0</x:v>
      </x:c>
      <x:c r="K1324" s="289" t="n">
        <x:v>9890</x:v>
      </x:c>
    </x:row>
    <x:row r="1325" s="117" customFormat="1" hidden="1">
      <x:c r="A1325" s="184" t="inlineStr">
        <x:is>
          <x:t xml:space="preserve">MTPRACFUN148</x:t>
        </x:is>
      </x:c>
      <x:c r="B1325" s="184" t="inlineStr">
        <x:is>
          <x:t xml:space="preserve">PILA ALCALINA 3A DURACELL</x:t>
        </x:is>
      </x:c>
      <x:c r="C1325" s="184" t="n">
        <x:v>0</x:v>
      </x:c>
      <x:c r="D1325" s="184" t="n">
        <x:v>0</x:v>
      </x:c>
      <x:c r="E1325" s="184" t="n">
        <x:v>0</x:v>
      </x:c>
      <x:c r="F1325" s="184" t="n">
        <x:v>0</x:v>
      </x:c>
      <x:c r="G1325" s="184" t="n">
        <x:v>0</x:v>
      </x:c>
      <x:c r="H1325" s="193" t="n">
        <x:v>0</x:v>
      </x:c>
      <x:c r="I1325" s="185" t="n">
        <x:v>0</x:v>
      </x:c>
      <x:c r="J1325" s="185" t="n">
        <x:v>0</x:v>
      </x:c>
      <x:c r="K1325" s="289" t="n">
        <x:v>495</x:v>
      </x:c>
    </x:row>
    <x:row r="1326" s="117" customFormat="1" hidden="1">
      <x:c r="A1326" s="184" t="inlineStr">
        <x:is>
          <x:t xml:space="preserve">MTPRACFUN149</x:t>
        </x:is>
      </x:c>
      <x:c r="B1326" s="184" t="inlineStr">
        <x:is>
          <x:t xml:space="preserve">ESLINGA SINTETICA 2 CAPAS 100MM X 3 MT</x:t>
        </x:is>
      </x:c>
      <x:c r="C1326" s="184" t="n">
        <x:v>0</x:v>
      </x:c>
      <x:c r="D1326" s="184" t="n">
        <x:v>0</x:v>
      </x:c>
      <x:c r="E1326" s="184" t="n">
        <x:v>0</x:v>
      </x:c>
      <x:c r="F1326" s="184" t="n">
        <x:v>0</x:v>
      </x:c>
      <x:c r="G1326" s="184" t="n">
        <x:v>0</x:v>
      </x:c>
      <x:c r="H1326" s="193" t="n">
        <x:v>0</x:v>
      </x:c>
      <x:c r="I1326" s="185" t="n">
        <x:v>0</x:v>
      </x:c>
      <x:c r="J1326" s="185" t="n">
        <x:v>0</x:v>
      </x:c>
      <x:c r="K1326" s="289" t="n">
        <x:v>20895</x:v>
      </x:c>
    </x:row>
    <x:row r="1327" s="117" customFormat="1" hidden="1">
      <x:c r="A1327" s="184" t="inlineStr">
        <x:is>
          <x:t xml:space="preserve">MTPRACFUN150</x:t>
        </x:is>
      </x:c>
      <x:c r="B1327" s="184" t="inlineStr">
        <x:is>
          <x:t xml:space="preserve">ESLINGA SINTETICA 2 CAPAS 100MM X 6 MT</x:t>
        </x:is>
      </x:c>
      <x:c r="C1327" s="184" t="n">
        <x:v>0</x:v>
      </x:c>
      <x:c r="D1327" s="184" t="n">
        <x:v>0</x:v>
      </x:c>
      <x:c r="E1327" s="184" t="n">
        <x:v>0</x:v>
      </x:c>
      <x:c r="F1327" s="184" t="n">
        <x:v>0</x:v>
      </x:c>
      <x:c r="G1327" s="184" t="n">
        <x:v>0</x:v>
      </x:c>
      <x:c r="H1327" s="193" t="n">
        <x:v>0</x:v>
      </x:c>
      <x:c r="I1327" s="185" t="n">
        <x:v>0</x:v>
      </x:c>
      <x:c r="J1327" s="185" t="n">
        <x:v>0</x:v>
      </x:c>
      <x:c r="K1327" s="289" t="n">
        <x:v>38017</x:v>
      </x:c>
    </x:row>
    <x:row r="1328" s="117" customFormat="1" hidden="1">
      <x:c r="A1328" s="184" t="inlineStr">
        <x:is>
          <x:t xml:space="preserve">MTPRACFUN151</x:t>
        </x:is>
      </x:c>
      <x:c r="B1328" s="184" t="inlineStr">
        <x:is>
          <x:t xml:space="preserve">MANGA DE POLIETILENO TRANSPARENTE</x:t>
        </x:is>
      </x:c>
      <x:c r="C1328" s="184" t="n">
        <x:v>0</x:v>
      </x:c>
      <x:c r="D1328" s="184" t="n">
        <x:v>0</x:v>
      </x:c>
      <x:c r="E1328" s="184" t="n">
        <x:v>0</x:v>
      </x:c>
      <x:c r="F1328" s="184" t="n">
        <x:v>0</x:v>
      </x:c>
      <x:c r="G1328" s="184" t="n">
        <x:v>0</x:v>
      </x:c>
      <x:c r="H1328" s="193" t="n">
        <x:v>0</x:v>
      </x:c>
      <x:c r="I1328" s="185" t="n">
        <x:v>0</x:v>
      </x:c>
      <x:c r="J1328" s="185" t="n">
        <x:v>0</x:v>
      </x:c>
      <x:c r="K1328" s="289" t="n">
        <x:v>179000</x:v>
      </x:c>
    </x:row>
    <x:row r="1329" s="117" customFormat="1" hidden="1">
      <x:c r="A1329" s="184" t="inlineStr">
        <x:is>
          <x:t xml:space="preserve">MTPRACFUN152</x:t>
        </x:is>
      </x:c>
      <x:c r="B1329" s="184" t="inlineStr">
        <x:is>
          <x:t xml:space="preserve">TERRAJA DE 1/2" A 2" NPT - SMART</x:t>
        </x:is>
      </x:c>
      <x:c r="C1329" s="184" t="n">
        <x:v>0</x:v>
      </x:c>
      <x:c r="D1329" s="184" t="n">
        <x:v>0</x:v>
      </x:c>
      <x:c r="E1329" s="184" t="n">
        <x:v>0</x:v>
      </x:c>
      <x:c r="F1329" s="184" t="n">
        <x:v>0</x:v>
      </x:c>
      <x:c r="G1329" s="184" t="n">
        <x:v>0</x:v>
      </x:c>
      <x:c r="H1329" s="193" t="n">
        <x:v>0</x:v>
      </x:c>
      <x:c r="I1329" s="185" t="n">
        <x:v>0</x:v>
      </x:c>
      <x:c r="J1329" s="185" t="n">
        <x:v>0</x:v>
      </x:c>
      <x:c r="K1329" s="289" t="n">
        <x:v>86856</x:v>
      </x:c>
    </x:row>
    <x:row r="1330" s="117" customFormat="1" hidden="1">
      <x:c r="A1330" s="184" t="inlineStr">
        <x:is>
          <x:t xml:space="preserve">MTPRACFUN153</x:t>
        </x:is>
      </x:c>
      <x:c r="B1330" s="184" t="inlineStr">
        <x:is>
          <x:t xml:space="preserve">TALADRO BATERIA 18V. INALAMBRICO DDF453SYE</x:t>
        </x:is>
      </x:c>
      <x:c r="C1330" s="184" t="n">
        <x:v>0</x:v>
      </x:c>
      <x:c r="D1330" s="184" t="n">
        <x:v>0</x:v>
      </x:c>
      <x:c r="E1330" s="184" t="n">
        <x:v>0</x:v>
      </x:c>
      <x:c r="F1330" s="184" t="n">
        <x:v>0</x:v>
      </x:c>
      <x:c r="G1330" s="184" t="n">
        <x:v>0</x:v>
      </x:c>
      <x:c r="H1330" s="193" t="n">
        <x:v>0</x:v>
      </x:c>
      <x:c r="I1330" s="185" t="n">
        <x:v>0</x:v>
      </x:c>
      <x:c r="J1330" s="185" t="n">
        <x:v>0</x:v>
      </x:c>
      <x:c r="K1330" s="289" t="n">
        <x:v>234534</x:v>
      </x:c>
    </x:row>
    <x:row r="1331" s="117" customFormat="1" hidden="1">
      <x:c r="A1331" s="184" t="inlineStr">
        <x:is>
          <x:t xml:space="preserve">MTPRACFUN154</x:t>
        </x:is>
      </x:c>
      <x:c r="B1331" s="184" t="inlineStr">
        <x:is>
          <x:t xml:space="preserve">APRIETA TERMINALES CHICHARRA 12 A 2 AWG DKBB23</x:t>
        </x:is>
      </x:c>
      <x:c r="C1331" s="184" t="n">
        <x:v>0</x:v>
      </x:c>
      <x:c r="D1331" s="184" t="n">
        <x:v>0</x:v>
      </x:c>
      <x:c r="E1331" s="184" t="n">
        <x:v>0</x:v>
      </x:c>
      <x:c r="F1331" s="184" t="n">
        <x:v>0</x:v>
      </x:c>
      <x:c r="G1331" s="184" t="n">
        <x:v>0</x:v>
      </x:c>
      <x:c r="H1331" s="193" t="n">
        <x:v>0</x:v>
      </x:c>
      <x:c r="I1331" s="185" t="n">
        <x:v>0</x:v>
      </x:c>
      <x:c r="J1331" s="185" t="n">
        <x:v>0</x:v>
      </x:c>
      <x:c r="K1331" s="289" t="n">
        <x:v>55010</x:v>
      </x:c>
    </x:row>
    <x:row r="1332" s="117" customFormat="1" hidden="1">
      <x:c r="A1332" s="184" t="inlineStr">
        <x:is>
          <x:t xml:space="preserve">MTPRACFUN155</x:t>
        </x:is>
      </x:c>
      <x:c r="B1332" s="184" t="inlineStr">
        <x:is>
          <x:t xml:space="preserve">ENCHUFE M.VOL.3+N+Tx32A KB025</x:t>
        </x:is>
      </x:c>
      <x:c r="C1332" s="184" t="n">
        <x:v>0</x:v>
      </x:c>
      <x:c r="D1332" s="184" t="n">
        <x:v>0</x:v>
      </x:c>
      <x:c r="E1332" s="184" t="n">
        <x:v>0</x:v>
      </x:c>
      <x:c r="F1332" s="184" t="n">
        <x:v>0</x:v>
      </x:c>
      <x:c r="G1332" s="184" t="n">
        <x:v>0</x:v>
      </x:c>
      <x:c r="H1332" s="193" t="n">
        <x:v>0</x:v>
      </x:c>
      <x:c r="I1332" s="185" t="n">
        <x:v>0</x:v>
      </x:c>
      <x:c r="J1332" s="185" t="n">
        <x:v>0</x:v>
      </x:c>
      <x:c r="K1332" s="289" t="n">
        <x:v>3762</x:v>
      </x:c>
    </x:row>
    <x:row r="1333" s="117" customFormat="1" hidden="1">
      <x:c r="A1333" s="184" t="inlineStr">
        <x:is>
          <x:t xml:space="preserve">MTPRACFUN156</x:t>
        </x:is>
      </x:c>
      <x:c r="B1333" s="184" t="inlineStr">
        <x:is>
          <x:t xml:space="preserve">ENCHUFE MACHO VOL. 16A 2P+T #013-6 IP44 (KE38030013)</x:t>
        </x:is>
      </x:c>
      <x:c r="C1333" s="184" t="n">
        <x:v>12</x:v>
      </x:c>
      <x:c r="D1333" s="184" t="n">
        <x:v>0</x:v>
      </x:c>
      <x:c r="E1333" s="184" t="n">
        <x:v>0</x:v>
      </x:c>
      <x:c r="F1333" s="184" t="n">
        <x:v>12</x:v>
      </x:c>
      <x:c r="G1333" s="184" t="n">
        <x:v>21168</x:v>
      </x:c>
      <x:c r="H1333" s="193" t="n">
        <x:v>0</x:v>
      </x:c>
      <x:c r="I1333" s="185" t="n">
        <x:v>0</x:v>
      </x:c>
      <x:c r="J1333" s="185" t="n">
        <x:v>21168</x:v>
      </x:c>
      <x:c r="K1333" s="289" t="n">
        <x:v>1764</x:v>
      </x:c>
    </x:row>
    <x:row r="1334" s="117" customFormat="1" hidden="1">
      <x:c r="A1334" s="184" t="inlineStr">
        <x:is>
          <x:t xml:space="preserve">MTPRACFUN157</x:t>
        </x:is>
      </x:c>
      <x:c r="B1334" s="184" t="inlineStr">
        <x:is>
          <x:t xml:space="preserve">ENCHUFE HEMBRA VOL. 16A 2P+T # 213-6 IP44</x:t>
        </x:is>
      </x:c>
      <x:c r="C1334" s="184" t="n">
        <x:v>0</x:v>
      </x:c>
      <x:c r="D1334" s="184" t="n">
        <x:v>0</x:v>
      </x:c>
      <x:c r="E1334" s="184" t="n">
        <x:v>0</x:v>
      </x:c>
      <x:c r="F1334" s="184" t="n">
        <x:v>0</x:v>
      </x:c>
      <x:c r="G1334" s="184" t="n">
        <x:v>0</x:v>
      </x:c>
      <x:c r="H1334" s="193" t="n">
        <x:v>0</x:v>
      </x:c>
      <x:c r="I1334" s="185" t="n">
        <x:v>0</x:v>
      </x:c>
      <x:c r="J1334" s="185" t="n">
        <x:v>0</x:v>
      </x:c>
      <x:c r="K1334" s="289" t="n">
        <x:v>1790</x:v>
      </x:c>
    </x:row>
    <x:row r="1335" s="117" customFormat="1" hidden="1">
      <x:c r="A1335" s="184" t="inlineStr">
        <x:is>
          <x:t xml:space="preserve">MTPRACFUN158</x:t>
        </x:is>
      </x:c>
      <x:c r="B1335" s="184" t="inlineStr">
        <x:is>
          <x:t xml:space="preserve">CONECTOR BCE TIERRA 5/8</x:t>
        </x:is>
      </x:c>
      <x:c r="C1335" s="184" t="n">
        <x:v>0</x:v>
      </x:c>
      <x:c r="D1335" s="184" t="n">
        <x:v>0</x:v>
      </x:c>
      <x:c r="E1335" s="184" t="n">
        <x:v>0</x:v>
      </x:c>
      <x:c r="F1335" s="184" t="n">
        <x:v>0</x:v>
      </x:c>
      <x:c r="G1335" s="184" t="n">
        <x:v>0</x:v>
      </x:c>
      <x:c r="H1335" s="193" t="n">
        <x:v>0</x:v>
      </x:c>
      <x:c r="I1335" s="185" t="n">
        <x:v>0</x:v>
      </x:c>
      <x:c r="J1335" s="185" t="n">
        <x:v>0</x:v>
      </x:c>
      <x:c r="K1335" s="289" t="n">
        <x:v>890</x:v>
      </x:c>
    </x:row>
    <x:row r="1336" s="117" customFormat="1" hidden="1">
      <x:c r="A1336" s="184" t="inlineStr">
        <x:is>
          <x:t xml:space="preserve">MTPRACFUN159</x:t>
        </x:is>
      </x:c>
      <x:c r="B1336" s="184" t="inlineStr">
        <x:is>
          <x:t xml:space="preserve">TERMINAL OJO 8 AWG</x:t>
        </x:is>
      </x:c>
      <x:c r="C1336" s="184" t="n">
        <x:v>0</x:v>
      </x:c>
      <x:c r="D1336" s="184" t="n">
        <x:v>0</x:v>
      </x:c>
      <x:c r="E1336" s="184" t="n">
        <x:v>0</x:v>
      </x:c>
      <x:c r="F1336" s="184" t="n">
        <x:v>0</x:v>
      </x:c>
      <x:c r="G1336" s="184" t="n">
        <x:v>0</x:v>
      </x:c>
      <x:c r="H1336" s="193" t="n">
        <x:v>0</x:v>
      </x:c>
      <x:c r="I1336" s="185" t="n">
        <x:v>0</x:v>
      </x:c>
      <x:c r="J1336" s="185" t="n">
        <x:v>0</x:v>
      </x:c>
      <x:c r="K1336" s="289" t="n">
        <x:v>150</x:v>
      </x:c>
    </x:row>
    <x:row r="1337" s="117" customFormat="1" hidden="1">
      <x:c r="A1337" s="184" t="inlineStr">
        <x:is>
          <x:t xml:space="preserve">MTPRACFUN160</x:t>
        </x:is>
      </x:c>
      <x:c r="B1337" s="184" t="inlineStr">
        <x:is>
          <x:t xml:space="preserve">CABLE ELECT. THHN 10 AWG VERDE</x:t>
        </x:is>
      </x:c>
      <x:c r="C1337" s="184" t="n">
        <x:v>0</x:v>
      </x:c>
      <x:c r="D1337" s="184" t="n">
        <x:v>0</x:v>
      </x:c>
      <x:c r="E1337" s="184" t="n">
        <x:v>0</x:v>
      </x:c>
      <x:c r="F1337" s="184" t="n">
        <x:v>0</x:v>
      </x:c>
      <x:c r="G1337" s="184" t="n">
        <x:v>0</x:v>
      </x:c>
      <x:c r="H1337" s="193" t="n">
        <x:v>0</x:v>
      </x:c>
      <x:c r="I1337" s="185" t="n">
        <x:v>0</x:v>
      </x:c>
      <x:c r="J1337" s="185" t="n">
        <x:v>0</x:v>
      </x:c>
      <x:c r="K1337" s="289" t="n">
        <x:v>495</x:v>
      </x:c>
    </x:row>
    <x:row r="1338" s="117" customFormat="1" hidden="1">
      <x:c r="A1338" s="184" t="inlineStr">
        <x:is>
          <x:t xml:space="preserve">MTPRACFUN161</x:t>
        </x:is>
      </x:c>
      <x:c r="B1338" s="184" t="inlineStr">
        <x:is>
          <x:t xml:space="preserve">CABLE ARAFLEX RV-K 5x10 MM2</x:t>
        </x:is>
      </x:c>
      <x:c r="C1338" s="184" t="n">
        <x:v>0</x:v>
      </x:c>
      <x:c r="D1338" s="184" t="n">
        <x:v>0</x:v>
      </x:c>
      <x:c r="E1338" s="184" t="n">
        <x:v>0</x:v>
      </x:c>
      <x:c r="F1338" s="184" t="n">
        <x:v>0</x:v>
      </x:c>
      <x:c r="G1338" s="184" t="n">
        <x:v>0</x:v>
      </x:c>
      <x:c r="H1338" s="193" t="n">
        <x:v>0</x:v>
      </x:c>
      <x:c r="I1338" s="185" t="n">
        <x:v>0</x:v>
      </x:c>
      <x:c r="J1338" s="185" t="n">
        <x:v>0</x:v>
      </x:c>
      <x:c r="K1338" s="289" t="n">
        <x:v>4150</x:v>
      </x:c>
    </x:row>
    <x:row r="1339" s="117" customFormat="1" hidden="1">
      <x:c r="A1339" s="184" t="inlineStr">
        <x:is>
          <x:t xml:space="preserve">MTPRACFUN162</x:t>
        </x:is>
      </x:c>
      <x:c r="B1339" s="184" t="inlineStr">
        <x:is>
          <x:t xml:space="preserve">ADAPTADOR INDUSTRIAL 3 SAL16A 220V 2P+T</x:t>
        </x:is>
      </x:c>
      <x:c r="C1339" s="184" t="n">
        <x:v>0</x:v>
      </x:c>
      <x:c r="D1339" s="184" t="n">
        <x:v>0</x:v>
      </x:c>
      <x:c r="E1339" s="184" t="n">
        <x:v>0</x:v>
      </x:c>
      <x:c r="F1339" s="184" t="n">
        <x:v>0</x:v>
      </x:c>
      <x:c r="G1339" s="184" t="n">
        <x:v>0</x:v>
      </x:c>
      <x:c r="H1339" s="193" t="n">
        <x:v>0</x:v>
      </x:c>
      <x:c r="I1339" s="185" t="n">
        <x:v>0</x:v>
      </x:c>
      <x:c r="J1339" s="185" t="n">
        <x:v>0</x:v>
      </x:c>
      <x:c r="K1339" s="289" t="n">
        <x:v>13950</x:v>
      </x:c>
    </x:row>
    <x:row r="1340" s="117" customFormat="1" hidden="1">
      <x:c r="A1340" s="184" t="inlineStr">
        <x:is>
          <x:t xml:space="preserve">MTPRACFUN163</x:t>
        </x:is>
      </x:c>
      <x:c r="B1340" s="184" t="inlineStr">
        <x:is>
          <x:t xml:space="preserve">ENCHUFE M. IND. 380V 3P+T 63AMP</x:t>
        </x:is>
      </x:c>
      <x:c r="C1340" s="184" t="n">
        <x:v>0</x:v>
      </x:c>
      <x:c r="D1340" s="184" t="n">
        <x:v>0</x:v>
      </x:c>
      <x:c r="E1340" s="184" t="n">
        <x:v>0</x:v>
      </x:c>
      <x:c r="F1340" s="184" t="n">
        <x:v>0</x:v>
      </x:c>
      <x:c r="G1340" s="184" t="n">
        <x:v>0</x:v>
      </x:c>
      <x:c r="H1340" s="193" t="n">
        <x:v>0</x:v>
      </x:c>
      <x:c r="I1340" s="185" t="n">
        <x:v>0</x:v>
      </x:c>
      <x:c r="J1340" s="185" t="n">
        <x:v>0</x:v>
      </x:c>
      <x:c r="K1340" s="289" t="n">
        <x:v>12335</x:v>
      </x:c>
    </x:row>
    <x:row r="1341" s="117" customFormat="1" hidden="1">
      <x:c r="A1341" s="184" t="inlineStr">
        <x:is>
          <x:t xml:space="preserve">MTPRACFUN164</x:t>
        </x:is>
      </x:c>
      <x:c r="B1341" s="184" t="inlineStr">
        <x:is>
          <x:t xml:space="preserve">ENCHUFE H. SOB. 2P + T 16AMP 220V IP67</x:t>
        </x:is>
      </x:c>
      <x:c r="C1341" s="184" t="n">
        <x:v>0</x:v>
      </x:c>
      <x:c r="D1341" s="184" t="n">
        <x:v>0</x:v>
      </x:c>
      <x:c r="E1341" s="184" t="n">
        <x:v>0</x:v>
      </x:c>
      <x:c r="F1341" s="184" t="n">
        <x:v>0</x:v>
      </x:c>
      <x:c r="G1341" s="184" t="n">
        <x:v>0</x:v>
      </x:c>
      <x:c r="H1341" s="193" t="n">
        <x:v>0</x:v>
      </x:c>
      <x:c r="I1341" s="185" t="n">
        <x:v>0</x:v>
      </x:c>
      <x:c r="J1341" s="185" t="n">
        <x:v>0</x:v>
      </x:c>
      <x:c r="K1341" s="289" t="n">
        <x:v>2224</x:v>
      </x:c>
    </x:row>
    <x:row r="1342" s="117" customFormat="1" hidden="1">
      <x:c r="A1342" s="184" t="inlineStr">
        <x:is>
          <x:t xml:space="preserve">MTPRACFUN165</x:t>
        </x:is>
      </x:c>
      <x:c r="B1342" s="184" t="inlineStr">
        <x:is>
          <x:t xml:space="preserve">HUINCHA AISLADORA PLASTICA # 33</x:t>
        </x:is>
      </x:c>
      <x:c r="C1342" s="184" t="n">
        <x:v>0</x:v>
      </x:c>
      <x:c r="D1342" s="184" t="n">
        <x:v>0</x:v>
      </x:c>
      <x:c r="E1342" s="184" t="n">
        <x:v>0</x:v>
      </x:c>
      <x:c r="F1342" s="184" t="n">
        <x:v>0</x:v>
      </x:c>
      <x:c r="G1342" s="184" t="n">
        <x:v>0</x:v>
      </x:c>
      <x:c r="H1342" s="193" t="n">
        <x:v>0</x:v>
      </x:c>
      <x:c r="I1342" s="185" t="n">
        <x:v>0</x:v>
      </x:c>
      <x:c r="J1342" s="185" t="n">
        <x:v>0</x:v>
      </x:c>
      <x:c r="K1342" s="289" t="n">
        <x:v>5527</x:v>
      </x:c>
    </x:row>
    <x:row r="1343" s="117" customFormat="1" hidden="1">
      <x:c r="A1343" s="184" t="inlineStr">
        <x:is>
          <x:t xml:space="preserve">MTPRACFUN166</x:t>
        </x:is>
      </x:c>
      <x:c r="B1343" s="184" t="inlineStr">
        <x:is>
          <x:t xml:space="preserve">HUINCHA AISLADORA GOMA VULCO 6 MTS</x:t>
        </x:is>
      </x:c>
      <x:c r="C1343" s="184" t="n">
        <x:v>0</x:v>
      </x:c>
      <x:c r="D1343" s="184" t="n">
        <x:v>0</x:v>
      </x:c>
      <x:c r="E1343" s="184" t="n">
        <x:v>0</x:v>
      </x:c>
      <x:c r="F1343" s="184" t="n">
        <x:v>0</x:v>
      </x:c>
      <x:c r="G1343" s="184" t="n">
        <x:v>0</x:v>
      </x:c>
      <x:c r="H1343" s="193" t="n">
        <x:v>0</x:v>
      </x:c>
      <x:c r="I1343" s="185" t="n">
        <x:v>0</x:v>
      </x:c>
      <x:c r="J1343" s="185" t="n">
        <x:v>0</x:v>
      </x:c>
      <x:c r="K1343" s="289" t="n">
        <x:v>3184</x:v>
      </x:c>
    </x:row>
    <x:row r="1344" s="117" customFormat="1" hidden="1">
      <x:c r="A1344" s="184" t="inlineStr">
        <x:is>
          <x:t xml:space="preserve">MTPRACFUN167</x:t>
        </x:is>
      </x:c>
      <x:c r="B1344" s="184" t="inlineStr">
        <x:is>
          <x:t xml:space="preserve">HUINCHA AISLADORA NEGRA 18 MT.</x:t>
        </x:is>
      </x:c>
      <x:c r="C1344" s="184" t="n">
        <x:v>0</x:v>
      </x:c>
      <x:c r="D1344" s="184" t="n">
        <x:v>0</x:v>
      </x:c>
      <x:c r="E1344" s="184" t="n">
        <x:v>0</x:v>
      </x:c>
      <x:c r="F1344" s="184" t="n">
        <x:v>0</x:v>
      </x:c>
      <x:c r="G1344" s="184" t="n">
        <x:v>0</x:v>
      </x:c>
      <x:c r="H1344" s="193" t="n">
        <x:v>0</x:v>
      </x:c>
      <x:c r="I1344" s="185" t="n">
        <x:v>0</x:v>
      </x:c>
      <x:c r="J1344" s="185" t="n">
        <x:v>0</x:v>
      </x:c>
      <x:c r="K1344" s="289" t="n">
        <x:v>590</x:v>
      </x:c>
    </x:row>
    <x:row r="1345" s="117" customFormat="1" hidden="1">
      <x:c r="A1345" s="184" t="inlineStr">
        <x:is>
          <x:t xml:space="preserve">MTPRACFUN168</x:t>
        </x:is>
      </x:c>
      <x:c r="B1345" s="184" t="inlineStr">
        <x:is>
          <x:t xml:space="preserve">HUINCHA AISLADORA ROJA 18 MT.</x:t>
        </x:is>
      </x:c>
      <x:c r="C1345" s="184" t="n">
        <x:v>0</x:v>
      </x:c>
      <x:c r="D1345" s="184" t="n">
        <x:v>0</x:v>
      </x:c>
      <x:c r="E1345" s="184" t="n">
        <x:v>0</x:v>
      </x:c>
      <x:c r="F1345" s="184" t="n">
        <x:v>0</x:v>
      </x:c>
      <x:c r="G1345" s="184" t="n">
        <x:v>0</x:v>
      </x:c>
      <x:c r="H1345" s="193" t="n">
        <x:v>0</x:v>
      </x:c>
      <x:c r="I1345" s="185" t="n">
        <x:v>0</x:v>
      </x:c>
      <x:c r="J1345" s="185" t="n">
        <x:v>0</x:v>
      </x:c>
      <x:c r="K1345" s="289" t="n">
        <x:v>1025.55555556</x:v>
      </x:c>
    </x:row>
    <x:row r="1346" s="117" customFormat="1" hidden="1">
      <x:c r="A1346" s="184" t="inlineStr">
        <x:is>
          <x:t xml:space="preserve">MTPRACFUN169</x:t>
        </x:is>
      </x:c>
      <x:c r="B1346" s="184" t="inlineStr">
        <x:is>
          <x:t xml:space="preserve">HUINCHA AISLADORA BLANCA 18 MT.</x:t>
        </x:is>
      </x:c>
      <x:c r="C1346" s="184" t="n">
        <x:v>0</x:v>
      </x:c>
      <x:c r="D1346" s="184" t="n">
        <x:v>0</x:v>
      </x:c>
      <x:c r="E1346" s="184" t="n">
        <x:v>0</x:v>
      </x:c>
      <x:c r="F1346" s="184" t="n">
        <x:v>0</x:v>
      </x:c>
      <x:c r="G1346" s="184" t="n">
        <x:v>0</x:v>
      </x:c>
      <x:c r="H1346" s="193" t="n">
        <x:v>0</x:v>
      </x:c>
      <x:c r="I1346" s="185" t="n">
        <x:v>0</x:v>
      </x:c>
      <x:c r="J1346" s="185" t="n">
        <x:v>0</x:v>
      </x:c>
      <x:c r="K1346" s="289" t="n">
        <x:v>590</x:v>
      </x:c>
    </x:row>
    <x:row r="1347" s="117" customFormat="1" hidden="1">
      <x:c r="A1347" s="184" t="inlineStr">
        <x:is>
          <x:t xml:space="preserve">MTPRACFUN170</x:t>
        </x:is>
      </x:c>
      <x:c r="B1347" s="184" t="inlineStr">
        <x:is>
          <x:t xml:space="preserve">CLAVOS CORRIENTES 4" x KG</x:t>
        </x:is>
      </x:c>
      <x:c r="C1347" s="184" t="n">
        <x:v>0</x:v>
      </x:c>
      <x:c r="D1347" s="184" t="n">
        <x:v>0</x:v>
      </x:c>
      <x:c r="E1347" s="184" t="n">
        <x:v>0</x:v>
      </x:c>
      <x:c r="F1347" s="184" t="n">
        <x:v>0</x:v>
      </x:c>
      <x:c r="G1347" s="184" t="n">
        <x:v>0</x:v>
      </x:c>
      <x:c r="H1347" s="193" t="n">
        <x:v>0</x:v>
      </x:c>
      <x:c r="I1347" s="185" t="n">
        <x:v>0</x:v>
      </x:c>
      <x:c r="J1347" s="185" t="n">
        <x:v>0</x:v>
      </x:c>
      <x:c r="K1347" s="289" t="n">
        <x:v>1232</x:v>
      </x:c>
    </x:row>
    <x:row r="1348" s="117" customFormat="1" hidden="1">
      <x:c r="A1348" s="184" t="inlineStr">
        <x:is>
          <x:t xml:space="preserve">MTPRACFUN171</x:t>
        </x:is>
      </x:c>
      <x:c r="B1348" s="184" t="inlineStr">
        <x:is>
          <x:t xml:space="preserve">CLAVOS CORRIENTES 3" x KG</x:t>
        </x:is>
      </x:c>
      <x:c r="C1348" s="184" t="n">
        <x:v>0</x:v>
      </x:c>
      <x:c r="D1348" s="184" t="n">
        <x:v>0</x:v>
      </x:c>
      <x:c r="E1348" s="184" t="n">
        <x:v>0</x:v>
      </x:c>
      <x:c r="F1348" s="184" t="n">
        <x:v>0</x:v>
      </x:c>
      <x:c r="G1348" s="184" t="n">
        <x:v>0</x:v>
      </x:c>
      <x:c r="H1348" s="193" t="n">
        <x:v>0</x:v>
      </x:c>
      <x:c r="I1348" s="185" t="n">
        <x:v>0</x:v>
      </x:c>
      <x:c r="J1348" s="185" t="n">
        <x:v>0</x:v>
      </x:c>
      <x:c r="K1348" s="289" t="n">
        <x:v>1232</x:v>
      </x:c>
    </x:row>
    <x:row r="1349" s="117" customFormat="1" hidden="1">
      <x:c r="A1349" s="184" t="inlineStr">
        <x:is>
          <x:t xml:space="preserve">MTPRACFUN172</x:t>
        </x:is>
      </x:c>
      <x:c r="B1349" s="184" t="inlineStr">
        <x:is>
          <x:t xml:space="preserve">CAJA PLASTICA PORTAHERRAMIENTA 24" TACTIX # 320343</x:t>
        </x:is>
      </x:c>
      <x:c r="C1349" s="184" t="n">
        <x:v>0</x:v>
      </x:c>
      <x:c r="D1349" s="184" t="n">
        <x:v>0</x:v>
      </x:c>
      <x:c r="E1349" s="184" t="n">
        <x:v>0</x:v>
      </x:c>
      <x:c r="F1349" s="184" t="n">
        <x:v>0</x:v>
      </x:c>
      <x:c r="G1349" s="184" t="n">
        <x:v>0</x:v>
      </x:c>
      <x:c r="H1349" s="193" t="n">
        <x:v>0</x:v>
      </x:c>
      <x:c r="I1349" s="185" t="n">
        <x:v>0</x:v>
      </x:c>
      <x:c r="J1349" s="185" t="n">
        <x:v>0</x:v>
      </x:c>
      <x:c r="K1349" s="289" t="n">
        <x:v>14919</x:v>
      </x:c>
    </x:row>
    <x:row r="1350" s="117" customFormat="1" hidden="1">
      <x:c r="A1350" s="184" t="inlineStr">
        <x:is>
          <x:t xml:space="preserve">MTPRACFUN173</x:t>
        </x:is>
      </x:c>
      <x:c r="B1350" s="184" t="inlineStr">
        <x:is>
          <x:t xml:space="preserve">AMPERIMETRO TENAZA CL210</x:t>
        </x:is>
      </x:c>
      <x:c r="C1350" s="184" t="n">
        <x:v>0</x:v>
      </x:c>
      <x:c r="D1350" s="184" t="n">
        <x:v>0</x:v>
      </x:c>
      <x:c r="E1350" s="184" t="n">
        <x:v>0</x:v>
      </x:c>
      <x:c r="F1350" s="184" t="n">
        <x:v>0</x:v>
      </x:c>
      <x:c r="G1350" s="184" t="n">
        <x:v>0</x:v>
      </x:c>
      <x:c r="H1350" s="193" t="n">
        <x:v>0</x:v>
      </x:c>
      <x:c r="I1350" s="185" t="n">
        <x:v>0</x:v>
      </x:c>
      <x:c r="J1350" s="185" t="n">
        <x:v>0</x:v>
      </x:c>
      <x:c r="K1350" s="289" t="n">
        <x:v>83019</x:v>
      </x:c>
    </x:row>
    <x:row r="1351" s="117" customFormat="1" hidden="1">
      <x:c r="A1351" s="184" t="inlineStr">
        <x:is>
          <x:t xml:space="preserve">MTPRACFUN174</x:t>
        </x:is>
      </x:c>
      <x:c r="B1351" s="184" t="inlineStr">
        <x:is>
          <x:t xml:space="preserve">ALICATE UNIVERSAL AISLADO VDE 9 " TACTIX # 201063</x:t>
        </x:is>
      </x:c>
      <x:c r="C1351" s="184" t="n">
        <x:v>0</x:v>
      </x:c>
      <x:c r="D1351" s="184" t="n">
        <x:v>0</x:v>
      </x:c>
      <x:c r="E1351" s="184" t="n">
        <x:v>0</x:v>
      </x:c>
      <x:c r="F1351" s="184" t="n">
        <x:v>0</x:v>
      </x:c>
      <x:c r="G1351" s="184" t="n">
        <x:v>0</x:v>
      </x:c>
      <x:c r="H1351" s="193" t="n">
        <x:v>0</x:v>
      </x:c>
      <x:c r="I1351" s="185" t="n">
        <x:v>0</x:v>
      </x:c>
      <x:c r="J1351" s="185" t="n">
        <x:v>0</x:v>
      </x:c>
      <x:c r="K1351" s="289" t="n">
        <x:v>16610</x:v>
      </x:c>
    </x:row>
    <x:row r="1352" s="117" customFormat="1" hidden="1">
      <x:c r="A1352" s="184" t="inlineStr">
        <x:is>
          <x:t xml:space="preserve">MTPRACFUN175</x:t>
        </x:is>
      </x:c>
      <x:c r="B1352" s="184" t="inlineStr">
        <x:is>
          <x:t xml:space="preserve">ALICATE PUNTA AISLADO VDE 8" TACTIX # 201003</x:t>
        </x:is>
      </x:c>
      <x:c r="C1352" s="184" t="n">
        <x:v>0</x:v>
      </x:c>
      <x:c r="D1352" s="184" t="n">
        <x:v>0</x:v>
      </x:c>
      <x:c r="E1352" s="184" t="n">
        <x:v>0</x:v>
      </x:c>
      <x:c r="F1352" s="184" t="n">
        <x:v>0</x:v>
      </x:c>
      <x:c r="G1352" s="184" t="n">
        <x:v>0</x:v>
      </x:c>
      <x:c r="H1352" s="193" t="n">
        <x:v>0</x:v>
      </x:c>
      <x:c r="I1352" s="185" t="n">
        <x:v>0</x:v>
      </x:c>
      <x:c r="J1352" s="185" t="n">
        <x:v>0</x:v>
      </x:c>
      <x:c r="K1352" s="289" t="n">
        <x:v>10049</x:v>
      </x:c>
    </x:row>
    <x:row r="1353" s="117" customFormat="1" hidden="1">
      <x:c r="A1353" s="184" t="inlineStr">
        <x:is>
          <x:t xml:space="preserve">MTPRACFUN176</x:t>
        </x:is>
      </x:c>
      <x:c r="B1353" s="184" t="inlineStr">
        <x:is>
          <x:t xml:space="preserve">ALICATE CORTANTE AISLADO VDE 6" TACTIX # 201005</x:t>
        </x:is>
      </x:c>
      <x:c r="C1353" s="184" t="n">
        <x:v>0</x:v>
      </x:c>
      <x:c r="D1353" s="184" t="n">
        <x:v>0</x:v>
      </x:c>
      <x:c r="E1353" s="184" t="n">
        <x:v>0</x:v>
      </x:c>
      <x:c r="F1353" s="184" t="n">
        <x:v>0</x:v>
      </x:c>
      <x:c r="G1353" s="184" t="n">
        <x:v>0</x:v>
      </x:c>
      <x:c r="H1353" s="193" t="n">
        <x:v>0</x:v>
      </x:c>
      <x:c r="I1353" s="185" t="n">
        <x:v>0</x:v>
      </x:c>
      <x:c r="J1353" s="185" t="n">
        <x:v>0</x:v>
      </x:c>
      <x:c r="K1353" s="289" t="n">
        <x:v>2849</x:v>
      </x:c>
    </x:row>
    <x:row r="1354" s="117" customFormat="1" hidden="1">
      <x:c r="A1354" s="184" t="inlineStr">
        <x:is>
          <x:t xml:space="preserve">MTPRACFUN177</x:t>
        </x:is>
      </x:c>
      <x:c r="B1354" s="184" t="inlineStr">
        <x:is>
          <x:t xml:space="preserve">JUEGO ATORNILLADORES AISLADOS 6 PZS. # 205601</x:t>
        </x:is>
      </x:c>
      <x:c r="C1354" s="184" t="n">
        <x:v>0</x:v>
      </x:c>
      <x:c r="D1354" s="184" t="n">
        <x:v>0</x:v>
      </x:c>
      <x:c r="E1354" s="184" t="n">
        <x:v>0</x:v>
      </x:c>
      <x:c r="F1354" s="184" t="n">
        <x:v>0</x:v>
      </x:c>
      <x:c r="G1354" s="184" t="n">
        <x:v>0</x:v>
      </x:c>
      <x:c r="H1354" s="193" t="n">
        <x:v>0</x:v>
      </x:c>
      <x:c r="I1354" s="185" t="n">
        <x:v>0</x:v>
      </x:c>
      <x:c r="J1354" s="185" t="n">
        <x:v>0</x:v>
      </x:c>
      <x:c r="K1354" s="289" t="n">
        <x:v>13167</x:v>
      </x:c>
    </x:row>
    <x:row r="1355" s="117" customFormat="1" hidden="1">
      <x:c r="A1355" s="184" t="inlineStr">
        <x:is>
          <x:t xml:space="preserve">MTPRACFUN178</x:t>
        </x:is>
      </x:c>
      <x:c r="B1355" s="184" t="inlineStr">
        <x:is>
          <x:t xml:space="preserve">JUEGO LLAVE ALLEN LG.1.5-10MM. TACTIX #206005</x:t>
        </x:is>
      </x:c>
      <x:c r="C1355" s="184" t="n">
        <x:v>0</x:v>
      </x:c>
      <x:c r="D1355" s="184" t="n">
        <x:v>0</x:v>
      </x:c>
      <x:c r="E1355" s="184" t="n">
        <x:v>0</x:v>
      </x:c>
      <x:c r="F1355" s="184" t="n">
        <x:v>0</x:v>
      </x:c>
      <x:c r="G1355" s="184" t="n">
        <x:v>0</x:v>
      </x:c>
      <x:c r="H1355" s="193" t="n">
        <x:v>0</x:v>
      </x:c>
      <x:c r="I1355" s="185" t="n">
        <x:v>0</x:v>
      </x:c>
      <x:c r="J1355" s="185" t="n">
        <x:v>0</x:v>
      </x:c>
      <x:c r="K1355" s="289" t="n">
        <x:v>5410</x:v>
      </x:c>
    </x:row>
    <x:row r="1356" s="117" customFormat="1" hidden="1">
      <x:c r="A1356" s="184" t="inlineStr">
        <x:is>
          <x:t xml:space="preserve">MTPRACFUN179</x:t>
        </x:is>
      </x:c>
      <x:c r="B1356" s="184" t="inlineStr">
        <x:is>
          <x:t xml:space="preserve">JUEGO LLAVE ALLEN LG.1/16"-3/8" TACTIX #206007</x:t>
        </x:is>
      </x:c>
      <x:c r="C1356" s="184" t="n">
        <x:v>0</x:v>
      </x:c>
      <x:c r="D1356" s="184" t="n">
        <x:v>0</x:v>
      </x:c>
      <x:c r="E1356" s="184" t="n">
        <x:v>0</x:v>
      </x:c>
      <x:c r="F1356" s="184" t="n">
        <x:v>0</x:v>
      </x:c>
      <x:c r="G1356" s="184" t="n">
        <x:v>0</x:v>
      </x:c>
      <x:c r="H1356" s="193" t="n">
        <x:v>0</x:v>
      </x:c>
      <x:c r="I1356" s="185" t="n">
        <x:v>0</x:v>
      </x:c>
      <x:c r="J1356" s="185" t="n">
        <x:v>0</x:v>
      </x:c>
      <x:c r="K1356" s="289" t="n">
        <x:v>6641</x:v>
      </x:c>
    </x:row>
    <x:row r="1357" s="117" customFormat="1" hidden="1">
      <x:c r="A1357" s="184" t="inlineStr">
        <x:is>
          <x:t xml:space="preserve">MTPRACFUN180</x:t>
        </x:is>
      </x:c>
      <x:c r="B1357" s="184" t="inlineStr">
        <x:is>
          <x:t xml:space="preserve">LIMA REDONDA BAST. 10 A.M.S.</x:t>
        </x:is>
      </x:c>
      <x:c r="C1357" s="184" t="n">
        <x:v>0</x:v>
      </x:c>
      <x:c r="D1357" s="184" t="n">
        <x:v>0</x:v>
      </x:c>
      <x:c r="E1357" s="184" t="n">
        <x:v>0</x:v>
      </x:c>
      <x:c r="F1357" s="184" t="n">
        <x:v>0</x:v>
      </x:c>
      <x:c r="G1357" s="184" t="n">
        <x:v>0</x:v>
      </x:c>
      <x:c r="H1357" s="193" t="n">
        <x:v>0</x:v>
      </x:c>
      <x:c r="I1357" s="185" t="n">
        <x:v>0</x:v>
      </x:c>
      <x:c r="J1357" s="185" t="n">
        <x:v>0</x:v>
      </x:c>
      <x:c r="K1357" s="289" t="n">
        <x:v>2724</x:v>
      </x:c>
    </x:row>
    <x:row r="1358" s="117" customFormat="1" hidden="1">
      <x:c r="A1358" s="184" t="inlineStr">
        <x:is>
          <x:t xml:space="preserve">MTPRACFUN181</x:t>
        </x:is>
      </x:c>
      <x:c r="B1358" s="184" t="inlineStr">
        <x:is>
          <x:t xml:space="preserve">LIMA 1/2 CAÑA BAST. 10 A.M.S</x:t>
        </x:is>
      </x:c>
      <x:c r="C1358" s="184" t="n">
        <x:v>0</x:v>
      </x:c>
      <x:c r="D1358" s="184" t="n">
        <x:v>0</x:v>
      </x:c>
      <x:c r="E1358" s="184" t="n">
        <x:v>0</x:v>
      </x:c>
      <x:c r="F1358" s="184" t="n">
        <x:v>0</x:v>
      </x:c>
      <x:c r="G1358" s="184" t="n">
        <x:v>0</x:v>
      </x:c>
      <x:c r="H1358" s="193" t="n">
        <x:v>0</x:v>
      </x:c>
      <x:c r="I1358" s="185" t="n">
        <x:v>0</x:v>
      </x:c>
      <x:c r="J1358" s="185" t="n">
        <x:v>0</x:v>
      </x:c>
      <x:c r="K1358" s="289" t="n">
        <x:v>4739</x:v>
      </x:c>
    </x:row>
    <x:row r="1359" s="117" customFormat="1" hidden="1">
      <x:c r="A1359" s="184" t="inlineStr">
        <x:is>
          <x:t xml:space="preserve">MTPRACFUN182</x:t>
        </x:is>
      </x:c>
      <x:c r="B1359" s="184" t="inlineStr">
        <x:is>
          <x:t xml:space="preserve">ALICATE MULTIPROPOSITO CORTA PELACABLES</x:t>
        </x:is>
      </x:c>
      <x:c r="C1359" s="184" t="n">
        <x:v>0</x:v>
      </x:c>
      <x:c r="D1359" s="184" t="n">
        <x:v>0</x:v>
      </x:c>
      <x:c r="E1359" s="184" t="n">
        <x:v>0</x:v>
      </x:c>
      <x:c r="F1359" s="184" t="n">
        <x:v>0</x:v>
      </x:c>
      <x:c r="G1359" s="184" t="n">
        <x:v>0</x:v>
      </x:c>
      <x:c r="H1359" s="193" t="n">
        <x:v>0</x:v>
      </x:c>
      <x:c r="I1359" s="185" t="n">
        <x:v>0</x:v>
      </x:c>
      <x:c r="J1359" s="185" t="n">
        <x:v>0</x:v>
      </x:c>
      <x:c r="K1359" s="289" t="n">
        <x:v>9730</x:v>
      </x:c>
    </x:row>
    <x:row r="1360" s="117" customFormat="1" hidden="1">
      <x:c r="A1360" s="184" t="inlineStr">
        <x:is>
          <x:t xml:space="preserve">MTPRACFUN183</x:t>
        </x:is>
      </x:c>
      <x:c r="B1360" s="184" t="inlineStr">
        <x:is>
          <x:t xml:space="preserve">JUEGO ATORNILLADORES PRESICION 8 PZS. # 702509</x:t>
        </x:is>
      </x:c>
      <x:c r="C1360" s="184" t="n">
        <x:v>0</x:v>
      </x:c>
      <x:c r="D1360" s="184" t="n">
        <x:v>0</x:v>
      </x:c>
      <x:c r="E1360" s="184" t="n">
        <x:v>0</x:v>
      </x:c>
      <x:c r="F1360" s="184" t="n">
        <x:v>0</x:v>
      </x:c>
      <x:c r="G1360" s="184" t="n">
        <x:v>0</x:v>
      </x:c>
      <x:c r="H1360" s="193" t="n">
        <x:v>0</x:v>
      </x:c>
      <x:c r="I1360" s="185" t="n">
        <x:v>0</x:v>
      </x:c>
      <x:c r="J1360" s="185" t="n">
        <x:v>0</x:v>
      </x:c>
      <x:c r="K1360" s="289" t="n">
        <x:v>5775</x:v>
      </x:c>
    </x:row>
    <x:row r="1361" s="117" customFormat="1" hidden="1">
      <x:c r="A1361" s="184" t="inlineStr">
        <x:is>
          <x:t xml:space="preserve">MTPRACFUN184</x:t>
        </x:is>
      </x:c>
      <x:c r="B1361" s="184" t="inlineStr">
        <x:is>
          <x:t xml:space="preserve">JUEGO LLAVE P/CORONA 6-22 MM 12PZA TOPTUL</x:t>
        </x:is>
      </x:c>
      <x:c r="C1361" s="184" t="n">
        <x:v>0</x:v>
      </x:c>
      <x:c r="D1361" s="184" t="n">
        <x:v>0</x:v>
      </x:c>
      <x:c r="E1361" s="184" t="n">
        <x:v>0</x:v>
      </x:c>
      <x:c r="F1361" s="184" t="n">
        <x:v>0</x:v>
      </x:c>
      <x:c r="G1361" s="184" t="n">
        <x:v>0</x:v>
      </x:c>
      <x:c r="H1361" s="193" t="n">
        <x:v>0</x:v>
      </x:c>
      <x:c r="I1361" s="185" t="n">
        <x:v>0</x:v>
      </x:c>
      <x:c r="J1361" s="185" t="n">
        <x:v>0</x:v>
      </x:c>
      <x:c r="K1361" s="289" t="n">
        <x:v>31089</x:v>
      </x:c>
    </x:row>
    <x:row r="1362" s="117" customFormat="1" hidden="1">
      <x:c r="A1362" s="184" t="inlineStr">
        <x:is>
          <x:t xml:space="preserve">MTPRACFUN185</x:t>
        </x:is>
      </x:c>
      <x:c r="B1362" s="184" t="inlineStr">
        <x:is>
          <x:t xml:space="preserve">NIVEL TORPEDO MAGNETICO 9" TACTIX # 253001</x:t>
        </x:is>
      </x:c>
      <x:c r="C1362" s="184" t="n">
        <x:v>0</x:v>
      </x:c>
      <x:c r="D1362" s="184" t="n">
        <x:v>0</x:v>
      </x:c>
      <x:c r="E1362" s="184" t="n">
        <x:v>0</x:v>
      </x:c>
      <x:c r="F1362" s="184" t="n">
        <x:v>0</x:v>
      </x:c>
      <x:c r="G1362" s="184" t="n">
        <x:v>0</x:v>
      </x:c>
      <x:c r="H1362" s="193" t="n">
        <x:v>0</x:v>
      </x:c>
      <x:c r="I1362" s="185" t="n">
        <x:v>0</x:v>
      </x:c>
      <x:c r="J1362" s="185" t="n">
        <x:v>0</x:v>
      </x:c>
      <x:c r="K1362" s="289" t="n">
        <x:v>2990</x:v>
      </x:c>
    </x:row>
    <x:row r="1363" s="117" customFormat="1" hidden="1">
      <x:c r="A1363" s="184" t="inlineStr">
        <x:is>
          <x:t xml:space="preserve">MTPRACFUN186</x:t>
        </x:is>
      </x:c>
      <x:c r="B1363" s="184" t="inlineStr">
        <x:is>
          <x:t xml:space="preserve">GAS BUTANO DESECHABLE 190GR</x:t>
        </x:is>
      </x:c>
      <x:c r="C1363" s="184" t="n">
        <x:v>0</x:v>
      </x:c>
      <x:c r="D1363" s="184" t="n">
        <x:v>0</x:v>
      </x:c>
      <x:c r="E1363" s="184" t="n">
        <x:v>0</x:v>
      </x:c>
      <x:c r="F1363" s="184" t="n">
        <x:v>0</x:v>
      </x:c>
      <x:c r="G1363" s="184" t="n">
        <x:v>0</x:v>
      </x:c>
      <x:c r="H1363" s="193" t="n">
        <x:v>0</x:v>
      </x:c>
      <x:c r="I1363" s="185" t="n">
        <x:v>0</x:v>
      </x:c>
      <x:c r="J1363" s="185" t="n">
        <x:v>0</x:v>
      </x:c>
      <x:c r="K1363" s="289" t="n">
        <x:v>949</x:v>
      </x:c>
    </x:row>
    <x:row r="1364" s="117" customFormat="1" hidden="1">
      <x:c r="A1364" s="184" t="inlineStr">
        <x:is>
          <x:t xml:space="preserve">MTPRACFUN187</x:t>
        </x:is>
      </x:c>
      <x:c r="B1364" s="184" t="inlineStr">
        <x:is>
          <x:t xml:space="preserve">LLAVE AJUSTABLE VDE 8</x:t>
        </x:is>
      </x:c>
      <x:c r="C1364" s="184" t="n">
        <x:v>0</x:v>
      </x:c>
      <x:c r="D1364" s="184" t="n">
        <x:v>0</x:v>
      </x:c>
      <x:c r="E1364" s="184" t="n">
        <x:v>0</x:v>
      </x:c>
      <x:c r="F1364" s="184" t="n">
        <x:v>0</x:v>
      </x:c>
      <x:c r="G1364" s="184" t="n">
        <x:v>0</x:v>
      </x:c>
      <x:c r="H1364" s="193" t="n">
        <x:v>0</x:v>
      </x:c>
      <x:c r="I1364" s="185" t="n">
        <x:v>0</x:v>
      </x:c>
      <x:c r="J1364" s="185" t="n">
        <x:v>0</x:v>
      </x:c>
      <x:c r="K1364" s="289" t="n">
        <x:v>24264</x:v>
      </x:c>
    </x:row>
    <x:row r="1365" s="117" customFormat="1" hidden="1">
      <x:c r="A1365" s="184" t="inlineStr">
        <x:is>
          <x:t xml:space="preserve">MTPRACFUN188</x:t>
        </x:is>
      </x:c>
      <x:c r="B1365" s="184" t="inlineStr">
        <x:is>
          <x:t xml:space="preserve">CAIMAN CURVO 10" ONSITE # 700505</x:t>
        </x:is>
      </x:c>
      <x:c r="C1365" s="184" t="n">
        <x:v>0</x:v>
      </x:c>
      <x:c r="D1365" s="184" t="n">
        <x:v>0</x:v>
      </x:c>
      <x:c r="E1365" s="184" t="n">
        <x:v>0</x:v>
      </x:c>
      <x:c r="F1365" s="184" t="n">
        <x:v>0</x:v>
      </x:c>
      <x:c r="G1365" s="184" t="n">
        <x:v>0</x:v>
      </x:c>
      <x:c r="H1365" s="193" t="n">
        <x:v>0</x:v>
      </x:c>
      <x:c r="I1365" s="185" t="n">
        <x:v>0</x:v>
      </x:c>
      <x:c r="J1365" s="185" t="n">
        <x:v>0</x:v>
      </x:c>
      <x:c r="K1365" s="289" t="n">
        <x:v>3735</x:v>
      </x:c>
    </x:row>
    <x:row r="1366" s="117" customFormat="1" hidden="1">
      <x:c r="A1366" s="184" t="inlineStr">
        <x:is>
          <x:t xml:space="preserve">MTPRACFUN189</x:t>
        </x:is>
      </x:c>
      <x:c r="B1366" s="184" t="inlineStr">
        <x:is>
          <x:t xml:space="preserve">TALADRO BOSCH GBM 1600 RE</x:t>
        </x:is>
      </x:c>
      <x:c r="C1366" s="184" t="n">
        <x:v>0</x:v>
      </x:c>
      <x:c r="D1366" s="184" t="n">
        <x:v>0</x:v>
      </x:c>
      <x:c r="E1366" s="184" t="n">
        <x:v>0</x:v>
      </x:c>
      <x:c r="F1366" s="184" t="n">
        <x:v>0</x:v>
      </x:c>
      <x:c r="G1366" s="184" t="n">
        <x:v>0</x:v>
      </x:c>
      <x:c r="H1366" s="193" t="n">
        <x:v>0</x:v>
      </x:c>
      <x:c r="I1366" s="185" t="n">
        <x:v>0</x:v>
      </x:c>
      <x:c r="J1366" s="185" t="n">
        <x:v>0</x:v>
      </x:c>
      <x:c r="K1366" s="289" t="n">
        <x:v>96890</x:v>
      </x:c>
    </x:row>
    <x:row r="1367" s="117" customFormat="1" hidden="1">
      <x:c r="A1367" s="184" t="inlineStr">
        <x:is>
          <x:t xml:space="preserve">MTPRACFUN190</x:t>
        </x:is>
      </x:c>
      <x:c r="B1367" s="184" t="inlineStr">
        <x:is>
          <x:t xml:space="preserve">SOPLADOR 530W (M4000G) MAKITA</x:t>
        </x:is>
      </x:c>
      <x:c r="C1367" s="184" t="n">
        <x:v>0</x:v>
      </x:c>
      <x:c r="D1367" s="184" t="n">
        <x:v>0</x:v>
      </x:c>
      <x:c r="E1367" s="184" t="n">
        <x:v>0</x:v>
      </x:c>
      <x:c r="F1367" s="184" t="n">
        <x:v>0</x:v>
      </x:c>
      <x:c r="G1367" s="184" t="n">
        <x:v>0</x:v>
      </x:c>
      <x:c r="H1367" s="193" t="n">
        <x:v>0</x:v>
      </x:c>
      <x:c r="I1367" s="185" t="n">
        <x:v>0</x:v>
      </x:c>
      <x:c r="J1367" s="185" t="n">
        <x:v>0</x:v>
      </x:c>
      <x:c r="K1367" s="289" t="n">
        <x:v>74460</x:v>
      </x:c>
    </x:row>
    <x:row r="1368" s="117" customFormat="1" hidden="1">
      <x:c r="A1368" s="184" t="inlineStr">
        <x:is>
          <x:t xml:space="preserve">MTPRACFUN191</x:t>
        </x:is>
      </x:c>
      <x:c r="B1368" s="184" t="inlineStr">
        <x:is>
          <x:t xml:space="preserve">ESPATULA 50 MM</x:t>
        </x:is>
      </x:c>
      <x:c r="C1368" s="184" t="n">
        <x:v>28</x:v>
      </x:c>
      <x:c r="D1368" s="184" t="n">
        <x:v>0</x:v>
      </x:c>
      <x:c r="E1368" s="184" t="n">
        <x:v>6</x:v>
      </x:c>
      <x:c r="F1368" s="184" t="n">
        <x:v>22</x:v>
      </x:c>
      <x:c r="G1368" s="184" t="n">
        <x:v>31255</x:v>
      </x:c>
      <x:c r="H1368" s="193" t="n">
        <x:v>0</x:v>
      </x:c>
      <x:c r="I1368" s="185" t="n">
        <x:v>6697</x:v>
      </x:c>
      <x:c r="J1368" s="185" t="n">
        <x:v>24558</x:v>
      </x:c>
      <x:c r="K1368" s="289" t="n">
        <x:v>1116.24231465</x:v>
      </x:c>
    </x:row>
    <x:row r="1369" s="117" customFormat="1" hidden="1">
      <x:c r="A1369" s="184" t="inlineStr">
        <x:is>
          <x:t xml:space="preserve">MTPRACFUN192</x:t>
        </x:is>
      </x:c>
      <x:c r="B1369" s="184" t="inlineStr">
        <x:is>
          <x:t xml:space="preserve">HUINCHA DE MEDIR 10 MTS TACTIX</x:t>
        </x:is>
      </x:c>
      <x:c r="C1369" s="184" t="n">
        <x:v>0</x:v>
      </x:c>
      <x:c r="D1369" s="184" t="n">
        <x:v>0</x:v>
      </x:c>
      <x:c r="E1369" s="184" t="n">
        <x:v>0</x:v>
      </x:c>
      <x:c r="F1369" s="184" t="n">
        <x:v>0</x:v>
      </x:c>
      <x:c r="G1369" s="184" t="n">
        <x:v>0</x:v>
      </x:c>
      <x:c r="H1369" s="193" t="n">
        <x:v>0</x:v>
      </x:c>
      <x:c r="I1369" s="185" t="n">
        <x:v>0</x:v>
      </x:c>
      <x:c r="J1369" s="185" t="n">
        <x:v>0</x:v>
      </x:c>
      <x:c r="K1369" s="289" t="n">
        <x:v>8158</x:v>
      </x:c>
    </x:row>
    <x:row r="1370" s="117" customFormat="1" hidden="1">
      <x:c r="A1370" s="184" t="inlineStr">
        <x:is>
          <x:t xml:space="preserve">MTPRACFUN193</x:t>
        </x:is>
      </x:c>
      <x:c r="B1370" s="184" t="inlineStr">
        <x:is>
          <x:t xml:space="preserve">MARCO SIERRA AJUSTABLE 12</x:t>
        </x:is>
      </x:c>
      <x:c r="C1370" s="184" t="n">
        <x:v>2</x:v>
      </x:c>
      <x:c r="D1370" s="184" t="n">
        <x:v>0</x:v>
      </x:c>
      <x:c r="E1370" s="184" t="n">
        <x:v>0</x:v>
      </x:c>
      <x:c r="F1370" s="184" t="n">
        <x:v>2</x:v>
      </x:c>
      <x:c r="G1370" s="184" t="n">
        <x:v>5801</x:v>
      </x:c>
      <x:c r="H1370" s="193" t="n">
        <x:v>0</x:v>
      </x:c>
      <x:c r="I1370" s="185" t="n">
        <x:v>0</x:v>
      </x:c>
      <x:c r="J1370" s="185" t="n">
        <x:v>5801</x:v>
      </x:c>
      <x:c r="K1370" s="289" t="n">
        <x:v>2900.71428571</x:v>
      </x:c>
    </x:row>
    <x:row r="1371" s="117" customFormat="1" hidden="1">
      <x:c r="A1371" s="184" t="inlineStr">
        <x:is>
          <x:t xml:space="preserve">MTPRACFUN194</x:t>
        </x:is>
      </x:c>
      <x:c r="B1371" s="184" t="inlineStr">
        <x:is>
          <x:t xml:space="preserve">JUEGO DADOS 1/2 8-32 MM 24 PZAS</x:t>
        </x:is>
      </x:c>
      <x:c r="C1371" s="184" t="n">
        <x:v>0</x:v>
      </x:c>
      <x:c r="D1371" s="184" t="n">
        <x:v>0</x:v>
      </x:c>
      <x:c r="E1371" s="184" t="n">
        <x:v>0</x:v>
      </x:c>
      <x:c r="F1371" s="184" t="n">
        <x:v>0</x:v>
      </x:c>
      <x:c r="G1371" s="184" t="n">
        <x:v>0</x:v>
      </x:c>
      <x:c r="H1371" s="193" t="n">
        <x:v>0</x:v>
      </x:c>
      <x:c r="I1371" s="185" t="n">
        <x:v>0</x:v>
      </x:c>
      <x:c r="J1371" s="185" t="n">
        <x:v>0</x:v>
      </x:c>
      <x:c r="K1371" s="289" t="n">
        <x:v>48950</x:v>
      </x:c>
    </x:row>
    <x:row r="1372" s="117" customFormat="1" hidden="1">
      <x:c r="A1372" s="184" t="inlineStr">
        <x:is>
          <x:t xml:space="preserve">MTPRACFUN195</x:t>
        </x:is>
      </x:c>
      <x:c r="B1372" s="184" t="inlineStr">
        <x:is>
          <x:t xml:space="preserve">ALICATE UNIVERSAL 8"</x:t>
        </x:is>
      </x:c>
      <x:c r="C1372" s="184" t="n">
        <x:v>0</x:v>
      </x:c>
      <x:c r="D1372" s="184" t="n">
        <x:v>0</x:v>
      </x:c>
      <x:c r="E1372" s="184" t="n">
        <x:v>0</x:v>
      </x:c>
      <x:c r="F1372" s="184" t="n">
        <x:v>0</x:v>
      </x:c>
      <x:c r="G1372" s="184" t="n">
        <x:v>0</x:v>
      </x:c>
      <x:c r="H1372" s="193" t="n">
        <x:v>0</x:v>
      </x:c>
      <x:c r="I1372" s="185" t="n">
        <x:v>0</x:v>
      </x:c>
      <x:c r="J1372" s="185" t="n">
        <x:v>0</x:v>
      </x:c>
      <x:c r="K1372" s="289" t="n">
        <x:v>3990</x:v>
      </x:c>
    </x:row>
    <x:row r="1373" s="117" customFormat="1" hidden="1">
      <x:c r="A1373" s="184" t="inlineStr">
        <x:is>
          <x:t xml:space="preserve">MTPRACFUN196</x:t>
        </x:is>
      </x:c>
      <x:c r="B1373" s="184" t="inlineStr">
        <x:is>
          <x:t xml:space="preserve">PLOMADA CARPINTERA 350GRS.</x:t>
        </x:is>
      </x:c>
      <x:c r="C1373" s="184" t="n">
        <x:v>0</x:v>
      </x:c>
      <x:c r="D1373" s="184" t="n">
        <x:v>0</x:v>
      </x:c>
      <x:c r="E1373" s="184" t="n">
        <x:v>0</x:v>
      </x:c>
      <x:c r="F1373" s="184" t="n">
        <x:v>0</x:v>
      </x:c>
      <x:c r="G1373" s="184" t="n">
        <x:v>0</x:v>
      </x:c>
      <x:c r="H1373" s="193" t="n">
        <x:v>0</x:v>
      </x:c>
      <x:c r="I1373" s="185" t="n">
        <x:v>0</x:v>
      </x:c>
      <x:c r="J1373" s="185" t="n">
        <x:v>0</x:v>
      </x:c>
      <x:c r="K1373" s="289" t="n">
        <x:v>9590</x:v>
      </x:c>
    </x:row>
    <x:row r="1374" s="117" customFormat="1" hidden="1">
      <x:c r="A1374" s="184" t="inlineStr">
        <x:is>
          <x:t xml:space="preserve">MTPRACFUN197</x:t>
        </x:is>
      </x:c>
      <x:c r="B1374" s="184" t="inlineStr">
        <x:is>
          <x:t xml:space="preserve">LIENZA ALBAÑIL 165 MT #HL-165</x:t>
        </x:is>
      </x:c>
      <x:c r="C1374" s="184" t="n">
        <x:v>0</x:v>
      </x:c>
      <x:c r="D1374" s="184" t="n">
        <x:v>0</x:v>
      </x:c>
      <x:c r="E1374" s="184" t="n">
        <x:v>0</x:v>
      </x:c>
      <x:c r="F1374" s="184" t="n">
        <x:v>0</x:v>
      </x:c>
      <x:c r="G1374" s="184" t="n">
        <x:v>0</x:v>
      </x:c>
      <x:c r="H1374" s="193" t="n">
        <x:v>0</x:v>
      </x:c>
      <x:c r="I1374" s="185" t="n">
        <x:v>0</x:v>
      </x:c>
      <x:c r="J1374" s="185" t="n">
        <x:v>0</x:v>
      </x:c>
      <x:c r="K1374" s="289" t="n">
        <x:v>4950</x:v>
      </x:c>
    </x:row>
    <x:row r="1375" s="117" customFormat="1" hidden="1">
      <x:c r="A1375" s="184" t="inlineStr">
        <x:is>
          <x:t xml:space="preserve">MTPRACFUN198</x:t>
        </x:is>
      </x:c>
      <x:c r="B1375" s="184" t="inlineStr">
        <x:is>
          <x:t xml:space="preserve">TIZADOR PLASTICO 30MT. TACTIX #258055</x:t>
        </x:is>
      </x:c>
      <x:c r="C1375" s="184" t="n">
        <x:v>0</x:v>
      </x:c>
      <x:c r="D1375" s="184" t="n">
        <x:v>0</x:v>
      </x:c>
      <x:c r="E1375" s="184" t="n">
        <x:v>0</x:v>
      </x:c>
      <x:c r="F1375" s="184" t="n">
        <x:v>0</x:v>
      </x:c>
      <x:c r="G1375" s="184" t="n">
        <x:v>0</x:v>
      </x:c>
      <x:c r="H1375" s="193" t="n">
        <x:v>0</x:v>
      </x:c>
      <x:c r="I1375" s="185" t="n">
        <x:v>0</x:v>
      </x:c>
      <x:c r="J1375" s="185" t="n">
        <x:v>0</x:v>
      </x:c>
      <x:c r="K1375" s="289" t="n">
        <x:v>5993.33333333</x:v>
      </x:c>
    </x:row>
    <x:row r="1376" s="117" customFormat="1" hidden="1">
      <x:c r="A1376" s="184" t="inlineStr">
        <x:is>
          <x:t xml:space="preserve">MTPRACFUN199</x:t>
        </x:is>
      </x:c>
      <x:c r="B1376" s="184" t="inlineStr">
        <x:is>
          <x:t xml:space="preserve">NIVEL ALUMINIO 24 TACTIX #250113</x:t>
        </x:is>
      </x:c>
      <x:c r="C1376" s="184" t="n">
        <x:v>0</x:v>
      </x:c>
      <x:c r="D1376" s="184" t="n">
        <x:v>0</x:v>
      </x:c>
      <x:c r="E1376" s="184" t="n">
        <x:v>0</x:v>
      </x:c>
      <x:c r="F1376" s="184" t="n">
        <x:v>0</x:v>
      </x:c>
      <x:c r="G1376" s="184" t="n">
        <x:v>0</x:v>
      </x:c>
      <x:c r="H1376" s="193" t="n">
        <x:v>0</x:v>
      </x:c>
      <x:c r="I1376" s="185" t="n">
        <x:v>0</x:v>
      </x:c>
      <x:c r="J1376" s="185" t="n">
        <x:v>0</x:v>
      </x:c>
      <x:c r="K1376" s="289" t="n">
        <x:v>5602</x:v>
      </x:c>
    </x:row>
    <x:row r="1377" s="117" customFormat="1" hidden="1">
      <x:c r="A1377" s="184" t="inlineStr">
        <x:is>
          <x:t xml:space="preserve">MTPRACFUN200</x:t>
        </x:is>
      </x:c>
      <x:c r="B1377" s="184" t="inlineStr">
        <x:is>
          <x:t xml:space="preserve">NIVEL ALUMINIO 48 TACTIX #250119</x:t>
        </x:is>
      </x:c>
      <x:c r="C1377" s="184" t="n">
        <x:v>0</x:v>
      </x:c>
      <x:c r="D1377" s="184" t="n">
        <x:v>0</x:v>
      </x:c>
      <x:c r="E1377" s="184" t="n">
        <x:v>0</x:v>
      </x:c>
      <x:c r="F1377" s="184" t="n">
        <x:v>0</x:v>
      </x:c>
      <x:c r="G1377" s="184" t="n">
        <x:v>0</x:v>
      </x:c>
      <x:c r="H1377" s="193" t="n">
        <x:v>0</x:v>
      </x:c>
      <x:c r="I1377" s="185" t="n">
        <x:v>0</x:v>
      </x:c>
      <x:c r="J1377" s="185" t="n">
        <x:v>0</x:v>
      </x:c>
      <x:c r="K1377" s="289" t="n">
        <x:v>9160</x:v>
      </x:c>
    </x:row>
    <x:row r="1378" s="117" customFormat="1" hidden="1">
      <x:c r="A1378" s="184" t="inlineStr">
        <x:is>
          <x:t xml:space="preserve">MTPRACFUN201</x:t>
        </x:is>
      </x:c>
      <x:c r="B1378" s="184" t="inlineStr">
        <x:is>
          <x:t xml:space="preserve">JUEGO LLAVE P/CORONA 1/4 - 1.1/4 16PZA TOPTUL</x:t>
        </x:is>
      </x:c>
      <x:c r="C1378" s="184" t="n">
        <x:v>0</x:v>
      </x:c>
      <x:c r="D1378" s="184" t="n">
        <x:v>0</x:v>
      </x:c>
      <x:c r="E1378" s="184" t="n">
        <x:v>0</x:v>
      </x:c>
      <x:c r="F1378" s="184" t="n">
        <x:v>0</x:v>
      </x:c>
      <x:c r="G1378" s="184" t="n">
        <x:v>0</x:v>
      </x:c>
      <x:c r="H1378" s="193" t="n">
        <x:v>0</x:v>
      </x:c>
      <x:c r="I1378" s="185" t="n">
        <x:v>0</x:v>
      </x:c>
      <x:c r="J1378" s="185" t="n">
        <x:v>0</x:v>
      </x:c>
      <x:c r="K1378" s="289" t="n">
        <x:v>59844</x:v>
      </x:c>
    </x:row>
    <x:row r="1379" s="117" customFormat="1" hidden="1">
      <x:c r="A1379" s="184" t="inlineStr">
        <x:is>
          <x:t xml:space="preserve">MTPRACFUN202</x:t>
        </x:is>
      </x:c>
      <x:c r="B1379" s="184" t="inlineStr">
        <x:is>
          <x:t xml:space="preserve">LLAVE P/CORONA 1.1/2 TOPTUL</x:t>
        </x:is>
      </x:c>
      <x:c r="C1379" s="184" t="n">
        <x:v>0</x:v>
      </x:c>
      <x:c r="D1379" s="184" t="n">
        <x:v>0</x:v>
      </x:c>
      <x:c r="E1379" s="184" t="n">
        <x:v>0</x:v>
      </x:c>
      <x:c r="F1379" s="184" t="n">
        <x:v>0</x:v>
      </x:c>
      <x:c r="G1379" s="184" t="n">
        <x:v>0</x:v>
      </x:c>
      <x:c r="H1379" s="193" t="n">
        <x:v>0</x:v>
      </x:c>
      <x:c r="I1379" s="185" t="n">
        <x:v>0</x:v>
      </x:c>
      <x:c r="J1379" s="185" t="n">
        <x:v>0</x:v>
      </x:c>
      <x:c r="K1379" s="289" t="n">
        <x:v>15299</x:v>
      </x:c>
    </x:row>
    <x:row r="1380" s="117" customFormat="1" hidden="1">
      <x:c r="A1380" s="184" t="inlineStr">
        <x:is>
          <x:t xml:space="preserve">MTPRACFUN203</x:t>
        </x:is>
      </x:c>
      <x:c r="B1380" s="184" t="inlineStr">
        <x:is>
          <x:t xml:space="preserve">PALA DE BASURA METALICA</x:t>
        </x:is>
      </x:c>
      <x:c r="C1380" s="184" t="n">
        <x:v>0</x:v>
      </x:c>
      <x:c r="D1380" s="184" t="n">
        <x:v>0</x:v>
      </x:c>
      <x:c r="E1380" s="184" t="n">
        <x:v>0</x:v>
      </x:c>
      <x:c r="F1380" s="184" t="n">
        <x:v>0</x:v>
      </x:c>
      <x:c r="G1380" s="184" t="n">
        <x:v>0</x:v>
      </x:c>
      <x:c r="H1380" s="193" t="n">
        <x:v>0</x:v>
      </x:c>
      <x:c r="I1380" s="185" t="n">
        <x:v>0</x:v>
      </x:c>
      <x:c r="J1380" s="185" t="n">
        <x:v>0</x:v>
      </x:c>
      <x:c r="K1380" s="289" t="n">
        <x:v>5950</x:v>
      </x:c>
    </x:row>
    <x:row r="1381" s="117" customFormat="1" hidden="1">
      <x:c r="A1381" s="184" t="inlineStr">
        <x:is>
          <x:t xml:space="preserve">MTPRACFUN204</x:t>
        </x:is>
      </x:c>
      <x:c r="B1381" s="184" t="inlineStr">
        <x:is>
          <x:t xml:space="preserve">PROYECTOR LED 50W PORT. RECARGABLES</x:t>
        </x:is>
      </x:c>
      <x:c r="C1381" s="184" t="n">
        <x:v>0</x:v>
      </x:c>
      <x:c r="D1381" s="184" t="n">
        <x:v>0</x:v>
      </x:c>
      <x:c r="E1381" s="184" t="n">
        <x:v>0</x:v>
      </x:c>
      <x:c r="F1381" s="184" t="n">
        <x:v>0</x:v>
      </x:c>
      <x:c r="G1381" s="184" t="n">
        <x:v>0</x:v>
      </x:c>
      <x:c r="H1381" s="193" t="n">
        <x:v>0</x:v>
      </x:c>
      <x:c r="I1381" s="185" t="n">
        <x:v>0</x:v>
      </x:c>
      <x:c r="J1381" s="185" t="n">
        <x:v>0</x:v>
      </x:c>
      <x:c r="K1381" s="289" t="n">
        <x:v>42900</x:v>
      </x:c>
    </x:row>
    <x:row r="1382" s="117" customFormat="1" hidden="1">
      <x:c r="A1382" s="184" t="inlineStr">
        <x:is>
          <x:t xml:space="preserve">MTPRACFUN205</x:t>
        </x:is>
      </x:c>
      <x:c r="B1382" s="184" t="inlineStr">
        <x:is>
          <x:t xml:space="preserve">TECLE PALANCA 3 TON. X 1.5. MTS KYOTO</x:t>
        </x:is>
      </x:c>
      <x:c r="C1382" s="184" t="n">
        <x:v>0</x:v>
      </x:c>
      <x:c r="D1382" s="184" t="n">
        <x:v>0</x:v>
      </x:c>
      <x:c r="E1382" s="184" t="n">
        <x:v>0</x:v>
      </x:c>
      <x:c r="F1382" s="184" t="n">
        <x:v>0</x:v>
      </x:c>
      <x:c r="G1382" s="184" t="n">
        <x:v>0</x:v>
      </x:c>
      <x:c r="H1382" s="193" t="n">
        <x:v>0</x:v>
      </x:c>
      <x:c r="I1382" s="185" t="n">
        <x:v>0</x:v>
      </x:c>
      <x:c r="J1382" s="185" t="n">
        <x:v>0</x:v>
      </x:c>
      <x:c r="K1382" s="289" t="n">
        <x:v>76511</x:v>
      </x:c>
    </x:row>
    <x:row r="1383" s="117" customFormat="1" hidden="1">
      <x:c r="A1383" s="184" t="inlineStr">
        <x:is>
          <x:t xml:space="preserve">MTPRACFUN206</x:t>
        </x:is>
      </x:c>
      <x:c r="B1383" s="184" t="inlineStr">
        <x:is>
          <x:t xml:space="preserve">LLAVE STILLSON H.D. 18 TACTIX</x:t>
        </x:is>
      </x:c>
      <x:c r="C1383" s="184" t="n">
        <x:v>0</x:v>
      </x:c>
      <x:c r="D1383" s="184" t="n">
        <x:v>0</x:v>
      </x:c>
      <x:c r="E1383" s="184" t="n">
        <x:v>0</x:v>
      </x:c>
      <x:c r="F1383" s="184" t="n">
        <x:v>0</x:v>
      </x:c>
      <x:c r="G1383" s="184" t="n">
        <x:v>0</x:v>
      </x:c>
      <x:c r="H1383" s="193" t="n">
        <x:v>0</x:v>
      </x:c>
      <x:c r="I1383" s="185" t="n">
        <x:v>0</x:v>
      </x:c>
      <x:c r="J1383" s="185" t="n">
        <x:v>0</x:v>
      </x:c>
      <x:c r="K1383" s="289" t="n">
        <x:v>21032</x:v>
      </x:c>
    </x:row>
    <x:row r="1384" s="117" customFormat="1" hidden="1">
      <x:c r="A1384" s="184" t="inlineStr">
        <x:is>
          <x:t xml:space="preserve">MTPRACFUN207</x:t>
        </x:is>
      </x:c>
      <x:c r="B1384" s="184" t="inlineStr">
        <x:is>
          <x:t xml:space="preserve">ESCALERA AL. ARTICULADA 4X4 INCO L3,65 C150</x:t>
        </x:is>
      </x:c>
      <x:c r="C1384" s="184" t="n">
        <x:v>0</x:v>
      </x:c>
      <x:c r="D1384" s="184" t="n">
        <x:v>0</x:v>
      </x:c>
      <x:c r="E1384" s="184" t="n">
        <x:v>0</x:v>
      </x:c>
      <x:c r="F1384" s="184" t="n">
        <x:v>0</x:v>
      </x:c>
      <x:c r="G1384" s="184" t="n">
        <x:v>0</x:v>
      </x:c>
      <x:c r="H1384" s="193" t="n">
        <x:v>0</x:v>
      </x:c>
      <x:c r="I1384" s="185" t="n">
        <x:v>0</x:v>
      </x:c>
      <x:c r="J1384" s="185" t="n">
        <x:v>0</x:v>
      </x:c>
      <x:c r="K1384" s="289" t="n">
        <x:v>114243</x:v>
      </x:c>
    </x:row>
    <x:row r="1385" s="117" customFormat="1" hidden="1">
      <x:c r="A1385" s="184" t="inlineStr">
        <x:is>
          <x:t xml:space="preserve">MTPRACFUN208</x:t>
        </x:is>
      </x:c>
      <x:c r="B1385" s="184" t="inlineStr">
        <x:is>
          <x:t xml:space="preserve">TECLE CADENA 1 TON. x 3 MTS KYOTO</x:t>
        </x:is>
      </x:c>
      <x:c r="C1385" s="184" t="n">
        <x:v>0</x:v>
      </x:c>
      <x:c r="D1385" s="184" t="n">
        <x:v>0</x:v>
      </x:c>
      <x:c r="E1385" s="184" t="n">
        <x:v>0</x:v>
      </x:c>
      <x:c r="F1385" s="184" t="n">
        <x:v>0</x:v>
      </x:c>
      <x:c r="G1385" s="184" t="n">
        <x:v>0</x:v>
      </x:c>
      <x:c r="H1385" s="193" t="n">
        <x:v>0</x:v>
      </x:c>
      <x:c r="I1385" s="185" t="n">
        <x:v>0</x:v>
      </x:c>
      <x:c r="J1385" s="185" t="n">
        <x:v>0</x:v>
      </x:c>
      <x:c r="K1385" s="289" t="n">
        <x:v>67581</x:v>
      </x:c>
    </x:row>
    <x:row r="1386" s="117" customFormat="1" hidden="1">
      <x:c r="A1386" s="184" t="inlineStr">
        <x:is>
          <x:t xml:space="preserve">MTPRACFUN209</x:t>
        </x:is>
      </x:c>
      <x:c r="B1386" s="184" t="inlineStr">
        <x:is>
          <x:t xml:space="preserve">JUEGO ATORNILLADORES ECONOMICO 6 PZAS TACTIX #205439</x:t>
        </x:is>
      </x:c>
      <x:c r="C1386" s="184" t="n">
        <x:v>0</x:v>
      </x:c>
      <x:c r="D1386" s="184" t="n">
        <x:v>0</x:v>
      </x:c>
      <x:c r="E1386" s="184" t="n">
        <x:v>0</x:v>
      </x:c>
      <x:c r="F1386" s="184" t="n">
        <x:v>0</x:v>
      </x:c>
      <x:c r="G1386" s="184" t="n">
        <x:v>0</x:v>
      </x:c>
      <x:c r="H1386" s="193" t="n">
        <x:v>0</x:v>
      </x:c>
      <x:c r="I1386" s="185" t="n">
        <x:v>0</x:v>
      </x:c>
      <x:c r="J1386" s="185" t="n">
        <x:v>0</x:v>
      </x:c>
      <x:c r="K1386" s="289" t="n">
        <x:v>7340</x:v>
      </x:c>
    </x:row>
    <x:row r="1387" s="117" customFormat="1" hidden="1">
      <x:c r="A1387" s="184" t="inlineStr">
        <x:is>
          <x:t xml:space="preserve">MTPRACFUN210</x:t>
        </x:is>
      </x:c>
      <x:c r="B1387" s="184" t="inlineStr">
        <x:is>
          <x:t xml:space="preserve">PASTECA DOBLE 5 x 1/2 x 1.5</x:t>
        </x:is>
      </x:c>
      <x:c r="C1387" s="184" t="n">
        <x:v>0</x:v>
      </x:c>
      <x:c r="D1387" s="184" t="n">
        <x:v>0</x:v>
      </x:c>
      <x:c r="E1387" s="184" t="n">
        <x:v>0</x:v>
      </x:c>
      <x:c r="F1387" s="184" t="n">
        <x:v>0</x:v>
      </x:c>
      <x:c r="G1387" s="184" t="n">
        <x:v>0</x:v>
      </x:c>
      <x:c r="H1387" s="193" t="n">
        <x:v>0</x:v>
      </x:c>
      <x:c r="I1387" s="185" t="n">
        <x:v>0</x:v>
      </x:c>
      <x:c r="J1387" s="185" t="n">
        <x:v>0</x:v>
      </x:c>
      <x:c r="K1387" s="289" t="n">
        <x:v>47863</x:v>
      </x:c>
    </x:row>
    <x:row r="1388" s="117" customFormat="1" hidden="1">
      <x:c r="A1388" s="184" t="inlineStr">
        <x:is>
          <x:t xml:space="preserve">MTPRACFUN211</x:t>
        </x:is>
      </x:c>
      <x:c r="B1388" s="184" t="inlineStr">
        <x:is>
          <x:t xml:space="preserve">EXTRACTOR AIRE PORTATIL SHT-30/300MM</x:t>
        </x:is>
      </x:c>
      <x:c r="C1388" s="184" t="n">
        <x:v>0</x:v>
      </x:c>
      <x:c r="D1388" s="184" t="n">
        <x:v>0</x:v>
      </x:c>
      <x:c r="E1388" s="184" t="n">
        <x:v>0</x:v>
      </x:c>
      <x:c r="F1388" s="184" t="n">
        <x:v>0</x:v>
      </x:c>
      <x:c r="G1388" s="184" t="n">
        <x:v>0</x:v>
      </x:c>
      <x:c r="H1388" s="193" t="n">
        <x:v>0</x:v>
      </x:c>
      <x:c r="I1388" s="185" t="n">
        <x:v>0</x:v>
      </x:c>
      <x:c r="J1388" s="185" t="n">
        <x:v>0</x:v>
      </x:c>
      <x:c r="K1388" s="289" t="n">
        <x:v>204000</x:v>
      </x:c>
    </x:row>
    <x:row r="1389" s="117" customFormat="1" hidden="1">
      <x:c r="A1389" s="184" t="inlineStr">
        <x:is>
          <x:t xml:space="preserve">MTPRACFUN212</x:t>
        </x:is>
      </x:c>
      <x:c r="B1389" s="184" t="inlineStr">
        <x:is>
          <x:t xml:space="preserve">DUCTO AIRE 12 P/EXTRACTOR SHT-30</x:t>
        </x:is>
      </x:c>
      <x:c r="C1389" s="184" t="n">
        <x:v>0</x:v>
      </x:c>
      <x:c r="D1389" s="184" t="n">
        <x:v>0</x:v>
      </x:c>
      <x:c r="E1389" s="184" t="n">
        <x:v>0</x:v>
      </x:c>
      <x:c r="F1389" s="184" t="n">
        <x:v>0</x:v>
      </x:c>
      <x:c r="G1389" s="184" t="n">
        <x:v>0</x:v>
      </x:c>
      <x:c r="H1389" s="193" t="n">
        <x:v>0</x:v>
      </x:c>
      <x:c r="I1389" s="185" t="n">
        <x:v>0</x:v>
      </x:c>
      <x:c r="J1389" s="185" t="n">
        <x:v>0</x:v>
      </x:c>
      <x:c r="K1389" s="289" t="n">
        <x:v>124800</x:v>
      </x:c>
    </x:row>
    <x:row r="1390" s="117" customFormat="1" hidden="1">
      <x:c r="A1390" s="184" t="inlineStr">
        <x:is>
          <x:t xml:space="preserve">MTPRACFUN213</x:t>
        </x:is>
      </x:c>
      <x:c r="B1390" s="184" t="inlineStr">
        <x:is>
          <x:t xml:space="preserve">CINTA 3M #3939 2 x 55 MTS</x:t>
        </x:is>
      </x:c>
      <x:c r="C1390" s="184" t="n">
        <x:v>0</x:v>
      </x:c>
      <x:c r="D1390" s="184" t="n">
        <x:v>0</x:v>
      </x:c>
      <x:c r="E1390" s="184" t="n">
        <x:v>0</x:v>
      </x:c>
      <x:c r="F1390" s="184" t="n">
        <x:v>0</x:v>
      </x:c>
      <x:c r="G1390" s="184" t="n">
        <x:v>0</x:v>
      </x:c>
      <x:c r="H1390" s="193" t="n">
        <x:v>0</x:v>
      </x:c>
      <x:c r="I1390" s="185" t="n">
        <x:v>0</x:v>
      </x:c>
      <x:c r="J1390" s="185" t="n">
        <x:v>0</x:v>
      </x:c>
      <x:c r="K1390" s="289" t="n">
        <x:v>11500</x:v>
      </x:c>
    </x:row>
    <x:row r="1391" s="117" customFormat="1" hidden="1">
      <x:c r="A1391" s="184" t="inlineStr">
        <x:is>
          <x:t xml:space="preserve">MTPRACFUN214</x:t>
        </x:is>
      </x:c>
      <x:c r="B1391" s="184" t="inlineStr">
        <x:is>
          <x:t xml:space="preserve">CARRETILLA 90LT S/RUEDA</x:t>
        </x:is>
      </x:c>
      <x:c r="C1391" s="184" t="n">
        <x:v>0</x:v>
      </x:c>
      <x:c r="D1391" s="184" t="n">
        <x:v>0</x:v>
      </x:c>
      <x:c r="E1391" s="184" t="n">
        <x:v>0</x:v>
      </x:c>
      <x:c r="F1391" s="184" t="n">
        <x:v>0</x:v>
      </x:c>
      <x:c r="G1391" s="184" t="n">
        <x:v>0</x:v>
      </x:c>
      <x:c r="H1391" s="193" t="n">
        <x:v>0</x:v>
      </x:c>
      <x:c r="I1391" s="185" t="n">
        <x:v>0</x:v>
      </x:c>
      <x:c r="J1391" s="185" t="n">
        <x:v>0</x:v>
      </x:c>
      <x:c r="K1391" s="289" t="n">
        <x:v>17226</x:v>
      </x:c>
    </x:row>
    <x:row r="1392" s="117" customFormat="1" hidden="1">
      <x:c r="A1392" s="184" t="inlineStr">
        <x:is>
          <x:t xml:space="preserve">MTPRACFUN215</x:t>
        </x:is>
      </x:c>
      <x:c r="B1392" s="184" t="inlineStr">
        <x:is>
          <x:t xml:space="preserve">RUEDA NEUMATICO CARRETILLA</x:t>
        </x:is>
      </x:c>
      <x:c r="C1392" s="184" t="n">
        <x:v>2</x:v>
      </x:c>
      <x:c r="D1392" s="184" t="n">
        <x:v>0</x:v>
      </x:c>
      <x:c r="E1392" s="184" t="n">
        <x:v>0</x:v>
      </x:c>
      <x:c r="F1392" s="184" t="n">
        <x:v>2</x:v>
      </x:c>
      <x:c r="G1392" s="184" t="n">
        <x:v>29568</x:v>
      </x:c>
      <x:c r="H1392" s="193" t="n">
        <x:v>0</x:v>
      </x:c>
      <x:c r="I1392" s="185" t="n">
        <x:v>0</x:v>
      </x:c>
      <x:c r="J1392" s="185" t="n">
        <x:v>29568</x:v>
      </x:c>
      <x:c r="K1392" s="289" t="n">
        <x:v>14784</x:v>
      </x:c>
    </x:row>
    <x:row r="1393" s="117" customFormat="1" hidden="1">
      <x:c r="A1393" s="184" t="inlineStr">
        <x:is>
          <x:t xml:space="preserve">MTPRACFUN216</x:t>
        </x:is>
      </x:c>
      <x:c r="B1393" s="184" t="inlineStr">
        <x:is>
          <x:t xml:space="preserve">ESCUADRA PLANA 24 TACTIX # 239055</x:t>
        </x:is>
      </x:c>
      <x:c r="C1393" s="184" t="n">
        <x:v>0</x:v>
      </x:c>
      <x:c r="D1393" s="184" t="n">
        <x:v>0</x:v>
      </x:c>
      <x:c r="E1393" s="184" t="n">
        <x:v>0</x:v>
      </x:c>
      <x:c r="F1393" s="184" t="n">
        <x:v>0</x:v>
      </x:c>
      <x:c r="G1393" s="184" t="n">
        <x:v>0</x:v>
      </x:c>
      <x:c r="H1393" s="193" t="n">
        <x:v>0</x:v>
      </x:c>
      <x:c r="I1393" s="185" t="n">
        <x:v>0</x:v>
      </x:c>
      <x:c r="J1393" s="185" t="n">
        <x:v>0</x:v>
      </x:c>
      <x:c r="K1393" s="289" t="n">
        <x:v>6853</x:v>
      </x:c>
    </x:row>
    <x:row r="1394" s="117" customFormat="1" hidden="1">
      <x:c r="A1394" s="184" t="inlineStr">
        <x:is>
          <x:t xml:space="preserve">MTPRACFUN217</x:t>
        </x:is>
      </x:c>
      <x:c r="B1394" s="184" t="inlineStr">
        <x:is>
          <x:t xml:space="preserve">MARTILLO PLASTICO 40MM A.M.S</x:t>
        </x:is>
      </x:c>
      <x:c r="C1394" s="184" t="n">
        <x:v>0</x:v>
      </x:c>
      <x:c r="D1394" s="184" t="n">
        <x:v>0</x:v>
      </x:c>
      <x:c r="E1394" s="184" t="n">
        <x:v>0</x:v>
      </x:c>
      <x:c r="F1394" s="184" t="n">
        <x:v>0</x:v>
      </x:c>
      <x:c r="G1394" s="184" t="n">
        <x:v>0</x:v>
      </x:c>
      <x:c r="H1394" s="193" t="n">
        <x:v>0</x:v>
      </x:c>
      <x:c r="I1394" s="185" t="n">
        <x:v>0</x:v>
      </x:c>
      <x:c r="J1394" s="185" t="n">
        <x:v>0</x:v>
      </x:c>
      <x:c r="K1394" s="289" t="n">
        <x:v>11885</x:v>
      </x:c>
    </x:row>
    <x:row r="1395" s="117" customFormat="1" hidden="1">
      <x:c r="A1395" s="184" t="inlineStr">
        <x:is>
          <x:t xml:space="preserve">MTPRACFUN218</x:t>
        </x:is>
      </x:c>
      <x:c r="B1395" s="184" t="inlineStr">
        <x:is>
          <x:t xml:space="preserve">LLANA LISA 15x30 CMS</x:t>
        </x:is>
      </x:c>
      <x:c r="C1395" s="184" t="n">
        <x:v>0</x:v>
      </x:c>
      <x:c r="D1395" s="184" t="n">
        <x:v>0</x:v>
      </x:c>
      <x:c r="E1395" s="184" t="n">
        <x:v>0</x:v>
      </x:c>
      <x:c r="F1395" s="184" t="n">
        <x:v>0</x:v>
      </x:c>
      <x:c r="G1395" s="184" t="n">
        <x:v>0</x:v>
      </x:c>
      <x:c r="H1395" s="193" t="n">
        <x:v>0</x:v>
      </x:c>
      <x:c r="I1395" s="185" t="n">
        <x:v>0</x:v>
      </x:c>
      <x:c r="J1395" s="185" t="n">
        <x:v>0</x:v>
      </x:c>
      <x:c r="K1395" s="289" t="n">
        <x:v>9890</x:v>
      </x:c>
    </x:row>
    <x:row r="1396" s="117" customFormat="1" hidden="1">
      <x:c r="A1396" s="184" t="inlineStr">
        <x:is>
          <x:t xml:space="preserve">MTPRACFUN219</x:t>
        </x:is>
      </x:c>
      <x:c r="B1396" s="184" t="inlineStr">
        <x:is>
          <x:t xml:space="preserve">LLAVE AJUSTABLE 12 ONSITE #704009</x:t>
        </x:is>
      </x:c>
      <x:c r="C1396" s="184" t="n">
        <x:v>0</x:v>
      </x:c>
      <x:c r="D1396" s="184" t="n">
        <x:v>0</x:v>
      </x:c>
      <x:c r="E1396" s="184" t="n">
        <x:v>0</x:v>
      </x:c>
      <x:c r="F1396" s="184" t="n">
        <x:v>0</x:v>
      </x:c>
      <x:c r="G1396" s="184" t="n">
        <x:v>0</x:v>
      </x:c>
      <x:c r="H1396" s="193" t="n">
        <x:v>0</x:v>
      </x:c>
      <x:c r="I1396" s="185" t="n">
        <x:v>0</x:v>
      </x:c>
      <x:c r="J1396" s="185" t="n">
        <x:v>0</x:v>
      </x:c>
      <x:c r="K1396" s="289" t="n">
        <x:v>7623</x:v>
      </x:c>
    </x:row>
    <x:row r="1397" s="117" customFormat="1" hidden="1">
      <x:c r="A1397" s="184" t="inlineStr">
        <x:is>
          <x:t xml:space="preserve">MTPRACFUN220</x:t>
        </x:is>
      </x:c>
      <x:c r="B1397" s="184" t="inlineStr">
        <x:is>
          <x:t xml:space="preserve">CAJA PORTAHERRAMIENTA 2 EN 1 TACTIX #320310</x:t>
        </x:is>
      </x:c>
      <x:c r="C1397" s="184" t="n">
        <x:v>0</x:v>
      </x:c>
      <x:c r="D1397" s="184" t="n">
        <x:v>0</x:v>
      </x:c>
      <x:c r="E1397" s="184" t="n">
        <x:v>0</x:v>
      </x:c>
      <x:c r="F1397" s="184" t="n">
        <x:v>0</x:v>
      </x:c>
      <x:c r="G1397" s="184" t="n">
        <x:v>0</x:v>
      </x:c>
      <x:c r="H1397" s="193" t="n">
        <x:v>0</x:v>
      </x:c>
      <x:c r="I1397" s="185" t="n">
        <x:v>0</x:v>
      </x:c>
      <x:c r="J1397" s="185" t="n">
        <x:v>0</x:v>
      </x:c>
      <x:c r="K1397" s="289" t="n">
        <x:v>47161</x:v>
      </x:c>
    </x:row>
    <x:row r="1398" s="117" customFormat="1" hidden="1">
      <x:c r="A1398" s="184" t="inlineStr">
        <x:is>
          <x:t xml:space="preserve">MTPRACFUN221</x:t>
        </x:is>
      </x:c>
      <x:c r="B1398" s="184" t="inlineStr">
        <x:is>
          <x:t xml:space="preserve">PRENSA C DE 4 TACTIX</x:t>
        </x:is>
      </x:c>
      <x:c r="C1398" s="184" t="n">
        <x:v>0</x:v>
      </x:c>
      <x:c r="D1398" s="184" t="n">
        <x:v>0</x:v>
      </x:c>
      <x:c r="E1398" s="184" t="n">
        <x:v>0</x:v>
      </x:c>
      <x:c r="F1398" s="184" t="n">
        <x:v>0</x:v>
      </x:c>
      <x:c r="G1398" s="184" t="n">
        <x:v>0</x:v>
      </x:c>
      <x:c r="H1398" s="193" t="n">
        <x:v>0</x:v>
      </x:c>
      <x:c r="I1398" s="185" t="n">
        <x:v>0</x:v>
      </x:c>
      <x:c r="J1398" s="185" t="n">
        <x:v>0</x:v>
      </x:c>
      <x:c r="K1398" s="289" t="n">
        <x:v>4950</x:v>
      </x:c>
    </x:row>
    <x:row r="1399" s="117" customFormat="1" hidden="1">
      <x:c r="A1399" s="184" t="inlineStr">
        <x:is>
          <x:t xml:space="preserve">MTPRACFUN222</x:t>
        </x:is>
      </x:c>
      <x:c r="B1399" s="184" t="inlineStr">
        <x:is>
          <x:t xml:space="preserve">CENTRADOR CONO 1 x 12</x:t>
        </x:is>
      </x:c>
      <x:c r="C1399" s="184" t="n">
        <x:v>0</x:v>
      </x:c>
      <x:c r="D1399" s="184" t="n">
        <x:v>0</x:v>
      </x:c>
      <x:c r="E1399" s="184" t="n">
        <x:v>0</x:v>
      </x:c>
      <x:c r="F1399" s="184" t="n">
        <x:v>0</x:v>
      </x:c>
      <x:c r="G1399" s="184" t="n">
        <x:v>0</x:v>
      </x:c>
      <x:c r="H1399" s="193" t="n">
        <x:v>0</x:v>
      </x:c>
      <x:c r="I1399" s="185" t="n">
        <x:v>0</x:v>
      </x:c>
      <x:c r="J1399" s="185" t="n">
        <x:v>0</x:v>
      </x:c>
      <x:c r="K1399" s="289" t="n">
        <x:v>10890</x:v>
      </x:c>
    </x:row>
    <x:row r="1400" s="117" customFormat="1" hidden="1">
      <x:c r="A1400" s="184" t="inlineStr">
        <x:is>
          <x:t xml:space="preserve">MTPRACFUN223</x:t>
        </x:is>
      </x:c>
      <x:c r="B1400" s="184" t="inlineStr">
        <x:is>
          <x:t xml:space="preserve">RECTIFICADOR BOSCH 1223 500W. (GGS-28) BOSCH</x:t>
        </x:is>
      </x:c>
      <x:c r="C1400" s="184" t="n">
        <x:v>0</x:v>
      </x:c>
      <x:c r="D1400" s="184" t="n">
        <x:v>0</x:v>
      </x:c>
      <x:c r="E1400" s="184" t="n">
        <x:v>0</x:v>
      </x:c>
      <x:c r="F1400" s="184" t="n">
        <x:v>0</x:v>
      </x:c>
      <x:c r="G1400" s="184" t="n">
        <x:v>0</x:v>
      </x:c>
      <x:c r="H1400" s="193" t="n">
        <x:v>0</x:v>
      </x:c>
      <x:c r="I1400" s="185" t="n">
        <x:v>0</x:v>
      </x:c>
      <x:c r="J1400" s="185" t="n">
        <x:v>0</x:v>
      </x:c>
      <x:c r="K1400" s="289" t="n">
        <x:v>119806</x:v>
      </x:c>
    </x:row>
    <x:row r="1401" s="117" customFormat="1" hidden="1">
      <x:c r="A1401" s="184" t="inlineStr">
        <x:is>
          <x:t xml:space="preserve">MTPRACFUN224</x:t>
        </x:is>
      </x:c>
      <x:c r="B1401" s="184" t="inlineStr">
        <x:is>
          <x:t xml:space="preserve">JUEGO DADO IMPACTO CORTO 1/2 10-24</x:t>
        </x:is>
      </x:c>
      <x:c r="C1401" s="184" t="n">
        <x:v>0</x:v>
      </x:c>
      <x:c r="D1401" s="184" t="n">
        <x:v>0</x:v>
      </x:c>
      <x:c r="E1401" s="184" t="n">
        <x:v>0</x:v>
      </x:c>
      <x:c r="F1401" s="184" t="n">
        <x:v>0</x:v>
      </x:c>
      <x:c r="G1401" s="184" t="n">
        <x:v>0</x:v>
      </x:c>
      <x:c r="H1401" s="193" t="n">
        <x:v>0</x:v>
      </x:c>
      <x:c r="I1401" s="185" t="n">
        <x:v>0</x:v>
      </x:c>
      <x:c r="J1401" s="185" t="n">
        <x:v>0</x:v>
      </x:c>
      <x:c r="K1401" s="289" t="n">
        <x:v>24493</x:v>
      </x:c>
    </x:row>
    <x:row r="1402" s="117" customFormat="1" hidden="1">
      <x:c r="A1402" s="184" t="inlineStr">
        <x:is>
          <x:t xml:space="preserve">MTPRACFUN225</x:t>
        </x:is>
      </x:c>
      <x:c r="B1402" s="184" t="inlineStr">
        <x:is>
          <x:t xml:space="preserve">JUEGO DADO IMPACTO CORTO 3/4 26-38</x:t>
        </x:is>
      </x:c>
      <x:c r="C1402" s="184" t="n">
        <x:v>0</x:v>
      </x:c>
      <x:c r="D1402" s="184" t="n">
        <x:v>0</x:v>
      </x:c>
      <x:c r="E1402" s="184" t="n">
        <x:v>0</x:v>
      </x:c>
      <x:c r="F1402" s="184" t="n">
        <x:v>0</x:v>
      </x:c>
      <x:c r="G1402" s="184" t="n">
        <x:v>0</x:v>
      </x:c>
      <x:c r="H1402" s="193" t="n">
        <x:v>0</x:v>
      </x:c>
      <x:c r="I1402" s="185" t="n">
        <x:v>0</x:v>
      </x:c>
      <x:c r="J1402" s="185" t="n">
        <x:v>0</x:v>
      </x:c>
      <x:c r="K1402" s="289" t="n">
        <x:v>58318.333333</x:v>
      </x:c>
    </x:row>
    <x:row r="1403" s="117" customFormat="1" hidden="1">
      <x:c r="A1403" s="184" t="inlineStr">
        <x:is>
          <x:t xml:space="preserve">MTPRACFUN226</x:t>
        </x:is>
      </x:c>
      <x:c r="B1403" s="184" t="inlineStr">
        <x:is>
          <x:t xml:space="preserve">BROCA HSS COBALTO 19MM</x:t>
        </x:is>
      </x:c>
      <x:c r="C1403" s="184" t="n">
        <x:v>0</x:v>
      </x:c>
      <x:c r="D1403" s="184" t="n">
        <x:v>0</x:v>
      </x:c>
      <x:c r="E1403" s="184" t="n">
        <x:v>0</x:v>
      </x:c>
      <x:c r="F1403" s="184" t="n">
        <x:v>0</x:v>
      </x:c>
      <x:c r="G1403" s="184" t="n">
        <x:v>0</x:v>
      </x:c>
      <x:c r="H1403" s="193" t="n">
        <x:v>0</x:v>
      </x:c>
      <x:c r="I1403" s="185" t="n">
        <x:v>0</x:v>
      </x:c>
      <x:c r="J1403" s="185" t="n">
        <x:v>0</x:v>
      </x:c>
      <x:c r="K1403" s="289" t="n">
        <x:v>38500</x:v>
      </x:c>
    </x:row>
    <x:row r="1404" s="117" customFormat="1" hidden="1">
      <x:c r="A1404" s="184" t="inlineStr">
        <x:is>
          <x:t xml:space="preserve">MTPRACFUN227</x:t>
        </x:is>
      </x:c>
      <x:c r="B1404" s="184" t="inlineStr">
        <x:is>
          <x:t xml:space="preserve">BROCA HSS COBALTO 13MM</x:t>
        </x:is>
      </x:c>
      <x:c r="C1404" s="184" t="n">
        <x:v>0</x:v>
      </x:c>
      <x:c r="D1404" s="184" t="n">
        <x:v>0</x:v>
      </x:c>
      <x:c r="E1404" s="184" t="n">
        <x:v>0</x:v>
      </x:c>
      <x:c r="F1404" s="184" t="n">
        <x:v>0</x:v>
      </x:c>
      <x:c r="G1404" s="184" t="n">
        <x:v>0</x:v>
      </x:c>
      <x:c r="H1404" s="193" t="n">
        <x:v>0</x:v>
      </x:c>
      <x:c r="I1404" s="185" t="n">
        <x:v>0</x:v>
      </x:c>
      <x:c r="J1404" s="185" t="n">
        <x:v>0</x:v>
      </x:c>
      <x:c r="K1404" s="289" t="n">
        <x:v>19519</x:v>
      </x:c>
    </x:row>
    <x:row r="1405" s="117" customFormat="1" hidden="1">
      <x:c r="A1405" s="184" t="inlineStr">
        <x:is>
          <x:t xml:space="preserve">MTPRACFUN228</x:t>
        </x:is>
      </x:c>
      <x:c r="B1405" s="184" t="inlineStr">
        <x:is>
          <x:t xml:space="preserve">BROCA HSS COBALTO 16MM</x:t>
        </x:is>
      </x:c>
      <x:c r="C1405" s="184" t="n">
        <x:v>0</x:v>
      </x:c>
      <x:c r="D1405" s="184" t="n">
        <x:v>0</x:v>
      </x:c>
      <x:c r="E1405" s="184" t="n">
        <x:v>0</x:v>
      </x:c>
      <x:c r="F1405" s="184" t="n">
        <x:v>0</x:v>
      </x:c>
      <x:c r="G1405" s="184" t="n">
        <x:v>0</x:v>
      </x:c>
      <x:c r="H1405" s="193" t="n">
        <x:v>0</x:v>
      </x:c>
      <x:c r="I1405" s="185" t="n">
        <x:v>0</x:v>
      </x:c>
      <x:c r="J1405" s="185" t="n">
        <x:v>0</x:v>
      </x:c>
      <x:c r="K1405" s="289" t="n">
        <x:v>38500</x:v>
      </x:c>
    </x:row>
    <x:row r="1406" s="117" customFormat="1" hidden="1">
      <x:c r="A1406" s="184" t="inlineStr">
        <x:is>
          <x:t xml:space="preserve">MTPRACFUN229</x:t>
        </x:is>
      </x:c>
      <x:c r="B1406" s="184" t="inlineStr">
        <x:is>
          <x:t xml:space="preserve">BROCA CILINDRICA 5% COBALTO 22M</x:t>
        </x:is>
      </x:c>
      <x:c r="C1406" s="184" t="n">
        <x:v>0</x:v>
      </x:c>
      <x:c r="D1406" s="184" t="n">
        <x:v>0</x:v>
      </x:c>
      <x:c r="E1406" s="184" t="n">
        <x:v>0</x:v>
      </x:c>
      <x:c r="F1406" s="184" t="n">
        <x:v>0</x:v>
      </x:c>
      <x:c r="G1406" s="184" t="n">
        <x:v>0</x:v>
      </x:c>
      <x:c r="H1406" s="193" t="n">
        <x:v>0</x:v>
      </x:c>
      <x:c r="I1406" s="185" t="n">
        <x:v>0</x:v>
      </x:c>
      <x:c r="J1406" s="185" t="n">
        <x:v>0</x:v>
      </x:c>
      <x:c r="K1406" s="289" t="n">
        <x:v>38500</x:v>
      </x:c>
    </x:row>
    <x:row r="1407" s="117" customFormat="1" hidden="1">
      <x:c r="A1407" s="184" t="inlineStr">
        <x:is>
          <x:t xml:space="preserve">MTPRACFUN230</x:t>
        </x:is>
      </x:c>
      <x:c r="B1407" s="184" t="inlineStr">
        <x:is>
          <x:t xml:space="preserve">PUNTA DIAMANTE 1/4 #7120 DR</x:t>
        </x:is>
      </x:c>
      <x:c r="C1407" s="184" t="n">
        <x:v>0</x:v>
      </x:c>
      <x:c r="D1407" s="184" t="n">
        <x:v>0</x:v>
      </x:c>
      <x:c r="E1407" s="184" t="n">
        <x:v>0</x:v>
      </x:c>
      <x:c r="F1407" s="184" t="n">
        <x:v>0</x:v>
      </x:c>
      <x:c r="G1407" s="184" t="n">
        <x:v>0</x:v>
      </x:c>
      <x:c r="H1407" s="193" t="n">
        <x:v>0</x:v>
      </x:c>
      <x:c r="I1407" s="185" t="n">
        <x:v>0</x:v>
      </x:c>
      <x:c r="J1407" s="185" t="n">
        <x:v>0</x:v>
      </x:c>
      <x:c r="K1407" s="289" t="n">
        <x:v>13950</x:v>
      </x:c>
    </x:row>
    <x:row r="1408" s="117" customFormat="1" hidden="1">
      <x:c r="A1408" s="184" t="inlineStr">
        <x:is>
          <x:t xml:space="preserve">MTPRACFUN231</x:t>
        </x:is>
      </x:c>
      <x:c r="B1408" s="184" t="inlineStr">
        <x:is>
          <x:t xml:space="preserve">PALA CARBONERA C/MANGO 5503</x:t>
        </x:is>
      </x:c>
      <x:c r="C1408" s="184" t="n">
        <x:v>0</x:v>
      </x:c>
      <x:c r="D1408" s="184" t="n">
        <x:v>0</x:v>
      </x:c>
      <x:c r="E1408" s="184" t="n">
        <x:v>0</x:v>
      </x:c>
      <x:c r="F1408" s="184" t="n">
        <x:v>0</x:v>
      </x:c>
      <x:c r="G1408" s="184" t="n">
        <x:v>0</x:v>
      </x:c>
      <x:c r="H1408" s="193" t="n">
        <x:v>0</x:v>
      </x:c>
      <x:c r="I1408" s="185" t="n">
        <x:v>0</x:v>
      </x:c>
      <x:c r="J1408" s="185" t="n">
        <x:v>0</x:v>
      </x:c>
      <x:c r="K1408" s="289" t="n">
        <x:v>13900</x:v>
      </x:c>
    </x:row>
    <x:row r="1409" s="117" customFormat="1" hidden="1">
      <x:c r="A1409" s="184" t="inlineStr">
        <x:is>
          <x:t xml:space="preserve">MTPRACFUN232</x:t>
        </x:is>
      </x:c>
      <x:c r="B1409" s="184" t="inlineStr">
        <x:is>
          <x:t xml:space="preserve">MEZCLADOR PINTURA Y CEMENTO EINHELL</x:t>
        </x:is>
      </x:c>
      <x:c r="C1409" s="184" t="n">
        <x:v>0</x:v>
      </x:c>
      <x:c r="D1409" s="184" t="n">
        <x:v>0</x:v>
      </x:c>
      <x:c r="E1409" s="184" t="n">
        <x:v>0</x:v>
      </x:c>
      <x:c r="F1409" s="184" t="n">
        <x:v>0</x:v>
      </x:c>
      <x:c r="G1409" s="184" t="n">
        <x:v>0</x:v>
      </x:c>
      <x:c r="H1409" s="193" t="n">
        <x:v>0</x:v>
      </x:c>
      <x:c r="I1409" s="185" t="n">
        <x:v>0</x:v>
      </x:c>
      <x:c r="J1409" s="185" t="n">
        <x:v>0</x:v>
      </x:c>
      <x:c r="K1409" s="289" t="n">
        <x:v>94680</x:v>
      </x:c>
    </x:row>
    <x:row r="1410" s="117" customFormat="1" hidden="1">
      <x:c r="A1410" s="184" t="inlineStr">
        <x:is>
          <x:t xml:space="preserve">MTPRACFUN233</x:t>
        </x:is>
      </x:c>
      <x:c r="B1410" s="184" t="inlineStr">
        <x:is>
          <x:t xml:space="preserve">LIMA ROTATIVA C.T. F1225</x:t>
        </x:is>
      </x:c>
      <x:c r="C1410" s="184" t="n">
        <x:v>0</x:v>
      </x:c>
      <x:c r="D1410" s="184" t="n">
        <x:v>0</x:v>
      </x:c>
      <x:c r="E1410" s="184" t="n">
        <x:v>0</x:v>
      </x:c>
      <x:c r="F1410" s="184" t="n">
        <x:v>0</x:v>
      </x:c>
      <x:c r="G1410" s="184" t="n">
        <x:v>0</x:v>
      </x:c>
      <x:c r="H1410" s="193" t="n">
        <x:v>0</x:v>
      </x:c>
      <x:c r="I1410" s="185" t="n">
        <x:v>0</x:v>
      </x:c>
      <x:c r="J1410" s="185" t="n">
        <x:v>0</x:v>
      </x:c>
      <x:c r="K1410" s="289" t="n">
        <x:v>25980</x:v>
      </x:c>
    </x:row>
    <x:row r="1411" s="117" customFormat="1" hidden="1">
      <x:c r="A1411" s="184" t="inlineStr">
        <x:is>
          <x:t xml:space="preserve">MTPRACFUN234</x:t>
        </x:is>
      </x:c>
      <x:c r="B1411" s="184" t="inlineStr">
        <x:is>
          <x:t xml:space="preserve">TALADRO 1/2" 2VEL. 123D 650W BOSCH (GSB-13-RE) C/ M</x:t>
        </x:is>
      </x:c>
      <x:c r="C1411" s="184" t="n">
        <x:v>0</x:v>
      </x:c>
      <x:c r="D1411" s="184" t="n">
        <x:v>0</x:v>
      </x:c>
      <x:c r="E1411" s="184" t="n">
        <x:v>0</x:v>
      </x:c>
      <x:c r="F1411" s="184" t="n">
        <x:v>0</x:v>
      </x:c>
      <x:c r="G1411" s="184" t="n">
        <x:v>0</x:v>
      </x:c>
      <x:c r="H1411" s="193" t="n">
        <x:v>0</x:v>
      </x:c>
      <x:c r="I1411" s="185" t="n">
        <x:v>0</x:v>
      </x:c>
      <x:c r="J1411" s="185" t="n">
        <x:v>0</x:v>
      </x:c>
      <x:c r="K1411" s="289" t="n">
        <x:v>50952</x:v>
      </x:c>
    </x:row>
    <x:row r="1412" s="117" customFormat="1" hidden="1">
      <x:c r="A1412" s="184" t="inlineStr">
        <x:is>
          <x:t xml:space="preserve">MTPRACFUN235</x:t>
        </x:is>
      </x:c>
      <x:c r="B1412" s="184" t="inlineStr">
        <x:is>
          <x:t xml:space="preserve">SIERRA CIRCULAR 7.1/4" C/MALETA 1.800W (5007NK) MA</x:t>
        </x:is>
      </x:c>
      <x:c r="C1412" s="184" t="n">
        <x:v>0</x:v>
      </x:c>
      <x:c r="D1412" s="184" t="n">
        <x:v>0</x:v>
      </x:c>
      <x:c r="E1412" s="184" t="n">
        <x:v>0</x:v>
      </x:c>
      <x:c r="F1412" s="184" t="n">
        <x:v>0</x:v>
      </x:c>
      <x:c r="G1412" s="184" t="n">
        <x:v>0</x:v>
      </x:c>
      <x:c r="H1412" s="193" t="n">
        <x:v>0</x:v>
      </x:c>
      <x:c r="I1412" s="185" t="n">
        <x:v>0</x:v>
      </x:c>
      <x:c r="J1412" s="185" t="n">
        <x:v>0</x:v>
      </x:c>
      <x:c r="K1412" s="289" t="n">
        <x:v>95566</x:v>
      </x:c>
    </x:row>
    <x:row r="1413" s="117" customFormat="1" hidden="1">
      <x:c r="A1413" s="184" t="inlineStr">
        <x:is>
          <x:t xml:space="preserve">MTPRACFUN236</x:t>
        </x:is>
      </x:c>
      <x:c r="B1413" s="184" t="inlineStr">
        <x:is>
          <x:t xml:space="preserve">TECLE PALANCA 1.5 TON X 1.5 MTS KYOTO</x:t>
        </x:is>
      </x:c>
      <x:c r="C1413" s="184" t="n">
        <x:v>0</x:v>
      </x:c>
      <x:c r="D1413" s="184" t="n">
        <x:v>0</x:v>
      </x:c>
      <x:c r="E1413" s="184" t="n">
        <x:v>0</x:v>
      </x:c>
      <x:c r="F1413" s="184" t="n">
        <x:v>0</x:v>
      </x:c>
      <x:c r="G1413" s="184" t="n">
        <x:v>0</x:v>
      </x:c>
      <x:c r="H1413" s="193" t="n">
        <x:v>0</x:v>
      </x:c>
      <x:c r="I1413" s="185" t="n">
        <x:v>0</x:v>
      </x:c>
      <x:c r="J1413" s="185" t="n">
        <x:v>0</x:v>
      </x:c>
      <x:c r="K1413" s="289" t="n">
        <x:v>128900</x:v>
      </x:c>
    </x:row>
    <x:row r="1414" s="117" customFormat="1" hidden="1">
      <x:c r="A1414" s="184" t="inlineStr">
        <x:is>
          <x:t xml:space="preserve">MTPRACFUN237</x:t>
        </x:is>
      </x:c>
      <x:c r="B1414" s="184" t="inlineStr">
        <x:is>
          <x:t xml:space="preserve">ESLINGA SINTETICA 2 CAPAS 50MM X 3MT</x:t>
        </x:is>
      </x:c>
      <x:c r="C1414" s="184" t="n">
        <x:v>6</x:v>
      </x:c>
      <x:c r="D1414" s="184" t="n">
        <x:v>0</x:v>
      </x:c>
      <x:c r="E1414" s="184" t="n">
        <x:v>0</x:v>
      </x:c>
      <x:c r="F1414" s="184" t="n">
        <x:v>6</x:v>
      </x:c>
      <x:c r="G1414" s="184" t="n">
        <x:v>50796</x:v>
      </x:c>
      <x:c r="H1414" s="193" t="n">
        <x:v>0</x:v>
      </x:c>
      <x:c r="I1414" s="185" t="n">
        <x:v>0</x:v>
      </x:c>
      <x:c r="J1414" s="185" t="n">
        <x:v>50796</x:v>
      </x:c>
      <x:c r="K1414" s="289" t="n">
        <x:v>8466</x:v>
      </x:c>
    </x:row>
    <x:row r="1415" s="117" customFormat="1" hidden="1">
      <x:c r="A1415" s="184" t="inlineStr">
        <x:is>
          <x:t xml:space="preserve">MTPRACFUN238</x:t>
        </x:is>
      </x:c>
      <x:c r="B1415" s="184" t="inlineStr">
        <x:is>
          <x:t xml:space="preserve">ESLINGA SINTETICA 2 CAPAS 50MM X 2MT</x:t>
        </x:is>
      </x:c>
      <x:c r="C1415" s="184" t="n">
        <x:v>3</x:v>
      </x:c>
      <x:c r="D1415" s="184" t="n">
        <x:v>0</x:v>
      </x:c>
      <x:c r="E1415" s="184" t="n">
        <x:v>0</x:v>
      </x:c>
      <x:c r="F1415" s="184" t="n">
        <x:v>3</x:v>
      </x:c>
      <x:c r="G1415" s="184" t="n">
        <x:v>17628</x:v>
      </x:c>
      <x:c r="H1415" s="193" t="n">
        <x:v>0</x:v>
      </x:c>
      <x:c r="I1415" s="185" t="n">
        <x:v>0</x:v>
      </x:c>
      <x:c r="J1415" s="185" t="n">
        <x:v>17628</x:v>
      </x:c>
      <x:c r="K1415" s="289" t="n">
        <x:v>5876</x:v>
      </x:c>
    </x:row>
    <x:row r="1416" s="117" customFormat="1" hidden="1">
      <x:c r="A1416" s="184" t="inlineStr">
        <x:is>
          <x:t xml:space="preserve">MTPRACFUN239</x:t>
        </x:is>
      </x:c>
      <x:c r="B1416" s="184" t="inlineStr">
        <x:is>
          <x:t xml:space="preserve">ESLINGA SINTETICA 2 CAPAS 50MM X 6MT</x:t>
        </x:is>
      </x:c>
      <x:c r="C1416" s="184" t="n">
        <x:v>3</x:v>
      </x:c>
      <x:c r="D1416" s="184" t="n">
        <x:v>0</x:v>
      </x:c>
      <x:c r="E1416" s="184" t="n">
        <x:v>0</x:v>
      </x:c>
      <x:c r="F1416" s="184" t="n">
        <x:v>3</x:v>
      </x:c>
      <x:c r="G1416" s="184" t="n">
        <x:v>43434</x:v>
      </x:c>
      <x:c r="H1416" s="193" t="n">
        <x:v>0</x:v>
      </x:c>
      <x:c r="I1416" s="185" t="n">
        <x:v>0</x:v>
      </x:c>
      <x:c r="J1416" s="185" t="n">
        <x:v>43434</x:v>
      </x:c>
      <x:c r="K1416" s="289" t="n">
        <x:v>14478</x:v>
      </x:c>
    </x:row>
    <x:row r="1417" s="117" customFormat="1" hidden="1">
      <x:c r="A1417" s="184" t="inlineStr">
        <x:is>
          <x:t xml:space="preserve">MTPRACFUN240</x:t>
        </x:is>
      </x:c>
      <x:c r="B1417" s="184" t="inlineStr">
        <x:is>
          <x:t xml:space="preserve">ESLINGA SINTETICA 2 CAPAS 50MM X 8MT</x:t>
        </x:is>
      </x:c>
      <x:c r="C1417" s="184" t="n">
        <x:v>0</x:v>
      </x:c>
      <x:c r="D1417" s="184" t="n">
        <x:v>0</x:v>
      </x:c>
      <x:c r="E1417" s="184" t="n">
        <x:v>0</x:v>
      </x:c>
      <x:c r="F1417" s="184" t="n">
        <x:v>0</x:v>
      </x:c>
      <x:c r="G1417" s="184" t="n">
        <x:v>0</x:v>
      </x:c>
      <x:c r="H1417" s="193" t="n">
        <x:v>0</x:v>
      </x:c>
      <x:c r="I1417" s="185" t="n">
        <x:v>0</x:v>
      </x:c>
      <x:c r="J1417" s="185" t="n">
        <x:v>0</x:v>
      </x:c>
      <x:c r="K1417" s="289" t="n">
        <x:v>22308</x:v>
      </x:c>
    </x:row>
    <x:row r="1418" s="117" customFormat="1" hidden="1">
      <x:c r="A1418" s="184" t="inlineStr">
        <x:is>
          <x:t xml:space="preserve">MTPRACFUN241</x:t>
        </x:is>
      </x:c>
      <x:c r="B1418" s="184" t="inlineStr">
        <x:is>
          <x:t xml:space="preserve">ESLINGA SINTETICA 2 CAPAS 50MM X 10MT</x:t>
        </x:is>
      </x:c>
      <x:c r="C1418" s="184" t="n">
        <x:v>0</x:v>
      </x:c>
      <x:c r="D1418" s="184" t="n">
        <x:v>0</x:v>
      </x:c>
      <x:c r="E1418" s="184" t="n">
        <x:v>0</x:v>
      </x:c>
      <x:c r="F1418" s="184" t="n">
        <x:v>0</x:v>
      </x:c>
      <x:c r="G1418" s="184" t="n">
        <x:v>0</x:v>
      </x:c>
      <x:c r="H1418" s="193" t="n">
        <x:v>0</x:v>
      </x:c>
      <x:c r="I1418" s="185" t="n">
        <x:v>0</x:v>
      </x:c>
      <x:c r="J1418" s="185" t="n">
        <x:v>0</x:v>
      </x:c>
      <x:c r="K1418" s="289" t="n">
        <x:v>28349</x:v>
      </x:c>
    </x:row>
    <x:row r="1419" s="117" customFormat="1" hidden="1">
      <x:c r="A1419" s="184" t="inlineStr">
        <x:is>
          <x:t xml:space="preserve">MTPRACFUN242</x:t>
        </x:is>
      </x:c>
      <x:c r="B1419" s="184" t="inlineStr">
        <x:is>
          <x:t xml:space="preserve">CINTA PLOMO DUCTO 27 MTS</x:t>
        </x:is>
      </x:c>
      <x:c r="C1419" s="184" t="n">
        <x:v>38</x:v>
      </x:c>
      <x:c r="D1419" s="184" t="n">
        <x:v>0</x:v>
      </x:c>
      <x:c r="E1419" s="184" t="n">
        <x:v>11</x:v>
      </x:c>
      <x:c r="F1419" s="184" t="n">
        <x:v>27</x:v>
      </x:c>
      <x:c r="G1419" s="184" t="n">
        <x:v>179602</x:v>
      </x:c>
      <x:c r="H1419" s="193" t="n">
        <x:v>0</x:v>
      </x:c>
      <x:c r="I1419" s="185" t="n">
        <x:v>51990</x:v>
      </x:c>
      <x:c r="J1419" s="185" t="n">
        <x:v>127612</x:v>
      </x:c>
      <x:c r="K1419" s="289" t="n">
        <x:v>4726.36363636</x:v>
      </x:c>
    </x:row>
    <x:row r="1420" s="117" customFormat="1" hidden="1">
      <x:c r="A1420" s="184" t="inlineStr">
        <x:is>
          <x:t xml:space="preserve">MTPRACFUN243</x:t>
        </x:is>
      </x:c>
      <x:c r="B1420" s="184" t="inlineStr">
        <x:is>
          <x:t xml:space="preserve">TAPA BALDE TIPO TINETA 20 LTS</x:t>
        </x:is>
      </x:c>
      <x:c r="C1420" s="184" t="n">
        <x:v>265</x:v>
      </x:c>
      <x:c r="D1420" s="184" t="n">
        <x:v>17</x:v>
      </x:c>
      <x:c r="E1420" s="184" t="n">
        <x:v>35</x:v>
      </x:c>
      <x:c r="F1420" s="184" t="n">
        <x:v>247</x:v>
      </x:c>
      <x:c r="G1420" s="184" t="n">
        <x:v>257042</x:v>
      </x:c>
      <x:c r="H1420" s="193" t="n">
        <x:v>16490</x:v>
      </x:c>
      <x:c r="I1420" s="185" t="n">
        <x:v>33950</x:v>
      </x:c>
      <x:c r="J1420" s="185" t="n">
        <x:v>239582</x:v>
      </x:c>
      <x:c r="K1420" s="289" t="n">
        <x:v>970</x:v>
      </x:c>
    </x:row>
    <x:row r="1421" s="117" customFormat="1" hidden="1">
      <x:c r="A1421" s="184" t="inlineStr">
        <x:is>
          <x:t xml:space="preserve">MTPRACFUN244</x:t>
        </x:is>
      </x:c>
      <x:c r="B1421" s="184" t="inlineStr">
        <x:is>
          <x:t xml:space="preserve">TAPA BALDE TIPO TINETA 10 LTS</x:t>
        </x:is>
      </x:c>
      <x:c r="C1421" s="184" t="n">
        <x:v>159</x:v>
      </x:c>
      <x:c r="D1421" s="184" t="n">
        <x:v>0</x:v>
      </x:c>
      <x:c r="E1421" s="184" t="n">
        <x:v>14</x:v>
      </x:c>
      <x:c r="F1421" s="184" t="n">
        <x:v>145</x:v>
      </x:c>
      <x:c r="G1421" s="184" t="n">
        <x:v>124026</x:v>
      </x:c>
      <x:c r="H1421" s="193" t="n">
        <x:v>0</x:v>
      </x:c>
      <x:c r="I1421" s="185" t="n">
        <x:v>10920</x:v>
      </x:c>
      <x:c r="J1421" s="185" t="n">
        <x:v>113106</x:v>
      </x:c>
      <x:c r="K1421" s="289" t="n">
        <x:v>780</x:v>
      </x:c>
    </x:row>
    <x:row r="1422" s="117" customFormat="1" hidden="1">
      <x:c r="A1422" s="184" t="inlineStr">
        <x:is>
          <x:t xml:space="preserve">MTPRACFUN245</x:t>
        </x:is>
      </x:c>
      <x:c r="B1422" s="184" t="inlineStr">
        <x:is>
          <x:t xml:space="preserve">TAPA BALDE TIPO TINETA 5 LTS</x:t>
        </x:is>
      </x:c>
      <x:c r="C1422" s="184" t="n">
        <x:v>28</x:v>
      </x:c>
      <x:c r="D1422" s="184" t="n">
        <x:v>0</x:v>
      </x:c>
      <x:c r="E1422" s="184" t="n">
        <x:v>0</x:v>
      </x:c>
      <x:c r="F1422" s="184" t="n">
        <x:v>28</x:v>
      </x:c>
      <x:c r="G1422" s="184" t="n">
        <x:v>11788</x:v>
      </x:c>
      <x:c r="H1422" s="193" t="n">
        <x:v>0</x:v>
      </x:c>
      <x:c r="I1422" s="185" t="n">
        <x:v>0</x:v>
      </x:c>
      <x:c r="J1422" s="185" t="n">
        <x:v>11788</x:v>
      </x:c>
      <x:c r="K1422" s="289" t="n">
        <x:v>421</x:v>
      </x:c>
    </x:row>
    <x:row r="1423" s="117" customFormat="1" hidden="1">
      <x:c r="A1423" s="184" t="inlineStr">
        <x:is>
          <x:t xml:space="preserve">MTPRACFUN246</x:t>
        </x:is>
      </x:c>
      <x:c r="B1423" s="184" t="inlineStr">
        <x:is>
          <x:t xml:space="preserve">ZUNCHO METALICO DE 1/2 - 47KGS</x:t>
        </x:is>
      </x:c>
      <x:c r="C1423" s="184" t="n">
        <x:v>0</x:v>
      </x:c>
      <x:c r="D1423" s="184" t="n">
        <x:v>0</x:v>
      </x:c>
      <x:c r="E1423" s="184" t="n">
        <x:v>0</x:v>
      </x:c>
      <x:c r="F1423" s="184" t="n">
        <x:v>0</x:v>
      </x:c>
      <x:c r="G1423" s="184" t="n">
        <x:v>0</x:v>
      </x:c>
      <x:c r="H1423" s="193" t="n">
        <x:v>0</x:v>
      </x:c>
      <x:c r="I1423" s="185" t="n">
        <x:v>0</x:v>
      </x:c>
      <x:c r="J1423" s="185" t="n">
        <x:v>0</x:v>
      </x:c>
      <x:c r="K1423" s="289" t="n">
        <x:v>73884</x:v>
      </x:c>
    </x:row>
    <x:row r="1424" s="117" customFormat="1" hidden="1">
      <x:c r="A1424" s="184" t="inlineStr">
        <x:is>
          <x:t xml:space="preserve">MTPRACFUN247</x:t>
        </x:is>
      </x:c>
      <x:c r="B1424" s="184" t="inlineStr">
        <x:is>
          <x:t xml:space="preserve">ZUNCHO METALICO DE 3/4 - 47KGS</x:t>
        </x:is>
      </x:c>
      <x:c r="C1424" s="184" t="n">
        <x:v>0</x:v>
      </x:c>
      <x:c r="D1424" s="184" t="n">
        <x:v>0</x:v>
      </x:c>
      <x:c r="E1424" s="184" t="n">
        <x:v>0</x:v>
      </x:c>
      <x:c r="F1424" s="184" t="n">
        <x:v>0</x:v>
      </x:c>
      <x:c r="G1424" s="184" t="n">
        <x:v>0</x:v>
      </x:c>
      <x:c r="H1424" s="193" t="n">
        <x:v>0</x:v>
      </x:c>
      <x:c r="I1424" s="185" t="n">
        <x:v>0</x:v>
      </x:c>
      <x:c r="J1424" s="185" t="n">
        <x:v>0</x:v>
      </x:c>
      <x:c r="K1424" s="289" t="n">
        <x:v>0</x:v>
      </x:c>
    </x:row>
    <x:row r="1425" s="117" customFormat="1" hidden="1">
      <x:c r="A1425" s="184" t="inlineStr">
        <x:is>
          <x:t xml:space="preserve">MTPRACFUN248</x:t>
        </x:is>
      </x:c>
      <x:c r="B1425" s="184" t="inlineStr">
        <x:is>
          <x:t xml:space="preserve">GRATA TRENZ. 4 1/2 #1145-S-60 FAESIN</x:t>
        </x:is>
      </x:c>
      <x:c r="C1425" s="184" t="n">
        <x:v>0</x:v>
      </x:c>
      <x:c r="D1425" s="184" t="n">
        <x:v>0</x:v>
      </x:c>
      <x:c r="E1425" s="184" t="n">
        <x:v>0</x:v>
      </x:c>
      <x:c r="F1425" s="184" t="n">
        <x:v>0</x:v>
      </x:c>
      <x:c r="G1425" s="184" t="n">
        <x:v>0</x:v>
      </x:c>
      <x:c r="H1425" s="193" t="n">
        <x:v>0</x:v>
      </x:c>
      <x:c r="I1425" s="185" t="n">
        <x:v>0</x:v>
      </x:c>
      <x:c r="J1425" s="185" t="n">
        <x:v>0</x:v>
      </x:c>
      <x:c r="K1425" s="289" t="n">
        <x:v>7640</x:v>
      </x:c>
    </x:row>
    <x:row r="1426" s="117" customFormat="1" hidden="1">
      <x:c r="A1426" s="184" t="inlineStr">
        <x:is>
          <x:t xml:space="preserve">MTPRACFUN249</x:t>
        </x:is>
      </x:c>
      <x:c r="B1426" s="184" t="inlineStr">
        <x:is>
          <x:t xml:space="preserve">PLASTICO BURBUJA ROLLO</x:t>
        </x:is>
      </x:c>
      <x:c r="C1426" s="184" t="n">
        <x:v>0</x:v>
      </x:c>
      <x:c r="D1426" s="184" t="n">
        <x:v>0</x:v>
      </x:c>
      <x:c r="E1426" s="184" t="n">
        <x:v>0</x:v>
      </x:c>
      <x:c r="F1426" s="184" t="n">
        <x:v>0</x:v>
      </x:c>
      <x:c r="G1426" s="184" t="n">
        <x:v>0</x:v>
      </x:c>
      <x:c r="H1426" s="193" t="n">
        <x:v>0</x:v>
      </x:c>
      <x:c r="I1426" s="185" t="n">
        <x:v>0</x:v>
      </x:c>
      <x:c r="J1426" s="185" t="n">
        <x:v>0</x:v>
      </x:c>
      <x:c r="K1426" s="289" t="n">
        <x:v>29500</x:v>
      </x:c>
    </x:row>
    <x:row r="1427" s="117" customFormat="1" hidden="1">
      <x:c r="A1427" s="184" t="inlineStr">
        <x:is>
          <x:t xml:space="preserve">MTPRACFUN250</x:t>
        </x:is>
      </x:c>
      <x:c r="B1427" s="184" t="inlineStr">
        <x:is>
          <x:t xml:space="preserve">CINTA IMPRESAS LOGO 48x40x50MIC</x:t>
        </x:is>
      </x:c>
      <x:c r="C1427" s="184" t="n">
        <x:v>628</x:v>
      </x:c>
      <x:c r="D1427" s="184" t="n">
        <x:v>0</x:v>
      </x:c>
      <x:c r="E1427" s="184" t="n">
        <x:v>1</x:v>
      </x:c>
      <x:c r="F1427" s="184" t="n">
        <x:v>627</x:v>
      </x:c>
      <x:c r="G1427" s="184" t="n">
        <x:v>563944</x:v>
      </x:c>
      <x:c r="H1427" s="193" t="n">
        <x:v>0</x:v>
      </x:c>
      <x:c r="I1427" s="185" t="n">
        <x:v>898</x:v>
      </x:c>
      <x:c r="J1427" s="185" t="n">
        <x:v>563046</x:v>
      </x:c>
      <x:c r="K1427" s="289" t="n">
        <x:v>898</x:v>
      </x:c>
    </x:row>
    <x:row r="1428" s="117" customFormat="1" hidden="1">
      <x:c r="A1428" s="184" t="inlineStr">
        <x:is>
          <x:t xml:space="preserve">MTPRACFUN251</x:t>
        </x:is>
      </x:c>
      <x:c r="B1428" s="184" t="inlineStr">
        <x:is>
          <x:t xml:space="preserve">CINTA DE TEFLON 1/2</x:t>
        </x:is>
      </x:c>
      <x:c r="C1428" s="184" t="n">
        <x:v>0</x:v>
      </x:c>
      <x:c r="D1428" s="184" t="n">
        <x:v>0</x:v>
      </x:c>
      <x:c r="E1428" s="184" t="n">
        <x:v>0</x:v>
      </x:c>
      <x:c r="F1428" s="184" t="n">
        <x:v>0</x:v>
      </x:c>
      <x:c r="G1428" s="184" t="n">
        <x:v>0</x:v>
      </x:c>
      <x:c r="H1428" s="193" t="n">
        <x:v>0</x:v>
      </x:c>
      <x:c r="I1428" s="185" t="n">
        <x:v>0</x:v>
      </x:c>
      <x:c r="J1428" s="185" t="n">
        <x:v>0</x:v>
      </x:c>
      <x:c r="K1428" s="289" t="n">
        <x:v>0</x:v>
      </x:c>
    </x:row>
    <x:row r="1429" s="117" customFormat="1" hidden="1">
      <x:c r="A1429" s="184" t="inlineStr">
        <x:is>
          <x:t xml:space="preserve">MTPRACFUN252</x:t>
        </x:is>
      </x:c>
      <x:c r="B1429" s="184" t="inlineStr">
        <x:is>
          <x:t xml:space="preserve">CINTA DE TEFLON 3/4</x:t>
        </x:is>
      </x:c>
      <x:c r="C1429" s="184" t="n">
        <x:v>0</x:v>
      </x:c>
      <x:c r="D1429" s="184" t="n">
        <x:v>0</x:v>
      </x:c>
      <x:c r="E1429" s="184" t="n">
        <x:v>0</x:v>
      </x:c>
      <x:c r="F1429" s="184" t="n">
        <x:v>0</x:v>
      </x:c>
      <x:c r="G1429" s="184" t="n">
        <x:v>0</x:v>
      </x:c>
      <x:c r="H1429" s="193" t="n">
        <x:v>0</x:v>
      </x:c>
      <x:c r="I1429" s="185" t="n">
        <x:v>0</x:v>
      </x:c>
      <x:c r="J1429" s="185" t="n">
        <x:v>0</x:v>
      </x:c>
      <x:c r="K1429" s="289" t="n">
        <x:v>328</x:v>
      </x:c>
    </x:row>
    <x:row r="1430" s="117" customFormat="1" hidden="1">
      <x:c r="A1430" s="184" t="inlineStr">
        <x:is>
          <x:t xml:space="preserve">MTPRACFUN253</x:t>
        </x:is>
      </x:c>
      <x:c r="B1430" s="184" t="inlineStr">
        <x:is>
          <x:t xml:space="preserve">CINTA DE TEFLON 1"</x:t>
        </x:is>
      </x:c>
      <x:c r="C1430" s="184" t="n">
        <x:v>0</x:v>
      </x:c>
      <x:c r="D1430" s="184" t="n">
        <x:v>0</x:v>
      </x:c>
      <x:c r="E1430" s="184" t="n">
        <x:v>0</x:v>
      </x:c>
      <x:c r="F1430" s="184" t="n">
        <x:v>0</x:v>
      </x:c>
      <x:c r="G1430" s="184" t="n">
        <x:v>0</x:v>
      </x:c>
      <x:c r="H1430" s="193" t="n">
        <x:v>0</x:v>
      </x:c>
      <x:c r="I1430" s="185" t="n">
        <x:v>0</x:v>
      </x:c>
      <x:c r="J1430" s="185" t="n">
        <x:v>0</x:v>
      </x:c>
      <x:c r="K1430" s="289" t="n">
        <x:v>0</x:v>
      </x:c>
    </x:row>
    <x:row r="1431" s="117" customFormat="1" hidden="1">
      <x:c r="A1431" s="184" t="inlineStr">
        <x:is>
          <x:t xml:space="preserve">MTPRACFUN254</x:t>
        </x:is>
      </x:c>
      <x:c r="B1431" s="184" t="inlineStr">
        <x:is>
          <x:t xml:space="preserve">HUAIPE ALGODON BLANCO 1/2 KG</x:t>
        </x:is>
      </x:c>
      <x:c r="C1431" s="184" t="n">
        <x:v>0</x:v>
      </x:c>
      <x:c r="D1431" s="184" t="n">
        <x:v>0</x:v>
      </x:c>
      <x:c r="E1431" s="184" t="n">
        <x:v>0</x:v>
      </x:c>
      <x:c r="F1431" s="184" t="n">
        <x:v>0</x:v>
      </x:c>
      <x:c r="G1431" s="184" t="n">
        <x:v>0</x:v>
      </x:c>
      <x:c r="H1431" s="193" t="n">
        <x:v>0</x:v>
      </x:c>
      <x:c r="I1431" s="185" t="n">
        <x:v>0</x:v>
      </x:c>
      <x:c r="J1431" s="185" t="n">
        <x:v>0</x:v>
      </x:c>
      <x:c r="K1431" s="289" t="n">
        <x:v>2395</x:v>
      </x:c>
    </x:row>
    <x:row r="1432" s="117" customFormat="1" hidden="1">
      <x:c r="A1432" s="184" t="inlineStr">
        <x:is>
          <x:t xml:space="preserve">MTPRACFUN255</x:t>
        </x:is>
      </x:c>
      <x:c r="B1432" s="184" t="inlineStr">
        <x:is>
          <x:t xml:space="preserve">HUAIPE ALGODON BLANCO 1 KG</x:t>
        </x:is>
      </x:c>
      <x:c r="C1432" s="184" t="n">
        <x:v>0</x:v>
      </x:c>
      <x:c r="D1432" s="184" t="n">
        <x:v>0</x:v>
      </x:c>
      <x:c r="E1432" s="184" t="n">
        <x:v>0</x:v>
      </x:c>
      <x:c r="F1432" s="184" t="n">
        <x:v>0</x:v>
      </x:c>
      <x:c r="G1432" s="184" t="n">
        <x:v>0</x:v>
      </x:c>
      <x:c r="H1432" s="193" t="n">
        <x:v>0</x:v>
      </x:c>
      <x:c r="I1432" s="185" t="n">
        <x:v>0</x:v>
      </x:c>
      <x:c r="J1432" s="185" t="n">
        <x:v>0</x:v>
      </x:c>
      <x:c r="K1432" s="289" t="n">
        <x:v>2500</x:v>
      </x:c>
    </x:row>
    <x:row r="1433" s="117" customFormat="1" hidden="1">
      <x:c r="A1433" s="184" t="inlineStr">
        <x:is>
          <x:t xml:space="preserve">MTPRACFUN256</x:t>
        </x:is>
      </x:c>
      <x:c r="B1433" s="184" t="inlineStr">
        <x:is>
          <x:t xml:space="preserve">MALLA RASCHEL 4.2x90% x 100 MT</x:t>
        </x:is>
      </x:c>
      <x:c r="C1433" s="184" t="n">
        <x:v>0</x:v>
      </x:c>
      <x:c r="D1433" s="184" t="n">
        <x:v>0</x:v>
      </x:c>
      <x:c r="E1433" s="184" t="n">
        <x:v>0</x:v>
      </x:c>
      <x:c r="F1433" s="184" t="n">
        <x:v>0</x:v>
      </x:c>
      <x:c r="G1433" s="184" t="n">
        <x:v>0</x:v>
      </x:c>
      <x:c r="H1433" s="193" t="n">
        <x:v>0</x:v>
      </x:c>
      <x:c r="I1433" s="185" t="n">
        <x:v>0</x:v>
      </x:c>
      <x:c r="J1433" s="185" t="n">
        <x:v>0</x:v>
      </x:c>
      <x:c r="K1433" s="289" t="n">
        <x:v>151732</x:v>
      </x:c>
    </x:row>
    <x:row r="1434" s="117" customFormat="1" hidden="1">
      <x:c r="A1434" s="184" t="inlineStr">
        <x:is>
          <x:t xml:space="preserve">MTPRACFUN257</x:t>
        </x:is>
      </x:c>
      <x:c r="B1434" s="184" t="inlineStr">
        <x:is>
          <x:t xml:space="preserve">CANDADO BRONCE UNIVERSAL HD 40MM</x:t>
        </x:is>
      </x:c>
      <x:c r="C1434" s="184" t="n">
        <x:v>0</x:v>
      </x:c>
      <x:c r="D1434" s="184" t="n">
        <x:v>0</x:v>
      </x:c>
      <x:c r="E1434" s="184" t="n">
        <x:v>0</x:v>
      </x:c>
      <x:c r="F1434" s="184" t="n">
        <x:v>0</x:v>
      </x:c>
      <x:c r="G1434" s="184" t="n">
        <x:v>0</x:v>
      </x:c>
      <x:c r="H1434" s="193" t="n">
        <x:v>0</x:v>
      </x:c>
      <x:c r="I1434" s="185" t="n">
        <x:v>0</x:v>
      </x:c>
      <x:c r="J1434" s="185" t="n">
        <x:v>0</x:v>
      </x:c>
      <x:c r="K1434" s="289" t="n">
        <x:v>0</x:v>
      </x:c>
    </x:row>
    <x:row r="1435" s="117" customFormat="1" hidden="1">
      <x:c r="A1435" s="184" t="inlineStr">
        <x:is>
          <x:t xml:space="preserve">MTPRACFUN258</x:t>
        </x:is>
      </x:c>
      <x:c r="B1435" s="184" t="inlineStr">
        <x:is>
          <x:t xml:space="preserve">MARTILLO PENA 40 OZ. M/FIBRA TACTIX # 222013</x:t>
        </x:is>
      </x:c>
      <x:c r="C1435" s="184" t="n">
        <x:v>0</x:v>
      </x:c>
      <x:c r="D1435" s="184" t="n">
        <x:v>0</x:v>
      </x:c>
      <x:c r="E1435" s="184" t="n">
        <x:v>0</x:v>
      </x:c>
      <x:c r="F1435" s="184" t="n">
        <x:v>0</x:v>
      </x:c>
      <x:c r="G1435" s="184" t="n">
        <x:v>0</x:v>
      </x:c>
      <x:c r="H1435" s="193" t="n">
        <x:v>0</x:v>
      </x:c>
      <x:c r="I1435" s="185" t="n">
        <x:v>0</x:v>
      </x:c>
      <x:c r="J1435" s="185" t="n">
        <x:v>0</x:v>
      </x:c>
      <x:c r="K1435" s="289" t="n">
        <x:v>3942</x:v>
      </x:c>
    </x:row>
    <x:row r="1436" s="117" customFormat="1" hidden="1">
      <x:c r="A1436" s="184" t="inlineStr">
        <x:is>
          <x:t xml:space="preserve">MTPRACFUN259</x:t>
        </x:is>
      </x:c>
      <x:c r="B1436" s="184" t="inlineStr">
        <x:is>
          <x:t xml:space="preserve">MARTILLO P/TECHO M/ACERO TACTIX # 224103</x:t>
        </x:is>
      </x:c>
      <x:c r="C1436" s="184" t="n">
        <x:v>0</x:v>
      </x:c>
      <x:c r="D1436" s="184" t="n">
        <x:v>0</x:v>
      </x:c>
      <x:c r="E1436" s="184" t="n">
        <x:v>0</x:v>
      </x:c>
      <x:c r="F1436" s="184" t="n">
        <x:v>0</x:v>
      </x:c>
      <x:c r="G1436" s="184" t="n">
        <x:v>0</x:v>
      </x:c>
      <x:c r="H1436" s="193" t="n">
        <x:v>0</x:v>
      </x:c>
      <x:c r="I1436" s="185" t="n">
        <x:v>0</x:v>
      </x:c>
      <x:c r="J1436" s="185" t="n">
        <x:v>0</x:v>
      </x:c>
      <x:c r="K1436" s="289" t="n">
        <x:v>0</x:v>
      </x:c>
    </x:row>
    <x:row r="1437" s="117" customFormat="1" hidden="1">
      <x:c r="A1437" s="184" t="inlineStr">
        <x:is>
          <x:t xml:space="preserve">MTPRACFUN260</x:t>
        </x:is>
      </x:c>
      <x:c r="B1437" s="184" t="inlineStr">
        <x:is>
          <x:t xml:space="preserve">JUEGO ATORNILLADORES 6 PZAS TACTIX # 205401</x:t>
        </x:is>
      </x:c>
      <x:c r="C1437" s="184" t="n">
        <x:v>0</x:v>
      </x:c>
      <x:c r="D1437" s="184" t="n">
        <x:v>0</x:v>
      </x:c>
      <x:c r="E1437" s="184" t="n">
        <x:v>0</x:v>
      </x:c>
      <x:c r="F1437" s="184" t="n">
        <x:v>0</x:v>
      </x:c>
      <x:c r="G1437" s="184" t="n">
        <x:v>0</x:v>
      </x:c>
      <x:c r="H1437" s="193" t="n">
        <x:v>0</x:v>
      </x:c>
      <x:c r="I1437" s="185" t="n">
        <x:v>0</x:v>
      </x:c>
      <x:c r="J1437" s="185" t="n">
        <x:v>0</x:v>
      </x:c>
      <x:c r="K1437" s="289" t="n">
        <x:v>0</x:v>
      </x:c>
    </x:row>
    <x:row r="1438" s="117" customFormat="1" hidden="1">
      <x:c r="A1438" s="184" t="inlineStr">
        <x:is>
          <x:t xml:space="preserve">MTPRACFUN261</x:t>
        </x:is>
      </x:c>
      <x:c r="B1438" s="184" t="inlineStr">
        <x:is>
          <x:t xml:space="preserve">BROCA HSS COBALTO 8MM</x:t>
        </x:is>
      </x:c>
      <x:c r="C1438" s="184" t="n">
        <x:v>0</x:v>
      </x:c>
      <x:c r="D1438" s="184" t="n">
        <x:v>0</x:v>
      </x:c>
      <x:c r="E1438" s="184" t="n">
        <x:v>0</x:v>
      </x:c>
      <x:c r="F1438" s="184" t="n">
        <x:v>0</x:v>
      </x:c>
      <x:c r="G1438" s="184" t="n">
        <x:v>0</x:v>
      </x:c>
      <x:c r="H1438" s="193" t="n">
        <x:v>0</x:v>
      </x:c>
      <x:c r="I1438" s="185" t="n">
        <x:v>0</x:v>
      </x:c>
      <x:c r="J1438" s="185" t="n">
        <x:v>0</x:v>
      </x:c>
      <x:c r="K1438" s="289" t="n">
        <x:v>0</x:v>
      </x:c>
    </x:row>
    <x:row r="1439" s="117" customFormat="1" hidden="1">
      <x:c r="A1439" s="184" t="inlineStr">
        <x:is>
          <x:t xml:space="preserve">MTPRACFUN262</x:t>
        </x:is>
      </x:c>
      <x:c r="B1439" s="184" t="inlineStr">
        <x:is>
          <x:t xml:space="preserve">BROCA HSS COBALTO 10MM</x:t>
        </x:is>
      </x:c>
      <x:c r="C1439" s="184" t="n">
        <x:v>0</x:v>
      </x:c>
      <x:c r="D1439" s="184" t="n">
        <x:v>0</x:v>
      </x:c>
      <x:c r="E1439" s="184" t="n">
        <x:v>0</x:v>
      </x:c>
      <x:c r="F1439" s="184" t="n">
        <x:v>0</x:v>
      </x:c>
      <x:c r="G1439" s="184" t="n">
        <x:v>0</x:v>
      </x:c>
      <x:c r="H1439" s="193" t="n">
        <x:v>0</x:v>
      </x:c>
      <x:c r="I1439" s="185" t="n">
        <x:v>0</x:v>
      </x:c>
      <x:c r="J1439" s="185" t="n">
        <x:v>0</x:v>
      </x:c>
      <x:c r="K1439" s="289" t="n">
        <x:v>0</x:v>
      </x:c>
    </x:row>
    <x:row r="1440" s="117" customFormat="1" hidden="1">
      <x:c r="A1440" s="184" t="inlineStr">
        <x:is>
          <x:t xml:space="preserve">MTPRACFUN263</x:t>
        </x:is>
      </x:c>
      <x:c r="B1440" s="184" t="inlineStr">
        <x:is>
          <x:t xml:space="preserve">BROCA HSS COBALTO 12MM</x:t>
        </x:is>
      </x:c>
      <x:c r="C1440" s="184" t="n">
        <x:v>0</x:v>
      </x:c>
      <x:c r="D1440" s="184" t="n">
        <x:v>0</x:v>
      </x:c>
      <x:c r="E1440" s="184" t="n">
        <x:v>0</x:v>
      </x:c>
      <x:c r="F1440" s="184" t="n">
        <x:v>0</x:v>
      </x:c>
      <x:c r="G1440" s="184" t="n">
        <x:v>0</x:v>
      </x:c>
      <x:c r="H1440" s="193" t="n">
        <x:v>0</x:v>
      </x:c>
      <x:c r="I1440" s="185" t="n">
        <x:v>0</x:v>
      </x:c>
      <x:c r="J1440" s="185" t="n">
        <x:v>0</x:v>
      </x:c>
      <x:c r="K1440" s="289" t="n">
        <x:v>0</x:v>
      </x:c>
    </x:row>
    <x:row r="1441" s="117" customFormat="1" hidden="1">
      <x:c r="A1441" s="184" t="inlineStr">
        <x:is>
          <x:t xml:space="preserve">MTPRACFUN264</x:t>
        </x:is>
      </x:c>
      <x:c r="B1441" s="184" t="inlineStr">
        <x:is>
          <x:t xml:space="preserve">BROCA HSS COBALTO 15MM</x:t>
        </x:is>
      </x:c>
      <x:c r="C1441" s="184" t="n">
        <x:v>0</x:v>
      </x:c>
      <x:c r="D1441" s="184" t="n">
        <x:v>0</x:v>
      </x:c>
      <x:c r="E1441" s="184" t="n">
        <x:v>0</x:v>
      </x:c>
      <x:c r="F1441" s="184" t="n">
        <x:v>0</x:v>
      </x:c>
      <x:c r="G1441" s="184" t="n">
        <x:v>0</x:v>
      </x:c>
      <x:c r="H1441" s="193" t="n">
        <x:v>0</x:v>
      </x:c>
      <x:c r="I1441" s="185" t="n">
        <x:v>0</x:v>
      </x:c>
      <x:c r="J1441" s="185" t="n">
        <x:v>0</x:v>
      </x:c>
      <x:c r="K1441" s="289" t="n">
        <x:v>0</x:v>
      </x:c>
    </x:row>
    <x:row r="1442" s="117" customFormat="1" hidden="1">
      <x:c r="A1442" s="184" t="inlineStr">
        <x:is>
          <x:t xml:space="preserve">MTPRACFUN265</x:t>
        </x:is>
      </x:c>
      <x:c r="B1442" s="184" t="inlineStr">
        <x:is>
          <x:t xml:space="preserve">HUINCHA DE MEDIR 7,5MTS SMART TOOL METALICA</x:t>
        </x:is>
      </x:c>
      <x:c r="C1442" s="184" t="n">
        <x:v>0</x:v>
      </x:c>
      <x:c r="D1442" s="184" t="n">
        <x:v>0</x:v>
      </x:c>
      <x:c r="E1442" s="184" t="n">
        <x:v>0</x:v>
      </x:c>
      <x:c r="F1442" s="184" t="n">
        <x:v>0</x:v>
      </x:c>
      <x:c r="G1442" s="184" t="n">
        <x:v>0</x:v>
      </x:c>
      <x:c r="H1442" s="193" t="n">
        <x:v>0</x:v>
      </x:c>
      <x:c r="I1442" s="185" t="n">
        <x:v>0</x:v>
      </x:c>
      <x:c r="J1442" s="185" t="n">
        <x:v>0</x:v>
      </x:c>
      <x:c r="K1442" s="289" t="n">
        <x:v>0</x:v>
      </x:c>
    </x:row>
    <x:row r="1443" s="117" customFormat="1" hidden="1">
      <x:c r="A1443" s="184" t="inlineStr">
        <x:is>
          <x:t xml:space="preserve">MTPRACFUN266</x:t>
        </x:is>
      </x:c>
      <x:c r="B1443" s="184" t="inlineStr">
        <x:is>
          <x:t xml:space="preserve">SIERRA SABLE INALAMBRICA 18V (DJR186RFE) - MAKITA</x:t>
        </x:is>
      </x:c>
      <x:c r="C1443" s="184" t="n">
        <x:v>0</x:v>
      </x:c>
      <x:c r="D1443" s="184" t="n">
        <x:v>0</x:v>
      </x:c>
      <x:c r="E1443" s="184" t="n">
        <x:v>0</x:v>
      </x:c>
      <x:c r="F1443" s="184" t="n">
        <x:v>0</x:v>
      </x:c>
      <x:c r="G1443" s="184" t="n">
        <x:v>0</x:v>
      </x:c>
      <x:c r="H1443" s="193" t="n">
        <x:v>0</x:v>
      </x:c>
      <x:c r="I1443" s="185" t="n">
        <x:v>0</x:v>
      </x:c>
      <x:c r="J1443" s="185" t="n">
        <x:v>0</x:v>
      </x:c>
      <x:c r="K1443" s="289" t="n">
        <x:v>0</x:v>
      </x:c>
    </x:row>
    <x:row r="1444" s="117" customFormat="1" hidden="1">
      <x:c r="A1444" s="184" t="inlineStr">
        <x:is>
          <x:t xml:space="preserve">MTPRACFUN267</x:t>
        </x:is>
      </x:c>
      <x:c r="B1444" s="184" t="inlineStr">
        <x:is>
          <x:t xml:space="preserve">GRATA ONDULADA 4 # 104-3</x:t>
        </x:is>
      </x:c>
      <x:c r="C1444" s="184" t="n">
        <x:v>0</x:v>
      </x:c>
      <x:c r="D1444" s="184" t="n">
        <x:v>0</x:v>
      </x:c>
      <x:c r="E1444" s="184" t="n">
        <x:v>0</x:v>
      </x:c>
      <x:c r="F1444" s="184" t="n">
        <x:v>0</x:v>
      </x:c>
      <x:c r="G1444" s="184" t="n">
        <x:v>0</x:v>
      </x:c>
      <x:c r="H1444" s="193" t="n">
        <x:v>0</x:v>
      </x:c>
      <x:c r="I1444" s="185" t="n">
        <x:v>0</x:v>
      </x:c>
      <x:c r="J1444" s="185" t="n">
        <x:v>0</x:v>
      </x:c>
      <x:c r="K1444" s="289" t="n">
        <x:v>10078</x:v>
      </x:c>
    </x:row>
    <x:row r="1445" s="117" customFormat="1" hidden="1">
      <x:c r="A1445" s="184" t="inlineStr">
        <x:is>
          <x:t xml:space="preserve">MTPRACFUN268</x:t>
        </x:is>
      </x:c>
      <x:c r="B1445" s="184" t="inlineStr">
        <x:is>
          <x:t xml:space="preserve">CUCHILLO CARTON METAL H.D.TACTIX # 261007</x:t>
        </x:is>
      </x:c>
      <x:c r="C1445" s="184" t="n">
        <x:v>0</x:v>
      </x:c>
      <x:c r="D1445" s="184" t="n">
        <x:v>0</x:v>
      </x:c>
      <x:c r="E1445" s="184" t="n">
        <x:v>0</x:v>
      </x:c>
      <x:c r="F1445" s="184" t="n">
        <x:v>0</x:v>
      </x:c>
      <x:c r="G1445" s="184" t="n">
        <x:v>0</x:v>
      </x:c>
      <x:c r="H1445" s="193" t="n">
        <x:v>0</x:v>
      </x:c>
      <x:c r="I1445" s="185" t="n">
        <x:v>0</x:v>
      </x:c>
      <x:c r="J1445" s="185" t="n">
        <x:v>0</x:v>
      </x:c>
      <x:c r="K1445" s="289" t="n">
        <x:v>6250</x:v>
      </x:c>
    </x:row>
    <x:row r="1446" s="117" customFormat="1" hidden="1">
      <x:c r="A1446" s="184" t="inlineStr">
        <x:is>
          <x:t xml:space="preserve">MTPRACFUN269</x:t>
        </x:is>
      </x:c>
      <x:c r="B1446" s="184" t="inlineStr">
        <x:is>
          <x:t xml:space="preserve">YESO ESPUMA (SACO)</x:t>
        </x:is>
      </x:c>
      <x:c r="C1446" s="184" t="n">
        <x:v>0</x:v>
      </x:c>
      <x:c r="D1446" s="184" t="n">
        <x:v>0</x:v>
      </x:c>
      <x:c r="E1446" s="184" t="n">
        <x:v>0</x:v>
      </x:c>
      <x:c r="F1446" s="184" t="n">
        <x:v>0</x:v>
      </x:c>
      <x:c r="G1446" s="184" t="n">
        <x:v>0</x:v>
      </x:c>
      <x:c r="H1446" s="193" t="n">
        <x:v>0</x:v>
      </x:c>
      <x:c r="I1446" s="185" t="n">
        <x:v>0</x:v>
      </x:c>
      <x:c r="J1446" s="185" t="n">
        <x:v>0</x:v>
      </x:c>
      <x:c r="K1446" s="289" t="n">
        <x:v>3336</x:v>
      </x:c>
    </x:row>
    <x:row r="1447" s="117" customFormat="1" hidden="1">
      <x:c r="A1447" s="184" t="inlineStr">
        <x:is>
          <x:t xml:space="preserve">MTPRACFUN270</x:t>
        </x:is>
      </x:c>
      <x:c r="B1447" s="184" t="inlineStr">
        <x:is>
          <x:t xml:space="preserve">SOPLADOR ASPIRADOR 1980 800W (GBL-800E) BOSCH</x:t>
        </x:is>
      </x:c>
      <x:c r="C1447" s="184" t="n">
        <x:v>0</x:v>
      </x:c>
      <x:c r="D1447" s="184" t="n">
        <x:v>0</x:v>
      </x:c>
      <x:c r="E1447" s="184" t="n">
        <x:v>0</x:v>
      </x:c>
      <x:c r="F1447" s="184" t="n">
        <x:v>0</x:v>
      </x:c>
      <x:c r="G1447" s="184" t="n">
        <x:v>0</x:v>
      </x:c>
      <x:c r="H1447" s="193" t="n">
        <x:v>0</x:v>
      </x:c>
      <x:c r="I1447" s="185" t="n">
        <x:v>0</x:v>
      </x:c>
      <x:c r="J1447" s="185" t="n">
        <x:v>0</x:v>
      </x:c>
      <x:c r="K1447" s="289" t="n">
        <x:v>109621</x:v>
      </x:c>
    </x:row>
    <x:row r="1448" s="117" customFormat="1" hidden="1">
      <x:c r="A1448" s="184" t="inlineStr">
        <x:is>
          <x:t xml:space="preserve">MTPRACFUN271</x:t>
        </x:is>
      </x:c>
      <x:c r="B1448" s="184" t="inlineStr">
        <x:is>
          <x:t xml:space="preserve">DISCO DE TRASLAPE FLAP 4 1/2 GRANO N° 60</x:t>
        </x:is>
      </x:c>
      <x:c r="C1448" s="184" t="n">
        <x:v>60</x:v>
      </x:c>
      <x:c r="D1448" s="184" t="n">
        <x:v>0</x:v>
      </x:c>
      <x:c r="E1448" s="184" t="n">
        <x:v>0</x:v>
      </x:c>
      <x:c r="F1448" s="184" t="n">
        <x:v>60</x:v>
      </x:c>
      <x:c r="G1448" s="184" t="n">
        <x:v>144000</x:v>
      </x:c>
      <x:c r="H1448" s="193" t="n">
        <x:v>0</x:v>
      </x:c>
      <x:c r="I1448" s="185" t="n">
        <x:v>0</x:v>
      </x:c>
      <x:c r="J1448" s="185" t="n">
        <x:v>144000</x:v>
      </x:c>
      <x:c r="K1448" s="289" t="n">
        <x:v>2400</x:v>
      </x:c>
    </x:row>
    <x:row r="1449" s="117" customFormat="1" hidden="1">
      <x:c r="A1449" s="184" t="inlineStr">
        <x:is>
          <x:t xml:space="preserve">MTPRACFUN272</x:t>
        </x:is>
      </x:c>
      <x:c r="B1449" s="184" t="inlineStr">
        <x:is>
          <x:t xml:space="preserve">SOLDADURA ELECTRODO (KG) PUNTO AZUL DE 3/32" (6011) - INDURA</x:t>
        </x:is>
      </x:c>
      <x:c r="C1449" s="184" t="n">
        <x:v>0</x:v>
      </x:c>
      <x:c r="D1449" s="184" t="n">
        <x:v>0</x:v>
      </x:c>
      <x:c r="E1449" s="184" t="n">
        <x:v>0</x:v>
      </x:c>
      <x:c r="F1449" s="184" t="n">
        <x:v>0</x:v>
      </x:c>
      <x:c r="G1449" s="184" t="n">
        <x:v>0</x:v>
      </x:c>
      <x:c r="H1449" s="193" t="n">
        <x:v>0</x:v>
      </x:c>
      <x:c r="I1449" s="185" t="n">
        <x:v>0</x:v>
      </x:c>
      <x:c r="J1449" s="185" t="n">
        <x:v>0</x:v>
      </x:c>
      <x:c r="K1449" s="289" t="n">
        <x:v>3755</x:v>
      </x:c>
    </x:row>
    <x:row r="1450" s="117" customFormat="1" hidden="1">
      <x:c r="A1450" s="184" t="inlineStr">
        <x:is>
          <x:t xml:space="preserve">MTPRACFUN273</x:t>
        </x:is>
      </x:c>
      <x:c r="B1450" s="184" t="inlineStr">
        <x:is>
          <x:t xml:space="preserve">DISCO CORTE ACERO CARBONO 7 x 3.0mm</x:t>
        </x:is>
      </x:c>
      <x:c r="C1450" s="184" t="n">
        <x:v>0</x:v>
      </x:c>
      <x:c r="D1450" s="184" t="n">
        <x:v>0</x:v>
      </x:c>
      <x:c r="E1450" s="184" t="n">
        <x:v>0</x:v>
      </x:c>
      <x:c r="F1450" s="184" t="n">
        <x:v>0</x:v>
      </x:c>
      <x:c r="G1450" s="184" t="n">
        <x:v>0</x:v>
      </x:c>
      <x:c r="H1450" s="193" t="n">
        <x:v>0</x:v>
      </x:c>
      <x:c r="I1450" s="185" t="n">
        <x:v>0</x:v>
      </x:c>
      <x:c r="J1450" s="185" t="n">
        <x:v>0</x:v>
      </x:c>
      <x:c r="K1450" s="289" t="n">
        <x:v>610</x:v>
      </x:c>
    </x:row>
    <x:row r="1451" s="117" customFormat="1" hidden="1">
      <x:c r="A1451" s="184" t="inlineStr">
        <x:is>
          <x:t xml:space="preserve">MTPRACFUN274</x:t>
        </x:is>
      </x:c>
      <x:c r="B1451" s="184" t="inlineStr">
        <x:is>
          <x:t xml:space="preserve">PLASTICO BURBUJA ROLLO 80 MTS</x:t>
        </x:is>
      </x:c>
      <x:c r="C1451" s="184" t="n">
        <x:v>0</x:v>
      </x:c>
      <x:c r="D1451" s="184" t="n">
        <x:v>0</x:v>
      </x:c>
      <x:c r="E1451" s="184" t="n">
        <x:v>0</x:v>
      </x:c>
      <x:c r="F1451" s="184" t="n">
        <x:v>0</x:v>
      </x:c>
      <x:c r="G1451" s="184" t="n">
        <x:v>0</x:v>
      </x:c>
      <x:c r="H1451" s="193" t="n">
        <x:v>0</x:v>
      </x:c>
      <x:c r="I1451" s="185" t="n">
        <x:v>0</x:v>
      </x:c>
      <x:c r="J1451" s="185" t="n">
        <x:v>0</x:v>
      </x:c>
      <x:c r="K1451" s="289" t="n">
        <x:v>0</x:v>
      </x:c>
    </x:row>
    <x:row r="1452" s="117" customFormat="1" hidden="1">
      <x:c r="A1452" s="184" t="inlineStr">
        <x:is>
          <x:t xml:space="preserve">MTPRACFUN275</x:t>
        </x:is>
      </x:c>
      <x:c r="B1452" s="184" t="inlineStr">
        <x:is>
          <x:t xml:space="preserve">LIJA MADERA #60</x:t>
        </x:is>
      </x:c>
      <x:c r="C1452" s="184" t="n">
        <x:v>0</x:v>
      </x:c>
      <x:c r="D1452" s="184" t="n">
        <x:v>0</x:v>
      </x:c>
      <x:c r="E1452" s="184" t="n">
        <x:v>0</x:v>
      </x:c>
      <x:c r="F1452" s="184" t="n">
        <x:v>0</x:v>
      </x:c>
      <x:c r="G1452" s="184" t="n">
        <x:v>0</x:v>
      </x:c>
      <x:c r="H1452" s="193" t="n">
        <x:v>0</x:v>
      </x:c>
      <x:c r="I1452" s="185" t="n">
        <x:v>0</x:v>
      </x:c>
      <x:c r="J1452" s="185" t="n">
        <x:v>0</x:v>
      </x:c>
      <x:c r="K1452" s="289" t="n">
        <x:v>540</x:v>
      </x:c>
    </x:row>
    <x:row r="1453" s="117" customFormat="1" hidden="1">
      <x:c r="A1453" s="184" t="inlineStr">
        <x:is>
          <x:t xml:space="preserve">MTPRACFUN276</x:t>
        </x:is>
      </x:c>
      <x:c r="B1453" s="184" t="inlineStr">
        <x:is>
          <x:t xml:space="preserve">PLIEGO LIJA ·120 ESMERIL</x:t>
        </x:is>
      </x:c>
      <x:c r="C1453" s="184" t="n">
        <x:v>55</x:v>
      </x:c>
      <x:c r="D1453" s="184" t="n">
        <x:v>0</x:v>
      </x:c>
      <x:c r="E1453" s="184" t="n">
        <x:v>0</x:v>
      </x:c>
      <x:c r="F1453" s="184" t="n">
        <x:v>55</x:v>
      </x:c>
      <x:c r="G1453" s="184" t="n">
        <x:v>7040</x:v>
      </x:c>
      <x:c r="H1453" s="193" t="n">
        <x:v>0</x:v>
      </x:c>
      <x:c r="I1453" s="185" t="n">
        <x:v>0</x:v>
      </x:c>
      <x:c r="J1453" s="185" t="n">
        <x:v>7040</x:v>
      </x:c>
      <x:c r="K1453" s="289" t="n">
        <x:v>128</x:v>
      </x:c>
    </x:row>
    <x:row r="1454" s="117" customFormat="1" hidden="1">
      <x:c r="A1454" s="184" t="inlineStr">
        <x:is>
          <x:t xml:space="preserve">MTPRACFUN277</x:t>
        </x:is>
      </x:c>
      <x:c r="B1454" s="184" t="inlineStr">
        <x:is>
          <x:t xml:space="preserve">LIJA MADERA #220</x:t>
        </x:is>
      </x:c>
      <x:c r="C1454" s="184" t="n">
        <x:v>0</x:v>
      </x:c>
      <x:c r="D1454" s="184" t="n">
        <x:v>0</x:v>
      </x:c>
      <x:c r="E1454" s="184" t="n">
        <x:v>0</x:v>
      </x:c>
      <x:c r="F1454" s="184" t="n">
        <x:v>0</x:v>
      </x:c>
      <x:c r="G1454" s="184" t="n">
        <x:v>0</x:v>
      </x:c>
      <x:c r="H1454" s="193" t="n">
        <x:v>0</x:v>
      </x:c>
      <x:c r="I1454" s="185" t="n">
        <x:v>0</x:v>
      </x:c>
      <x:c r="J1454" s="185" t="n">
        <x:v>0</x:v>
      </x:c>
      <x:c r="K1454" s="289" t="n">
        <x:v>185</x:v>
      </x:c>
    </x:row>
    <x:row r="1455" s="117" customFormat="1" hidden="1">
      <x:c r="A1455" s="184" t="inlineStr">
        <x:is>
          <x:t xml:space="preserve">MTPRACFUN278</x:t>
        </x:is>
      </x:c>
      <x:c r="B1455" s="184" t="inlineStr">
        <x:is>
          <x:t xml:space="preserve">DISCO DE TRASLAPE FLAP 4 1/2 GRANO N° 100</x:t>
        </x:is>
      </x:c>
      <x:c r="C1455" s="184" t="n">
        <x:v>0</x:v>
      </x:c>
      <x:c r="D1455" s="184" t="n">
        <x:v>0</x:v>
      </x:c>
      <x:c r="E1455" s="184" t="n">
        <x:v>0</x:v>
      </x:c>
      <x:c r="F1455" s="184" t="n">
        <x:v>0</x:v>
      </x:c>
      <x:c r="G1455" s="184" t="n">
        <x:v>0</x:v>
      </x:c>
      <x:c r="H1455" s="193" t="n">
        <x:v>0</x:v>
      </x:c>
      <x:c r="I1455" s="185" t="n">
        <x:v>0</x:v>
      </x:c>
      <x:c r="J1455" s="185" t="n">
        <x:v>0</x:v>
      </x:c>
      <x:c r="K1455" s="289" t="n">
        <x:v>2400</x:v>
      </x:c>
    </x:row>
    <x:row r="1456" s="117" customFormat="1" hidden="1">
      <x:c r="A1456" s="184" t="inlineStr">
        <x:is>
          <x:t xml:space="preserve">MTPRACFUN279</x:t>
        </x:is>
      </x:c>
      <x:c r="B1456" s="184" t="inlineStr">
        <x:is>
          <x:t xml:space="preserve">PERMACEL O MASKING TAPE 3/4 x 40mts</x:t>
        </x:is>
      </x:c>
      <x:c r="C1456" s="184" t="n">
        <x:v>0</x:v>
      </x:c>
      <x:c r="D1456" s="184" t="n">
        <x:v>0</x:v>
      </x:c>
      <x:c r="E1456" s="184" t="n">
        <x:v>0</x:v>
      </x:c>
      <x:c r="F1456" s="184" t="n">
        <x:v>0</x:v>
      </x:c>
      <x:c r="G1456" s="184" t="n">
        <x:v>0</x:v>
      </x:c>
      <x:c r="H1456" s="193" t="n">
        <x:v>0</x:v>
      </x:c>
      <x:c r="I1456" s="185" t="n">
        <x:v>0</x:v>
      </x:c>
      <x:c r="J1456" s="185" t="n">
        <x:v>0</x:v>
      </x:c>
      <x:c r="K1456" s="289" t="n">
        <x:v>640</x:v>
      </x:c>
    </x:row>
    <x:row r="1457" s="117" customFormat="1" hidden="1">
      <x:c r="A1457" s="184" t="inlineStr">
        <x:is>
          <x:t xml:space="preserve">MTPRACFUN280</x:t>
        </x:is>
      </x:c>
      <x:c r="B1457" s="184" t="inlineStr">
        <x:is>
          <x:t xml:space="preserve">DISCO CORTE ACERO CARBONO 7 x 1.0mm</x:t>
        </x:is>
      </x:c>
      <x:c r="C1457" s="184" t="n">
        <x:v>0</x:v>
      </x:c>
      <x:c r="D1457" s="184" t="n">
        <x:v>0</x:v>
      </x:c>
      <x:c r="E1457" s="184" t="n">
        <x:v>0</x:v>
      </x:c>
      <x:c r="F1457" s="184" t="n">
        <x:v>0</x:v>
      </x:c>
      <x:c r="G1457" s="184" t="n">
        <x:v>1</x:v>
      </x:c>
      <x:c r="H1457" s="193" t="n">
        <x:v>0</x:v>
      </x:c>
      <x:c r="I1457" s="185" t="n">
        <x:v>0</x:v>
      </x:c>
      <x:c r="J1457" s="185" t="n">
        <x:v>1</x:v>
      </x:c>
      <x:c r="K1457" s="289" t="n">
        <x:v>886.03773585</x:v>
      </x:c>
    </x:row>
    <x:row r="1458" s="117" customFormat="1" hidden="1">
      <x:c r="A1458" s="184" t="inlineStr">
        <x:is>
          <x:t xml:space="preserve">MTPRACFUN281</x:t>
        </x:is>
      </x:c>
      <x:c r="B1458" s="184" t="inlineStr">
        <x:is>
          <x:t xml:space="preserve">Disco Diamantado de Desbaste para Esmeril 4 1/2"</x:t>
        </x:is>
      </x:c>
      <x:c r="C1458" s="184" t="n">
        <x:v>0</x:v>
      </x:c>
      <x:c r="D1458" s="184" t="n">
        <x:v>0</x:v>
      </x:c>
      <x:c r="E1458" s="184" t="n">
        <x:v>0</x:v>
      </x:c>
      <x:c r="F1458" s="184" t="n">
        <x:v>0</x:v>
      </x:c>
      <x:c r="G1458" s="184" t="n">
        <x:v>3</x:v>
      </x:c>
      <x:c r="H1458" s="193" t="n">
        <x:v>0</x:v>
      </x:c>
      <x:c r="I1458" s="185" t="n">
        <x:v>0</x:v>
      </x:c>
      <x:c r="J1458" s="185" t="n">
        <x:v>3</x:v>
      </x:c>
      <x:c r="K1458" s="289" t="n">
        <x:v>10850</x:v>
      </x:c>
    </x:row>
    <x:row r="1459" s="117" customFormat="1" hidden="1">
      <x:c r="A1459" s="184" t="inlineStr">
        <x:is>
          <x:t xml:space="preserve">MTPRACFUN282</x:t>
        </x:is>
      </x:c>
      <x:c r="B1459" s="184" t="inlineStr">
        <x:is>
          <x:t xml:space="preserve">LIJADORA EXCENTRICA 125 MM300 W MAKITA BO505</x:t>
        </x:is>
      </x:c>
      <x:c r="C1459" s="184" t="n">
        <x:v>0</x:v>
      </x:c>
      <x:c r="D1459" s="184" t="n">
        <x:v>0</x:v>
      </x:c>
      <x:c r="E1459" s="184" t="n">
        <x:v>0</x:v>
      </x:c>
      <x:c r="F1459" s="184" t="n">
        <x:v>0</x:v>
      </x:c>
      <x:c r="G1459" s="184" t="n">
        <x:v>0</x:v>
      </x:c>
      <x:c r="H1459" s="193" t="n">
        <x:v>0</x:v>
      </x:c>
      <x:c r="I1459" s="185" t="n">
        <x:v>0</x:v>
      </x:c>
      <x:c r="J1459" s="185" t="n">
        <x:v>0</x:v>
      </x:c>
      <x:c r="K1459" s="289" t="n">
        <x:v>149394</x:v>
      </x:c>
    </x:row>
    <x:row r="1460" s="117" customFormat="1" hidden="1">
      <x:c r="A1460" s="184" t="inlineStr">
        <x:is>
          <x:t xml:space="preserve">MTPRACFUN283</x:t>
        </x:is>
      </x:c>
      <x:c r="B1460" s="184" t="inlineStr">
        <x:is>
          <x:t xml:space="preserve">Disco 7" de Diamantado Desbaste Hormigon Doble Segmento</x:t>
        </x:is>
      </x:c>
      <x:c r="C1460" s="184" t="n">
        <x:v>0</x:v>
      </x:c>
      <x:c r="D1460" s="184" t="n">
        <x:v>0</x:v>
      </x:c>
      <x:c r="E1460" s="184" t="n">
        <x:v>0</x:v>
      </x:c>
      <x:c r="F1460" s="184" t="n">
        <x:v>0</x:v>
      </x:c>
      <x:c r="G1460" s="184" t="n">
        <x:v>0</x:v>
      </x:c>
      <x:c r="H1460" s="193" t="n">
        <x:v>0</x:v>
      </x:c>
      <x:c r="I1460" s="185" t="n">
        <x:v>0</x:v>
      </x:c>
      <x:c r="J1460" s="185" t="n">
        <x:v>0</x:v>
      </x:c>
      <x:c r="K1460" s="289" t="n">
        <x:v>24400</x:v>
      </x:c>
    </x:row>
    <x:row r="1461" s="117" customFormat="1" hidden="1">
      <x:c r="A1461" s="184" t="inlineStr">
        <x:is>
          <x:t xml:space="preserve">MTPRACFUN299</x:t>
        </x:is>
      </x:c>
      <x:c r="B1461" s="184" t="inlineStr">
        <x:is>
          <x:t xml:space="preserve">EXTRACTOR DE 2 PATAS AE310029 JONNESWAY ACCAO</x:t>
        </x:is>
      </x:c>
      <x:c r="C1461" s="184" t="n">
        <x:v>0</x:v>
      </x:c>
      <x:c r="D1461" s="184" t="n">
        <x:v>0</x:v>
      </x:c>
      <x:c r="E1461" s="184" t="n">
        <x:v>0</x:v>
      </x:c>
      <x:c r="F1461" s="184" t="n">
        <x:v>0</x:v>
      </x:c>
      <x:c r="G1461" s="184" t="n">
        <x:v>0</x:v>
      </x:c>
      <x:c r="H1461" s="193" t="n">
        <x:v>0</x:v>
      </x:c>
      <x:c r="I1461" s="185" t="n">
        <x:v>0</x:v>
      </x:c>
      <x:c r="J1461" s="185" t="n">
        <x:v>0</x:v>
      </x:c>
      <x:c r="K1461" s="289" t="n">
        <x:v>9496</x:v>
      </x:c>
    </x:row>
    <x:row r="1462" s="117" customFormat="1" hidden="1">
      <x:c r="A1462" s="184" t="inlineStr">
        <x:is>
          <x:t xml:space="preserve">MTPRACFUN300</x:t>
        </x:is>
      </x:c>
      <x:c r="B1462" s="184" t="inlineStr">
        <x:is>
          <x:t xml:space="preserve">KIT DE REPUESTOS OPERACIONES FLOW</x:t>
        </x:is>
      </x:c>
      <x:c r="C1462" s="184" t="n">
        <x:v>0</x:v>
      </x:c>
      <x:c r="D1462" s="184" t="n">
        <x:v>0</x:v>
      </x:c>
      <x:c r="E1462" s="184" t="n">
        <x:v>0</x:v>
      </x:c>
      <x:c r="F1462" s="184" t="n">
        <x:v>0</x:v>
      </x:c>
      <x:c r="G1462" s="184" t="n">
        <x:v>0</x:v>
      </x:c>
      <x:c r="H1462" s="193" t="n">
        <x:v>0</x:v>
      </x:c>
      <x:c r="I1462" s="185" t="n">
        <x:v>0</x:v>
      </x:c>
      <x:c r="J1462" s="185" t="n">
        <x:v>0</x:v>
      </x:c>
      <x:c r="K1462" s="289" t="n">
        <x:v>3276111</x:v>
      </x:c>
    </x:row>
    <x:row r="1463" s="117" customFormat="1" hidden="1">
      <x:c r="A1463" s="184" t="inlineStr">
        <x:is>
          <x:t xml:space="preserve">MTPRACFUN301</x:t>
        </x:is>
      </x:c>
      <x:c r="B1463" s="184" t="inlineStr">
        <x:is>
          <x:t xml:space="preserve">FLUID AGITADOR TIPO EM 2040</x:t>
        </x:is>
      </x:c>
      <x:c r="C1463" s="184" t="n">
        <x:v>0</x:v>
      </x:c>
      <x:c r="D1463" s="184" t="n">
        <x:v>0</x:v>
      </x:c>
      <x:c r="E1463" s="184" t="n">
        <x:v>0</x:v>
      </x:c>
      <x:c r="F1463" s="184" t="n">
        <x:v>0</x:v>
      </x:c>
      <x:c r="G1463" s="184" t="n">
        <x:v>0</x:v>
      </x:c>
      <x:c r="H1463" s="193" t="n">
        <x:v>0</x:v>
      </x:c>
      <x:c r="I1463" s="185" t="n">
        <x:v>0</x:v>
      </x:c>
      <x:c r="J1463" s="185" t="n">
        <x:v>0</x:v>
      </x:c>
      <x:c r="K1463" s="289" t="n">
        <x:v>22469562</x:v>
      </x:c>
    </x:row>
    <x:row r="1464" s="117" customFormat="1" hidden="1">
      <x:c r="A1464" s="184" t="inlineStr">
        <x:is>
          <x:t xml:space="preserve">MTPRACFUN302</x:t>
        </x:is>
      </x:c>
      <x:c r="B1464" s="184" t="inlineStr">
        <x:is>
          <x:t xml:space="preserve">CAJAS DE CARTON 17C IMPRESAS C/LOGO 410 X 410 X 410</x:t>
        </x:is>
      </x:c>
      <x:c r="C1464" s="184" t="n">
        <x:v>129</x:v>
      </x:c>
      <x:c r="D1464" s="184" t="n">
        <x:v>0</x:v>
      </x:c>
      <x:c r="E1464" s="184" t="n">
        <x:v>1</x:v>
      </x:c>
      <x:c r="F1464" s="184" t="n">
        <x:v>128</x:v>
      </x:c>
      <x:c r="G1464" s="184" t="n">
        <x:v>165894</x:v>
      </x:c>
      <x:c r="H1464" s="193" t="n">
        <x:v>0</x:v>
      </x:c>
      <x:c r="I1464" s="185" t="n">
        <x:v>1286</x:v>
      </x:c>
      <x:c r="J1464" s="185" t="n">
        <x:v>164608</x:v>
      </x:c>
      <x:c r="K1464" s="289" t="n">
        <x:v>1286</x:v>
      </x:c>
    </x:row>
    <x:row r="1465" s="117" customFormat="1" hidden="1">
      <x:c r="A1465" s="184" t="inlineStr">
        <x:is>
          <x:t xml:space="preserve">MTPRACFUN303</x:t>
        </x:is>
      </x:c>
      <x:c r="B1465" s="184" t="inlineStr">
        <x:is>
          <x:t xml:space="preserve">CAJAS DE CARTON 17C IMPRESAS C/LOGO 310 X 310 X 360</x:t>
        </x:is>
      </x:c>
      <x:c r="C1465" s="184" t="n">
        <x:v>129</x:v>
      </x:c>
      <x:c r="D1465" s="184" t="n">
        <x:v>0</x:v>
      </x:c>
      <x:c r="E1465" s="184" t="n">
        <x:v>1</x:v>
      </x:c>
      <x:c r="F1465" s="184" t="n">
        <x:v>128</x:v>
      </x:c>
      <x:c r="G1465" s="184" t="n">
        <x:v>115713</x:v>
      </x:c>
      <x:c r="H1465" s="193" t="n">
        <x:v>0</x:v>
      </x:c>
      <x:c r="I1465" s="185" t="n">
        <x:v>897</x:v>
      </x:c>
      <x:c r="J1465" s="185" t="n">
        <x:v>114816</x:v>
      </x:c>
      <x:c r="K1465" s="289" t="n">
        <x:v>897</x:v>
      </x:c>
    </x:row>
    <x:row r="1466" s="117" customFormat="1" hidden="1">
      <x:c r="A1466" s="184" t="inlineStr">
        <x:is>
          <x:t xml:space="preserve">MTPRACFUN304</x:t>
        </x:is>
      </x:c>
      <x:c r="B1466" s="184" t="inlineStr">
        <x:is>
          <x:t xml:space="preserve">PERNO PARKER BUTT M6 X 40 INOXIDABLE</x:t>
        </x:is>
      </x:c>
      <x:c r="C1466" s="184" t="n">
        <x:v>0</x:v>
      </x:c>
      <x:c r="D1466" s="184" t="n">
        <x:v>0</x:v>
      </x:c>
      <x:c r="E1466" s="184" t="n">
        <x:v>0</x:v>
      </x:c>
      <x:c r="F1466" s="184" t="n">
        <x:v>0</x:v>
      </x:c>
      <x:c r="G1466" s="184" t="n">
        <x:v>0</x:v>
      </x:c>
      <x:c r="H1466" s="193" t="n">
        <x:v>0</x:v>
      </x:c>
      <x:c r="I1466" s="185" t="n">
        <x:v>0</x:v>
      </x:c>
      <x:c r="J1466" s="185" t="n">
        <x:v>0</x:v>
      </x:c>
      <x:c r="K1466" s="289" t="n">
        <x:v>627</x:v>
      </x:c>
    </x:row>
    <x:row r="1467" s="117" customFormat="1" hidden="1">
      <x:c r="A1467" s="184" t="inlineStr">
        <x:is>
          <x:t xml:space="preserve">MTPRACFUN305</x:t>
        </x:is>
      </x:c>
      <x:c r="B1467" s="184" t="inlineStr">
        <x:is>
          <x:t xml:space="preserve">COMPRAS VARIAS POR CUENTA DE FIBERPOLE</x:t>
        </x:is>
      </x:c>
      <x:c r="C1467" s="184" t="n">
        <x:v>0</x:v>
      </x:c>
      <x:c r="D1467" s="184" t="n">
        <x:v>0</x:v>
      </x:c>
      <x:c r="E1467" s="184" t="n">
        <x:v>0</x:v>
      </x:c>
      <x:c r="F1467" s="184" t="n">
        <x:v>0</x:v>
      </x:c>
      <x:c r="G1467" s="184" t="n">
        <x:v>-1</x:v>
      </x:c>
      <x:c r="H1467" s="193" t="n">
        <x:v>0</x:v>
      </x:c>
      <x:c r="I1467" s="185" t="n">
        <x:v>0</x:v>
      </x:c>
      <x:c r="J1467" s="185" t="n">
        <x:v>-1</x:v>
      </x:c>
      <x:c r="K1467" s="289" t="n">
        <x:v>1120000</x:v>
      </x:c>
    </x:row>
    <x:row r="1468" s="117" customFormat="1" hidden="1">
      <x:c r="A1468" s="184" t="inlineStr">
        <x:is>
          <x:t xml:space="preserve">MTPRACFUN306</x:t>
        </x:is>
      </x:c>
      <x:c r="B1468" s="184" t="inlineStr">
        <x:is>
          <x:t xml:space="preserve">BROCHA PLANA DE 1/2 X 1</x:t>
        </x:is>
      </x:c>
      <x:c r="C1468" s="184" t="n">
        <x:v>106</x:v>
      </x:c>
      <x:c r="D1468" s="184" t="n">
        <x:v>0</x:v>
      </x:c>
      <x:c r="E1468" s="184" t="n">
        <x:v>3</x:v>
      </x:c>
      <x:c r="F1468" s="184" t="n">
        <x:v>103</x:v>
      </x:c>
      <x:c r="G1468" s="184" t="n">
        <x:v>136487</x:v>
      </x:c>
      <x:c r="H1468" s="193" t="n">
        <x:v>0</x:v>
      </x:c>
      <x:c r="I1468" s="185" t="n">
        <x:v>3863</x:v>
      </x:c>
      <x:c r="J1468" s="185" t="n">
        <x:v>132624</x:v>
      </x:c>
      <x:c r="K1468" s="289" t="n">
        <x:v>1287.64679571</x:v>
      </x:c>
    </x:row>
    <x:row r="1469" s="117" customFormat="1" hidden="1">
      <x:c r="A1469" s="184" t="inlineStr">
        <x:is>
          <x:t xml:space="preserve">MTPRACFUN307</x:t>
        </x:is>
      </x:c>
      <x:c r="B1469" s="184" t="inlineStr">
        <x:is>
          <x:t xml:space="preserve">DOSIFICADOR 250 CC</x:t>
        </x:is>
      </x:c>
      <x:c r="C1469" s="184" t="n">
        <x:v>6</x:v>
      </x:c>
      <x:c r="D1469" s="184" t="n">
        <x:v>0</x:v>
      </x:c>
      <x:c r="E1469" s="184" t="n">
        <x:v>0</x:v>
      </x:c>
      <x:c r="F1469" s="184" t="n">
        <x:v>6</x:v>
      </x:c>
      <x:c r="G1469" s="184" t="n">
        <x:v>5280</x:v>
      </x:c>
      <x:c r="H1469" s="193" t="n">
        <x:v>0</x:v>
      </x:c>
      <x:c r="I1469" s="185" t="n">
        <x:v>0</x:v>
      </x:c>
      <x:c r="J1469" s="185" t="n">
        <x:v>5280</x:v>
      </x:c>
      <x:c r="K1469" s="289" t="n">
        <x:v>880</x:v>
      </x:c>
    </x:row>
    <x:row r="1470" s="117" customFormat="1" hidden="1">
      <x:c r="A1470" s="184" t="inlineStr">
        <x:is>
          <x:t xml:space="preserve">MTPRACFUN308</x:t>
        </x:is>
      </x:c>
      <x:c r="B1470" s="184" t="inlineStr">
        <x:is>
          <x:t xml:space="preserve">HOJA DE SIERRA</x:t>
        </x:is>
      </x:c>
      <x:c r="C1470" s="184" t="n">
        <x:v>20</x:v>
      </x:c>
      <x:c r="D1470" s="184" t="n">
        <x:v>0</x:v>
      </x:c>
      <x:c r="E1470" s="184" t="n">
        <x:v>0</x:v>
      </x:c>
      <x:c r="F1470" s="184" t="n">
        <x:v>20</x:v>
      </x:c>
      <x:c r="G1470" s="184" t="n">
        <x:v>18103</x:v>
      </x:c>
      <x:c r="H1470" s="193" t="n">
        <x:v>0</x:v>
      </x:c>
      <x:c r="I1470" s="185" t="n">
        <x:v>0</x:v>
      </x:c>
      <x:c r="J1470" s="185" t="n">
        <x:v>18103</x:v>
      </x:c>
      <x:c r="K1470" s="289" t="n">
        <x:v>905.14285714</x:v>
      </x:c>
    </x:row>
    <x:row r="1471" s="117" customFormat="1" hidden="1">
      <x:c r="A1471" s="184" t="inlineStr">
        <x:is>
          <x:t xml:space="preserve">MTPRACFUN309</x:t>
        </x:is>
      </x:c>
      <x:c r="B1471" s="184" t="inlineStr">
        <x:is>
          <x:t xml:space="preserve">ESLINGA SINTETICA 2 CAPAS 50MM X 1MT</x:t>
        </x:is>
      </x:c>
      <x:c r="C1471" s="184" t="n">
        <x:v>0</x:v>
      </x:c>
      <x:c r="D1471" s="184" t="n">
        <x:v>0</x:v>
      </x:c>
      <x:c r="E1471" s="184" t="n">
        <x:v>0</x:v>
      </x:c>
      <x:c r="F1471" s="184" t="n">
        <x:v>0</x:v>
      </x:c>
      <x:c r="G1471" s="184" t="n">
        <x:v>0</x:v>
      </x:c>
      <x:c r="H1471" s="193" t="n">
        <x:v>0</x:v>
      </x:c>
      <x:c r="I1471" s="185" t="n">
        <x:v>0</x:v>
      </x:c>
      <x:c r="J1471" s="185" t="n">
        <x:v>0</x:v>
      </x:c>
      <x:c r="K1471" s="289" t="n">
        <x:v>0</x:v>
      </x:c>
    </x:row>
    <x:row r="1472" s="117" customFormat="1" hidden="1">
      <x:c r="A1472" s="184" t="inlineStr">
        <x:is>
          <x:t xml:space="preserve">MTPRACFUN310</x:t>
        </x:is>
      </x:c>
      <x:c r="B1472" s="184" t="inlineStr">
        <x:is>
          <x:t xml:space="preserve">ESLINGA SINTETICA 2 CAPAS 50MM X 4MT</x:t>
        </x:is>
      </x:c>
      <x:c r="C1472" s="184" t="n">
        <x:v>0</x:v>
      </x:c>
      <x:c r="D1472" s="184" t="n">
        <x:v>0</x:v>
      </x:c>
      <x:c r="E1472" s="184" t="n">
        <x:v>0</x:v>
      </x:c>
      <x:c r="F1472" s="184" t="n">
        <x:v>0</x:v>
      </x:c>
      <x:c r="G1472" s="184" t="n">
        <x:v>0</x:v>
      </x:c>
      <x:c r="H1472" s="193" t="n">
        <x:v>0</x:v>
      </x:c>
      <x:c r="I1472" s="185" t="n">
        <x:v>0</x:v>
      </x:c>
      <x:c r="J1472" s="185" t="n">
        <x:v>0</x:v>
      </x:c>
      <x:c r="K1472" s="289" t="n">
        <x:v>0</x:v>
      </x:c>
    </x:row>
    <x:row r="1473" s="117" customFormat="1" hidden="1">
      <x:c r="A1473" s="184" t="inlineStr">
        <x:is>
          <x:t xml:space="preserve">MTPRACFUN311</x:t>
        </x:is>
      </x:c>
      <x:c r="B1473" s="184" t="inlineStr">
        <x:is>
          <x:t xml:space="preserve">CADENA PLASTICA ROJA 50MTS</x:t>
        </x:is>
      </x:c>
      <x:c r="C1473" s="184" t="n">
        <x:v>0</x:v>
      </x:c>
      <x:c r="D1473" s="184" t="n">
        <x:v>0</x:v>
      </x:c>
      <x:c r="E1473" s="184" t="n">
        <x:v>0</x:v>
      </x:c>
      <x:c r="F1473" s="184" t="n">
        <x:v>0</x:v>
      </x:c>
      <x:c r="G1473" s="184" t="n">
        <x:v>0</x:v>
      </x:c>
      <x:c r="H1473" s="193" t="n">
        <x:v>0</x:v>
      </x:c>
      <x:c r="I1473" s="185" t="n">
        <x:v>0</x:v>
      </x:c>
      <x:c r="J1473" s="185" t="n">
        <x:v>0</x:v>
      </x:c>
      <x:c r="K1473" s="289" t="n">
        <x:v>380</x:v>
      </x:c>
    </x:row>
    <x:row r="1474" s="117" customFormat="1" hidden="1">
      <x:c r="A1474" s="184" t="inlineStr">
        <x:is>
          <x:t xml:space="preserve">MTPRACFUN312</x:t>
        </x:is>
      </x:c>
      <x:c r="B1474" s="184" t="inlineStr">
        <x:is>
          <x:t xml:space="preserve">JUEGO DE DESTORNILLADORES</x:t>
        </x:is>
      </x:c>
      <x:c r="C1474" s="184" t="n">
        <x:v>2</x:v>
      </x:c>
      <x:c r="D1474" s="184" t="n">
        <x:v>0</x:v>
      </x:c>
      <x:c r="E1474" s="184" t="n">
        <x:v>0</x:v>
      </x:c>
      <x:c r="F1474" s="184" t="n">
        <x:v>2</x:v>
      </x:c>
      <x:c r="G1474" s="184" t="n">
        <x:v>11576</x:v>
      </x:c>
      <x:c r="H1474" s="193" t="n">
        <x:v>0</x:v>
      </x:c>
      <x:c r="I1474" s="185" t="n">
        <x:v>0</x:v>
      </x:c>
      <x:c r="J1474" s="185" t="n">
        <x:v>11576</x:v>
      </x:c>
      <x:c r="K1474" s="289" t="n">
        <x:v>5788</x:v>
      </x:c>
    </x:row>
    <x:row r="1475" s="117" customFormat="1" hidden="1">
      <x:c r="A1475" s="184" t="inlineStr">
        <x:is>
          <x:t xml:space="preserve">MTPRACFUN313</x:t>
        </x:is>
      </x:c>
      <x:c r="B1475" s="184" t="inlineStr">
        <x:is>
          <x:t xml:space="preserve">LINTERNA STEELPRO MANOS LIBRES 6 LED KL-400</x:t>
        </x:is>
      </x:c>
      <x:c r="C1475" s="184" t="n">
        <x:v>3</x:v>
      </x:c>
      <x:c r="D1475" s="184" t="n">
        <x:v>0</x:v>
      </x:c>
      <x:c r="E1475" s="184" t="n">
        <x:v>0</x:v>
      </x:c>
      <x:c r="F1475" s="184" t="n">
        <x:v>3</x:v>
      </x:c>
      <x:c r="G1475" s="184" t="n">
        <x:v>14499</x:v>
      </x:c>
      <x:c r="H1475" s="193" t="n">
        <x:v>0</x:v>
      </x:c>
      <x:c r="I1475" s="185" t="n">
        <x:v>0</x:v>
      </x:c>
      <x:c r="J1475" s="185" t="n">
        <x:v>14499</x:v>
      </x:c>
      <x:c r="K1475" s="289" t="n">
        <x:v>4833</x:v>
      </x:c>
    </x:row>
    <x:row r="1476" s="117" customFormat="1" hidden="1">
      <x:c r="A1476" s="184" t="inlineStr">
        <x:is>
          <x:t xml:space="preserve">MTPRACFUN314</x:t>
        </x:is>
      </x:c>
      <x:c r="B1476" s="184" t="inlineStr">
        <x:is>
          <x:t xml:space="preserve">PISTOLA AIRE CALIENTE MAKITA HG5030K 160</x:t>
        </x:is>
      </x:c>
      <x:c r="C1476" s="184" t="n">
        <x:v>1</x:v>
      </x:c>
      <x:c r="D1476" s="184" t="n">
        <x:v>0</x:v>
      </x:c>
      <x:c r="E1476" s="184" t="n">
        <x:v>0</x:v>
      </x:c>
      <x:c r="F1476" s="184" t="n">
        <x:v>1</x:v>
      </x:c>
      <x:c r="G1476" s="184" t="n">
        <x:v>73101</x:v>
      </x:c>
      <x:c r="H1476" s="193" t="n">
        <x:v>0</x:v>
      </x:c>
      <x:c r="I1476" s="185" t="n">
        <x:v>0</x:v>
      </x:c>
      <x:c r="J1476" s="185" t="n">
        <x:v>73101</x:v>
      </x:c>
      <x:c r="K1476" s="289" t="n">
        <x:v>73101</x:v>
      </x:c>
    </x:row>
    <x:row r="1477" s="117" customFormat="1" hidden="1">
      <x:c r="A1477" s="184" t="inlineStr">
        <x:is>
          <x:t xml:space="preserve">MTPRACFUN315</x:t>
        </x:is>
      </x:c>
      <x:c r="B1477" s="184" t="inlineStr">
        <x:is>
          <x:t xml:space="preserve">LLAVE DE IMPACTO MAKITA 1/2" 18V+2 BAT 3.0</x:t>
        </x:is>
      </x:c>
      <x:c r="C1477" s="184" t="n">
        <x:v>0</x:v>
      </x:c>
      <x:c r="D1477" s="184" t="n">
        <x:v>0</x:v>
      </x:c>
      <x:c r="E1477" s="184" t="n">
        <x:v>0</x:v>
      </x:c>
      <x:c r="F1477" s="184" t="n">
        <x:v>0</x:v>
      </x:c>
      <x:c r="G1477" s="184" t="n">
        <x:v>0</x:v>
      </x:c>
      <x:c r="H1477" s="193" t="n">
        <x:v>0</x:v>
      </x:c>
      <x:c r="I1477" s="185" t="n">
        <x:v>0</x:v>
      </x:c>
      <x:c r="J1477" s="185" t="n">
        <x:v>0</x:v>
      </x:c>
      <x:c r="K1477" s="289" t="n">
        <x:v>263330</x:v>
      </x:c>
    </x:row>
    <x:row r="1478" s="117" customFormat="1" hidden="1">
      <x:c r="A1478" s="184" t="inlineStr">
        <x:is>
          <x:t xml:space="preserve">MTPRACFUN316</x:t>
        </x:is>
      </x:c>
      <x:c r="B1478" s="184" t="inlineStr">
        <x:is>
          <x:t xml:space="preserve">TALADRO PERCUTOR 13MM. 680W.REV. MAKITA HP1641K</x:t>
        </x:is>
      </x:c>
      <x:c r="C1478" s="184" t="n">
        <x:v>0</x:v>
      </x:c>
      <x:c r="D1478" s="184" t="n">
        <x:v>0</x:v>
      </x:c>
      <x:c r="E1478" s="184" t="n">
        <x:v>0</x:v>
      </x:c>
      <x:c r="F1478" s="184" t="n">
        <x:v>0</x:v>
      </x:c>
      <x:c r="G1478" s="184" t="n">
        <x:v>0</x:v>
      </x:c>
      <x:c r="H1478" s="193" t="n">
        <x:v>0</x:v>
      </x:c>
      <x:c r="I1478" s="185" t="n">
        <x:v>0</x:v>
      </x:c>
      <x:c r="J1478" s="185" t="n">
        <x:v>0</x:v>
      </x:c>
      <x:c r="K1478" s="289" t="n">
        <x:v>109235</x:v>
      </x:c>
    </x:row>
    <x:row r="1479" s="117" customFormat="1" hidden="1">
      <x:c r="A1479" s="184" t="inlineStr">
        <x:is>
          <x:t xml:space="preserve">MTPRACFUN317</x:t>
        </x:is>
      </x:c>
      <x:c r="B1479" s="184" t="inlineStr">
        <x:is>
          <x:t xml:space="preserve">SOPLADOR INALAMBRICO TE-CB18/180LI SOLO #8681140 EINHELL (NA26606140)</x:t>
        </x:is>
      </x:c>
      <x:c r="C1479" s="184" t="n">
        <x:v>0</x:v>
      </x:c>
      <x:c r="D1479" s="184" t="n">
        <x:v>0</x:v>
      </x:c>
      <x:c r="E1479" s="184" t="n">
        <x:v>0</x:v>
      </x:c>
      <x:c r="F1479" s="184" t="n">
        <x:v>0</x:v>
      </x:c>
      <x:c r="G1479" s="184" t="n">
        <x:v>0</x:v>
      </x:c>
      <x:c r="H1479" s="193" t="n">
        <x:v>0</x:v>
      </x:c>
      <x:c r="I1479" s="185" t="n">
        <x:v>0</x:v>
      </x:c>
      <x:c r="J1479" s="185" t="n">
        <x:v>0</x:v>
      </x:c>
      <x:c r="K1479" s="289" t="n">
        <x:v>47156</x:v>
      </x:c>
    </x:row>
    <x:row r="1480" s="117" customFormat="1" hidden="1">
      <x:c r="A1480" s="184" t="inlineStr">
        <x:is>
          <x:t xml:space="preserve">MTPRACFUN318</x:t>
        </x:is>
      </x:c>
      <x:c r="B1480" s="184" t="inlineStr">
        <x:is>
          <x:t xml:space="preserve">BATERIA 2,5 AH 18V + CARGADOR POWER EINHELL (NA26100218)</x:t>
        </x:is>
      </x:c>
      <x:c r="C1480" s="184" t="n">
        <x:v>2</x:v>
      </x:c>
      <x:c r="D1480" s="184" t="n">
        <x:v>0</x:v>
      </x:c>
      <x:c r="E1480" s="184" t="n">
        <x:v>0</x:v>
      </x:c>
      <x:c r="F1480" s="184" t="n">
        <x:v>2</x:v>
      </x:c>
      <x:c r="G1480" s="184" t="n">
        <x:v>56478</x:v>
      </x:c>
      <x:c r="H1480" s="193" t="n">
        <x:v>0</x:v>
      </x:c>
      <x:c r="I1480" s="185" t="n">
        <x:v>0</x:v>
      </x:c>
      <x:c r="J1480" s="185" t="n">
        <x:v>56478</x:v>
      </x:c>
      <x:c r="K1480" s="289" t="n">
        <x:v>28239</x:v>
      </x:c>
    </x:row>
    <x:row r="1481" s="117" customFormat="1" hidden="1">
      <x:c r="A1481" s="184" t="inlineStr">
        <x:is>
          <x:t xml:space="preserve">MTPRACFUN319</x:t>
        </x:is>
      </x:c>
      <x:c r="B1481" s="184" t="inlineStr">
        <x:is>
          <x:t xml:space="preserve">ESLINGA SINTETICA 3 CAPAS 50MM X 1 MT</x:t>
        </x:is>
      </x:c>
      <x:c r="C1481" s="184" t="n">
        <x:v>0</x:v>
      </x:c>
      <x:c r="D1481" s="184" t="n">
        <x:v>0</x:v>
      </x:c>
      <x:c r="E1481" s="184" t="n">
        <x:v>0</x:v>
      </x:c>
      <x:c r="F1481" s="184" t="n">
        <x:v>0</x:v>
      </x:c>
      <x:c r="G1481" s="184" t="n">
        <x:v>0</x:v>
      </x:c>
      <x:c r="H1481" s="193" t="n">
        <x:v>0</x:v>
      </x:c>
      <x:c r="I1481" s="185" t="n">
        <x:v>0</x:v>
      </x:c>
      <x:c r="J1481" s="185" t="n">
        <x:v>0</x:v>
      </x:c>
      <x:c r="K1481" s="289" t="n">
        <x:v>0</x:v>
      </x:c>
    </x:row>
    <x:row r="1482" s="117" customFormat="1" hidden="1">
      <x:c r="A1482" s="184" t="inlineStr">
        <x:is>
          <x:t xml:space="preserve">MTPRACFUN320</x:t>
        </x:is>
      </x:c>
      <x:c r="B1482" s="184" t="inlineStr">
        <x:is>
          <x:t xml:space="preserve">ESLINGA SINTETICA 3 CAPAS 50MM X 1,5 MT</x:t>
        </x:is>
      </x:c>
      <x:c r="C1482" s="184" t="n">
        <x:v>2</x:v>
      </x:c>
      <x:c r="D1482" s="184" t="n">
        <x:v>0</x:v>
      </x:c>
      <x:c r="E1482" s="184" t="n">
        <x:v>0</x:v>
      </x:c>
      <x:c r="F1482" s="184" t="n">
        <x:v>2</x:v>
      </x:c>
      <x:c r="G1482" s="184" t="n">
        <x:v>25126</x:v>
      </x:c>
      <x:c r="H1482" s="193" t="n">
        <x:v>0</x:v>
      </x:c>
      <x:c r="I1482" s="185" t="n">
        <x:v>0</x:v>
      </x:c>
      <x:c r="J1482" s="185" t="n">
        <x:v>25126</x:v>
      </x:c>
      <x:c r="K1482" s="289" t="n">
        <x:v>12563</x:v>
      </x:c>
    </x:row>
    <x:row r="1483" s="117" customFormat="1" hidden="1">
      <x:c r="A1483" s="184" t="inlineStr">
        <x:is>
          <x:t xml:space="preserve">MTPRACFUN321</x:t>
        </x:is>
      </x:c>
      <x:c r="B1483" s="184" t="inlineStr">
        <x:is>
          <x:t xml:space="preserve">ESLINGA SINTETICA 3 CAPAS 50MM X 2 MT</x:t>
        </x:is>
      </x:c>
      <x:c r="C1483" s="184" t="n">
        <x:v>0</x:v>
      </x:c>
      <x:c r="D1483" s="184" t="n">
        <x:v>0</x:v>
      </x:c>
      <x:c r="E1483" s="184" t="n">
        <x:v>0</x:v>
      </x:c>
      <x:c r="F1483" s="184" t="n">
        <x:v>0</x:v>
      </x:c>
      <x:c r="G1483" s="184" t="n">
        <x:v>0</x:v>
      </x:c>
      <x:c r="H1483" s="193" t="n">
        <x:v>0</x:v>
      </x:c>
      <x:c r="I1483" s="185" t="n">
        <x:v>0</x:v>
      </x:c>
      <x:c r="J1483" s="185" t="n">
        <x:v>0</x:v>
      </x:c>
      <x:c r="K1483" s="289" t="n">
        <x:v>0</x:v>
      </x:c>
    </x:row>
    <x:row r="1484" s="117" customFormat="1" hidden="1">
      <x:c r="A1484" s="184" t="inlineStr">
        <x:is>
          <x:t xml:space="preserve">MTPRACFUN322</x:t>
        </x:is>
      </x:c>
      <x:c r="B1484" s="184" t="inlineStr">
        <x:is>
          <x:t xml:space="preserve">ESLINGA SINTETICA 3 CAPAS 50MM X 2,5 MT</x:t>
        </x:is>
      </x:c>
      <x:c r="C1484" s="184" t="n">
        <x:v>0</x:v>
      </x:c>
      <x:c r="D1484" s="184" t="n">
        <x:v>0</x:v>
      </x:c>
      <x:c r="E1484" s="184" t="n">
        <x:v>0</x:v>
      </x:c>
      <x:c r="F1484" s="184" t="n">
        <x:v>0</x:v>
      </x:c>
      <x:c r="G1484" s="184" t="n">
        <x:v>0</x:v>
      </x:c>
      <x:c r="H1484" s="193" t="n">
        <x:v>0</x:v>
      </x:c>
      <x:c r="I1484" s="185" t="n">
        <x:v>0</x:v>
      </x:c>
      <x:c r="J1484" s="185" t="n">
        <x:v>0</x:v>
      </x:c>
      <x:c r="K1484" s="289" t="n">
        <x:v>0</x:v>
      </x:c>
    </x:row>
    <x:row r="1485" s="117" customFormat="1" hidden="1">
      <x:c r="A1485" s="184" t="inlineStr">
        <x:is>
          <x:t xml:space="preserve">MTPRACFUN323</x:t>
        </x:is>
      </x:c>
      <x:c r="B1485" s="184" t="inlineStr">
        <x:is>
          <x:t xml:space="preserve">ESLINGA SINTETICA 3 CAPAS 50MM X 3 MT</x:t>
        </x:is>
      </x:c>
      <x:c r="C1485" s="184" t="n">
        <x:v>1</x:v>
      </x:c>
      <x:c r="D1485" s="184" t="n">
        <x:v>0</x:v>
      </x:c>
      <x:c r="E1485" s="184" t="n">
        <x:v>0</x:v>
      </x:c>
      <x:c r="F1485" s="184" t="n">
        <x:v>1</x:v>
      </x:c>
      <x:c r="G1485" s="184" t="n">
        <x:v>22320</x:v>
      </x:c>
      <x:c r="H1485" s="193" t="n">
        <x:v>0</x:v>
      </x:c>
      <x:c r="I1485" s="185" t="n">
        <x:v>0</x:v>
      </x:c>
      <x:c r="J1485" s="185" t="n">
        <x:v>22320</x:v>
      </x:c>
      <x:c r="K1485" s="289" t="n">
        <x:v>22320</x:v>
      </x:c>
    </x:row>
    <x:row r="1486" s="117" customFormat="1" hidden="1">
      <x:c r="A1486" s="184" t="inlineStr">
        <x:is>
          <x:t xml:space="preserve">MTPRACFUN324</x:t>
        </x:is>
      </x:c>
      <x:c r="B1486" s="184" t="inlineStr">
        <x:is>
          <x:t xml:space="preserve">ESLINGA SINTETICA 3 CAPAS 50MM X 4 MT</x:t>
        </x:is>
      </x:c>
      <x:c r="C1486" s="184" t="n">
        <x:v>0</x:v>
      </x:c>
      <x:c r="D1486" s="184" t="n">
        <x:v>0</x:v>
      </x:c>
      <x:c r="E1486" s="184" t="n">
        <x:v>0</x:v>
      </x:c>
      <x:c r="F1486" s="184" t="n">
        <x:v>0</x:v>
      </x:c>
      <x:c r="G1486" s="184" t="n">
        <x:v>0</x:v>
      </x:c>
      <x:c r="H1486" s="193" t="n">
        <x:v>0</x:v>
      </x:c>
      <x:c r="I1486" s="185" t="n">
        <x:v>0</x:v>
      </x:c>
      <x:c r="J1486" s="185" t="n">
        <x:v>0</x:v>
      </x:c>
      <x:c r="K1486" s="289" t="n">
        <x:v>0</x:v>
      </x:c>
    </x:row>
    <x:row r="1487" s="117" customFormat="1" hidden="1">
      <x:c r="A1487" s="184" t="inlineStr">
        <x:is>
          <x:t xml:space="preserve">MTPRACFUN325</x:t>
        </x:is>
      </x:c>
      <x:c r="B1487" s="184" t="inlineStr">
        <x:is>
          <x:t xml:space="preserve">ESLINGA SINTETICA 3 CAPAS 50MM X 5 MT</x:t>
        </x:is>
      </x:c>
      <x:c r="C1487" s="184" t="n">
        <x:v>2</x:v>
      </x:c>
      <x:c r="D1487" s="184" t="n">
        <x:v>0</x:v>
      </x:c>
      <x:c r="E1487" s="184" t="n">
        <x:v>0</x:v>
      </x:c>
      <x:c r="F1487" s="184" t="n">
        <x:v>2</x:v>
      </x:c>
      <x:c r="G1487" s="184" t="n">
        <x:v>49052</x:v>
      </x:c>
      <x:c r="H1487" s="193" t="n">
        <x:v>0</x:v>
      </x:c>
      <x:c r="I1487" s="185" t="n">
        <x:v>0</x:v>
      </x:c>
      <x:c r="J1487" s="185" t="n">
        <x:v>49052</x:v>
      </x:c>
      <x:c r="K1487" s="289" t="n">
        <x:v>24526</x:v>
      </x:c>
    </x:row>
    <x:row r="1488" s="117" customFormat="1" hidden="1">
      <x:c r="A1488" s="184" t="inlineStr">
        <x:is>
          <x:t xml:space="preserve">MTPRACFUN326</x:t>
        </x:is>
      </x:c>
      <x:c r="B1488" s="184" t="inlineStr">
        <x:is>
          <x:t xml:space="preserve">ESLINGA SINTETICA 3 CAPAS 50MM X 6 MT</x:t>
        </x:is>
      </x:c>
      <x:c r="C1488" s="184" t="n">
        <x:v>0</x:v>
      </x:c>
      <x:c r="D1488" s="184" t="n">
        <x:v>0</x:v>
      </x:c>
      <x:c r="E1488" s="184" t="n">
        <x:v>0</x:v>
      </x:c>
      <x:c r="F1488" s="184" t="n">
        <x:v>0</x:v>
      </x:c>
      <x:c r="G1488" s="184" t="n">
        <x:v>0</x:v>
      </x:c>
      <x:c r="H1488" s="193" t="n">
        <x:v>0</x:v>
      </x:c>
      <x:c r="I1488" s="185" t="n">
        <x:v>0</x:v>
      </x:c>
      <x:c r="J1488" s="185" t="n">
        <x:v>0</x:v>
      </x:c>
      <x:c r="K1488" s="289" t="n">
        <x:v>0</x:v>
      </x:c>
    </x:row>
    <x:row r="1489" s="117" customFormat="1" hidden="1">
      <x:c r="A1489" s="184" t="inlineStr">
        <x:is>
          <x:t xml:space="preserve">MTPRACFUN327</x:t>
        </x:is>
      </x:c>
      <x:c r="B1489" s="184" t="inlineStr">
        <x:is>
          <x:t xml:space="preserve">ESLINGA SINTETICA 3 CAPAS 50MM X 7 MT</x:t>
        </x:is>
      </x:c>
      <x:c r="C1489" s="184" t="n">
        <x:v>2</x:v>
      </x:c>
      <x:c r="D1489" s="184" t="n">
        <x:v>0</x:v>
      </x:c>
      <x:c r="E1489" s="184" t="n">
        <x:v>0</x:v>
      </x:c>
      <x:c r="F1489" s="184" t="n">
        <x:v>2</x:v>
      </x:c>
      <x:c r="G1489" s="184" t="n">
        <x:v>83386</x:v>
      </x:c>
      <x:c r="H1489" s="193" t="n">
        <x:v>0</x:v>
      </x:c>
      <x:c r="I1489" s="185" t="n">
        <x:v>0</x:v>
      </x:c>
      <x:c r="J1489" s="185" t="n">
        <x:v>83386</x:v>
      </x:c>
      <x:c r="K1489" s="289" t="n">
        <x:v>41693</x:v>
      </x:c>
    </x:row>
    <x:row r="1490" s="117" customFormat="1" hidden="1">
      <x:c r="A1490" s="184" t="inlineStr">
        <x:is>
          <x:t xml:space="preserve">MTPRACFUN328</x:t>
        </x:is>
      </x:c>
      <x:c r="B1490" s="184" t="inlineStr">
        <x:is>
          <x:t xml:space="preserve">BROCHA CERDA 1/2 X 3"</x:t>
        </x:is>
      </x:c>
      <x:c r="C1490" s="184" t="n">
        <x:v>1</x:v>
      </x:c>
      <x:c r="D1490" s="184" t="n">
        <x:v>0</x:v>
      </x:c>
      <x:c r="E1490" s="184" t="n">
        <x:v>0</x:v>
      </x:c>
      <x:c r="F1490" s="184" t="n">
        <x:v>1</x:v>
      </x:c>
      <x:c r="G1490" s="184" t="n">
        <x:v>2701</x:v>
      </x:c>
      <x:c r="H1490" s="193" t="n">
        <x:v>0</x:v>
      </x:c>
      <x:c r="I1490" s="185" t="n">
        <x:v>0</x:v>
      </x:c>
      <x:c r="J1490" s="185" t="n">
        <x:v>2701</x:v>
      </x:c>
      <x:c r="K1490" s="289" t="n">
        <x:v>2701</x:v>
      </x:c>
    </x:row>
    <x:row r="1491" s="117" customFormat="1" hidden="1">
      <x:c r="A1491" s="184" t="inlineStr">
        <x:is>
          <x:t xml:space="preserve">MTPRACFUN329</x:t>
        </x:is>
      </x:c>
      <x:c r="B1491" s="184" t="inlineStr">
        <x:is>
          <x:t xml:space="preserve">BROCHA PLANA 1/2 X 3-1/2"</x:t>
        </x:is>
      </x:c>
      <x:c r="C1491" s="184" t="n">
        <x:v>113</x:v>
      </x:c>
      <x:c r="D1491" s="184" t="n">
        <x:v>0</x:v>
      </x:c>
      <x:c r="E1491" s="184" t="n">
        <x:v>0</x:v>
      </x:c>
      <x:c r="F1491" s="184" t="n">
        <x:v>113</x:v>
      </x:c>
      <x:c r="G1491" s="184" t="n">
        <x:v>268940</x:v>
      </x:c>
      <x:c r="H1491" s="193" t="n">
        <x:v>0</x:v>
      </x:c>
      <x:c r="I1491" s="185" t="n">
        <x:v>0</x:v>
      </x:c>
      <x:c r="J1491" s="185" t="n">
        <x:v>268940</x:v>
      </x:c>
      <x:c r="K1491" s="289" t="n">
        <x:v>2380</x:v>
      </x:c>
    </x:row>
    <x:row r="1492" s="117" customFormat="1" hidden="1">
      <x:c r="A1492" s="184" t="inlineStr">
        <x:is>
          <x:t xml:space="preserve">MTPRACFUN330</x:t>
        </x:is>
      </x:c>
      <x:c r="B1492" s="184" t="inlineStr">
        <x:is>
          <x:t xml:space="preserve">BANCO PLEGABLE 180 X 28 X 43</x:t>
        </x:is>
      </x:c>
      <x:c r="C1492" s="184" t="n">
        <x:v>1</x:v>
      </x:c>
      <x:c r="D1492" s="184" t="n">
        <x:v>0</x:v>
      </x:c>
      <x:c r="E1492" s="184" t="n">
        <x:v>0</x:v>
      </x:c>
      <x:c r="F1492" s="184" t="n">
        <x:v>1</x:v>
      </x:c>
      <x:c r="G1492" s="184" t="n">
        <x:v>32490</x:v>
      </x:c>
      <x:c r="H1492" s="193" t="n">
        <x:v>0</x:v>
      </x:c>
      <x:c r="I1492" s="185" t="n">
        <x:v>0</x:v>
      </x:c>
      <x:c r="J1492" s="185" t="n">
        <x:v>32490</x:v>
      </x:c>
      <x:c r="K1492" s="289" t="n">
        <x:v>32490</x:v>
      </x:c>
    </x:row>
    <x:row r="1493" s="117" customFormat="1" hidden="1">
      <x:c r="A1493" s="184" t="inlineStr">
        <x:is>
          <x:t xml:space="preserve">MTPRACFUN331</x:t>
        </x:is>
      </x:c>
      <x:c r="B1493" s="184" t="inlineStr">
        <x:is>
          <x:t xml:space="preserve">BOLSA PARA BASURA INDUSTRIAL (4POR KL)</x:t>
        </x:is>
      </x:c>
      <x:c r="C1493" s="184" t="n">
        <x:v>0</x:v>
      </x:c>
      <x:c r="D1493" s="184" t="n">
        <x:v>0</x:v>
      </x:c>
      <x:c r="E1493" s="184" t="n">
        <x:v>0</x:v>
      </x:c>
      <x:c r="F1493" s="184" t="n">
        <x:v>0</x:v>
      </x:c>
      <x:c r="G1493" s="184" t="n">
        <x:v>0</x:v>
      </x:c>
      <x:c r="H1493" s="193" t="n">
        <x:v>0</x:v>
      </x:c>
      <x:c r="I1493" s="185" t="n">
        <x:v>0</x:v>
      </x:c>
      <x:c r="J1493" s="185" t="n">
        <x:v>0</x:v>
      </x:c>
      <x:c r="K1493" s="289" t="n">
        <x:v>2986</x:v>
      </x:c>
    </x:row>
    <x:row r="1494" s="117" customFormat="1" hidden="1">
      <x:c r="A1494" s="184" t="inlineStr">
        <x:is>
          <x:t xml:space="preserve">MTPRACFUN333</x:t>
        </x:is>
      </x:c>
      <x:c r="B1494" s="184" t="inlineStr">
        <x:is>
          <x:t xml:space="preserve">FOCO LED 100W</x:t>
        </x:is>
      </x:c>
      <x:c r="C1494" s="184" t="n">
        <x:v>0</x:v>
      </x:c>
      <x:c r="D1494" s="184" t="n">
        <x:v>0</x:v>
      </x:c>
      <x:c r="E1494" s="184" t="n">
        <x:v>0</x:v>
      </x:c>
      <x:c r="F1494" s="184" t="n">
        <x:v>0</x:v>
      </x:c>
      <x:c r="G1494" s="184" t="n">
        <x:v>0</x:v>
      </x:c>
      <x:c r="H1494" s="193" t="n">
        <x:v>0</x:v>
      </x:c>
      <x:c r="I1494" s="185" t="n">
        <x:v>0</x:v>
      </x:c>
      <x:c r="J1494" s="185" t="n">
        <x:v>0</x:v>
      </x:c>
      <x:c r="K1494" s="289" t="n">
        <x:v>38845</x:v>
      </x:c>
    </x:row>
    <x:row r="1495" s="117" customFormat="1" hidden="1">
      <x:c r="A1495" s="184" t="inlineStr">
        <x:is>
          <x:t xml:space="preserve">MTPRACFUN334</x:t>
        </x:is>
      </x:c>
      <x:c r="B1495" s="184" t="inlineStr">
        <x:is>
          <x:t xml:space="preserve">FOCO LED DOBLE, CON TRÍPODE 2X50W</x:t>
        </x:is>
      </x:c>
      <x:c r="C1495" s="184" t="n">
        <x:v>3</x:v>
      </x:c>
      <x:c r="D1495" s="184" t="n">
        <x:v>0</x:v>
      </x:c>
      <x:c r="E1495" s="184" t="n">
        <x:v>0</x:v>
      </x:c>
      <x:c r="F1495" s="184" t="n">
        <x:v>3</x:v>
      </x:c>
      <x:c r="G1495" s="184" t="n">
        <x:v>126198</x:v>
      </x:c>
      <x:c r="H1495" s="193" t="n">
        <x:v>0</x:v>
      </x:c>
      <x:c r="I1495" s="185" t="n">
        <x:v>0</x:v>
      </x:c>
      <x:c r="J1495" s="185" t="n">
        <x:v>126198</x:v>
      </x:c>
      <x:c r="K1495" s="289" t="n">
        <x:v>42066</x:v>
      </x:c>
    </x:row>
    <x:row r="1496" s="117" customFormat="1" hidden="1">
      <x:c r="A1496" s="184" t="inlineStr">
        <x:is>
          <x:t xml:space="preserve">MTPRACFUN335</x:t>
        </x:is>
      </x:c>
      <x:c r="B1496" s="184" t="inlineStr">
        <x:is>
          <x:t xml:space="preserve">HUICHA DE MEDIR DE 30 MTS. TAXTIL</x:t>
        </x:is>
      </x:c>
      <x:c r="C1496" s="184" t="n">
        <x:v>1</x:v>
      </x:c>
      <x:c r="D1496" s="184" t="n">
        <x:v>0</x:v>
      </x:c>
      <x:c r="E1496" s="184" t="n">
        <x:v>0</x:v>
      </x:c>
      <x:c r="F1496" s="184" t="n">
        <x:v>1</x:v>
      </x:c>
      <x:c r="G1496" s="184" t="n">
        <x:v>15667</x:v>
      </x:c>
      <x:c r="H1496" s="193" t="n">
        <x:v>0</x:v>
      </x:c>
      <x:c r="I1496" s="185" t="n">
        <x:v>0</x:v>
      </x:c>
      <x:c r="J1496" s="185" t="n">
        <x:v>15667</x:v>
      </x:c>
      <x:c r="K1496" s="289" t="n">
        <x:v>15667</x:v>
      </x:c>
    </x:row>
    <x:row r="1497" s="117" customFormat="1" hidden="1">
      <x:c r="A1497" s="184" t="inlineStr">
        <x:is>
          <x:t xml:space="preserve">MTPRACFUN336</x:t>
        </x:is>
      </x:c>
      <x:c r="B1497" s="184" t="inlineStr">
        <x:is>
          <x:t xml:space="preserve">JUEGO DADOS CON CHICHARRA 1/2 - 12 PIEZAS</x:t>
        </x:is>
      </x:c>
      <x:c r="C1497" s="184" t="n">
        <x:v>0</x:v>
      </x:c>
      <x:c r="D1497" s="184" t="n">
        <x:v>0</x:v>
      </x:c>
      <x:c r="E1497" s="184" t="n">
        <x:v>0</x:v>
      </x:c>
      <x:c r="F1497" s="184" t="n">
        <x:v>0</x:v>
      </x:c>
      <x:c r="G1497" s="184" t="n">
        <x:v>0</x:v>
      </x:c>
      <x:c r="H1497" s="193" t="n">
        <x:v>0</x:v>
      </x:c>
      <x:c r="I1497" s="185" t="n">
        <x:v>0</x:v>
      </x:c>
      <x:c r="J1497" s="185" t="n">
        <x:v>0</x:v>
      </x:c>
      <x:c r="K1497" s="289" t="n">
        <x:v>36055</x:v>
      </x:c>
    </x:row>
    <x:row r="1498" s="117" customFormat="1" hidden="1">
      <x:c r="A1498" s="184" t="inlineStr">
        <x:is>
          <x:t xml:space="preserve">MTPRACFUN337</x:t>
        </x:is>
      </x:c>
      <x:c r="B1498" s="184" t="inlineStr">
        <x:is>
          <x:t xml:space="preserve">LINTERNA DE MANO, 2000 LUMENES</x:t>
        </x:is>
      </x:c>
      <x:c r="C1498" s="184" t="n">
        <x:v>3</x:v>
      </x:c>
      <x:c r="D1498" s="184" t="n">
        <x:v>0</x:v>
      </x:c>
      <x:c r="E1498" s="184" t="n">
        <x:v>1</x:v>
      </x:c>
      <x:c r="F1498" s="184" t="n">
        <x:v>2</x:v>
      </x:c>
      <x:c r="G1498" s="184" t="n">
        <x:v>30600</x:v>
      </x:c>
      <x:c r="H1498" s="193" t="n">
        <x:v>0</x:v>
      </x:c>
      <x:c r="I1498" s="185" t="n">
        <x:v>10200</x:v>
      </x:c>
      <x:c r="J1498" s="185" t="n">
        <x:v>20400</x:v>
      </x:c>
      <x:c r="K1498" s="289" t="n">
        <x:v>10200</x:v>
      </x:c>
    </x:row>
    <x:row r="1499" s="117" customFormat="1" hidden="1">
      <x:c r="A1499" s="184" t="inlineStr">
        <x:is>
          <x:t xml:space="preserve">MTPRACFUN338</x:t>
        </x:is>
      </x:c>
      <x:c r="B1499" s="184" t="inlineStr">
        <x:is>
          <x:t xml:space="preserve">LLANAS DE ACERO TEMPLADO LISA 300 X 180 LIZCAL</x:t>
        </x:is>
      </x:c>
      <x:c r="C1499" s="184" t="n">
        <x:v>0</x:v>
      </x:c>
      <x:c r="D1499" s="184" t="n">
        <x:v>0</x:v>
      </x:c>
      <x:c r="E1499" s="184" t="n">
        <x:v>0</x:v>
      </x:c>
      <x:c r="F1499" s="184" t="n">
        <x:v>0</x:v>
      </x:c>
      <x:c r="G1499" s="184" t="n">
        <x:v>0</x:v>
      </x:c>
      <x:c r="H1499" s="193" t="n">
        <x:v>0</x:v>
      </x:c>
      <x:c r="I1499" s="185" t="n">
        <x:v>0</x:v>
      </x:c>
      <x:c r="J1499" s="185" t="n">
        <x:v>0</x:v>
      </x:c>
      <x:c r="K1499" s="289" t="n">
        <x:v>0</x:v>
      </x:c>
    </x:row>
    <x:row r="1500" s="117" customFormat="1" hidden="1">
      <x:c r="A1500" s="184" t="inlineStr">
        <x:is>
          <x:t xml:space="preserve">MTPRACFUN339</x:t>
        </x:is>
      </x:c>
      <x:c r="B1500" s="184" t="inlineStr">
        <x:is>
          <x:t xml:space="preserve">NIVEL DE BURBUJA DE 100 CM</x:t>
        </x:is>
      </x:c>
      <x:c r="C1500" s="184" t="n">
        <x:v>0</x:v>
      </x:c>
      <x:c r="D1500" s="184" t="n">
        <x:v>0</x:v>
      </x:c>
      <x:c r="E1500" s="184" t="n">
        <x:v>0</x:v>
      </x:c>
      <x:c r="F1500" s="184" t="n">
        <x:v>0</x:v>
      </x:c>
      <x:c r="G1500" s="184" t="n">
        <x:v>0</x:v>
      </x:c>
      <x:c r="H1500" s="193" t="n">
        <x:v>0</x:v>
      </x:c>
      <x:c r="I1500" s="185" t="n">
        <x:v>0</x:v>
      </x:c>
      <x:c r="J1500" s="185" t="n">
        <x:v>0</x:v>
      </x:c>
      <x:c r="K1500" s="289" t="n">
        <x:v>9185</x:v>
      </x:c>
    </x:row>
    <x:row r="1501" s="117" customFormat="1" hidden="1">
      <x:c r="A1501" s="184" t="inlineStr">
        <x:is>
          <x:t xml:space="preserve">MTPRACFUN340</x:t>
        </x:is>
      </x:c>
      <x:c r="B1501" s="184" t="inlineStr">
        <x:is>
          <x:t xml:space="preserve">NIVEL DE BURBUJA DE 30 CM</x:t>
        </x:is>
      </x:c>
      <x:c r="C1501" s="184" t="n">
        <x:v>0</x:v>
      </x:c>
      <x:c r="D1501" s="184" t="n">
        <x:v>0</x:v>
      </x:c>
      <x:c r="E1501" s="184" t="n">
        <x:v>0</x:v>
      </x:c>
      <x:c r="F1501" s="184" t="n">
        <x:v>0</x:v>
      </x:c>
      <x:c r="G1501" s="184" t="n">
        <x:v>0</x:v>
      </x:c>
      <x:c r="H1501" s="193" t="n">
        <x:v>0</x:v>
      </x:c>
      <x:c r="I1501" s="185" t="n">
        <x:v>0</x:v>
      </x:c>
      <x:c r="J1501" s="185" t="n">
        <x:v>0</x:v>
      </x:c>
      <x:c r="K1501" s="289" t="n">
        <x:v>3975</x:v>
      </x:c>
    </x:row>
    <x:row r="1502" s="117" customFormat="1" hidden="1">
      <x:c r="A1502" s="184" t="inlineStr">
        <x:is>
          <x:t xml:space="preserve">MTPRACFUN341</x:t>
        </x:is>
      </x:c>
      <x:c r="B1502" s="184" t="inlineStr">
        <x:is>
          <x:t xml:space="preserve">NIVEL DE BURBUJA DE 60 CM</x:t>
        </x:is>
      </x:c>
      <x:c r="C1502" s="184" t="n">
        <x:v>0</x:v>
      </x:c>
      <x:c r="D1502" s="184" t="n">
        <x:v>0</x:v>
      </x:c>
      <x:c r="E1502" s="184" t="n">
        <x:v>0</x:v>
      </x:c>
      <x:c r="F1502" s="184" t="n">
        <x:v>0</x:v>
      </x:c>
      <x:c r="G1502" s="184" t="n">
        <x:v>0</x:v>
      </x:c>
      <x:c r="H1502" s="193" t="n">
        <x:v>0</x:v>
      </x:c>
      <x:c r="I1502" s="185" t="n">
        <x:v>0</x:v>
      </x:c>
      <x:c r="J1502" s="185" t="n">
        <x:v>0</x:v>
      </x:c>
      <x:c r="K1502" s="289" t="n">
        <x:v>6930</x:v>
      </x:c>
    </x:row>
    <x:row r="1503" s="117" customFormat="1" hidden="1">
      <x:c r="A1503" s="184" t="inlineStr">
        <x:is>
          <x:t xml:space="preserve">MTPRACFUN342</x:t>
        </x:is>
      </x:c>
      <x:c r="B1503" s="184" t="inlineStr">
        <x:is>
          <x:t xml:space="preserve">TOLDO PEGABLE 3X3MT AZUL</x:t>
        </x:is>
      </x:c>
      <x:c r="C1503" s="184" t="n">
        <x:v>1</x:v>
      </x:c>
      <x:c r="D1503" s="184" t="n">
        <x:v>0</x:v>
      </x:c>
      <x:c r="E1503" s="184" t="n">
        <x:v>1</x:v>
      </x:c>
      <x:c r="F1503" s="184" t="n">
        <x:v>0</x:v>
      </x:c>
      <x:c r="G1503" s="184" t="n">
        <x:v>43446</x:v>
      </x:c>
      <x:c r="H1503" s="193" t="n">
        <x:v>0</x:v>
      </x:c>
      <x:c r="I1503" s="185" t="n">
        <x:v>43446</x:v>
      </x:c>
      <x:c r="J1503" s="185" t="n">
        <x:v>0</x:v>
      </x:c>
      <x:c r="K1503" s="289" t="n">
        <x:v>43446</x:v>
      </x:c>
    </x:row>
    <x:row r="1504" s="117" customFormat="1" hidden="1">
      <x:c r="A1504" s="184" t="inlineStr">
        <x:is>
          <x:t xml:space="preserve">MTPRACFUN343</x:t>
        </x:is>
      </x:c>
      <x:c r="B1504" s="184" t="inlineStr">
        <x:is>
          <x:t xml:space="preserve">HOJA REPUESTO CUCHILLO CARTONERO INGCO 18X100 MM JUEGO DE 10 PZS # HKNSB112</x:t>
        </x:is>
      </x:c>
      <x:c r="C1504" s="184" t="n">
        <x:v>49</x:v>
      </x:c>
      <x:c r="D1504" s="184" t="n">
        <x:v>0</x:v>
      </x:c>
      <x:c r="E1504" s="184" t="n">
        <x:v>3</x:v>
      </x:c>
      <x:c r="F1504" s="184" t="n">
        <x:v>46</x:v>
      </x:c>
      <x:c r="G1504" s="184" t="n">
        <x:v>46729</x:v>
      </x:c>
      <x:c r="H1504" s="193" t="n">
        <x:v>0</x:v>
      </x:c>
      <x:c r="I1504" s="185" t="n">
        <x:v>2861</x:v>
      </x:c>
      <x:c r="J1504" s="185" t="n">
        <x:v>43868</x:v>
      </x:c>
      <x:c r="K1504" s="289" t="n">
        <x:v>953.65306122</x:v>
      </x:c>
    </x:row>
    <x:row r="1505" s="117" customFormat="1" hidden="1">
      <x:c r="A1505" s="184" t="inlineStr">
        <x:is>
          <x:t xml:space="preserve">MTPRACFUN344</x:t>
        </x:is>
      </x:c>
      <x:c r="B1505" s="184" t="inlineStr">
        <x:is>
          <x:t xml:space="preserve">HOJA DE SIERRA 1/2"X 12" 18 DIENTES STARRETT ACCISE</x:t>
        </x:is>
      </x:c>
      <x:c r="C1505" s="184" t="n">
        <x:v>14</x:v>
      </x:c>
      <x:c r="D1505" s="184" t="n">
        <x:v>0</x:v>
      </x:c>
      <x:c r="E1505" s="184" t="n">
        <x:v>0</x:v>
      </x:c>
      <x:c r="F1505" s="184" t="n">
        <x:v>14</x:v>
      </x:c>
      <x:c r="G1505" s="184" t="n">
        <x:v>27986</x:v>
      </x:c>
      <x:c r="H1505" s="193" t="n">
        <x:v>0</x:v>
      </x:c>
      <x:c r="I1505" s="185" t="n">
        <x:v>0</x:v>
      </x:c>
      <x:c r="J1505" s="185" t="n">
        <x:v>27986</x:v>
      </x:c>
      <x:c r="K1505" s="289" t="n">
        <x:v>1999</x:v>
      </x:c>
    </x:row>
    <x:row r="1506" s="117" customFormat="1" hidden="1">
      <x:c r="A1506" s="184" t="inlineStr">
        <x:is>
          <x:t xml:space="preserve">MTPRACFUN345</x:t>
        </x:is>
      </x:c>
      <x:c r="B1506" s="184" t="inlineStr">
        <x:is>
          <x:t xml:space="preserve">DISCO DE LIJA G36 - 4-1/2”</x:t>
        </x:is>
      </x:c>
      <x:c r="C1506" s="184" t="n">
        <x:v>50</x:v>
      </x:c>
      <x:c r="D1506" s="184" t="n">
        <x:v>0</x:v>
      </x:c>
      <x:c r="E1506" s="184" t="n">
        <x:v>0</x:v>
      </x:c>
      <x:c r="F1506" s="184" t="n">
        <x:v>50</x:v>
      </x:c>
      <x:c r="G1506" s="184" t="n">
        <x:v>46000</x:v>
      </x:c>
      <x:c r="H1506" s="193" t="n">
        <x:v>0</x:v>
      </x:c>
      <x:c r="I1506" s="185" t="n">
        <x:v>0</x:v>
      </x:c>
      <x:c r="J1506" s="185" t="n">
        <x:v>46000</x:v>
      </x:c>
      <x:c r="K1506" s="289" t="n">
        <x:v>920</x:v>
      </x:c>
    </x:row>
    <x:row r="1507" s="117" customFormat="1" hidden="1">
      <x:c r="A1507" s="184" t="inlineStr">
        <x:is>
          <x:t xml:space="preserve">MTPRACFUN346</x:t>
        </x:is>
      </x:c>
      <x:c r="B1507" s="184" t="inlineStr">
        <x:is>
          <x:t xml:space="preserve">LIJADORA EXCENTRICA 125 MM300 W MAKITA BO504</x:t>
        </x:is>
      </x:c>
      <x:c r="C1507" s="184" t="n">
        <x:v>0</x:v>
      </x:c>
      <x:c r="D1507" s="184" t="n">
        <x:v>0</x:v>
      </x:c>
      <x:c r="E1507" s="184" t="n">
        <x:v>0</x:v>
      </x:c>
      <x:c r="F1507" s="184" t="n">
        <x:v>0</x:v>
      </x:c>
      <x:c r="G1507" s="184" t="n">
        <x:v>0</x:v>
      </x:c>
      <x:c r="H1507" s="193" t="n">
        <x:v>0</x:v>
      </x:c>
      <x:c r="I1507" s="185" t="n">
        <x:v>0</x:v>
      </x:c>
      <x:c r="J1507" s="185" t="n">
        <x:v>0</x:v>
      </x:c>
      <x:c r="K1507" s="289" t="n">
        <x:v>180460</x:v>
      </x:c>
    </x:row>
    <x:row r="1508" s="117" customFormat="1" hidden="1">
      <x:c r="A1508" s="184" t="inlineStr">
        <x:is>
          <x:t xml:space="preserve">MTPRACFUN347</x:t>
        </x:is>
      </x:c>
      <x:c r="B1508" s="184" t="inlineStr">
        <x:is>
          <x:t xml:space="preserve">PERNO PARKER BUTT 6-1X30 INOX 304</x:t>
        </x:is>
      </x:c>
      <x:c r="C1508" s="184" t="n">
        <x:v>0</x:v>
      </x:c>
      <x:c r="D1508" s="184" t="n">
        <x:v>0</x:v>
      </x:c>
      <x:c r="E1508" s="184" t="n">
        <x:v>0</x:v>
      </x:c>
      <x:c r="F1508" s="184" t="n">
        <x:v>0</x:v>
      </x:c>
      <x:c r="G1508" s="184" t="n">
        <x:v>0</x:v>
      </x:c>
      <x:c r="H1508" s="193" t="n">
        <x:v>0</x:v>
      </x:c>
      <x:c r="I1508" s="185" t="n">
        <x:v>0</x:v>
      </x:c>
      <x:c r="J1508" s="185" t="n">
        <x:v>0</x:v>
      </x:c>
      <x:c r="K1508" s="289" t="n">
        <x:v>462</x:v>
      </x:c>
    </x:row>
    <x:row r="1509" s="117" customFormat="1" hidden="1">
      <x:c r="A1509" s="184" t="inlineStr">
        <x:is>
          <x:t xml:space="preserve">MTPRACFUN348</x:t>
        </x:is>
      </x:c>
      <x:c r="B1509" s="184" t="inlineStr">
        <x:is>
          <x:t xml:space="preserve">PERNO PARKER BUTT</x:t>
        </x:is>
      </x:c>
      <x:c r="C1509" s="184" t="n">
        <x:v>0</x:v>
      </x:c>
      <x:c r="D1509" s="184" t="n">
        <x:v>0</x:v>
      </x:c>
      <x:c r="E1509" s="184" t="n">
        <x:v>0</x:v>
      </x:c>
      <x:c r="F1509" s="184" t="n">
        <x:v>0</x:v>
      </x:c>
      <x:c r="G1509" s="184" t="n">
        <x:v>0</x:v>
      </x:c>
      <x:c r="H1509" s="193" t="n">
        <x:v>0</x:v>
      </x:c>
      <x:c r="I1509" s="185" t="n">
        <x:v>0</x:v>
      </x:c>
      <x:c r="J1509" s="185" t="n">
        <x:v>0</x:v>
      </x:c>
      <x:c r="K1509" s="289" t="n">
        <x:v>0</x:v>
      </x:c>
    </x:row>
    <x:row r="1510" s="117" customFormat="1" hidden="1">
      <x:c r="A1510" s="184" t="inlineStr">
        <x:is>
          <x:t xml:space="preserve">MTPRACFUN349</x:t>
        </x:is>
      </x:c>
      <x:c r="B1510" s="184" t="inlineStr">
        <x:is>
          <x:t xml:space="preserve">ESMERIL ANG. MAKITA 7" 180 MM 2000 W.GA7050 HM</x:t>
        </x:is>
      </x:c>
      <x:c r="C1510" s="184" t="n">
        <x:v>6</x:v>
      </x:c>
      <x:c r="D1510" s="184" t="n">
        <x:v>0</x:v>
      </x:c>
      <x:c r="E1510" s="184" t="n">
        <x:v>0</x:v>
      </x:c>
      <x:c r="F1510" s="184" t="n">
        <x:v>6</x:v>
      </x:c>
      <x:c r="G1510" s="184" t="n">
        <x:v>606906</x:v>
      </x:c>
      <x:c r="H1510" s="193" t="n">
        <x:v>0</x:v>
      </x:c>
      <x:c r="I1510" s="185" t="n">
        <x:v>0</x:v>
      </x:c>
      <x:c r="J1510" s="185" t="n">
        <x:v>606906</x:v>
      </x:c>
      <x:c r="K1510" s="289" t="n">
        <x:v>101151</x:v>
      </x:c>
    </x:row>
    <x:row r="1511" s="117" customFormat="1" hidden="1">
      <x:c r="A1511" s="184" t="inlineStr">
        <x:is>
          <x:t xml:space="preserve">MTPRACFUN350</x:t>
        </x:is>
      </x:c>
      <x:c r="B1511" s="184" t="inlineStr">
        <x:is>
          <x:t xml:space="preserve">TORNILLO DE 2"</x:t>
        </x:is>
      </x:c>
      <x:c r="C1511" s="184" t="n">
        <x:v>2000</x:v>
      </x:c>
      <x:c r="D1511" s="184" t="n">
        <x:v>0</x:v>
      </x:c>
      <x:c r="E1511" s="184" t="n">
        <x:v>0</x:v>
      </x:c>
      <x:c r="F1511" s="184" t="n">
        <x:v>2000</x:v>
      </x:c>
      <x:c r="G1511" s="184" t="n">
        <x:v>28000</x:v>
      </x:c>
      <x:c r="H1511" s="193" t="n">
        <x:v>0</x:v>
      </x:c>
      <x:c r="I1511" s="185" t="n">
        <x:v>0</x:v>
      </x:c>
      <x:c r="J1511" s="185" t="n">
        <x:v>28000</x:v>
      </x:c>
      <x:c r="K1511" s="289" t="n">
        <x:v>14</x:v>
      </x:c>
    </x:row>
    <x:row r="1512" s="117" customFormat="1" hidden="1">
      <x:c r="A1512" s="184" t="inlineStr">
        <x:is>
          <x:t xml:space="preserve">MTPRACFUN351</x:t>
        </x:is>
      </x:c>
      <x:c r="B1512" s="184" t="inlineStr">
        <x:is>
          <x:t xml:space="preserve">TORNILLO CABEZA LENTEJA 8X 1/2 PUNTA BROCA</x:t>
        </x:is>
      </x:c>
      <x:c r="C1512" s="184" t="n">
        <x:v>0</x:v>
      </x:c>
      <x:c r="D1512" s="184" t="n">
        <x:v>0</x:v>
      </x:c>
      <x:c r="E1512" s="184" t="n">
        <x:v>0</x:v>
      </x:c>
      <x:c r="F1512" s="184" t="n">
        <x:v>0</x:v>
      </x:c>
      <x:c r="G1512" s="184" t="n">
        <x:v>0</x:v>
      </x:c>
      <x:c r="H1512" s="193" t="n">
        <x:v>0</x:v>
      </x:c>
      <x:c r="I1512" s="185" t="n">
        <x:v>0</x:v>
      </x:c>
      <x:c r="J1512" s="185" t="n">
        <x:v>0</x:v>
      </x:c>
      <x:c r="K1512" s="289" t="n">
        <x:v>13</x:v>
      </x:c>
    </x:row>
    <x:row r="1513" s="117" customFormat="1" hidden="1">
      <x:c r="A1513" s="184" t="inlineStr">
        <x:is>
          <x:t xml:space="preserve">MTPRACFUN352</x:t>
        </x:is>
      </x:c>
      <x:c r="B1513" s="184" t="inlineStr">
        <x:is>
          <x:t xml:space="preserve">TORNILLO CABEZA LENTEJA 8X 3/4 PUNTA BROCA</x:t>
        </x:is>
      </x:c>
      <x:c r="C1513" s="184" t="n">
        <x:v>2000</x:v>
      </x:c>
      <x:c r="D1513" s="184" t="n">
        <x:v>0</x:v>
      </x:c>
      <x:c r="E1513" s="184" t="n">
        <x:v>0</x:v>
      </x:c>
      <x:c r="F1513" s="184" t="n">
        <x:v>2000</x:v>
      </x:c>
      <x:c r="G1513" s="184" t="n">
        <x:v>28000</x:v>
      </x:c>
      <x:c r="H1513" s="193" t="n">
        <x:v>0</x:v>
      </x:c>
      <x:c r="I1513" s="185" t="n">
        <x:v>0</x:v>
      </x:c>
      <x:c r="J1513" s="185" t="n">
        <x:v>28000</x:v>
      </x:c>
      <x:c r="K1513" s="289" t="n">
        <x:v>14</x:v>
      </x:c>
    </x:row>
    <x:row r="1514" s="117" customFormat="1" hidden="1">
      <x:c r="A1514" s="184" t="inlineStr">
        <x:is>
          <x:t xml:space="preserve">MTPRACFUN353</x:t>
        </x:is>
      </x:c>
      <x:c r="B1514" s="184" t="inlineStr">
        <x:is>
          <x:t xml:space="preserve">CUÑA PU NARANJA 20 TON CAMION</x:t>
        </x:is>
      </x:c>
      <x:c r="C1514" s="184" t="n">
        <x:v>2</x:v>
      </x:c>
      <x:c r="D1514" s="184" t="n">
        <x:v>0</x:v>
      </x:c>
      <x:c r="E1514" s="184" t="n">
        <x:v>0</x:v>
      </x:c>
      <x:c r="F1514" s="184" t="n">
        <x:v>2</x:v>
      </x:c>
      <x:c r="G1514" s="184" t="n">
        <x:v>43108</x:v>
      </x:c>
      <x:c r="H1514" s="193" t="n">
        <x:v>0</x:v>
      </x:c>
      <x:c r="I1514" s="185" t="n">
        <x:v>0</x:v>
      </x:c>
      <x:c r="J1514" s="185" t="n">
        <x:v>43108</x:v>
      </x:c>
      <x:c r="K1514" s="289" t="n">
        <x:v>21554</x:v>
      </x:c>
    </x:row>
    <x:row r="1515" s="117" customFormat="1" hidden="1">
      <x:c r="A1515" s="184" t="inlineStr">
        <x:is>
          <x:t xml:space="preserve">MTPRACFUN354</x:t>
        </x:is>
      </x:c>
      <x:c r="B1515" s="184" t="inlineStr">
        <x:is>
          <x:t xml:space="preserve">CUCHILLO CARTONERO HOJA  LARGA</x:t>
        </x:is>
      </x:c>
      <x:c r="C1515" s="184" t="n">
        <x:v>10</x:v>
      </x:c>
      <x:c r="D1515" s="184" t="n">
        <x:v>0</x:v>
      </x:c>
      <x:c r="E1515" s="184" t="n">
        <x:v>0</x:v>
      </x:c>
      <x:c r="F1515" s="184" t="n">
        <x:v>10</x:v>
      </x:c>
      <x:c r="G1515" s="184" t="n">
        <x:v>11650</x:v>
      </x:c>
      <x:c r="H1515" s="193" t="n">
        <x:v>0</x:v>
      </x:c>
      <x:c r="I1515" s="185" t="n">
        <x:v>0</x:v>
      </x:c>
      <x:c r="J1515" s="185" t="n">
        <x:v>11650</x:v>
      </x:c>
      <x:c r="K1515" s="289" t="n">
        <x:v>1165</x:v>
      </x:c>
    </x:row>
    <x:row r="1516" s="117" customFormat="1" hidden="1">
      <x:c r="A1516" s="184" t="inlineStr">
        <x:is>
          <x:t xml:space="preserve">MTPRACFUN355</x:t>
        </x:is>
      </x:c>
      <x:c r="B1516" s="184" t="inlineStr">
        <x:is>
          <x:t xml:space="preserve">HUINCHA DE MEDIR 10 MTS</x:t>
        </x:is>
      </x:c>
      <x:c r="C1516" s="184" t="n">
        <x:v>6</x:v>
      </x:c>
      <x:c r="D1516" s="184" t="n">
        <x:v>0</x:v>
      </x:c>
      <x:c r="E1516" s="184" t="n">
        <x:v>0</x:v>
      </x:c>
      <x:c r="F1516" s="184" t="n">
        <x:v>6</x:v>
      </x:c>
      <x:c r="G1516" s="184" t="n">
        <x:v>92823</x:v>
      </x:c>
      <x:c r="H1516" s="193" t="n">
        <x:v>0</x:v>
      </x:c>
      <x:c r="I1516" s="185" t="n">
        <x:v>0</x:v>
      </x:c>
      <x:c r="J1516" s="185" t="n">
        <x:v>92823</x:v>
      </x:c>
      <x:c r="K1516" s="289" t="n">
        <x:v>15470.5</x:v>
      </x:c>
    </x:row>
    <x:row r="1517" s="117" customFormat="1" hidden="1">
      <x:c r="A1517" s="184" t="inlineStr">
        <x:is>
          <x:t xml:space="preserve">MTPRACFUN356</x:t>
        </x:is>
      </x:c>
      <x:c r="B1517" s="184" t="inlineStr">
        <x:is>
          <x:t xml:space="preserve">DISCO DE INGLETADORA  DE 9 " 60T</x:t>
        </x:is>
      </x:c>
      <x:c r="C1517" s="184" t="n">
        <x:v>2</x:v>
      </x:c>
      <x:c r="D1517" s="184" t="n">
        <x:v>0</x:v>
      </x:c>
      <x:c r="E1517" s="184" t="n">
        <x:v>0</x:v>
      </x:c>
      <x:c r="F1517" s="184" t="n">
        <x:v>2</x:v>
      </x:c>
      <x:c r="G1517" s="184" t="n">
        <x:v>31120</x:v>
      </x:c>
      <x:c r="H1517" s="193" t="n">
        <x:v>0</x:v>
      </x:c>
      <x:c r="I1517" s="185" t="n">
        <x:v>0</x:v>
      </x:c>
      <x:c r="J1517" s="185" t="n">
        <x:v>31120</x:v>
      </x:c>
      <x:c r="K1517" s="289" t="n">
        <x:v>15560</x:v>
      </x:c>
    </x:row>
    <x:row r="1518" s="117" customFormat="1" hidden="1">
      <x:c r="A1518" s="184" t="inlineStr">
        <x:is>
          <x:t xml:space="preserve">MTPRACFUN357</x:t>
        </x:is>
      </x:c>
      <x:c r="B1518" s="184" t="inlineStr">
        <x:is>
          <x:t xml:space="preserve">DISCO SIERRA CIRCULAR DE 7 1/4 60T</x:t>
        </x:is>
      </x:c>
      <x:c r="C1518" s="184" t="n">
        <x:v>2</x:v>
      </x:c>
      <x:c r="D1518" s="184" t="n">
        <x:v>0</x:v>
      </x:c>
      <x:c r="E1518" s="184" t="n">
        <x:v>0</x:v>
      </x:c>
      <x:c r="F1518" s="184" t="n">
        <x:v>2</x:v>
      </x:c>
      <x:c r="G1518" s="184" t="n">
        <x:v>17800</x:v>
      </x:c>
      <x:c r="H1518" s="193" t="n">
        <x:v>0</x:v>
      </x:c>
      <x:c r="I1518" s="185" t="n">
        <x:v>0</x:v>
      </x:c>
      <x:c r="J1518" s="185" t="n">
        <x:v>17800</x:v>
      </x:c>
      <x:c r="K1518" s="289" t="n">
        <x:v>8900</x:v>
      </x:c>
    </x:row>
    <x:row r="1519" s="117" customFormat="1" hidden="1">
      <x:c r="A1519" s="184" t="inlineStr">
        <x:is>
          <x:t xml:space="preserve">MTPRACFUN358</x:t>
        </x:is>
      </x:c>
      <x:c r="B1519" s="184" t="inlineStr">
        <x:is>
          <x:t xml:space="preserve">LIMA ROTATIVA CILINDRICA PLANA DE TUNGSTENO</x:t>
        </x:is>
      </x:c>
      <x:c r="C1519" s="184" t="n">
        <x:v>7</x:v>
      </x:c>
      <x:c r="D1519" s="184" t="n">
        <x:v>0</x:v>
      </x:c>
      <x:c r="E1519" s="184" t="n">
        <x:v>0</x:v>
      </x:c>
      <x:c r="F1519" s="184" t="n">
        <x:v>7</x:v>
      </x:c>
      <x:c r="G1519" s="184" t="n">
        <x:v>308535</x:v>
      </x:c>
      <x:c r="H1519" s="193" t="n">
        <x:v>0</x:v>
      </x:c>
      <x:c r="I1519" s="185" t="n">
        <x:v>0</x:v>
      </x:c>
      <x:c r="J1519" s="185" t="n">
        <x:v>308535</x:v>
      </x:c>
      <x:c r="K1519" s="289" t="n">
        <x:v>44076.42857143</x:v>
      </x:c>
    </x:row>
    <x:row r="1520" s="117" customFormat="1" hidden="1">
      <x:c r="A1520" s="184" t="inlineStr">
        <x:is>
          <x:t xml:space="preserve">MTPRACFUN359</x:t>
        </x:is>
      </x:c>
      <x:c r="B1520" s="184" t="inlineStr">
        <x:is>
          <x:t xml:space="preserve">MANGA PLASTICA TRANSPARENTE 3 MT ABRE 4 MT</x:t>
        </x:is>
      </x:c>
      <x:c r="C1520" s="184" t="n">
        <x:v>0</x:v>
      </x:c>
      <x:c r="D1520" s="184" t="n">
        <x:v>0</x:v>
      </x:c>
      <x:c r="E1520" s="184" t="n">
        <x:v>0</x:v>
      </x:c>
      <x:c r="F1520" s="184" t="n">
        <x:v>0</x:v>
      </x:c>
      <x:c r="G1520" s="184" t="n">
        <x:v>0</x:v>
      </x:c>
      <x:c r="H1520" s="193" t="n">
        <x:v>0</x:v>
      </x:c>
      <x:c r="I1520" s="185" t="n">
        <x:v>0</x:v>
      </x:c>
      <x:c r="J1520" s="185" t="n">
        <x:v>0</x:v>
      </x:c>
      <x:c r="K1520" s="289" t="n">
        <x:v>158120</x:v>
      </x:c>
    </x:row>
    <x:row r="1521" s="117" customFormat="1" hidden="1">
      <x:c r="A1521" s="184" t="inlineStr">
        <x:is>
          <x:t xml:space="preserve">MTPRACFUN360</x:t>
        </x:is>
      </x:c>
      <x:c r="B1521" s="184" t="inlineStr">
        <x:is>
          <x:t xml:space="preserve">TORNILLO CRS 3”</x:t>
        </x:is>
      </x:c>
      <x:c r="C1521" s="184" t="n">
        <x:v>2000</x:v>
      </x:c>
      <x:c r="D1521" s="184" t="n">
        <x:v>0</x:v>
      </x:c>
      <x:c r="E1521" s="184" t="n">
        <x:v>0</x:v>
      </x:c>
      <x:c r="F1521" s="184" t="n">
        <x:v>2000</x:v>
      </x:c>
      <x:c r="G1521" s="184" t="n">
        <x:v>52000</x:v>
      </x:c>
      <x:c r="H1521" s="193" t="n">
        <x:v>0</x:v>
      </x:c>
      <x:c r="I1521" s="185" t="n">
        <x:v>0</x:v>
      </x:c>
      <x:c r="J1521" s="185" t="n">
        <x:v>52000</x:v>
      </x:c>
      <x:c r="K1521" s="289" t="n">
        <x:v>26</x:v>
      </x:c>
    </x:row>
    <x:row r="1522" s="117" customFormat="1" hidden="1">
      <x:c r="A1522" s="184" t="inlineStr">
        <x:is>
          <x:t xml:space="preserve">MTPRACFUN361</x:t>
        </x:is>
      </x:c>
      <x:c r="B1522" s="184" t="inlineStr">
        <x:is>
          <x:t xml:space="preserve">TECLE VTL KIT-II PALANC 1,5TON 1,5MT</x:t>
        </x:is>
      </x:c>
      <x:c r="C1522" s="184" t="n">
        <x:v>5</x:v>
      </x:c>
      <x:c r="D1522" s="184" t="n">
        <x:v>0</x:v>
      </x:c>
      <x:c r="E1522" s="184" t="n">
        <x:v>0</x:v>
      </x:c>
      <x:c r="F1522" s="184" t="n">
        <x:v>5</x:v>
      </x:c>
      <x:c r="G1522" s="184" t="n">
        <x:v>413992</x:v>
      </x:c>
      <x:c r="H1522" s="193" t="n">
        <x:v>0</x:v>
      </x:c>
      <x:c r="I1522" s="185" t="n">
        <x:v>0</x:v>
      </x:c>
      <x:c r="J1522" s="185" t="n">
        <x:v>413992</x:v>
      </x:c>
      <x:c r="K1522" s="289" t="n">
        <x:v>82798.39999999999</x:v>
      </x:c>
    </x:row>
    <x:row r="1523" s="117" customFormat="1" hidden="1">
      <x:c r="A1523" s="184" t="inlineStr">
        <x:is>
          <x:t xml:space="preserve">MTPRACFUN362</x:t>
        </x:is>
      </x:c>
      <x:c r="B1523" s="184" t="inlineStr">
        <x:is>
          <x:t xml:space="preserve">TECLE VTL VIT-II CADENA 0,5 TON 3 MT</x:t>
        </x:is>
      </x:c>
      <x:c r="C1523" s="184" t="n">
        <x:v>6</x:v>
      </x:c>
      <x:c r="D1523" s="184" t="n">
        <x:v>0</x:v>
      </x:c>
      <x:c r="E1523" s="184" t="n">
        <x:v>0</x:v>
      </x:c>
      <x:c r="F1523" s="184" t="n">
        <x:v>6</x:v>
      </x:c>
      <x:c r="G1523" s="184" t="n">
        <x:v>326364</x:v>
      </x:c>
      <x:c r="H1523" s="193" t="n">
        <x:v>0</x:v>
      </x:c>
      <x:c r="I1523" s="185" t="n">
        <x:v>0</x:v>
      </x:c>
      <x:c r="J1523" s="185" t="n">
        <x:v>326364</x:v>
      </x:c>
      <x:c r="K1523" s="289" t="n">
        <x:v>54394</x:v>
      </x:c>
    </x:row>
    <x:row r="1524" s="117" customFormat="1" hidden="1">
      <x:c r="A1524" s="184" t="inlineStr">
        <x:is>
          <x:t xml:space="preserve">MTPRACFUN364</x:t>
        </x:is>
      </x:c>
      <x:c r="B1524" s="184" t="inlineStr">
        <x:is>
          <x:t xml:space="preserve">SET MAKITA CARGADOR DC18RC+BATERIA BL183</x:t>
        </x:is>
      </x:c>
      <x:c r="C1524" s="184" t="n">
        <x:v>1</x:v>
      </x:c>
      <x:c r="D1524" s="184" t="n">
        <x:v>0</x:v>
      </x:c>
      <x:c r="E1524" s="184" t="n">
        <x:v>0</x:v>
      </x:c>
      <x:c r="F1524" s="184" t="n">
        <x:v>1</x:v>
      </x:c>
      <x:c r="G1524" s="184" t="n">
        <x:v>70580</x:v>
      </x:c>
      <x:c r="H1524" s="193" t="n">
        <x:v>0</x:v>
      </x:c>
      <x:c r="I1524" s="185" t="n">
        <x:v>0</x:v>
      </x:c>
      <x:c r="J1524" s="185" t="n">
        <x:v>70580</x:v>
      </x:c>
      <x:c r="K1524" s="289" t="n">
        <x:v>70580</x:v>
      </x:c>
    </x:row>
    <x:row r="1525" s="117" customFormat="1" hidden="1">
      <x:c r="A1525" s="184" t="inlineStr">
        <x:is>
          <x:t xml:space="preserve">MTPRACFUN365</x:t>
        </x:is>
      </x:c>
      <x:c r="B1525" s="184" t="inlineStr">
        <x:is>
          <x:t xml:space="preserve">SIERRA CALADORA MAKITA  INALAMBRICA 18V 135 MM DJV180</x:t>
        </x:is>
      </x:c>
      <x:c r="C1525" s="184" t="n">
        <x:v>1</x:v>
      </x:c>
      <x:c r="D1525" s="184" t="n">
        <x:v>0</x:v>
      </x:c>
      <x:c r="E1525" s="184" t="n">
        <x:v>0</x:v>
      </x:c>
      <x:c r="F1525" s="184" t="n">
        <x:v>1</x:v>
      </x:c>
      <x:c r="G1525" s="184" t="n">
        <x:v>175622</x:v>
      </x:c>
      <x:c r="H1525" s="193" t="n">
        <x:v>0</x:v>
      </x:c>
      <x:c r="I1525" s="185" t="n">
        <x:v>0</x:v>
      </x:c>
      <x:c r="J1525" s="185" t="n">
        <x:v>175622</x:v>
      </x:c>
      <x:c r="K1525" s="289" t="n">
        <x:v>175622</x:v>
      </x:c>
    </x:row>
    <x:row r="1526" s="117" customFormat="1" hidden="1">
      <x:c r="A1526" s="184" t="inlineStr">
        <x:is>
          <x:t xml:space="preserve">MTPRACFUN366</x:t>
        </x:is>
      </x:c>
      <x:c r="B1526" s="184" t="inlineStr">
        <x:is>
          <x:t xml:space="preserve">TALADRO PERC.MAKITA 18V 13MM+1B 3A+CARG</x:t>
        </x:is>
      </x:c>
      <x:c r="C1526" s="184" t="n">
        <x:v>0</x:v>
      </x:c>
      <x:c r="D1526" s="184" t="n">
        <x:v>0</x:v>
      </x:c>
      <x:c r="E1526" s="184" t="n">
        <x:v>0</x:v>
      </x:c>
      <x:c r="F1526" s="184" t="n">
        <x:v>0</x:v>
      </x:c>
      <x:c r="G1526" s="184" t="n">
        <x:v>0</x:v>
      </x:c>
      <x:c r="H1526" s="193" t="n">
        <x:v>0</x:v>
      </x:c>
      <x:c r="I1526" s="185" t="n">
        <x:v>0</x:v>
      </x:c>
      <x:c r="J1526" s="185" t="n">
        <x:v>0</x:v>
      </x:c>
      <x:c r="K1526" s="289" t="n">
        <x:v>122100</x:v>
      </x:c>
    </x:row>
    <x:row r="1527" s="117" customFormat="1" hidden="1">
      <x:c r="A1527" s="184" t="inlineStr">
        <x:is>
          <x:t xml:space="preserve">MTPRACFUN367</x:t>
        </x:is>
      </x:c>
      <x:c r="B1527" s="184" t="inlineStr">
        <x:is>
          <x:t xml:space="preserve">DISTRIBUIDOR DE CORRIENTE INDUSTRIAL 220V  TIPO Y</x:t>
        </x:is>
      </x:c>
      <x:c r="C1527" s="184" t="n">
        <x:v>5</x:v>
      </x:c>
      <x:c r="D1527" s="184" t="n">
        <x:v>0</x:v>
      </x:c>
      <x:c r="E1527" s="184" t="n">
        <x:v>1</x:v>
      </x:c>
      <x:c r="F1527" s="184" t="n">
        <x:v>4</x:v>
      </x:c>
      <x:c r="G1527" s="184" t="n">
        <x:v>59875</x:v>
      </x:c>
      <x:c r="H1527" s="193" t="n">
        <x:v>0</x:v>
      </x:c>
      <x:c r="I1527" s="185" t="n">
        <x:v>11975</x:v>
      </x:c>
      <x:c r="J1527" s="185" t="n">
        <x:v>47900</x:v>
      </x:c>
      <x:c r="K1527" s="289" t="n">
        <x:v>11975</x:v>
      </x:c>
    </x:row>
    <x:row r="1528" s="117" customFormat="1" hidden="1">
      <x:c r="A1528" s="184" t="inlineStr">
        <x:is>
          <x:t xml:space="preserve">MTPRACFUN368</x:t>
        </x:is>
      </x:c>
      <x:c r="B1528" s="184" t="inlineStr">
        <x:is>
          <x:t xml:space="preserve">MACETA DE GOMA 24 OZ M / FIBRA</x:t>
        </x:is>
      </x:c>
      <x:c r="C1528" s="184" t="n">
        <x:v>5</x:v>
      </x:c>
      <x:c r="D1528" s="184" t="n">
        <x:v>0</x:v>
      </x:c>
      <x:c r="E1528" s="184" t="n">
        <x:v>0</x:v>
      </x:c>
      <x:c r="F1528" s="184" t="n">
        <x:v>5</x:v>
      </x:c>
      <x:c r="G1528" s="184" t="n">
        <x:v>28554</x:v>
      </x:c>
      <x:c r="H1528" s="193" t="n">
        <x:v>0</x:v>
      </x:c>
      <x:c r="I1528" s="185" t="n">
        <x:v>0</x:v>
      </x:c>
      <x:c r="J1528" s="185" t="n">
        <x:v>28554</x:v>
      </x:c>
      <x:c r="K1528" s="289" t="n">
        <x:v>5710.8</x:v>
      </x:c>
    </x:row>
    <x:row r="1529" s="117" customFormat="1" hidden="1">
      <x:c r="A1529" s="184" t="inlineStr">
        <x:is>
          <x:t xml:space="preserve">MTPRACFUN369</x:t>
        </x:is>
      </x:c>
      <x:c r="B1529" s="184" t="inlineStr">
        <x:is>
          <x:t xml:space="preserve">CAJA PORTAHERR. CON RUEDAS 28"</x:t>
        </x:is>
      </x:c>
      <x:c r="C1529" s="184" t="n">
        <x:v>3</x:v>
      </x:c>
      <x:c r="D1529" s="184" t="n">
        <x:v>0</x:v>
      </x:c>
      <x:c r="E1529" s="184" t="n">
        <x:v>0</x:v>
      </x:c>
      <x:c r="F1529" s="184" t="n">
        <x:v>3</x:v>
      </x:c>
      <x:c r="G1529" s="184" t="n">
        <x:v>151516</x:v>
      </x:c>
      <x:c r="H1529" s="193" t="n">
        <x:v>0</x:v>
      </x:c>
      <x:c r="I1529" s="185" t="n">
        <x:v>0</x:v>
      </x:c>
      <x:c r="J1529" s="185" t="n">
        <x:v>151516</x:v>
      </x:c>
      <x:c r="K1529" s="289" t="n">
        <x:v>50505.33333333</x:v>
      </x:c>
    </x:row>
    <x:row r="1530" s="117" customFormat="1" hidden="1">
      <x:c r="A1530" s="184" t="inlineStr">
        <x:is>
          <x:t xml:space="preserve">MTPRACFUN370</x:t>
        </x:is>
      </x:c>
      <x:c r="B1530" s="184" t="inlineStr">
        <x:is>
          <x:t xml:space="preserve">SIERRA CIRCULAR 7.1/4" 16B3 1500W(GKS-150) BOSCH</x:t>
        </x:is>
      </x:c>
      <x:c r="C1530" s="184" t="n">
        <x:v>1</x:v>
      </x:c>
      <x:c r="D1530" s="184" t="n">
        <x:v>0</x:v>
      </x:c>
      <x:c r="E1530" s="184" t="n">
        <x:v>0</x:v>
      </x:c>
      <x:c r="F1530" s="184" t="n">
        <x:v>1</x:v>
      </x:c>
      <x:c r="G1530" s="184" t="n">
        <x:v>101862</x:v>
      </x:c>
      <x:c r="H1530" s="193" t="n">
        <x:v>0</x:v>
      </x:c>
      <x:c r="I1530" s="185" t="n">
        <x:v>0</x:v>
      </x:c>
      <x:c r="J1530" s="185" t="n">
        <x:v>101862</x:v>
      </x:c>
      <x:c r="K1530" s="289" t="n">
        <x:v>101862</x:v>
      </x:c>
    </x:row>
    <x:row r="1531" s="117" customFormat="1" hidden="1">
      <x:c r="A1531" s="184" t="inlineStr">
        <x:is>
          <x:t xml:space="preserve">MTPRACFUN371</x:t>
        </x:is>
      </x:c>
      <x:c r="B1531" s="184" t="inlineStr">
        <x:is>
          <x:t xml:space="preserve">ALICATE CORTANTE 6"</x:t>
        </x:is>
      </x:c>
      <x:c r="C1531" s="184" t="n">
        <x:v>1</x:v>
      </x:c>
      <x:c r="D1531" s="184" t="n">
        <x:v>0</x:v>
      </x:c>
      <x:c r="E1531" s="184" t="n">
        <x:v>1</x:v>
      </x:c>
      <x:c r="F1531" s="184" t="n">
        <x:v>0</x:v>
      </x:c>
      <x:c r="G1531" s="184" t="n">
        <x:v>3347</x:v>
      </x:c>
      <x:c r="H1531" s="193" t="n">
        <x:v>0</x:v>
      </x:c>
      <x:c r="I1531" s="185" t="n">
        <x:v>3347</x:v>
      </x:c>
      <x:c r="J1531" s="185" t="n">
        <x:v>0</x:v>
      </x:c>
      <x:c r="K1531" s="289" t="n">
        <x:v>3347</x:v>
      </x:c>
    </x:row>
    <x:row r="1532" s="117" customFormat="1" hidden="1">
      <x:c r="A1532" s="184" t="inlineStr">
        <x:is>
          <x:t xml:space="preserve">MTPRACFUN372</x:t>
        </x:is>
      </x:c>
      <x:c r="B1532" s="184" t="inlineStr">
        <x:is>
          <x:t xml:space="preserve">HUINCHA DE MEDIR 30 MTS</x:t>
        </x:is>
      </x:c>
      <x:c r="C1532" s="184" t="n">
        <x:v>1</x:v>
      </x:c>
      <x:c r="D1532" s="184" t="n">
        <x:v>0</x:v>
      </x:c>
      <x:c r="E1532" s="184" t="n">
        <x:v>0</x:v>
      </x:c>
      <x:c r="F1532" s="184" t="n">
        <x:v>1</x:v>
      </x:c>
      <x:c r="G1532" s="184" t="n">
        <x:v>15667</x:v>
      </x:c>
      <x:c r="H1532" s="193" t="n">
        <x:v>0</x:v>
      </x:c>
      <x:c r="I1532" s="185" t="n">
        <x:v>0</x:v>
      </x:c>
      <x:c r="J1532" s="185" t="n">
        <x:v>15667</x:v>
      </x:c>
      <x:c r="K1532" s="289" t="n">
        <x:v>15667</x:v>
      </x:c>
    </x:row>
    <x:row r="1533" s="117" customFormat="1" hidden="1">
      <x:c r="A1533" s="184" t="inlineStr">
        <x:is>
          <x:t xml:space="preserve">MTPRACFUN373</x:t>
        </x:is>
      </x:c>
      <x:c r="B1533" s="184" t="inlineStr">
        <x:is>
          <x:t xml:space="preserve">JUEGO LLAVE PUNTA CORONA 8MM A 32MM</x:t>
        </x:is>
      </x:c>
      <x:c r="C1533" s="184" t="n">
        <x:v>3</x:v>
      </x:c>
      <x:c r="D1533" s="184" t="n">
        <x:v>0</x:v>
      </x:c>
      <x:c r="E1533" s="184" t="n">
        <x:v>0</x:v>
      </x:c>
      <x:c r="F1533" s="184" t="n">
        <x:v>3</x:v>
      </x:c>
      <x:c r="G1533" s="184" t="n">
        <x:v>136515</x:v>
      </x:c>
      <x:c r="H1533" s="193" t="n">
        <x:v>0</x:v>
      </x:c>
      <x:c r="I1533" s="185" t="n">
        <x:v>0</x:v>
      </x:c>
      <x:c r="J1533" s="185" t="n">
        <x:v>136515</x:v>
      </x:c>
      <x:c r="K1533" s="289" t="n">
        <x:v>45505</x:v>
      </x:c>
    </x:row>
    <x:row r="1534" s="117" customFormat="1" hidden="1">
      <x:c r="A1534" s="184" t="inlineStr">
        <x:is>
          <x:t xml:space="preserve">MTPRACFUN375</x:t>
        </x:is>
      </x:c>
      <x:c r="B1534" s="184" t="inlineStr">
        <x:is>
          <x:t xml:space="preserve">PISTOLA DE CALOR 700 A 1000 W</x:t>
        </x:is>
      </x:c>
      <x:c r="C1534" s="184" t="n">
        <x:v>0</x:v>
      </x:c>
      <x:c r="D1534" s="184" t="n">
        <x:v>0</x:v>
      </x:c>
      <x:c r="E1534" s="184" t="n">
        <x:v>0</x:v>
      </x:c>
      <x:c r="F1534" s="184" t="n">
        <x:v>0</x:v>
      </x:c>
      <x:c r="G1534" s="184" t="n">
        <x:v>0</x:v>
      </x:c>
      <x:c r="H1534" s="193" t="n">
        <x:v>0</x:v>
      </x:c>
      <x:c r="I1534" s="185" t="n">
        <x:v>0</x:v>
      </x:c>
      <x:c r="J1534" s="185" t="n">
        <x:v>0</x:v>
      </x:c>
      <x:c r="K1534" s="289" t="n">
        <x:v>37506</x:v>
      </x:c>
    </x:row>
    <x:row r="1535" s="117" customFormat="1" hidden="1">
      <x:c r="A1535" s="184" t="inlineStr">
        <x:is>
          <x:t xml:space="preserve">MTPRACFUN376</x:t>
        </x:is>
      </x:c>
      <x:c r="B1535" s="184" t="inlineStr">
        <x:is>
          <x:t xml:space="preserve">RECTIFICADORA MAKITA  MT (M9100G)</x:t>
        </x:is>
      </x:c>
      <x:c r="C1535" s="184" t="n">
        <x:v>1</x:v>
      </x:c>
      <x:c r="D1535" s="184" t="n">
        <x:v>0</x:v>
      </x:c>
      <x:c r="E1535" s="184" t="n">
        <x:v>0</x:v>
      </x:c>
      <x:c r="F1535" s="184" t="n">
        <x:v>1</x:v>
      </x:c>
      <x:c r="G1535" s="184" t="n">
        <x:v>88211</x:v>
      </x:c>
      <x:c r="H1535" s="193" t="n">
        <x:v>0</x:v>
      </x:c>
      <x:c r="I1535" s="185" t="n">
        <x:v>0</x:v>
      </x:c>
      <x:c r="J1535" s="185" t="n">
        <x:v>88211</x:v>
      </x:c>
      <x:c r="K1535" s="289" t="n">
        <x:v>88211</x:v>
      </x:c>
    </x:row>
    <x:row r="1536" s="117" customFormat="1" hidden="1">
      <x:c r="A1536" s="184" t="inlineStr">
        <x:is>
          <x:t xml:space="preserve">MTPRACFUN377</x:t>
        </x:is>
      </x:c>
      <x:c r="B1536" s="184" t="inlineStr">
        <x:is>
          <x:t xml:space="preserve">BOTELLA DE AGUA DE 600CC SIN GAS</x:t>
        </x:is>
      </x:c>
      <x:c r="C1536" s="184" t="n">
        <x:v>0</x:v>
      </x:c>
      <x:c r="D1536" s="184" t="n">
        <x:v>0</x:v>
      </x:c>
      <x:c r="E1536" s="184" t="n">
        <x:v>0</x:v>
      </x:c>
      <x:c r="F1536" s="184" t="n">
        <x:v>0</x:v>
      </x:c>
      <x:c r="G1536" s="184" t="n">
        <x:v>0</x:v>
      </x:c>
      <x:c r="H1536" s="193" t="n">
        <x:v>0</x:v>
      </x:c>
      <x:c r="I1536" s="185" t="n">
        <x:v>0</x:v>
      </x:c>
      <x:c r="J1536" s="185" t="n">
        <x:v>0</x:v>
      </x:c>
      <x:c r="K1536" s="289" t="n">
        <x:v>325</x:v>
      </x:c>
    </x:row>
    <x:row r="1537" s="117" customFormat="1" hidden="1">
      <x:c r="A1537" s="184" t="inlineStr">
        <x:is>
          <x:t xml:space="preserve">MTPRACFUN378</x:t>
        </x:is>
      </x:c>
      <x:c r="B1537" s="184" t="inlineStr">
        <x:is>
          <x:t xml:space="preserve">BOTELLA DE AGUA DE 600CC CON GAS</x:t>
        </x:is>
      </x:c>
      <x:c r="C1537" s="184" t="n">
        <x:v>0</x:v>
      </x:c>
      <x:c r="D1537" s="184" t="n">
        <x:v>0</x:v>
      </x:c>
      <x:c r="E1537" s="184" t="n">
        <x:v>0</x:v>
      </x:c>
      <x:c r="F1537" s="184" t="n">
        <x:v>0</x:v>
      </x:c>
      <x:c r="G1537" s="184" t="n">
        <x:v>0</x:v>
      </x:c>
      <x:c r="H1537" s="193" t="n">
        <x:v>0</x:v>
      </x:c>
      <x:c r="I1537" s="185" t="n">
        <x:v>0</x:v>
      </x:c>
      <x:c r="J1537" s="185" t="n">
        <x:v>0</x:v>
      </x:c>
      <x:c r="K1537" s="289" t="n">
        <x:v>325</x:v>
      </x:c>
    </x:row>
    <x:row r="1538" s="117" customFormat="1" hidden="1">
      <x:c r="A1538" s="184" t="inlineStr">
        <x:is>
          <x:t xml:space="preserve">MTPRACFUN379</x:t>
        </x:is>
      </x:c>
      <x:c r="B1538" s="184" t="inlineStr">
        <x:is>
          <x:t xml:space="preserve">CADENA PLASTICA BLANCA</x:t>
        </x:is>
      </x:c>
      <x:c r="C1538" s="184" t="n">
        <x:v>50</x:v>
      </x:c>
      <x:c r="D1538" s="184" t="n">
        <x:v>0</x:v>
      </x:c>
      <x:c r="E1538" s="184" t="n">
        <x:v>0</x:v>
      </x:c>
      <x:c r="F1538" s="184" t="n">
        <x:v>50</x:v>
      </x:c>
      <x:c r="G1538" s="184" t="n">
        <x:v>41375</x:v>
      </x:c>
      <x:c r="H1538" s="193" t="n">
        <x:v>0</x:v>
      </x:c>
      <x:c r="I1538" s="185" t="n">
        <x:v>0</x:v>
      </x:c>
      <x:c r="J1538" s="185" t="n">
        <x:v>41375</x:v>
      </x:c>
      <x:c r="K1538" s="289" t="n">
        <x:v>827.5</x:v>
      </x:c>
    </x:row>
    <x:row r="1539" s="117" customFormat="1" hidden="1">
      <x:c r="A1539" s="184" t="inlineStr">
        <x:is>
          <x:t xml:space="preserve">MTPRACFUN380</x:t>
        </x:is>
      </x:c>
      <x:c r="B1539" s="184" t="inlineStr">
        <x:is>
          <x:t xml:space="preserve">CADENA PLASTICA ROJA</x:t>
        </x:is>
      </x:c>
      <x:c r="C1539" s="184" t="n">
        <x:v>50</x:v>
      </x:c>
      <x:c r="D1539" s="184" t="n">
        <x:v>0</x:v>
      </x:c>
      <x:c r="E1539" s="184" t="n">
        <x:v>0</x:v>
      </x:c>
      <x:c r="F1539" s="184" t="n">
        <x:v>50</x:v>
      </x:c>
      <x:c r="G1539" s="184" t="n">
        <x:v>41375</x:v>
      </x:c>
      <x:c r="H1539" s="193" t="n">
        <x:v>0</x:v>
      </x:c>
      <x:c r="I1539" s="185" t="n">
        <x:v>0</x:v>
      </x:c>
      <x:c r="J1539" s="185" t="n">
        <x:v>41375</x:v>
      </x:c>
      <x:c r="K1539" s="289" t="n">
        <x:v>827.5</x:v>
      </x:c>
    </x:row>
    <x:row r="1540" s="117" customFormat="1" hidden="1">
      <x:c r="A1540" s="184" t="inlineStr">
        <x:is>
          <x:t xml:space="preserve">MTPRACFUN381</x:t>
        </x:is>
      </x:c>
      <x:c r="B1540" s="184" t="inlineStr">
        <x:is>
          <x:t xml:space="preserve">SOPLADOR INAL.18V+1C RAP+1B 3AH MAKITA D</x:t>
        </x:is>
      </x:c>
      <x:c r="C1540" s="184" t="n">
        <x:v>0</x:v>
      </x:c>
      <x:c r="D1540" s="184" t="n">
        <x:v>0</x:v>
      </x:c>
      <x:c r="E1540" s="184" t="n">
        <x:v>0</x:v>
      </x:c>
      <x:c r="F1540" s="184" t="n">
        <x:v>0</x:v>
      </x:c>
      <x:c r="G1540" s="184" t="n">
        <x:v>0</x:v>
      </x:c>
      <x:c r="H1540" s="193" t="n">
        <x:v>0</x:v>
      </x:c>
      <x:c r="I1540" s="185" t="n">
        <x:v>0</x:v>
      </x:c>
      <x:c r="J1540" s="185" t="n">
        <x:v>0</x:v>
      </x:c>
      <x:c r="K1540" s="289" t="n">
        <x:v>131670</x:v>
      </x:c>
    </x:row>
    <x:row r="1541" s="117" customFormat="1" hidden="1">
      <x:c r="A1541" s="184" t="inlineStr">
        <x:is>
          <x:t xml:space="preserve">MTPRACFUN382</x:t>
        </x:is>
      </x:c>
      <x:c r="B1541" s="184" t="inlineStr">
        <x:is>
          <x:t xml:space="preserve">Bolsa de Basura NEGRA 110x130 80micrones</x:t>
        </x:is>
      </x:c>
      <x:c r="C1541" s="184" t="n">
        <x:v>9</x:v>
      </x:c>
      <x:c r="D1541" s="184" t="n">
        <x:v>0</x:v>
      </x:c>
      <x:c r="E1541" s="184" t="n">
        <x:v>5</x:v>
      </x:c>
      <x:c r="F1541" s="184" t="n">
        <x:v>4</x:v>
      </x:c>
      <x:c r="G1541" s="184" t="n">
        <x:v>4743</x:v>
      </x:c>
      <x:c r="H1541" s="193" t="n">
        <x:v>0</x:v>
      </x:c>
      <x:c r="I1541" s="185" t="n">
        <x:v>2635</x:v>
      </x:c>
      <x:c r="J1541" s="185" t="n">
        <x:v>2108</x:v>
      </x:c>
      <x:c r="K1541" s="289" t="n">
        <x:v>527</x:v>
      </x:c>
    </x:row>
    <x:row r="1542" s="117" customFormat="1" hidden="1">
      <x:c r="A1542" s="184" t="inlineStr">
        <x:is>
          <x:t xml:space="preserve">MTPRACFUN383</x:t>
        </x:is>
      </x:c>
      <x:c r="B1542" s="184" t="inlineStr">
        <x:is>
          <x:t xml:space="preserve">Dremel 3000 N/10 ACC ACCBCH</x:t>
        </x:is>
      </x:c>
      <x:c r="C1542" s="184" t="n">
        <x:v>0</x:v>
      </x:c>
      <x:c r="D1542" s="184" t="n">
        <x:v>0</x:v>
      </x:c>
      <x:c r="E1542" s="184" t="n">
        <x:v>0</x:v>
      </x:c>
      <x:c r="F1542" s="184" t="n">
        <x:v>0</x:v>
      </x:c>
      <x:c r="G1542" s="184" t="n">
        <x:v>0</x:v>
      </x:c>
      <x:c r="H1542" s="193" t="n">
        <x:v>0</x:v>
      </x:c>
      <x:c r="I1542" s="185" t="n">
        <x:v>0</x:v>
      </x:c>
      <x:c r="J1542" s="185" t="n">
        <x:v>0</x:v>
      </x:c>
      <x:c r="K1542" s="289" t="n">
        <x:v>45600</x:v>
      </x:c>
    </x:row>
    <x:row r="1543" s="117" customFormat="1" hidden="1">
      <x:c r="A1543" s="184" t="inlineStr">
        <x:is>
          <x:t xml:space="preserve">MTPRACFUN384</x:t>
        </x:is>
      </x:c>
      <x:c r="B1543" s="184" t="inlineStr">
        <x:is>
          <x:t xml:space="preserve">JUEGO DE DADOS C/CHICHARRA</x:t>
        </x:is>
      </x:c>
      <x:c r="C1543" s="184" t="n">
        <x:v>0</x:v>
      </x:c>
      <x:c r="D1543" s="184" t="n">
        <x:v>0</x:v>
      </x:c>
      <x:c r="E1543" s="184" t="n">
        <x:v>0</x:v>
      </x:c>
      <x:c r="F1543" s="184" t="n">
        <x:v>0</x:v>
      </x:c>
      <x:c r="G1543" s="184" t="n">
        <x:v>0</x:v>
      </x:c>
      <x:c r="H1543" s="193" t="n">
        <x:v>0</x:v>
      </x:c>
      <x:c r="I1543" s="185" t="n">
        <x:v>0</x:v>
      </x:c>
      <x:c r="J1543" s="185" t="n">
        <x:v>0</x:v>
      </x:c>
      <x:c r="K1543" s="289" t="n">
        <x:v>36055</x:v>
      </x:c>
    </x:row>
    <x:row r="1544" s="117" customFormat="1" hidden="1">
      <x:c r="A1544" s="184" t="inlineStr">
        <x:is>
          <x:t xml:space="preserve">MTPRACFUN385</x:t>
        </x:is>
      </x:c>
      <x:c r="B1544" s="184" t="inlineStr">
        <x:is>
          <x:t xml:space="preserve">CINTA  AISLANTE COLOR AZUL</x:t>
        </x:is>
      </x:c>
      <x:c r="C1544" s="184" t="n">
        <x:v>10</x:v>
      </x:c>
      <x:c r="D1544" s="184" t="n">
        <x:v>0</x:v>
      </x:c>
      <x:c r="E1544" s="184" t="n">
        <x:v>0</x:v>
      </x:c>
      <x:c r="F1544" s="184" t="n">
        <x:v>10</x:v>
      </x:c>
      <x:c r="G1544" s="184" t="n">
        <x:v>5590</x:v>
      </x:c>
      <x:c r="H1544" s="193" t="n">
        <x:v>0</x:v>
      </x:c>
      <x:c r="I1544" s="185" t="n">
        <x:v>0</x:v>
      </x:c>
      <x:c r="J1544" s="185" t="n">
        <x:v>5590</x:v>
      </x:c>
      <x:c r="K1544" s="289" t="n">
        <x:v>559</x:v>
      </x:c>
    </x:row>
    <x:row r="1545" s="117" customFormat="1" hidden="1">
      <x:c r="A1545" s="184" t="inlineStr">
        <x:is>
          <x:t xml:space="preserve">MTPRACFUN386</x:t>
        </x:is>
      </x:c>
      <x:c r="B1545" s="184" t="inlineStr">
        <x:is>
          <x:t xml:space="preserve">HOJA SIERRA SABLE</x:t>
        </x:is>
      </x:c>
      <x:c r="C1545" s="184" t="n">
        <x:v>5</x:v>
      </x:c>
      <x:c r="D1545" s="184" t="n">
        <x:v>0</x:v>
      </x:c>
      <x:c r="E1545" s="184" t="n">
        <x:v>0</x:v>
      </x:c>
      <x:c r="F1545" s="184" t="n">
        <x:v>5</x:v>
      </x:c>
      <x:c r="G1545" s="184" t="n">
        <x:v>15650</x:v>
      </x:c>
      <x:c r="H1545" s="193" t="n">
        <x:v>0</x:v>
      </x:c>
      <x:c r="I1545" s="185" t="n">
        <x:v>0</x:v>
      </x:c>
      <x:c r="J1545" s="185" t="n">
        <x:v>15650</x:v>
      </x:c>
      <x:c r="K1545" s="289" t="n">
        <x:v>3130</x:v>
      </x:c>
    </x:row>
    <x:row r="1546" s="117" customFormat="1" hidden="1">
      <x:c r="A1546" s="184" t="inlineStr">
        <x:is>
          <x:t xml:space="preserve">MTPRACFUN387</x:t>
        </x:is>
      </x:c>
      <x:c r="B1546" s="184" t="inlineStr">
        <x:is>
          <x:t xml:space="preserve">FLANGE RESPALDO 800 MM ANSI A/C A-36 REVESTIDO EN HDPE</x:t>
        </x:is>
      </x:c>
      <x:c r="C1546" s="184" t="n">
        <x:v>0</x:v>
      </x:c>
      <x:c r="D1546" s="184" t="n">
        <x:v>0</x:v>
      </x:c>
      <x:c r="E1546" s="184" t="n">
        <x:v>0</x:v>
      </x:c>
      <x:c r="F1546" s="184" t="n">
        <x:v>0</x:v>
      </x:c>
      <x:c r="G1546" s="184" t="n">
        <x:v>0</x:v>
      </x:c>
      <x:c r="H1546" s="193" t="n">
        <x:v>0</x:v>
      </x:c>
      <x:c r="I1546" s="185" t="n">
        <x:v>0</x:v>
      </x:c>
      <x:c r="J1546" s="185" t="n">
        <x:v>0</x:v>
      </x:c>
      <x:c r="K1546" s="289" t="n">
        <x:v>833450</x:v>
      </x:c>
    </x:row>
    <x:row r="1547" s="117" customFormat="1" hidden="1">
      <x:c r="A1547" s="184" t="inlineStr">
        <x:is>
          <x:t xml:space="preserve">MTPRACFUN388</x:t>
        </x:is>
      </x:c>
      <x:c r="B1547" s="184" t="inlineStr">
        <x:is>
          <x:t xml:space="preserve">TORNILLO CRS 8X3”</x:t>
        </x:is>
      </x:c>
      <x:c r="C1547" s="184" t="n">
        <x:v>4000</x:v>
      </x:c>
      <x:c r="D1547" s="184" t="n">
        <x:v>0</x:v>
      </x:c>
      <x:c r="E1547" s="184" t="n">
        <x:v>1000</x:v>
      </x:c>
      <x:c r="F1547" s="184" t="n">
        <x:v>3000</x:v>
      </x:c>
      <x:c r="G1547" s="184" t="n">
        <x:v>104000</x:v>
      </x:c>
      <x:c r="H1547" s="193" t="n">
        <x:v>0</x:v>
      </x:c>
      <x:c r="I1547" s="185" t="n">
        <x:v>26000</x:v>
      </x:c>
      <x:c r="J1547" s="185" t="n">
        <x:v>78000</x:v>
      </x:c>
      <x:c r="K1547" s="289" t="n">
        <x:v>26</x:v>
      </x:c>
    </x:row>
    <x:row r="1548" s="117" customFormat="1" hidden="1">
      <x:c r="A1548" s="184" t="inlineStr">
        <x:is>
          <x:t xml:space="preserve">MTPRACFUN389</x:t>
        </x:is>
      </x:c>
      <x:c r="B1548" s="184" t="inlineStr">
        <x:is>
          <x:t xml:space="preserve">TORNILLO CRS 6X2”</x:t>
        </x:is>
      </x:c>
      <x:c r="C1548" s="184" t="n">
        <x:v>0</x:v>
      </x:c>
      <x:c r="D1548" s="184" t="n">
        <x:v>0</x:v>
      </x:c>
      <x:c r="E1548" s="184" t="n">
        <x:v>0</x:v>
      </x:c>
      <x:c r="F1548" s="184" t="n">
        <x:v>0</x:v>
      </x:c>
      <x:c r="G1548" s="184" t="n">
        <x:v>0</x:v>
      </x:c>
      <x:c r="H1548" s="193" t="n">
        <x:v>0</x:v>
      </x:c>
      <x:c r="I1548" s="185" t="n">
        <x:v>0</x:v>
      </x:c>
      <x:c r="J1548" s="185" t="n">
        <x:v>0</x:v>
      </x:c>
      <x:c r="K1548" s="289" t="n">
        <x:v>14</x:v>
      </x:c>
    </x:row>
    <x:row r="1549" s="117" customFormat="1" hidden="1">
      <x:c r="A1549" s="184" t="inlineStr">
        <x:is>
          <x:t xml:space="preserve">MTPRACFUN390</x:t>
        </x:is>
      </x:c>
      <x:c r="B1549" s="184" t="inlineStr">
        <x:is>
          <x:t xml:space="preserve">TORNILLO CRS 6X1.5/8</x:t>
        </x:is>
      </x:c>
      <x:c r="C1549" s="184" t="n">
        <x:v>1000</x:v>
      </x:c>
      <x:c r="D1549" s="184" t="n">
        <x:v>0</x:v>
      </x:c>
      <x:c r="E1549" s="184" t="n">
        <x:v>1000</x:v>
      </x:c>
      <x:c r="F1549" s="184" t="n">
        <x:v>0</x:v>
      </x:c>
      <x:c r="G1549" s="184" t="n">
        <x:v>13000</x:v>
      </x:c>
      <x:c r="H1549" s="193" t="n">
        <x:v>0</x:v>
      </x:c>
      <x:c r="I1549" s="185" t="n">
        <x:v>13000</x:v>
      </x:c>
      <x:c r="J1549" s="185" t="n">
        <x:v>0</x:v>
      </x:c>
      <x:c r="K1549" s="289" t="n">
        <x:v>13</x:v>
      </x:c>
    </x:row>
    <x:row r="1550" s="117" customFormat="1" hidden="1">
      <x:c r="A1550" s="184" t="inlineStr">
        <x:is>
          <x:t xml:space="preserve">MTPRACFUN391</x:t>
        </x:is>
      </x:c>
      <x:c r="B1550" s="184" t="inlineStr">
        <x:is>
          <x:t xml:space="preserve">Disco Flag 4 1/2 (1 caja = 10 unid.) Para metal gr60</x:t>
        </x:is>
      </x:c>
      <x:c r="C1550" s="184" t="n">
        <x:v>1</x:v>
      </x:c>
      <x:c r="D1550" s="184" t="n">
        <x:v>0</x:v>
      </x:c>
      <x:c r="E1550" s="184" t="n">
        <x:v>0</x:v>
      </x:c>
      <x:c r="F1550" s="184" t="n">
        <x:v>1</x:v>
      </x:c>
      <x:c r="G1550" s="184" t="n">
        <x:v>24000</x:v>
      </x:c>
      <x:c r="H1550" s="193" t="n">
        <x:v>0</x:v>
      </x:c>
      <x:c r="I1550" s="185" t="n">
        <x:v>0</x:v>
      </x:c>
      <x:c r="J1550" s="185" t="n">
        <x:v>24000</x:v>
      </x:c>
      <x:c r="K1550" s="289" t="n">
        <x:v>24000</x:v>
      </x:c>
    </x:row>
    <x:row r="1551" s="117" customFormat="1" hidden="1">
      <x:c r="A1551" s="184" t="inlineStr">
        <x:is>
          <x:t xml:space="preserve">MTPRACFUN392</x:t>
        </x:is>
      </x:c>
      <x:c r="B1551" s="184" t="inlineStr">
        <x:is>
          <x:t xml:space="preserve">ENCHUFE DOMICILIARIO 10 AMP</x:t>
        </x:is>
      </x:c>
      <x:c r="C1551" s="184" t="n">
        <x:v>10</x:v>
      </x:c>
      <x:c r="D1551" s="184" t="n">
        <x:v>0</x:v>
      </x:c>
      <x:c r="E1551" s="184" t="n">
        <x:v>0</x:v>
      </x:c>
      <x:c r="F1551" s="184" t="n">
        <x:v>10</x:v>
      </x:c>
      <x:c r="G1551" s="184" t="n">
        <x:v>15120</x:v>
      </x:c>
      <x:c r="H1551" s="193" t="n">
        <x:v>0</x:v>
      </x:c>
      <x:c r="I1551" s="185" t="n">
        <x:v>0</x:v>
      </x:c>
      <x:c r="J1551" s="185" t="n">
        <x:v>15120</x:v>
      </x:c>
      <x:c r="K1551" s="289" t="n">
        <x:v>1512</x:v>
      </x:c>
    </x:row>
    <x:row r="1552" s="117" customFormat="1" hidden="1">
      <x:c r="A1552" s="184" t="inlineStr">
        <x:is>
          <x:t xml:space="preserve">MTPRACFUN393</x:t>
        </x:is>
      </x:c>
      <x:c r="B1552" s="184" t="inlineStr">
        <x:is>
          <x:t xml:space="preserve">PINTURA  SPRAY COLOR AMARILLO 400 ML</x:t>
        </x:is>
      </x:c>
      <x:c r="C1552" s="184" t="n">
        <x:v>2</x:v>
      </x:c>
      <x:c r="D1552" s="184" t="n">
        <x:v>0</x:v>
      </x:c>
      <x:c r="E1552" s="184" t="n">
        <x:v>0</x:v>
      </x:c>
      <x:c r="F1552" s="184" t="n">
        <x:v>2</x:v>
      </x:c>
      <x:c r="G1552" s="184" t="n">
        <x:v>5268</x:v>
      </x:c>
      <x:c r="H1552" s="193" t="n">
        <x:v>0</x:v>
      </x:c>
      <x:c r="I1552" s="185" t="n">
        <x:v>0</x:v>
      </x:c>
      <x:c r="J1552" s="185" t="n">
        <x:v>5268</x:v>
      </x:c>
      <x:c r="K1552" s="289" t="n">
        <x:v>2634</x:v>
      </x:c>
    </x:row>
    <x:row r="1553" s="117" customFormat="1" hidden="1">
      <x:c r="A1553" s="184" t="inlineStr">
        <x:is>
          <x:t xml:space="preserve">MTPRACFUN394</x:t>
        </x:is>
      </x:c>
      <x:c r="B1553" s="184" t="inlineStr">
        <x:is>
          <x:t xml:space="preserve">PINTURA SPRAY COLOR NEGRO 400 ML</x:t>
        </x:is>
      </x:c>
      <x:c r="C1553" s="184" t="n">
        <x:v>4</x:v>
      </x:c>
      <x:c r="D1553" s="184" t="n">
        <x:v>0</x:v>
      </x:c>
      <x:c r="E1553" s="184" t="n">
        <x:v>0</x:v>
      </x:c>
      <x:c r="F1553" s="184" t="n">
        <x:v>4</x:v>
      </x:c>
      <x:c r="G1553" s="184" t="n">
        <x:v>10536</x:v>
      </x:c>
      <x:c r="H1553" s="193" t="n">
        <x:v>0</x:v>
      </x:c>
      <x:c r="I1553" s="185" t="n">
        <x:v>0</x:v>
      </x:c>
      <x:c r="J1553" s="185" t="n">
        <x:v>10536</x:v>
      </x:c>
      <x:c r="K1553" s="289" t="n">
        <x:v>2634</x:v>
      </x:c>
    </x:row>
    <x:row r="1554" s="117" customFormat="1" hidden="1">
      <x:c r="A1554" s="184" t="inlineStr">
        <x:is>
          <x:t xml:space="preserve">MTPRACFUN395</x:t>
        </x:is>
      </x:c>
      <x:c r="B1554" s="184" t="inlineStr">
        <x:is>
          <x:t xml:space="preserve">PLANA BOTADORA 8" MANGO MADERA</x:t>
        </x:is>
      </x:c>
      <x:c r="C1554" s="184" t="n">
        <x:v>6</x:v>
      </x:c>
      <x:c r="D1554" s="184" t="n">
        <x:v>0</x:v>
      </x:c>
      <x:c r="E1554" s="184" t="n">
        <x:v>0</x:v>
      </x:c>
      <x:c r="F1554" s="184" t="n">
        <x:v>6</x:v>
      </x:c>
      <x:c r="G1554" s="184" t="n">
        <x:v>16134</x:v>
      </x:c>
      <x:c r="H1554" s="193" t="n">
        <x:v>0</x:v>
      </x:c>
      <x:c r="I1554" s="185" t="n">
        <x:v>0</x:v>
      </x:c>
      <x:c r="J1554" s="185" t="n">
        <x:v>16134</x:v>
      </x:c>
      <x:c r="K1554" s="289" t="n">
        <x:v>2689</x:v>
      </x:c>
    </x:row>
    <x:row r="1555" s="117" customFormat="1" hidden="1">
      <x:c r="A1555" s="184" t="inlineStr">
        <x:is>
          <x:t xml:space="preserve">MTPRACFUN396</x:t>
        </x:is>
      </x:c>
      <x:c r="B1555" s="184" t="inlineStr">
        <x:is>
          <x:t xml:space="preserve">TORNILLO CRS 2.1/2 PUNTA FINA</x:t>
        </x:is>
      </x:c>
      <x:c r="C1555" s="184" t="n">
        <x:v>200</x:v>
      </x:c>
      <x:c r="D1555" s="184" t="n">
        <x:v>0</x:v>
      </x:c>
      <x:c r="E1555" s="184" t="n">
        <x:v>0</x:v>
      </x:c>
      <x:c r="F1555" s="184" t="n">
        <x:v>200</x:v>
      </x:c>
      <x:c r="G1555" s="184" t="n">
        <x:v>3000</x:v>
      </x:c>
      <x:c r="H1555" s="193" t="n">
        <x:v>0</x:v>
      </x:c>
      <x:c r="I1555" s="185" t="n">
        <x:v>0</x:v>
      </x:c>
      <x:c r="J1555" s="185" t="n">
        <x:v>3000</x:v>
      </x:c>
      <x:c r="K1555" s="289" t="n">
        <x:v>15</x:v>
      </x:c>
    </x:row>
    <x:row r="1556" s="117" customFormat="1" hidden="1">
      <x:c r="A1556" s="184" t="inlineStr">
        <x:is>
          <x:t xml:space="preserve">MTPRACFUN397</x:t>
        </x:is>
      </x:c>
      <x:c r="B1556" s="184" t="inlineStr">
        <x:is>
          <x:t xml:space="preserve">PINTURA SPRAY ROJA</x:t>
        </x:is>
      </x:c>
      <x:c r="C1556" s="184" t="n">
        <x:v>20</x:v>
      </x:c>
      <x:c r="D1556" s="184" t="n">
        <x:v>0</x:v>
      </x:c>
      <x:c r="E1556" s="184" t="n">
        <x:v>0</x:v>
      </x:c>
      <x:c r="F1556" s="184" t="n">
        <x:v>20</x:v>
      </x:c>
      <x:c r="G1556" s="184" t="n">
        <x:v>52680</x:v>
      </x:c>
      <x:c r="H1556" s="193" t="n">
        <x:v>0</x:v>
      </x:c>
      <x:c r="I1556" s="185" t="n">
        <x:v>0</x:v>
      </x:c>
      <x:c r="J1556" s="185" t="n">
        <x:v>52680</x:v>
      </x:c>
      <x:c r="K1556" s="289" t="n">
        <x:v>2634</x:v>
      </x:c>
    </x:row>
    <x:row r="1557" s="117" customFormat="1" hidden="1">
      <x:c r="A1557" s="184" t="inlineStr">
        <x:is>
          <x:t xml:space="preserve">MTPRACFUN398</x:t>
        </x:is>
      </x:c>
      <x:c r="B1557" s="184" t="inlineStr">
        <x:is>
          <x:t xml:space="preserve">PINTURA SPRAY AZUL</x:t>
        </x:is>
      </x:c>
      <x:c r="C1557" s="184" t="n">
        <x:v>20</x:v>
      </x:c>
      <x:c r="D1557" s="184" t="n">
        <x:v>0</x:v>
      </x:c>
      <x:c r="E1557" s="184" t="n">
        <x:v>0</x:v>
      </x:c>
      <x:c r="F1557" s="184" t="n">
        <x:v>20</x:v>
      </x:c>
      <x:c r="G1557" s="184" t="n">
        <x:v>52680</x:v>
      </x:c>
      <x:c r="H1557" s="193" t="n">
        <x:v>0</x:v>
      </x:c>
      <x:c r="I1557" s="185" t="n">
        <x:v>0</x:v>
      </x:c>
      <x:c r="J1557" s="185" t="n">
        <x:v>52680</x:v>
      </x:c>
      <x:c r="K1557" s="289" t="n">
        <x:v>2634</x:v>
      </x:c>
    </x:row>
    <x:row r="1558" s="117" customFormat="1" hidden="1">
      <x:c r="A1558" s="184" t="inlineStr">
        <x:is>
          <x:t xml:space="preserve">MTPRACFUN399</x:t>
        </x:is>
      </x:c>
      <x:c r="B1558" s="184" t="inlineStr">
        <x:is>
          <x:t xml:space="preserve">LIJADORA ROTORBITAL 125MM M8204B MAKITA</x:t>
        </x:is>
      </x:c>
      <x:c r="C1558" s="184" t="n">
        <x:v>1</x:v>
      </x:c>
      <x:c r="D1558" s="184" t="n">
        <x:v>0</x:v>
      </x:c>
      <x:c r="E1558" s="184" t="n">
        <x:v>0</x:v>
      </x:c>
      <x:c r="F1558" s="184" t="n">
        <x:v>1</x:v>
      </x:c>
      <x:c r="G1558" s="184" t="n">
        <x:v>79353</x:v>
      </x:c>
      <x:c r="H1558" s="193" t="n">
        <x:v>0</x:v>
      </x:c>
      <x:c r="I1558" s="185" t="n">
        <x:v>0</x:v>
      </x:c>
      <x:c r="J1558" s="185" t="n">
        <x:v>79353</x:v>
      </x:c>
      <x:c r="K1558" s="289" t="n">
        <x:v>79353</x:v>
      </x:c>
    </x:row>
    <x:row r="1559" s="117" customFormat="1" hidden="1">
      <x:c r="A1559" s="184" t="inlineStr">
        <x:is>
          <x:t xml:space="preserve">MTPRACFUN400</x:t>
        </x:is>
      </x:c>
      <x:c r="B1559" s="184" t="inlineStr">
        <x:is>
          <x:t xml:space="preserve">TIJERA SASTRE 9.0 (22.86CM) METALICA</x:t>
        </x:is>
      </x:c>
      <x:c r="C1559" s="184" t="n">
        <x:v>0</x:v>
      </x:c>
      <x:c r="D1559" s="184" t="n">
        <x:v>0</x:v>
      </x:c>
      <x:c r="E1559" s="184" t="n">
        <x:v>0</x:v>
      </x:c>
      <x:c r="F1559" s="184" t="n">
        <x:v>0</x:v>
      </x:c>
      <x:c r="G1559" s="184" t="n">
        <x:v>0</x:v>
      </x:c>
      <x:c r="H1559" s="193" t="n">
        <x:v>0</x:v>
      </x:c>
      <x:c r="I1559" s="185" t="n">
        <x:v>0</x:v>
      </x:c>
      <x:c r="J1559" s="185" t="n">
        <x:v>0</x:v>
      </x:c>
      <x:c r="K1559" s="289" t="n">
        <x:v>30151</x:v>
      </x:c>
    </x:row>
    <x:row r="1560" s="117" customFormat="1" hidden="1">
      <x:c r="A1560" s="184" t="inlineStr">
        <x:is>
          <x:t xml:space="preserve">MTPRACFUN401</x:t>
        </x:is>
      </x:c>
      <x:c r="B1560" s="184" t="inlineStr">
        <x:is>
          <x:t xml:space="preserve">TIJERA SASTRRE 12.0 (30.48CM) METALICA</x:t>
        </x:is>
      </x:c>
      <x:c r="C1560" s="184" t="n">
        <x:v>0</x:v>
      </x:c>
      <x:c r="D1560" s="184" t="n">
        <x:v>0</x:v>
      </x:c>
      <x:c r="E1560" s="184" t="n">
        <x:v>0</x:v>
      </x:c>
      <x:c r="F1560" s="184" t="n">
        <x:v>0</x:v>
      </x:c>
      <x:c r="G1560" s="184" t="n">
        <x:v>0</x:v>
      </x:c>
      <x:c r="H1560" s="193" t="n">
        <x:v>0</x:v>
      </x:c>
      <x:c r="I1560" s="185" t="n">
        <x:v>0</x:v>
      </x:c>
      <x:c r="J1560" s="185" t="n">
        <x:v>0</x:v>
      </x:c>
      <x:c r="K1560" s="289" t="n">
        <x:v>0</x:v>
      </x:c>
    </x:row>
    <x:row r="1561" s="117" customFormat="1" hidden="1">
      <x:c r="A1561" s="184" t="inlineStr">
        <x:is>
          <x:t xml:space="preserve">MTPRACFUN402</x:t>
        </x:is>
      </x:c>
      <x:c r="B1561" s="184" t="inlineStr">
        <x:is>
          <x:t xml:space="preserve">TIJERA ESCRITORIO</x:t>
        </x:is>
      </x:c>
      <x:c r="C1561" s="184" t="n">
        <x:v>0</x:v>
      </x:c>
      <x:c r="D1561" s="184" t="n">
        <x:v>0</x:v>
      </x:c>
      <x:c r="E1561" s="184" t="n">
        <x:v>0</x:v>
      </x:c>
      <x:c r="F1561" s="184" t="n">
        <x:v>0</x:v>
      </x:c>
      <x:c r="G1561" s="184" t="n">
        <x:v>0</x:v>
      </x:c>
      <x:c r="H1561" s="193" t="n">
        <x:v>0</x:v>
      </x:c>
      <x:c r="I1561" s="185" t="n">
        <x:v>0</x:v>
      </x:c>
      <x:c r="J1561" s="185" t="n">
        <x:v>0</x:v>
      </x:c>
      <x:c r="K1561" s="289" t="n">
        <x:v>0</x:v>
      </x:c>
    </x:row>
    <x:row r="1562" s="117" customFormat="1" hidden="1">
      <x:c r="A1562" s="184" t="inlineStr">
        <x:is>
          <x:t xml:space="preserve">MTPRACFUN403</x:t>
        </x:is>
      </x:c>
      <x:c r="B1562" s="184" t="inlineStr">
        <x:is>
          <x:t xml:space="preserve">TECLE VTL KIT-II PALANC 0,75TON 1,5MT</x:t>
        </x:is>
      </x:c>
      <x:c r="C1562" s="184" t="n">
        <x:v>6</x:v>
      </x:c>
      <x:c r="D1562" s="184" t="n">
        <x:v>0</x:v>
      </x:c>
      <x:c r="E1562" s="184" t="n">
        <x:v>0</x:v>
      </x:c>
      <x:c r="F1562" s="184" t="n">
        <x:v>6</x:v>
      </x:c>
      <x:c r="G1562" s="184" t="n">
        <x:v>377082</x:v>
      </x:c>
      <x:c r="H1562" s="193" t="n">
        <x:v>0</x:v>
      </x:c>
      <x:c r="I1562" s="185" t="n">
        <x:v>0</x:v>
      </x:c>
      <x:c r="J1562" s="185" t="n">
        <x:v>377082</x:v>
      </x:c>
      <x:c r="K1562" s="289" t="n">
        <x:v>62847</x:v>
      </x:c>
    </x:row>
    <x:row r="1563" s="117" customFormat="1" hidden="1">
      <x:c r="A1563" s="184" t="inlineStr">
        <x:is>
          <x:t xml:space="preserve">MTPRACFUN404</x:t>
        </x:is>
      </x:c>
      <x:c r="B1563" s="184" t="inlineStr">
        <x:is>
          <x:t xml:space="preserve">SET LLAVES ALLEN 30 PIEZAS</x:t>
        </x:is>
      </x:c>
      <x:c r="C1563" s="184" t="n">
        <x:v>1</x:v>
      </x:c>
      <x:c r="D1563" s="184" t="n">
        <x:v>0</x:v>
      </x:c>
      <x:c r="E1563" s="184" t="n">
        <x:v>0</x:v>
      </x:c>
      <x:c r="F1563" s="184" t="n">
        <x:v>1</x:v>
      </x:c>
      <x:c r="G1563" s="184" t="n">
        <x:v>13598</x:v>
      </x:c>
      <x:c r="H1563" s="193" t="n">
        <x:v>0</x:v>
      </x:c>
      <x:c r="I1563" s="185" t="n">
        <x:v>0</x:v>
      </x:c>
      <x:c r="J1563" s="185" t="n">
        <x:v>13598</x:v>
      </x:c>
      <x:c r="K1563" s="289" t="n">
        <x:v>13598</x:v>
      </x:c>
    </x:row>
    <x:row r="1564" s="117" customFormat="1" hidden="1">
      <x:c r="A1564" s="184" t="inlineStr">
        <x:is>
          <x:t xml:space="preserve">MTPRACFUN405</x:t>
        </x:is>
      </x:c>
      <x:c r="B1564" s="184" t="inlineStr">
        <x:is>
          <x:t xml:space="preserve">JUEGO DE LLAVES TORX 9 PIEZAS AOK (T10-T50)</x:t>
        </x:is>
      </x:c>
      <x:c r="C1564" s="184" t="n">
        <x:v>1</x:v>
      </x:c>
      <x:c r="D1564" s="184" t="n">
        <x:v>0</x:v>
      </x:c>
      <x:c r="E1564" s="184" t="n">
        <x:v>0</x:v>
      </x:c>
      <x:c r="F1564" s="184" t="n">
        <x:v>1</x:v>
      </x:c>
      <x:c r="G1564" s="184" t="n">
        <x:v>5029</x:v>
      </x:c>
      <x:c r="H1564" s="193" t="n">
        <x:v>0</x:v>
      </x:c>
      <x:c r="I1564" s="185" t="n">
        <x:v>0</x:v>
      </x:c>
      <x:c r="J1564" s="185" t="n">
        <x:v>5029</x:v>
      </x:c>
      <x:c r="K1564" s="289" t="n">
        <x:v>5029</x:v>
      </x:c>
    </x:row>
    <x:row r="1565" s="117" customFormat="1" hidden="1">
      <x:c r="A1565" s="184" t="inlineStr">
        <x:is>
          <x:t xml:space="preserve">MTPRACFUN406</x:t>
        </x:is>
      </x:c>
      <x:c r="B1565" s="184" t="inlineStr">
        <x:is>
          <x:t xml:space="preserve">KIT BATERIA 18V 2.5 AH + CARGADOR RAPIDO EINHELL</x:t>
        </x:is>
      </x:c>
      <x:c r="C1565" s="184" t="n">
        <x:v>1</x:v>
      </x:c>
      <x:c r="D1565" s="184" t="n">
        <x:v>0</x:v>
      </x:c>
      <x:c r="E1565" s="184" t="n">
        <x:v>0</x:v>
      </x:c>
      <x:c r="F1565" s="184" t="n">
        <x:v>1</x:v>
      </x:c>
      <x:c r="G1565" s="184" t="n">
        <x:v>22345</x:v>
      </x:c>
      <x:c r="H1565" s="193" t="n">
        <x:v>0</x:v>
      </x:c>
      <x:c r="I1565" s="185" t="n">
        <x:v>0</x:v>
      </x:c>
      <x:c r="J1565" s="185" t="n">
        <x:v>22345</x:v>
      </x:c>
      <x:c r="K1565" s="289" t="n">
        <x:v>22345</x:v>
      </x:c>
    </x:row>
    <x:row r="1566" s="117" customFormat="1" hidden="1">
      <x:c r="A1566" s="184" t="inlineStr">
        <x:is>
          <x:t xml:space="preserve">MTPRACFUN407</x:t>
        </x:is>
      </x:c>
      <x:c r="B1566" s="184" t="inlineStr">
        <x:is>
          <x:t xml:space="preserve">ASPIRADORA POLVO Y AGUA 30 LTS LUSTER BLUE 575</x:t>
        </x:is>
      </x:c>
      <x:c r="C1566" s="184" t="n">
        <x:v>1</x:v>
      </x:c>
      <x:c r="D1566" s="184" t="n">
        <x:v>0</x:v>
      </x:c>
      <x:c r="E1566" s="184" t="n">
        <x:v>0</x:v>
      </x:c>
      <x:c r="F1566" s="184" t="n">
        <x:v>1</x:v>
      </x:c>
      <x:c r="G1566" s="184" t="n">
        <x:v>118942</x:v>
      </x:c>
      <x:c r="H1566" s="193" t="n">
        <x:v>0</x:v>
      </x:c>
      <x:c r="I1566" s="185" t="n">
        <x:v>0</x:v>
      </x:c>
      <x:c r="J1566" s="185" t="n">
        <x:v>118942</x:v>
      </x:c>
      <x:c r="K1566" s="289" t="n">
        <x:v>118942</x:v>
      </x:c>
    </x:row>
    <x:row r="1567" s="117" customFormat="1" hidden="1">
      <x:c r="A1567" s="184" t="inlineStr">
        <x:is>
          <x:t xml:space="preserve">MTPRACFUN408</x:t>
        </x:is>
      </x:c>
      <x:c r="B1567" s="184" t="inlineStr">
        <x:is>
          <x:t xml:space="preserve">Soplete Tecgas Completo 3 Boquillas (MangueraAlta Presión 1.75Mts)</x:t>
        </x:is>
      </x:c>
      <x:c r="C1567" s="184" t="n">
        <x:v>2</x:v>
      </x:c>
      <x:c r="D1567" s="184" t="n">
        <x:v>0</x:v>
      </x:c>
      <x:c r="E1567" s="184" t="n">
        <x:v>0</x:v>
      </x:c>
      <x:c r="F1567" s="184" t="n">
        <x:v>2</x:v>
      </x:c>
      <x:c r="G1567" s="184" t="n">
        <x:v>74080</x:v>
      </x:c>
      <x:c r="H1567" s="193" t="n">
        <x:v>0</x:v>
      </x:c>
      <x:c r="I1567" s="185" t="n">
        <x:v>0</x:v>
      </x:c>
      <x:c r="J1567" s="185" t="n">
        <x:v>74080</x:v>
      </x:c>
      <x:c r="K1567" s="289" t="n">
        <x:v>37040</x:v>
      </x:c>
    </x:row>
    <x:row r="1568" s="117" customFormat="1" hidden="1">
      <x:c r="A1568" s="184" t="inlineStr">
        <x:is>
          <x:t xml:space="preserve">MTPRACFUN409</x:t>
        </x:is>
      </x:c>
      <x:c r="B1568" s="184" t="inlineStr">
        <x:is>
          <x:t xml:space="preserve">PACK DEWALT TALADRO Y ATORNILLADOR 20V 2BAT 2.0A +BO</x:t>
        </x:is>
      </x:c>
      <x:c r="C1568" s="184" t="n">
        <x:v>0</x:v>
      </x:c>
      <x:c r="D1568" s="184" t="n">
        <x:v>0</x:v>
      </x:c>
      <x:c r="E1568" s="184" t="n">
        <x:v>0</x:v>
      </x:c>
      <x:c r="F1568" s="184" t="n">
        <x:v>0</x:v>
      </x:c>
      <x:c r="G1568" s="184" t="n">
        <x:v>0</x:v>
      </x:c>
      <x:c r="H1568" s="193" t="n">
        <x:v>0</x:v>
      </x:c>
      <x:c r="I1568" s="185" t="n">
        <x:v>0</x:v>
      </x:c>
      <x:c r="J1568" s="185" t="n">
        <x:v>0</x:v>
      </x:c>
      <x:c r="K1568" s="289" t="n">
        <x:v>232935</x:v>
      </x:c>
    </x:row>
    <x:row r="1569" s="117" customFormat="1" hidden="1">
      <x:c r="A1569" s="184" t="inlineStr">
        <x:is>
          <x:t xml:space="preserve">MTPRACFUN410</x:t>
        </x:is>
      </x:c>
      <x:c r="B1569" s="184" t="inlineStr">
        <x:is>
          <x:t xml:space="preserve">Disco diamantado con Flange (corte y pulido) 4 1/2"</x:t>
        </x:is>
      </x:c>
      <x:c r="C1569" s="184" t="n">
        <x:v>9</x:v>
      </x:c>
      <x:c r="D1569" s="184" t="n">
        <x:v>0</x:v>
      </x:c>
      <x:c r="E1569" s="184" t="n">
        <x:v>0</x:v>
      </x:c>
      <x:c r="F1569" s="184" t="n">
        <x:v>9</x:v>
      </x:c>
      <x:c r="G1569" s="184" t="n">
        <x:v>256500</x:v>
      </x:c>
      <x:c r="H1569" s="193" t="n">
        <x:v>0</x:v>
      </x:c>
      <x:c r="I1569" s="185" t="n">
        <x:v>0</x:v>
      </x:c>
      <x:c r="J1569" s="185" t="n">
        <x:v>256500</x:v>
      </x:c>
      <x:c r="K1569" s="289" t="n">
        <x:v>28500</x:v>
      </x:c>
    </x:row>
    <x:row r="1570" s="117" customFormat="1" hidden="1">
      <x:c r="A1570" s="184" t="inlineStr">
        <x:is>
          <x:t xml:space="preserve">MTPRACFUN411</x:t>
        </x:is>
      </x:c>
      <x:c r="B1570" s="184" t="inlineStr">
        <x:is>
          <x:t xml:space="preserve">Toma Soporte Sierra Copa A4  STARRETT</x:t>
        </x:is>
      </x:c>
      <x:c r="C1570" s="184" t="n">
        <x:v>4</x:v>
      </x:c>
      <x:c r="D1570" s="184" t="n">
        <x:v>0</x:v>
      </x:c>
      <x:c r="E1570" s="184" t="n">
        <x:v>0</x:v>
      </x:c>
      <x:c r="F1570" s="184" t="n">
        <x:v>4</x:v>
      </x:c>
      <x:c r="G1570" s="184" t="n">
        <x:v>40800</x:v>
      </x:c>
      <x:c r="H1570" s="193" t="n">
        <x:v>0</x:v>
      </x:c>
      <x:c r="I1570" s="185" t="n">
        <x:v>0</x:v>
      </x:c>
      <x:c r="J1570" s="185" t="n">
        <x:v>40800</x:v>
      </x:c>
      <x:c r="K1570" s="289" t="n">
        <x:v>10200</x:v>
      </x:c>
    </x:row>
    <x:row r="1571" s="117" customFormat="1" hidden="1">
      <x:c r="A1571" s="184" t="inlineStr">
        <x:is>
          <x:t xml:space="preserve">MTPRACFUN412</x:t>
        </x:is>
      </x:c>
      <x:c r="B1571" s="184" t="inlineStr">
        <x:is>
          <x:t xml:space="preserve">Toma Soporte Sierra Copa A10 STARRETT</x:t>
        </x:is>
      </x:c>
      <x:c r="C1571" s="184" t="n">
        <x:v>4</x:v>
      </x:c>
      <x:c r="D1571" s="184" t="n">
        <x:v>0</x:v>
      </x:c>
      <x:c r="E1571" s="184" t="n">
        <x:v>0</x:v>
      </x:c>
      <x:c r="F1571" s="184" t="n">
        <x:v>4</x:v>
      </x:c>
      <x:c r="G1571" s="184" t="n">
        <x:v>70600</x:v>
      </x:c>
      <x:c r="H1571" s="193" t="n">
        <x:v>0</x:v>
      </x:c>
      <x:c r="I1571" s="185" t="n">
        <x:v>0</x:v>
      </x:c>
      <x:c r="J1571" s="185" t="n">
        <x:v>70600</x:v>
      </x:c>
      <x:c r="K1571" s="289" t="n">
        <x:v>17650</x:v>
      </x:c>
    </x:row>
    <x:row r="1572" s="117" customFormat="1" hidden="1">
      <x:c r="A1572" s="184" t="inlineStr">
        <x:is>
          <x:t xml:space="preserve">MTPRACFUN413</x:t>
        </x:is>
      </x:c>
      <x:c r="B1572" s="184" t="inlineStr">
        <x:is>
          <x:t xml:space="preserve">ACEITADORA 500 ML</x:t>
        </x:is>
      </x:c>
      <x:c r="C1572" s="184" t="n">
        <x:v>2</x:v>
      </x:c>
      <x:c r="D1572" s="184" t="n">
        <x:v>0</x:v>
      </x:c>
      <x:c r="E1572" s="184" t="n">
        <x:v>0</x:v>
      </x:c>
      <x:c r="F1572" s="184" t="n">
        <x:v>2</x:v>
      </x:c>
      <x:c r="G1572" s="184" t="n">
        <x:v>23542</x:v>
      </x:c>
      <x:c r="H1572" s="193" t="n">
        <x:v>0</x:v>
      </x:c>
      <x:c r="I1572" s="185" t="n">
        <x:v>0</x:v>
      </x:c>
      <x:c r="J1572" s="185" t="n">
        <x:v>23542</x:v>
      </x:c>
      <x:c r="K1572" s="289" t="n">
        <x:v>11771</x:v>
      </x:c>
    </x:row>
    <x:row r="1573" s="117" customFormat="1" hidden="1">
      <x:c r="A1573" s="184" t="inlineStr">
        <x:is>
          <x:t xml:space="preserve">MTPRACFUN414</x:t>
        </x:is>
      </x:c>
      <x:c r="B1573" s="184" t="inlineStr">
        <x:is>
          <x:t xml:space="preserve">ESCOBILLA DE ACERO TEMPLADO</x:t>
        </x:is>
      </x:c>
      <x:c r="C1573" s="184" t="n">
        <x:v>3</x:v>
      </x:c>
      <x:c r="D1573" s="184" t="n">
        <x:v>0</x:v>
      </x:c>
      <x:c r="E1573" s="184" t="n">
        <x:v>0</x:v>
      </x:c>
      <x:c r="F1573" s="184" t="n">
        <x:v>3</x:v>
      </x:c>
      <x:c r="G1573" s="184" t="n">
        <x:v>4224</x:v>
      </x:c>
      <x:c r="H1573" s="193" t="n">
        <x:v>0</x:v>
      </x:c>
      <x:c r="I1573" s="185" t="n">
        <x:v>0</x:v>
      </x:c>
      <x:c r="J1573" s="185" t="n">
        <x:v>4224</x:v>
      </x:c>
      <x:c r="K1573" s="289" t="n">
        <x:v>1408</x:v>
      </x:c>
    </x:row>
    <x:row r="1574" s="117" customFormat="1" hidden="1">
      <x:c r="A1574" s="184" t="inlineStr">
        <x:is>
          <x:t xml:space="preserve">MTPRACFUN415</x:t>
        </x:is>
      </x:c>
      <x:c r="B1574" s="184" t="inlineStr">
        <x:is>
          <x:t xml:space="preserve">LIMA PLANA DE ACERO 10" CON MANGO</x:t>
        </x:is>
      </x:c>
      <x:c r="C1574" s="184" t="n">
        <x:v>1</x:v>
      </x:c>
      <x:c r="D1574" s="184" t="n">
        <x:v>0</x:v>
      </x:c>
      <x:c r="E1574" s="184" t="n">
        <x:v>0</x:v>
      </x:c>
      <x:c r="F1574" s="184" t="n">
        <x:v>1</x:v>
      </x:c>
      <x:c r="G1574" s="184" t="n">
        <x:v>5159</x:v>
      </x:c>
      <x:c r="H1574" s="193" t="n">
        <x:v>0</x:v>
      </x:c>
      <x:c r="I1574" s="185" t="n">
        <x:v>0</x:v>
      </x:c>
      <x:c r="J1574" s="185" t="n">
        <x:v>5159</x:v>
      </x:c>
      <x:c r="K1574" s="289" t="n">
        <x:v>5159</x:v>
      </x:c>
    </x:row>
    <x:row r="1575" s="117" customFormat="1" hidden="1">
      <x:c r="A1575" s="184" t="inlineStr">
        <x:is>
          <x:t xml:space="preserve">MTPRACFUN416</x:t>
        </x:is>
      </x:c>
      <x:c r="B1575" s="184" t="inlineStr">
        <x:is>
          <x:t xml:space="preserve">LIMA DE ACERO DE 12" CON MANGO</x:t>
        </x:is>
      </x:c>
      <x:c r="C1575" s="184" t="n">
        <x:v>1</x:v>
      </x:c>
      <x:c r="D1575" s="184" t="n">
        <x:v>0</x:v>
      </x:c>
      <x:c r="E1575" s="184" t="n">
        <x:v>0</x:v>
      </x:c>
      <x:c r="F1575" s="184" t="n">
        <x:v>1</x:v>
      </x:c>
      <x:c r="G1575" s="184" t="n">
        <x:v>9560</x:v>
      </x:c>
      <x:c r="H1575" s="193" t="n">
        <x:v>0</x:v>
      </x:c>
      <x:c r="I1575" s="185" t="n">
        <x:v>0</x:v>
      </x:c>
      <x:c r="J1575" s="185" t="n">
        <x:v>9560</x:v>
      </x:c>
      <x:c r="K1575" s="289" t="n">
        <x:v>9560</x:v>
      </x:c>
    </x:row>
    <x:row r="1576" s="117" customFormat="1" hidden="1">
      <x:c r="A1576" s="184" t="inlineStr">
        <x:is>
          <x:t xml:space="preserve">MTPRACFUN417</x:t>
        </x:is>
      </x:c>
      <x:c r="B1576" s="184" t="inlineStr">
        <x:is>
          <x:t xml:space="preserve">TIZADOR DE ALUMINIO FUNDIDO CON TIZA ROJA</x:t>
        </x:is>
      </x:c>
      <x:c r="C1576" s="184" t="n">
        <x:v>2</x:v>
      </x:c>
      <x:c r="D1576" s="184" t="n">
        <x:v>0</x:v>
      </x:c>
      <x:c r="E1576" s="184" t="n">
        <x:v>0</x:v>
      </x:c>
      <x:c r="F1576" s="184" t="n">
        <x:v>2</x:v>
      </x:c>
      <x:c r="G1576" s="184" t="n">
        <x:v>26654</x:v>
      </x:c>
      <x:c r="H1576" s="193" t="n">
        <x:v>0</x:v>
      </x:c>
      <x:c r="I1576" s="185" t="n">
        <x:v>0</x:v>
      </x:c>
      <x:c r="J1576" s="185" t="n">
        <x:v>26654</x:v>
      </x:c>
      <x:c r="K1576" s="289" t="n">
        <x:v>13327</x:v>
      </x:c>
    </x:row>
    <x:row r="1577" s="117" customFormat="1" hidden="1">
      <x:c r="A1577" s="184" t="inlineStr">
        <x:is>
          <x:t xml:space="preserve">MTPRACFUN418</x:t>
        </x:is>
      </x:c>
      <x:c r="B1577" s="184" t="inlineStr">
        <x:is>
          <x:t xml:space="preserve">CUCHILLO CARTONERO RETRACTIL INGCO HKNS11815</x:t>
        </x:is>
      </x:c>
      <x:c r="C1577" s="184" t="n">
        <x:v>11</x:v>
      </x:c>
      <x:c r="D1577" s="184" t="n">
        <x:v>0</x:v>
      </x:c>
      <x:c r="E1577" s="184" t="n">
        <x:v>2</x:v>
      </x:c>
      <x:c r="F1577" s="184" t="n">
        <x:v>9</x:v>
      </x:c>
      <x:c r="G1577" s="184" t="n">
        <x:v>17952</x:v>
      </x:c>
      <x:c r="H1577" s="193" t="n">
        <x:v>0</x:v>
      </x:c>
      <x:c r="I1577" s="185" t="n">
        <x:v>3264</x:v>
      </x:c>
      <x:c r="J1577" s="185" t="n">
        <x:v>14688</x:v>
      </x:c>
      <x:c r="K1577" s="289" t="n">
        <x:v>1632</x:v>
      </x:c>
    </x:row>
    <x:row r="1578" s="117" customFormat="1" hidden="1">
      <x:c r="A1578" s="184" t="inlineStr">
        <x:is>
          <x:t xml:space="preserve">MTPRACFUN419</x:t>
        </x:is>
      </x:c>
      <x:c r="B1578" s="184" t="inlineStr">
        <x:is>
          <x:t xml:space="preserve">HOJA DE SIERRA DE CALAR STARRET BU230X</x:t>
        </x:is>
      </x:c>
      <x:c r="C1578" s="184" t="n">
        <x:v>30</x:v>
      </x:c>
      <x:c r="D1578" s="184" t="n">
        <x:v>0</x:v>
      </x:c>
      <x:c r="E1578" s="184" t="n">
        <x:v>0</x:v>
      </x:c>
      <x:c r="F1578" s="184" t="n">
        <x:v>30</x:v>
      </x:c>
      <x:c r="G1578" s="184" t="n">
        <x:v>95970</x:v>
      </x:c>
      <x:c r="H1578" s="193" t="n">
        <x:v>0</x:v>
      </x:c>
      <x:c r="I1578" s="185" t="n">
        <x:v>0</x:v>
      </x:c>
      <x:c r="J1578" s="185" t="n">
        <x:v>95970</x:v>
      </x:c>
      <x:c r="K1578" s="289" t="n">
        <x:v>3199</x:v>
      </x:c>
    </x:row>
    <x:row r="1579" s="117" customFormat="1" hidden="1">
      <x:c r="A1579" s="184" t="inlineStr">
        <x:is>
          <x:t xml:space="preserve">MTPRACFUN420</x:t>
        </x:is>
      </x:c>
      <x:c r="B1579" s="184" t="inlineStr">
        <x:is>
          <x:t xml:space="preserve">REPUESTO CUCHILLO CARTONERO DE 18 X100 INGCO (JGO 10 PZS)</x:t>
        </x:is>
      </x:c>
      <x:c r="C1579" s="184" t="n">
        <x:v>0</x:v>
      </x:c>
      <x:c r="D1579" s="184" t="n">
        <x:v>0</x:v>
      </x:c>
      <x:c r="E1579" s="184" t="n">
        <x:v>0</x:v>
      </x:c>
      <x:c r="F1579" s="184" t="n">
        <x:v>0</x:v>
      </x:c>
      <x:c r="G1579" s="184" t="n">
        <x:v>0</x:v>
      </x:c>
      <x:c r="H1579" s="193" t="n">
        <x:v>0</x:v>
      </x:c>
      <x:c r="I1579" s="185" t="n">
        <x:v>0</x:v>
      </x:c>
      <x:c r="J1579" s="185" t="n">
        <x:v>0</x:v>
      </x:c>
      <x:c r="K1579" s="289" t="n">
        <x:v>0</x:v>
      </x:c>
    </x:row>
    <x:row r="1580" s="117" customFormat="1" hidden="1">
      <x:c r="A1580" s="184" t="inlineStr">
        <x:is>
          <x:t xml:space="preserve">MTPRACFUN421</x:t>
        </x:is>
      </x:c>
      <x:c r="B1580" s="184" t="inlineStr">
        <x:is>
          <x:t xml:space="preserve">TALADRO PERCUSIÓN 1/2" 18V XLT 0- 400/2.000RPM DHP458Z MAKITA</x:t>
        </x:is>
      </x:c>
      <x:c r="C1580" s="184" t="n">
        <x:v>1</x:v>
      </x:c>
      <x:c r="D1580" s="184" t="n">
        <x:v>0</x:v>
      </x:c>
      <x:c r="E1580" s="184" t="n">
        <x:v>0</x:v>
      </x:c>
      <x:c r="F1580" s="184" t="n">
        <x:v>1</x:v>
      </x:c>
      <x:c r="G1580" s="184" t="n">
        <x:v>151498</x:v>
      </x:c>
      <x:c r="H1580" s="193" t="n">
        <x:v>0</x:v>
      </x:c>
      <x:c r="I1580" s="185" t="n">
        <x:v>0</x:v>
      </x:c>
      <x:c r="J1580" s="185" t="n">
        <x:v>151498</x:v>
      </x:c>
      <x:c r="K1580" s="289" t="n">
        <x:v>151498</x:v>
      </x:c>
    </x:row>
    <x:row r="1581" s="117" customFormat="1" hidden="1">
      <x:c r="A1581" s="184" t="inlineStr">
        <x:is>
          <x:t xml:space="preserve">MTPRACFUN422</x:t>
        </x:is>
      </x:c>
      <x:c r="B1581" s="184" t="inlineStr">
        <x:is>
          <x:t xml:space="preserve">TALADRO PERCUTOR 18V DHP485Z MAKITA</x:t>
        </x:is>
      </x:c>
      <x:c r="C1581" s="184" t="n">
        <x:v>0</x:v>
      </x:c>
      <x:c r="D1581" s="184" t="n">
        <x:v>0</x:v>
      </x:c>
      <x:c r="E1581" s="184" t="n">
        <x:v>0</x:v>
      </x:c>
      <x:c r="F1581" s="184" t="n">
        <x:v>0</x:v>
      </x:c>
      <x:c r="G1581" s="184" t="n">
        <x:v>0</x:v>
      </x:c>
      <x:c r="H1581" s="193" t="n">
        <x:v>0</x:v>
      </x:c>
      <x:c r="I1581" s="185" t="n">
        <x:v>0</x:v>
      </x:c>
      <x:c r="J1581" s="185" t="n">
        <x:v>0</x:v>
      </x:c>
      <x:c r="K1581" s="289" t="n">
        <x:v>141411</x:v>
      </x:c>
    </x:row>
    <x:row r="1582" s="117" customFormat="1" hidden="1">
      <x:c r="A1582" s="184" t="inlineStr">
        <x:is>
          <x:t xml:space="preserve">MTPRACFUN423</x:t>
        </x:is>
      </x:c>
      <x:c r="B1582" s="184" t="inlineStr">
        <x:is>
          <x:t xml:space="preserve">TALADRO 1/2" V.V.R, MALETA, MAND / 760W (HP1641K) MAKITA</x:t>
        </x:is>
      </x:c>
      <x:c r="C1582" s="184" t="n">
        <x:v>0</x:v>
      </x:c>
      <x:c r="D1582" s="184" t="n">
        <x:v>0</x:v>
      </x:c>
      <x:c r="E1582" s="184" t="n">
        <x:v>0</x:v>
      </x:c>
      <x:c r="F1582" s="184" t="n">
        <x:v>0</x:v>
      </x:c>
      <x:c r="G1582" s="184" t="n">
        <x:v>0</x:v>
      </x:c>
      <x:c r="H1582" s="193" t="n">
        <x:v>0</x:v>
      </x:c>
      <x:c r="I1582" s="185" t="n">
        <x:v>0</x:v>
      </x:c>
      <x:c r="J1582" s="185" t="n">
        <x:v>0</x:v>
      </x:c>
      <x:c r="K1582" s="289" t="n">
        <x:v>118879</x:v>
      </x:c>
    </x:row>
    <x:row r="1583" s="117" customFormat="1" hidden="1">
      <x:c r="A1583" s="184" t="inlineStr">
        <x:is>
          <x:t xml:space="preserve">MTPRACFUN424</x:t>
        </x:is>
      </x:c>
      <x:c r="B1583" s="184" t="inlineStr">
        <x:is>
          <x:t xml:space="preserve">BATERIA LI-ION 18V BL1830</x:t>
        </x:is>
      </x:c>
      <x:c r="C1583" s="184" t="n">
        <x:v>0</x:v>
      </x:c>
      <x:c r="D1583" s="184" t="n">
        <x:v>0</x:v>
      </x:c>
      <x:c r="E1583" s="184" t="n">
        <x:v>0</x:v>
      </x:c>
      <x:c r="F1583" s="184" t="n">
        <x:v>0</x:v>
      </x:c>
      <x:c r="G1583" s="184" t="n">
        <x:v>0</x:v>
      </x:c>
      <x:c r="H1583" s="193" t="n">
        <x:v>0</x:v>
      </x:c>
      <x:c r="I1583" s="185" t="n">
        <x:v>0</x:v>
      </x:c>
      <x:c r="J1583" s="185" t="n">
        <x:v>0</x:v>
      </x:c>
      <x:c r="K1583" s="289" t="n">
        <x:v>69590</x:v>
      </x:c>
    </x:row>
    <x:row r="1584" s="117" customFormat="1" hidden="1">
      <x:c r="A1584" s="184" t="inlineStr">
        <x:is>
          <x:t xml:space="preserve">MTPRACFUN425</x:t>
        </x:is>
      </x:c>
      <x:c r="B1584" s="184" t="inlineStr">
        <x:is>
          <x:t xml:space="preserve">INGLETEADORA 10" TELESCOPICA CON BANCO EINHELL</x:t>
        </x:is>
      </x:c>
      <x:c r="C1584" s="184" t="n">
        <x:v>1</x:v>
      </x:c>
      <x:c r="D1584" s="184" t="n">
        <x:v>0</x:v>
      </x:c>
      <x:c r="E1584" s="184" t="n">
        <x:v>0</x:v>
      </x:c>
      <x:c r="F1584" s="184" t="n">
        <x:v>1</x:v>
      </x:c>
      <x:c r="G1584" s="184" t="n">
        <x:v>231390</x:v>
      </x:c>
      <x:c r="H1584" s="193" t="n">
        <x:v>0</x:v>
      </x:c>
      <x:c r="I1584" s="185" t="n">
        <x:v>0</x:v>
      </x:c>
      <x:c r="J1584" s="185" t="n">
        <x:v>231390</x:v>
      </x:c>
      <x:c r="K1584" s="289" t="n">
        <x:v>231390</x:v>
      </x:c>
    </x:row>
    <x:row r="1585" s="117" customFormat="1" hidden="1">
      <x:c r="A1585" s="184" t="inlineStr">
        <x:is>
          <x:t xml:space="preserve">MTPRACFUN426</x:t>
        </x:is>
      </x:c>
      <x:c r="B1585" s="184" t="inlineStr">
        <x:is>
          <x:t xml:space="preserve">AMOLADORA  ANGULAR DE REPUESTO DE 2 PIEZAS MAKITA</x:t>
        </x:is>
      </x:c>
      <x:c r="C1585" s="184" t="n">
        <x:v>0</x:v>
      </x:c>
      <x:c r="D1585" s="184" t="n">
        <x:v>0</x:v>
      </x:c>
      <x:c r="E1585" s="184" t="n">
        <x:v>0</x:v>
      </x:c>
      <x:c r="F1585" s="184" t="n">
        <x:v>0</x:v>
      </x:c>
      <x:c r="G1585" s="184" t="n">
        <x:v>0</x:v>
      </x:c>
      <x:c r="H1585" s="193" t="n">
        <x:v>0</x:v>
      </x:c>
      <x:c r="I1585" s="185" t="n">
        <x:v>0</x:v>
      </x:c>
      <x:c r="J1585" s="185" t="n">
        <x:v>0</x:v>
      </x:c>
      <x:c r="K1585" s="289" t="n">
        <x:v>4655</x:v>
      </x:c>
    </x:row>
    <x:row r="1586" s="117" customFormat="1" hidden="1">
      <x:c r="A1586" s="184" t="inlineStr">
        <x:is>
          <x:t xml:space="preserve">MTPRACFUN427</x:t>
        </x:is>
      </x:c>
      <x:c r="B1586" s="184" t="inlineStr">
        <x:is>
          <x:t xml:space="preserve">TECLE VTL VIT-II CADENA 1,5 TON 3 MT</x:t>
        </x:is>
      </x:c>
      <x:c r="C1586" s="184" t="n">
        <x:v>4</x:v>
      </x:c>
      <x:c r="D1586" s="184" t="n">
        <x:v>0</x:v>
      </x:c>
      <x:c r="E1586" s="184" t="n">
        <x:v>0</x:v>
      </x:c>
      <x:c r="F1586" s="184" t="n">
        <x:v>4</x:v>
      </x:c>
      <x:c r="G1586" s="184" t="n">
        <x:v>305340</x:v>
      </x:c>
      <x:c r="H1586" s="193" t="n">
        <x:v>0</x:v>
      </x:c>
      <x:c r="I1586" s="185" t="n">
        <x:v>0</x:v>
      </x:c>
      <x:c r="J1586" s="185" t="n">
        <x:v>305340</x:v>
      </x:c>
      <x:c r="K1586" s="289" t="n">
        <x:v>76335</x:v>
      </x:c>
    </x:row>
    <x:row r="1587" s="117" customFormat="1" hidden="1">
      <x:c r="A1587" s="184" t="inlineStr">
        <x:is>
          <x:t xml:space="preserve">MTPRACFUN428</x:t>
        </x:is>
      </x:c>
      <x:c r="B1587" s="184" t="inlineStr">
        <x:is>
          <x:t xml:space="preserve">APARATO TRACCION CABLE VTL 1,6 TON</x:t>
        </x:is>
      </x:c>
      <x:c r="C1587" s="184" t="n">
        <x:v>2</x:v>
      </x:c>
      <x:c r="D1587" s="184" t="n">
        <x:v>0</x:v>
      </x:c>
      <x:c r="E1587" s="184" t="n">
        <x:v>0</x:v>
      </x:c>
      <x:c r="F1587" s="184" t="n">
        <x:v>2</x:v>
      </x:c>
      <x:c r="G1587" s="184" t="n">
        <x:v>335700</x:v>
      </x:c>
      <x:c r="H1587" s="193" t="n">
        <x:v>0</x:v>
      </x:c>
      <x:c r="I1587" s="185" t="n">
        <x:v>0</x:v>
      </x:c>
      <x:c r="J1587" s="185" t="n">
        <x:v>335700</x:v>
      </x:c>
      <x:c r="K1587" s="289" t="n">
        <x:v>167850</x:v>
      </x:c>
    </x:row>
    <x:row r="1588" s="117" customFormat="1" hidden="1">
      <x:c r="A1588" s="184" t="inlineStr">
        <x:is>
          <x:t xml:space="preserve">MTPRACFUN429</x:t>
        </x:is>
      </x:c>
      <x:c r="B1588" s="184" t="inlineStr">
        <x:is>
          <x:t xml:space="preserve">TOBERA PINCHAR</x:t>
        </x:is>
      </x:c>
      <x:c r="C1588" s="184" t="n">
        <x:v>13</x:v>
      </x:c>
      <x:c r="D1588" s="184" t="n">
        <x:v>0</x:v>
      </x:c>
      <x:c r="E1588" s="184" t="n">
        <x:v>0</x:v>
      </x:c>
      <x:c r="F1588" s="184" t="n">
        <x:v>13</x:v>
      </x:c>
      <x:c r="G1588" s="184" t="n">
        <x:v>330850</x:v>
      </x:c>
      <x:c r="H1588" s="193" t="n">
        <x:v>0</x:v>
      </x:c>
      <x:c r="I1588" s="185" t="n">
        <x:v>0</x:v>
      </x:c>
      <x:c r="J1588" s="185" t="n">
        <x:v>330850</x:v>
      </x:c>
      <x:c r="K1588" s="289" t="n">
        <x:v>25450</x:v>
      </x:c>
    </x:row>
    <x:row r="1589" s="117" customFormat="1" hidden="1">
      <x:c r="A1589" s="184" t="inlineStr">
        <x:is>
          <x:t xml:space="preserve">MTPRACFUN430</x:t>
        </x:is>
      </x:c>
      <x:c r="B1589" s="184" t="inlineStr">
        <x:is>
          <x:t xml:space="preserve">TOBERA  APORTE D 4MM</x:t>
        </x:is>
      </x:c>
      <x:c r="C1589" s="184" t="n">
        <x:v>18</x:v>
      </x:c>
      <x:c r="D1589" s="184" t="n">
        <x:v>0</x:v>
      </x:c>
      <x:c r="E1589" s="184" t="n">
        <x:v>0</x:v>
      </x:c>
      <x:c r="F1589" s="184" t="n">
        <x:v>18</x:v>
      </x:c>
      <x:c r="G1589" s="184" t="n">
        <x:v>527282</x:v>
      </x:c>
      <x:c r="H1589" s="193" t="n">
        <x:v>0</x:v>
      </x:c>
      <x:c r="I1589" s="185" t="n">
        <x:v>0</x:v>
      </x:c>
      <x:c r="J1589" s="185" t="n">
        <x:v>527282</x:v>
      </x:c>
      <x:c r="K1589" s="289" t="n">
        <x:v>29293.4502924</x:v>
      </x:c>
    </x:row>
    <x:row r="1590" s="117" customFormat="1" hidden="1">
      <x:c r="A1590" s="184" t="inlineStr">
        <x:is>
          <x:t xml:space="preserve">MTPRACFUN431</x:t>
        </x:is>
      </x:c>
      <x:c r="B1590" s="184" t="inlineStr">
        <x:is>
          <x:t xml:space="preserve">ENGRAPADORA 4-14 MM SS TOTAL</x:t>
        </x:is>
      </x:c>
      <x:c r="C1590" s="184" t="n">
        <x:v>1</x:v>
      </x:c>
      <x:c r="D1590" s="184" t="n">
        <x:v>0</x:v>
      </x:c>
      <x:c r="E1590" s="184" t="n">
        <x:v>0</x:v>
      </x:c>
      <x:c r="F1590" s="184" t="n">
        <x:v>1</x:v>
      </x:c>
      <x:c r="G1590" s="184" t="n">
        <x:v>7824</x:v>
      </x:c>
      <x:c r="H1590" s="193" t="n">
        <x:v>0</x:v>
      </x:c>
      <x:c r="I1590" s="185" t="n">
        <x:v>0</x:v>
      </x:c>
      <x:c r="J1590" s="185" t="n">
        <x:v>7824</x:v>
      </x:c>
      <x:c r="K1590" s="289" t="n">
        <x:v>7824</x:v>
      </x:c>
    </x:row>
    <x:row r="1591" s="117" customFormat="1" hidden="1">
      <x:c r="A1591" s="184" t="inlineStr">
        <x:is>
          <x:t xml:space="preserve">MTPRACFUN432</x:t>
        </x:is>
      </x:c>
      <x:c r="B1591" s="184" t="inlineStr">
        <x:is>
          <x:t xml:space="preserve">CAJA GRAPAS 10X0.7 MM 1000PZS TOTAL</x:t>
        </x:is>
      </x:c>
      <x:c r="C1591" s="184" t="n">
        <x:v>2</x:v>
      </x:c>
      <x:c r="D1591" s="184" t="n">
        <x:v>0</x:v>
      </x:c>
      <x:c r="E1591" s="184" t="n">
        <x:v>0</x:v>
      </x:c>
      <x:c r="F1591" s="184" t="n">
        <x:v>2</x:v>
      </x:c>
      <x:c r="G1591" s="184" t="n">
        <x:v>2148</x:v>
      </x:c>
      <x:c r="H1591" s="193" t="n">
        <x:v>0</x:v>
      </x:c>
      <x:c r="I1591" s="185" t="n">
        <x:v>0</x:v>
      </x:c>
      <x:c r="J1591" s="185" t="n">
        <x:v>2148</x:v>
      </x:c>
      <x:c r="K1591" s="289" t="n">
        <x:v>1074</x:v>
      </x:c>
    </x:row>
    <x:row r="1592" s="117" customFormat="1" hidden="1">
      <x:c r="A1592" s="184" t="inlineStr">
        <x:is>
          <x:t xml:space="preserve">MTPRACFUN433</x:t>
        </x:is>
      </x:c>
      <x:c r="B1592" s="184" t="inlineStr">
        <x:is>
          <x:t xml:space="preserve">DISCO DE CARBURO DE SILICIO GR 36 PARA ESMERIL DE 4 1/2"</x:t>
        </x:is>
      </x:c>
      <x:c r="C1592" s="184" t="n">
        <x:v>0</x:v>
      </x:c>
      <x:c r="D1592" s="184" t="n">
        <x:v>0</x:v>
      </x:c>
      <x:c r="E1592" s="184" t="n">
        <x:v>0</x:v>
      </x:c>
      <x:c r="F1592" s="184" t="n">
        <x:v>0</x:v>
      </x:c>
      <x:c r="G1592" s="184" t="n">
        <x:v>0</x:v>
      </x:c>
      <x:c r="H1592" s="193" t="n">
        <x:v>0</x:v>
      </x:c>
      <x:c r="I1592" s="185" t="n">
        <x:v>0</x:v>
      </x:c>
      <x:c r="J1592" s="185" t="n">
        <x:v>0</x:v>
      </x:c>
      <x:c r="K1592" s="289" t="n">
        <x:v>0</x:v>
      </x:c>
    </x:row>
    <x:row r="1593" s="117" customFormat="1" hidden="1">
      <x:c r="A1593" s="184" t="inlineStr">
        <x:is>
          <x:t xml:space="preserve">MTPRACFUN434</x:t>
        </x:is>
      </x:c>
      <x:c r="B1593" s="184" t="inlineStr">
        <x:is>
          <x:t xml:space="preserve">CINCEL HEXAGONAL AUTOAFILABLE BOSCH HEX-22 25X400MM</x:t>
        </x:is>
      </x:c>
      <x:c r="C1593" s="184" t="n">
        <x:v>2</x:v>
      </x:c>
      <x:c r="D1593" s="184" t="n">
        <x:v>0</x:v>
      </x:c>
      <x:c r="E1593" s="184" t="n">
        <x:v>0</x:v>
      </x:c>
      <x:c r="F1593" s="184" t="n">
        <x:v>2</x:v>
      </x:c>
      <x:c r="G1593" s="184" t="n">
        <x:v>50964</x:v>
      </x:c>
      <x:c r="H1593" s="193" t="n">
        <x:v>0</x:v>
      </x:c>
      <x:c r="I1593" s="185" t="n">
        <x:v>0</x:v>
      </x:c>
      <x:c r="J1593" s="185" t="n">
        <x:v>50964</x:v>
      </x:c>
      <x:c r="K1593" s="289" t="n">
        <x:v>25482</x:v>
      </x:c>
    </x:row>
    <x:row r="1594" s="117" customFormat="1" hidden="1">
      <x:c r="A1594" s="184" t="inlineStr">
        <x:is>
          <x:t xml:space="preserve">MTPRACFUN435</x:t>
        </x:is>
      </x:c>
      <x:c r="B1594" s="184" t="inlineStr">
        <x:is>
          <x:t xml:space="preserve">CINCEL PUNTA HEXAGONAL AUTOAFILABLE BOSCH HEX-22 400MM</x:t>
        </x:is>
      </x:c>
      <x:c r="C1594" s="184" t="n">
        <x:v>2</x:v>
      </x:c>
      <x:c r="D1594" s="184" t="n">
        <x:v>0</x:v>
      </x:c>
      <x:c r="E1594" s="184" t="n">
        <x:v>0</x:v>
      </x:c>
      <x:c r="F1594" s="184" t="n">
        <x:v>2</x:v>
      </x:c>
      <x:c r="G1594" s="184" t="n">
        <x:v>70094</x:v>
      </x:c>
      <x:c r="H1594" s="193" t="n">
        <x:v>0</x:v>
      </x:c>
      <x:c r="I1594" s="185" t="n">
        <x:v>0</x:v>
      </x:c>
      <x:c r="J1594" s="185" t="n">
        <x:v>70094</x:v>
      </x:c>
      <x:c r="K1594" s="289" t="n">
        <x:v>35047</x:v>
      </x:c>
    </x:row>
    <x:row r="1595" s="117" customFormat="1" hidden="1">
      <x:c r="A1595" s="184" t="inlineStr">
        <x:is>
          <x:t xml:space="preserve">MTPRACFUN436</x:t>
        </x:is>
      </x:c>
      <x:c r="B1595" s="184" t="inlineStr">
        <x:is>
          <x:t xml:space="preserve">TRIAC ST 230V/1600W SOLDADORA LEISTER ANALOGA</x:t>
        </x:is>
      </x:c>
      <x:c r="C1595" s="184" t="n">
        <x:v>4</x:v>
      </x:c>
      <x:c r="D1595" s="184" t="n">
        <x:v>0</x:v>
      </x:c>
      <x:c r="E1595" s="184" t="n">
        <x:v>1</x:v>
      </x:c>
      <x:c r="F1595" s="184" t="n">
        <x:v>3</x:v>
      </x:c>
      <x:c r="G1595" s="184" t="n">
        <x:v>1837788</x:v>
      </x:c>
      <x:c r="H1595" s="193" t="n">
        <x:v>0</x:v>
      </x:c>
      <x:c r="I1595" s="185" t="n">
        <x:v>459447</x:v>
      </x:c>
      <x:c r="J1595" s="185" t="n">
        <x:v>1378341</x:v>
      </x:c>
      <x:c r="K1595" s="289" t="n">
        <x:v>459447</x:v>
      </x:c>
    </x:row>
    <x:row r="1596" s="117" customFormat="1" hidden="1">
      <x:c r="A1596" s="184" t="inlineStr">
        <x:is>
          <x:t xml:space="preserve">MTPRACFUN437</x:t>
        </x:is>
      </x:c>
      <x:c r="B1596" s="184" t="inlineStr">
        <x:is>
          <x:t xml:space="preserve">BOQUILLA TUBULAR D= 5MM</x:t>
        </x:is>
      </x:c>
      <x:c r="C1596" s="184" t="n">
        <x:v>7</x:v>
      </x:c>
      <x:c r="D1596" s="184" t="n">
        <x:v>0</x:v>
      </x:c>
      <x:c r="E1596" s="184" t="n">
        <x:v>0</x:v>
      </x:c>
      <x:c r="F1596" s="184" t="n">
        <x:v>7</x:v>
      </x:c>
      <x:c r="G1596" s="184" t="n">
        <x:v>407820</x:v>
      </x:c>
      <x:c r="H1596" s="193" t="n">
        <x:v>0</x:v>
      </x:c>
      <x:c r="I1596" s="185" t="n">
        <x:v>0</x:v>
      </x:c>
      <x:c r="J1596" s="185" t="n">
        <x:v>407820</x:v>
      </x:c>
      <x:c r="K1596" s="289" t="n">
        <x:v>58260</x:v>
      </x:c>
    </x:row>
    <x:row r="1597" s="117" customFormat="1" hidden="1">
      <x:c r="A1597" s="184" t="inlineStr">
        <x:is>
          <x:t xml:space="preserve">MTPRACFUN439</x:t>
        </x:is>
      </x:c>
      <x:c r="B1597" s="184" t="inlineStr">
        <x:is>
          <x:t xml:space="preserve">ALAMBRE MIG GOLDEN BRIDGE 70S-6 1.0 MM 15KG</x:t>
        </x:is>
      </x:c>
      <x:c r="C1597" s="184" t="n">
        <x:v>0</x:v>
      </x:c>
      <x:c r="D1597" s="184" t="n">
        <x:v>0</x:v>
      </x:c>
      <x:c r="E1597" s="184" t="n">
        <x:v>0</x:v>
      </x:c>
      <x:c r="F1597" s="184" t="n">
        <x:v>0</x:v>
      </x:c>
      <x:c r="G1597" s="184" t="n">
        <x:v>0</x:v>
      </x:c>
      <x:c r="H1597" s="193" t="n">
        <x:v>0</x:v>
      </x:c>
      <x:c r="I1597" s="185" t="n">
        <x:v>0</x:v>
      </x:c>
      <x:c r="J1597" s="185" t="n">
        <x:v>0</x:v>
      </x:c>
      <x:c r="K1597" s="289" t="n">
        <x:v>2200</x:v>
      </x:c>
    </x:row>
    <x:row r="1598" s="117" customFormat="1" hidden="1">
      <x:c r="A1598" s="184" t="inlineStr">
        <x:is>
          <x:t xml:space="preserve">MTPRACFUN440</x:t>
        </x:is>
      </x:c>
      <x:c r="B1598" s="184" t="inlineStr">
        <x:is>
          <x:t xml:space="preserve">HOJA DE SIERRA  12" 24DTS</x:t>
        </x:is>
      </x:c>
      <x:c r="C1598" s="184" t="n">
        <x:v>10</x:v>
      </x:c>
      <x:c r="D1598" s="184" t="n">
        <x:v>0</x:v>
      </x:c>
      <x:c r="E1598" s="184" t="n">
        <x:v>0</x:v>
      </x:c>
      <x:c r="F1598" s="184" t="n">
        <x:v>10</x:v>
      </x:c>
      <x:c r="G1598" s="184" t="n">
        <x:v>8830</x:v>
      </x:c>
      <x:c r="H1598" s="193" t="n">
        <x:v>0</x:v>
      </x:c>
      <x:c r="I1598" s="185" t="n">
        <x:v>0</x:v>
      </x:c>
      <x:c r="J1598" s="185" t="n">
        <x:v>8830</x:v>
      </x:c>
      <x:c r="K1598" s="289" t="n">
        <x:v>883</x:v>
      </x:c>
    </x:row>
    <x:row r="1599" s="117" customFormat="1" hidden="1">
      <x:c r="A1599" s="184" t="inlineStr">
        <x:is>
          <x:t xml:space="preserve">MTPRACFUN441</x:t>
        </x:is>
      </x:c>
      <x:c r="B1599" s="184" t="inlineStr">
        <x:is>
          <x:t xml:space="preserve">TORNILLO CRS 1 1/4</x:t>
        </x:is>
      </x:c>
      <x:c r="C1599" s="184" t="n">
        <x:v>2100</x:v>
      </x:c>
      <x:c r="D1599" s="184" t="n">
        <x:v>0</x:v>
      </x:c>
      <x:c r="E1599" s="184" t="n">
        <x:v>500</x:v>
      </x:c>
      <x:c r="F1599" s="184" t="n">
        <x:v>1600</x:v>
      </x:c>
      <x:c r="G1599" s="184" t="n">
        <x:v>25000</x:v>
      </x:c>
      <x:c r="H1599" s="193" t="n">
        <x:v>0</x:v>
      </x:c>
      <x:c r="I1599" s="185" t="n">
        <x:v>5952</x:v>
      </x:c>
      <x:c r="J1599" s="185" t="n">
        <x:v>19048</x:v>
      </x:c>
      <x:c r="K1599" s="289" t="n">
        <x:v>11.9047619</x:v>
      </x:c>
    </x:row>
    <x:row r="1600" s="117" customFormat="1" hidden="1">
      <x:c r="A1600" s="184" t="inlineStr">
        <x:is>
          <x:t xml:space="preserve">MTPRACFUN442</x:t>
        </x:is>
      </x:c>
      <x:c r="B1600" s="184" t="inlineStr">
        <x:is>
          <x:t xml:space="preserve">JUEGO DE FORMONES 3PZS M/MADERA</x:t>
        </x:is>
      </x:c>
      <x:c r="C1600" s="184" t="n">
        <x:v>1</x:v>
      </x:c>
      <x:c r="D1600" s="184" t="n">
        <x:v>0</x:v>
      </x:c>
      <x:c r="E1600" s="184" t="n">
        <x:v>0</x:v>
      </x:c>
      <x:c r="F1600" s="184" t="n">
        <x:v>1</x:v>
      </x:c>
      <x:c r="G1600" s="184" t="n">
        <x:v>18009</x:v>
      </x:c>
      <x:c r="H1600" s="193" t="n">
        <x:v>0</x:v>
      </x:c>
      <x:c r="I1600" s="185" t="n">
        <x:v>0</x:v>
      </x:c>
      <x:c r="J1600" s="185" t="n">
        <x:v>18009</x:v>
      </x:c>
      <x:c r="K1600" s="289" t="n">
        <x:v>18009</x:v>
      </x:c>
    </x:row>
    <x:row r="1601" s="117" customFormat="1" hidden="1">
      <x:c r="A1601" s="184" t="inlineStr">
        <x:is>
          <x:t xml:space="preserve">MTPRACFUN443</x:t>
        </x:is>
      </x:c>
      <x:c r="B1601" s="184" t="inlineStr">
        <x:is>
          <x:t xml:space="preserve">JUEGO DE BROCAS PARA FIERRO DE 1-10MM 19PZS</x:t>
        </x:is>
      </x:c>
      <x:c r="C1601" s="184" t="n">
        <x:v>1</x:v>
      </x:c>
      <x:c r="D1601" s="184" t="n">
        <x:v>0</x:v>
      </x:c>
      <x:c r="E1601" s="184" t="n">
        <x:v>0</x:v>
      </x:c>
      <x:c r="F1601" s="184" t="n">
        <x:v>1</x:v>
      </x:c>
      <x:c r="G1601" s="184" t="n">
        <x:v>24243</x:v>
      </x:c>
      <x:c r="H1601" s="193" t="n">
        <x:v>0</x:v>
      </x:c>
      <x:c r="I1601" s="185" t="n">
        <x:v>0</x:v>
      </x:c>
      <x:c r="J1601" s="185" t="n">
        <x:v>24243</x:v>
      </x:c>
      <x:c r="K1601" s="289" t="n">
        <x:v>24243</x:v>
      </x:c>
    </x:row>
    <x:row r="1602" s="117" customFormat="1" hidden="1">
      <x:c r="A1602" s="184" t="inlineStr">
        <x:is>
          <x:t xml:space="preserve">MTPRACFUN444</x:t>
        </x:is>
      </x:c>
      <x:c r="B1602" s="184" t="inlineStr">
        <x:is>
          <x:t xml:space="preserve">LIJA AL AGUA GR 120</x:t>
        </x:is>
      </x:c>
      <x:c r="C1602" s="184" t="n">
        <x:v>30</x:v>
      </x:c>
      <x:c r="D1602" s="184" t="n">
        <x:v>0</x:v>
      </x:c>
      <x:c r="E1602" s="184" t="n">
        <x:v>0</x:v>
      </x:c>
      <x:c r="F1602" s="184" t="n">
        <x:v>30</x:v>
      </x:c>
      <x:c r="G1602" s="184" t="n">
        <x:v>12300</x:v>
      </x:c>
      <x:c r="H1602" s="193" t="n">
        <x:v>0</x:v>
      </x:c>
      <x:c r="I1602" s="185" t="n">
        <x:v>0</x:v>
      </x:c>
      <x:c r="J1602" s="185" t="n">
        <x:v>12300</x:v>
      </x:c>
      <x:c r="K1602" s="289" t="n">
        <x:v>410</x:v>
      </x:c>
    </x:row>
    <x:row r="1603" s="117" customFormat="1" hidden="1">
      <x:c r="A1603" s="184" t="inlineStr">
        <x:is>
          <x:t xml:space="preserve">MTPRACFUN445</x:t>
        </x:is>
      </x:c>
      <x:c r="B1603" s="184" t="inlineStr">
        <x:is>
          <x:t xml:space="preserve">LIJA PARA LIJADORA ORBITAL GR 120 DE 8 PERFORACIONES</x:t>
        </x:is>
      </x:c>
      <x:c r="C1603" s="184" t="n">
        <x:v>25</x:v>
      </x:c>
      <x:c r="D1603" s="184" t="n">
        <x:v>0</x:v>
      </x:c>
      <x:c r="E1603" s="184" t="n">
        <x:v>0</x:v>
      </x:c>
      <x:c r="F1603" s="184" t="n">
        <x:v>25</x:v>
      </x:c>
      <x:c r="G1603" s="184" t="n">
        <x:v>12750</x:v>
      </x:c>
      <x:c r="H1603" s="193" t="n">
        <x:v>0</x:v>
      </x:c>
      <x:c r="I1603" s="185" t="n">
        <x:v>0</x:v>
      </x:c>
      <x:c r="J1603" s="185" t="n">
        <x:v>12750</x:v>
      </x:c>
      <x:c r="K1603" s="289" t="n">
        <x:v>510</x:v>
      </x:c>
    </x:row>
    <x:row r="1604" s="117" customFormat="1" hidden="1">
      <x:c r="A1604" s="184" t="inlineStr">
        <x:is>
          <x:t xml:space="preserve">MTPRACFUN446</x:t>
        </x:is>
      </x:c>
      <x:c r="B1604" s="184" t="inlineStr">
        <x:is>
          <x:t xml:space="preserve">LIJA PARA LIJADORA ORBITAL GR 80 DE 8 PERFORACIONES</x:t>
        </x:is>
      </x:c>
      <x:c r="C1604" s="184" t="n">
        <x:v>25</x:v>
      </x:c>
      <x:c r="D1604" s="184" t="n">
        <x:v>0</x:v>
      </x:c>
      <x:c r="E1604" s="184" t="n">
        <x:v>0</x:v>
      </x:c>
      <x:c r="F1604" s="184" t="n">
        <x:v>25</x:v>
      </x:c>
      <x:c r="G1604" s="184" t="n">
        <x:v>12750</x:v>
      </x:c>
      <x:c r="H1604" s="193" t="n">
        <x:v>0</x:v>
      </x:c>
      <x:c r="I1604" s="185" t="n">
        <x:v>0</x:v>
      </x:c>
      <x:c r="J1604" s="185" t="n">
        <x:v>12750</x:v>
      </x:c>
      <x:c r="K1604" s="289" t="n">
        <x:v>510</x:v>
      </x:c>
    </x:row>
    <x:row r="1605" s="117" customFormat="1" hidden="1">
      <x:c r="A1605" s="184" t="inlineStr">
        <x:is>
          <x:t xml:space="preserve">MTPRACFUN447</x:t>
        </x:is>
      </x:c>
      <x:c r="B1605" s="184" t="inlineStr">
        <x:is>
          <x:t xml:space="preserve">SIERRA CALADORA JV0600K MAKITA</x:t>
        </x:is>
      </x:c>
      <x:c r="C1605" s="184" t="n">
        <x:v>1</x:v>
      </x:c>
      <x:c r="D1605" s="184" t="n">
        <x:v>0</x:v>
      </x:c>
      <x:c r="E1605" s="184" t="n">
        <x:v>0</x:v>
      </x:c>
      <x:c r="F1605" s="184" t="n">
        <x:v>1</x:v>
      </x:c>
      <x:c r="G1605" s="184" t="n">
        <x:v>148114</x:v>
      </x:c>
      <x:c r="H1605" s="193" t="n">
        <x:v>0</x:v>
      </x:c>
      <x:c r="I1605" s="185" t="n">
        <x:v>0</x:v>
      </x:c>
      <x:c r="J1605" s="185" t="n">
        <x:v>148114</x:v>
      </x:c>
      <x:c r="K1605" s="289" t="n">
        <x:v>148114</x:v>
      </x:c>
    </x:row>
    <x:row r="1606" s="117" customFormat="1" hidden="1">
      <x:c r="A1606" s="184" t="inlineStr">
        <x:is>
          <x:t xml:space="preserve">MTPRACFUN448</x:t>
        </x:is>
      </x:c>
      <x:c r="B1606" s="184" t="inlineStr">
        <x:is>
          <x:t xml:space="preserve">TAPA GOLLETE SEGURIDAD PARA DOSIFICADOR DE 1 LT</x:t>
        </x:is>
      </x:c>
      <x:c r="C1606" s="184" t="n">
        <x:v>100</x:v>
      </x:c>
      <x:c r="D1606" s="184" t="n">
        <x:v>0</x:v>
      </x:c>
      <x:c r="E1606" s="184" t="n">
        <x:v>0</x:v>
      </x:c>
      <x:c r="F1606" s="184" t="n">
        <x:v>100</x:v>
      </x:c>
      <x:c r="G1606" s="184" t="n">
        <x:v>3200</x:v>
      </x:c>
      <x:c r="H1606" s="193" t="n">
        <x:v>0</x:v>
      </x:c>
      <x:c r="I1606" s="185" t="n">
        <x:v>0</x:v>
      </x:c>
      <x:c r="J1606" s="185" t="n">
        <x:v>3200</x:v>
      </x:c>
      <x:c r="K1606" s="289" t="n">
        <x:v>32</x:v>
      </x:c>
    </x:row>
    <x:row r="1607" s="117" customFormat="1" hidden="1">
      <x:c r="A1607" s="184" t="inlineStr">
        <x:is>
          <x:t xml:space="preserve">MTPRACFUN450</x:t>
        </x:is>
      </x:c>
      <x:c r="B1607" s="184" t="inlineStr">
        <x:is>
          <x:t xml:space="preserve">TORNILLO CABEZA LENTEJA 8X1.1/4</x:t>
        </x:is>
      </x:c>
      <x:c r="C1607" s="184" t="n">
        <x:v>0</x:v>
      </x:c>
      <x:c r="D1607" s="184" t="n">
        <x:v>0</x:v>
      </x:c>
      <x:c r="E1607" s="184" t="n">
        <x:v>0</x:v>
      </x:c>
      <x:c r="F1607" s="184" t="n">
        <x:v>0</x:v>
      </x:c>
      <x:c r="G1607" s="184" t="n">
        <x:v>0</x:v>
      </x:c>
      <x:c r="H1607" s="193" t="n">
        <x:v>0</x:v>
      </x:c>
      <x:c r="I1607" s="185" t="n">
        <x:v>0</x:v>
      </x:c>
      <x:c r="J1607" s="185" t="n">
        <x:v>0</x:v>
      </x:c>
      <x:c r="K1607" s="289" t="n">
        <x:v>21</x:v>
      </x:c>
    </x:row>
    <x:row r="1608" s="117" customFormat="1" hidden="1">
      <x:c r="A1608" s="184" t="inlineStr">
        <x:is>
          <x:t xml:space="preserve">MTPRACFUN451</x:t>
        </x:is>
      </x:c>
      <x:c r="B1608" s="184" t="inlineStr">
        <x:is>
          <x:t xml:space="preserve">ROLLO PAPEL LIJA SIAWOOD GR 80 1 MT X 63,5CM</x:t>
        </x:is>
      </x:c>
      <x:c r="C1608" s="184" t="n">
        <x:v>0</x:v>
      </x:c>
      <x:c r="D1608" s="184" t="n">
        <x:v>0</x:v>
      </x:c>
      <x:c r="E1608" s="184" t="n">
        <x:v>0</x:v>
      </x:c>
      <x:c r="F1608" s="184" t="n">
        <x:v>0</x:v>
      </x:c>
      <x:c r="G1608" s="184" t="n">
        <x:v>0</x:v>
      </x:c>
      <x:c r="H1608" s="193" t="n">
        <x:v>0</x:v>
      </x:c>
      <x:c r="I1608" s="185" t="n">
        <x:v>0</x:v>
      </x:c>
      <x:c r="J1608" s="185" t="n">
        <x:v>0</x:v>
      </x:c>
      <x:c r="K1608" s="289" t="n">
        <x:v>8257</x:v>
      </x:c>
    </x:row>
    <x:row r="1609" s="117" customFormat="1" hidden="1">
      <x:c r="A1609" s="184" t="inlineStr">
        <x:is>
          <x:t xml:space="preserve">MTPRACFUN452</x:t>
        </x:is>
      </x:c>
      <x:c r="B1609" s="184" t="inlineStr">
        <x:is>
          <x:t xml:space="preserve">ROLLO PAPEL LIJA SIAWOOD GR 120 1 MT X 63,5CM</x:t>
        </x:is>
      </x:c>
      <x:c r="C1609" s="184" t="n">
        <x:v>0</x:v>
      </x:c>
      <x:c r="D1609" s="184" t="n">
        <x:v>0</x:v>
      </x:c>
      <x:c r="E1609" s="184" t="n">
        <x:v>0</x:v>
      </x:c>
      <x:c r="F1609" s="184" t="n">
        <x:v>0</x:v>
      </x:c>
      <x:c r="G1609" s="184" t="n">
        <x:v>0</x:v>
      </x:c>
      <x:c r="H1609" s="193" t="n">
        <x:v>0</x:v>
      </x:c>
      <x:c r="I1609" s="185" t="n">
        <x:v>0</x:v>
      </x:c>
      <x:c r="J1609" s="185" t="n">
        <x:v>0</x:v>
      </x:c>
      <x:c r="K1609" s="289" t="n">
        <x:v>8257</x:v>
      </x:c>
    </x:row>
    <x:row r="1610" s="117" customFormat="1" hidden="1">
      <x:c r="A1610" s="184" t="inlineStr">
        <x:is>
          <x:t xml:space="preserve">MTPRACFUN453</x:t>
        </x:is>
      </x:c>
      <x:c r="B1610" s="184" t="inlineStr">
        <x:is>
          <x:t xml:space="preserve">TORNILLO CRS 8X2”</x:t>
        </x:is>
      </x:c>
      <x:c r="C1610" s="184" t="n">
        <x:v>4000</x:v>
      </x:c>
      <x:c r="D1610" s="184" t="n">
        <x:v>0</x:v>
      </x:c>
      <x:c r="E1610" s="184" t="n">
        <x:v>500</x:v>
      </x:c>
      <x:c r="F1610" s="184" t="n">
        <x:v>3500</x:v>
      </x:c>
      <x:c r="G1610" s="184" t="n">
        <x:v>56000</x:v>
      </x:c>
      <x:c r="H1610" s="193" t="n">
        <x:v>0</x:v>
      </x:c>
      <x:c r="I1610" s="185" t="n">
        <x:v>7000</x:v>
      </x:c>
      <x:c r="J1610" s="185" t="n">
        <x:v>49000</x:v>
      </x:c>
      <x:c r="K1610" s="289" t="n">
        <x:v>14</x:v>
      </x:c>
    </x:row>
    <x:row r="1611" s="117" customFormat="1" hidden="1">
      <x:c r="A1611" s="184" t="inlineStr">
        <x:is>
          <x:t xml:space="preserve">MTPRACFUN454</x:t>
        </x:is>
      </x:c>
      <x:c r="B1611" s="184" t="inlineStr">
        <x:is>
          <x:t xml:space="preserve">TORNILLO CRS 1”</x:t>
        </x:is>
      </x:c>
      <x:c r="C1611" s="184" t="n">
        <x:v>2000</x:v>
      </x:c>
      <x:c r="D1611" s="184" t="n">
        <x:v>0</x:v>
      </x:c>
      <x:c r="E1611" s="184" t="n">
        <x:v>500</x:v>
      </x:c>
      <x:c r="F1611" s="184" t="n">
        <x:v>1500</x:v>
      </x:c>
      <x:c r="G1611" s="184" t="n">
        <x:v>20000</x:v>
      </x:c>
      <x:c r="H1611" s="193" t="n">
        <x:v>0</x:v>
      </x:c>
      <x:c r="I1611" s="185" t="n">
        <x:v>5000</x:v>
      </x:c>
      <x:c r="J1611" s="185" t="n">
        <x:v>15000</x:v>
      </x:c>
      <x:c r="K1611" s="289" t="n">
        <x:v>10</x:v>
      </x:c>
    </x:row>
    <x:row r="1612" s="117" customFormat="1" hidden="1">
      <x:c r="A1612" s="184" t="inlineStr">
        <x:is>
          <x:t xml:space="preserve">MTPRACFUN455</x:t>
        </x:is>
      </x:c>
      <x:c r="B1612" s="184" t="inlineStr">
        <x:is>
          <x:t xml:space="preserve">TORNILLO CRS 1.5/8</x:t>
        </x:is>
      </x:c>
      <x:c r="C1612" s="184" t="n">
        <x:v>2000</x:v>
      </x:c>
      <x:c r="D1612" s="184" t="n">
        <x:v>0</x:v>
      </x:c>
      <x:c r="E1612" s="184" t="n">
        <x:v>0</x:v>
      </x:c>
      <x:c r="F1612" s="184" t="n">
        <x:v>2000</x:v>
      </x:c>
      <x:c r="G1612" s="184" t="n">
        <x:v>26000</x:v>
      </x:c>
      <x:c r="H1612" s="193" t="n">
        <x:v>0</x:v>
      </x:c>
      <x:c r="I1612" s="185" t="n">
        <x:v>0</x:v>
      </x:c>
      <x:c r="J1612" s="185" t="n">
        <x:v>26000</x:v>
      </x:c>
      <x:c r="K1612" s="289" t="n">
        <x:v>13</x:v>
      </x:c>
    </x:row>
    <x:row r="1613" s="117" customFormat="1" hidden="1">
      <x:c r="A1613" s="184" t="inlineStr">
        <x:is>
          <x:t xml:space="preserve">MTPRACFUN456</x:t>
        </x:is>
      </x:c>
      <x:c r="B1613" s="184" t="inlineStr">
        <x:is>
          <x:t xml:space="preserve">PUNTA PHILLIPS PH2 50MM HEX 1/4</x:t>
        </x:is>
      </x:c>
      <x:c r="C1613" s="184" t="n">
        <x:v>0</x:v>
      </x:c>
      <x:c r="D1613" s="184" t="n">
        <x:v>40</x:v>
      </x:c>
      <x:c r="E1613" s="184" t="n">
        <x:v>0</x:v>
      </x:c>
      <x:c r="F1613" s="184" t="n">
        <x:v>40</x:v>
      </x:c>
      <x:c r="G1613" s="184" t="n">
        <x:v>0</x:v>
      </x:c>
      <x:c r="H1613" s="193" t="n">
        <x:v>28440</x:v>
      </x:c>
      <x:c r="I1613" s="185" t="n">
        <x:v>0</x:v>
      </x:c>
      <x:c r="J1613" s="185" t="n">
        <x:v>28440</x:v>
      </x:c>
      <x:c r="K1613" s="289" t="n">
        <x:v>711</x:v>
      </x:c>
    </x:row>
    <x:row r="1614" s="117" customFormat="1" hidden="1">
      <x:c r="A1614" s="184" t="inlineStr">
        <x:is>
          <x:t xml:space="preserve">MTPRACMAD001</x:t>
        </x:is>
      </x:c>
      <x:c r="B1614" s="184" t="inlineStr">
        <x:is>
          <x:t xml:space="preserve">PLANCHA MELAMINA 18mm</x:t>
        </x:is>
      </x:c>
      <x:c r="C1614" s="184" t="n">
        <x:v>43</x:v>
      </x:c>
      <x:c r="D1614" s="184" t="n">
        <x:v>0</x:v>
      </x:c>
      <x:c r="E1614" s="184" t="n">
        <x:v>4</x:v>
      </x:c>
      <x:c r="F1614" s="184" t="n">
        <x:v>39</x:v>
      </x:c>
      <x:c r="G1614" s="184" t="n">
        <x:v>1058961</x:v>
      </x:c>
      <x:c r="H1614" s="193" t="n">
        <x:v>0</x:v>
      </x:c>
      <x:c r="I1614" s="185" t="n">
        <x:v>98508</x:v>
      </x:c>
      <x:c r="J1614" s="185" t="n">
        <x:v>960453</x:v>
      </x:c>
      <x:c r="K1614" s="289" t="n">
        <x:v>24627</x:v>
      </x:c>
    </x:row>
    <x:row r="1615" s="117" customFormat="1" hidden="1">
      <x:c r="A1615" s="184" t="inlineStr">
        <x:is>
          <x:t xml:space="preserve">MTPRACMAD002</x:t>
        </x:is>
      </x:c>
      <x:c r="B1615" s="184" t="inlineStr">
        <x:is>
          <x:t xml:space="preserve">PLANCHA TERCIADO ESTRUCTURAL 18mm</x:t>
        </x:is>
      </x:c>
      <x:c r="C1615" s="184" t="n">
        <x:v>128</x:v>
      </x:c>
      <x:c r="D1615" s="184" t="n">
        <x:v>0</x:v>
      </x:c>
      <x:c r="E1615" s="184" t="n">
        <x:v>13</x:v>
      </x:c>
      <x:c r="F1615" s="184" t="n">
        <x:v>115</x:v>
      </x:c>
      <x:c r="G1615" s="184" t="n">
        <x:v>2403983</x:v>
      </x:c>
      <x:c r="H1615" s="193" t="n">
        <x:v>0</x:v>
      </x:c>
      <x:c r="I1615" s="185" t="n">
        <x:v>244155</x:v>
      </x:c>
      <x:c r="J1615" s="185" t="n">
        <x:v>2159828</x:v>
      </x:c>
      <x:c r="K1615" s="289" t="n">
        <x:v>18781.12279486</x:v>
      </x:c>
    </x:row>
    <x:row r="1616" s="117" customFormat="1" hidden="1">
      <x:c r="A1616" s="184" t="inlineStr">
        <x:is>
          <x:t xml:space="preserve">MTPRACMAD003</x:t>
        </x:is>
      </x:c>
      <x:c r="B1616" s="184" t="inlineStr">
        <x:is>
          <x:t xml:space="preserve">PLANCHA TERCIADO ESTRUCTURAL 9mm</x:t>
        </x:is>
      </x:c>
      <x:c r="C1616" s="184" t="n">
        <x:v>85</x:v>
      </x:c>
      <x:c r="D1616" s="184" t="n">
        <x:v>0</x:v>
      </x:c>
      <x:c r="E1616" s="184" t="n">
        <x:v>50</x:v>
      </x:c>
      <x:c r="F1616" s="184" t="n">
        <x:v>35</x:v>
      </x:c>
      <x:c r="G1616" s="184" t="n">
        <x:v>1247426</x:v>
      </x:c>
      <x:c r="H1616" s="193" t="n">
        <x:v>0</x:v>
      </x:c>
      <x:c r="I1616" s="185" t="n">
        <x:v>733779</x:v>
      </x:c>
      <x:c r="J1616" s="185" t="n">
        <x:v>513647</x:v>
      </x:c>
      <x:c r="K1616" s="289" t="n">
        <x:v>14675.58558221</x:v>
      </x:c>
    </x:row>
    <x:row r="1617" s="117" customFormat="1" hidden="1">
      <x:c r="A1617" s="184" t="inlineStr">
        <x:is>
          <x:t xml:space="preserve">MTPRACMAD004</x:t>
        </x:is>
      </x:c>
      <x:c r="B1617" s="184" t="inlineStr">
        <x:is>
          <x:t xml:space="preserve">PLANCHA MELAMINA 9mm</x:t>
        </x:is>
      </x:c>
      <x:c r="C1617" s="184" t="n">
        <x:v>0</x:v>
      </x:c>
      <x:c r="D1617" s="184" t="n">
        <x:v>0</x:v>
      </x:c>
      <x:c r="E1617" s="184" t="n">
        <x:v>0</x:v>
      </x:c>
      <x:c r="F1617" s="184" t="n">
        <x:v>0</x:v>
      </x:c>
      <x:c r="G1617" s="184" t="n">
        <x:v>0</x:v>
      </x:c>
      <x:c r="H1617" s="193" t="n">
        <x:v>0</x:v>
      </x:c>
      <x:c r="I1617" s="185" t="n">
        <x:v>0</x:v>
      </x:c>
      <x:c r="J1617" s="185" t="n">
        <x:v>0</x:v>
      </x:c>
      <x:c r="K1617" s="289" t="n">
        <x:v>0</x:v>
      </x:c>
    </x:row>
    <x:row r="1618" s="117" customFormat="1" hidden="1">
      <x:c r="A1618" s="184" t="inlineStr">
        <x:is>
          <x:t xml:space="preserve">MTPRACMAD005</x:t>
        </x:is>
      </x:c>
      <x:c r="B1618" s="184" t="inlineStr">
        <x:is>
          <x:t xml:space="preserve">PLANCHA TERCIADO ESTRUCTURAL 15mm</x:t>
        </x:is>
      </x:c>
      <x:c r="C1618" s="184" t="n">
        <x:v>49</x:v>
      </x:c>
      <x:c r="D1618" s="184" t="n">
        <x:v>0</x:v>
      </x:c>
      <x:c r="E1618" s="184" t="n">
        <x:v>49</x:v>
      </x:c>
      <x:c r="F1618" s="184" t="n">
        <x:v>0</x:v>
      </x:c>
      <x:c r="G1618" s="184" t="n">
        <x:v>868184</x:v>
      </x:c>
      <x:c r="H1618" s="193" t="n">
        <x:v>0</x:v>
      </x:c>
      <x:c r="I1618" s="185" t="n">
        <x:v>868183</x:v>
      </x:c>
      <x:c r="J1618" s="185" t="n">
        <x:v>1</x:v>
      </x:c>
      <x:c r="K1618" s="289" t="n">
        <x:v>17718.02353358</x:v>
      </x:c>
    </x:row>
    <x:row r="1619" s="117" customFormat="1" hidden="1">
      <x:c r="A1619" s="184" t="inlineStr">
        <x:is>
          <x:t xml:space="preserve">MTPRACMAD006</x:t>
        </x:is>
      </x:c>
      <x:c r="B1619" s="184" t="inlineStr">
        <x:is>
          <x:t xml:space="preserve">PLANCHA CHOLGUAN 3MM</x:t>
        </x:is>
      </x:c>
      <x:c r="C1619" s="184" t="n">
        <x:v>16</x:v>
      </x:c>
      <x:c r="D1619" s="184" t="n">
        <x:v>0</x:v>
      </x:c>
      <x:c r="E1619" s="184" t="n">
        <x:v>0</x:v>
      </x:c>
      <x:c r="F1619" s="184" t="n">
        <x:v>16</x:v>
      </x:c>
      <x:c r="G1619" s="184" t="n">
        <x:v>91309</x:v>
      </x:c>
      <x:c r="H1619" s="193" t="n">
        <x:v>0</x:v>
      </x:c>
      <x:c r="I1619" s="185" t="n">
        <x:v>0</x:v>
      </x:c>
      <x:c r="J1619" s="185" t="n">
        <x:v>91309</x:v>
      </x:c>
      <x:c r="K1619" s="289" t="n">
        <x:v>5706.81690141</x:v>
      </x:c>
    </x:row>
    <x:row r="1620" s="117" customFormat="1" hidden="1">
      <x:c r="A1620" s="184" t="inlineStr">
        <x:is>
          <x:t xml:space="preserve">MTPRACMAD007</x:t>
        </x:is>
      </x:c>
      <x:c r="B1620" s="184" t="inlineStr">
        <x:is>
          <x:t xml:space="preserve">PLANCHA TERCIADO ESTRUCTURAL 12mm</x:t>
        </x:is>
      </x:c>
      <x:c r="C1620" s="184" t="n">
        <x:v>162</x:v>
      </x:c>
      <x:c r="D1620" s="184" t="n">
        <x:v>0</x:v>
      </x:c>
      <x:c r="E1620" s="184" t="n">
        <x:v>1</x:v>
      </x:c>
      <x:c r="F1620" s="184" t="n">
        <x:v>161</x:v>
      </x:c>
      <x:c r="G1620" s="184" t="n">
        <x:v>2489668</x:v>
      </x:c>
      <x:c r="H1620" s="193" t="n">
        <x:v>0</x:v>
      </x:c>
      <x:c r="I1620" s="185" t="n">
        <x:v>15368</x:v>
      </x:c>
      <x:c r="J1620" s="185" t="n">
        <x:v>2474300</x:v>
      </x:c>
      <x:c r="K1620" s="289" t="n">
        <x:v>15368.3750621</x:v>
      </x:c>
    </x:row>
    <x:row r="1621" s="117" customFormat="1" hidden="1">
      <x:c r="A1621" s="184" t="inlineStr">
        <x:is>
          <x:t xml:space="preserve">MTPRACMAD008</x:t>
        </x:is>
      </x:c>
      <x:c r="B1621" s="184" t="inlineStr">
        <x:is>
          <x:t xml:space="preserve">PLANCHA TERCIADO FILM CAFE 18mm</x:t>
        </x:is>
      </x:c>
      <x:c r="C1621" s="184" t="n">
        <x:v>0</x:v>
      </x:c>
      <x:c r="D1621" s="184" t="n">
        <x:v>0</x:v>
      </x:c>
      <x:c r="E1621" s="184" t="n">
        <x:v>0</x:v>
      </x:c>
      <x:c r="F1621" s="184" t="n">
        <x:v>0</x:v>
      </x:c>
      <x:c r="G1621" s="184" t="n">
        <x:v>0</x:v>
      </x:c>
      <x:c r="H1621" s="193" t="n">
        <x:v>0</x:v>
      </x:c>
      <x:c r="I1621" s="185" t="n">
        <x:v>0</x:v>
      </x:c>
      <x:c r="J1621" s="185" t="n">
        <x:v>0</x:v>
      </x:c>
      <x:c r="K1621" s="289" t="n">
        <x:v>18873</x:v>
      </x:c>
    </x:row>
    <x:row r="1622" s="117" customFormat="1" hidden="1">
      <x:c r="A1622" s="184" t="inlineStr">
        <x:is>
          <x:t xml:space="preserve">MTPRACMAD009</x:t>
        </x:is>
      </x:c>
      <x:c r="B1622" s="184" t="inlineStr">
        <x:is>
          <x:t xml:space="preserve">PLANCHA CHOLGUAN 2.4MM</x:t>
        </x:is>
      </x:c>
      <x:c r="C1622" s="184" t="n">
        <x:v>0</x:v>
      </x:c>
      <x:c r="D1622" s="184" t="n">
        <x:v>0</x:v>
      </x:c>
      <x:c r="E1622" s="184" t="n">
        <x:v>0</x:v>
      </x:c>
      <x:c r="F1622" s="184" t="n">
        <x:v>0</x:v>
      </x:c>
      <x:c r="G1622" s="184" t="n">
        <x:v>0</x:v>
      </x:c>
      <x:c r="H1622" s="193" t="n">
        <x:v>0</x:v>
      </x:c>
      <x:c r="I1622" s="185" t="n">
        <x:v>0</x:v>
      </x:c>
      <x:c r="J1622" s="185" t="n">
        <x:v>0</x:v>
      </x:c>
      <x:c r="K1622" s="289" t="n">
        <x:v>4978.23529412</x:v>
      </x:c>
    </x:row>
    <x:row r="1623" s="117" customFormat="1" hidden="1">
      <x:c r="A1623" s="184" t="inlineStr">
        <x:is>
          <x:t xml:space="preserve">MTPRACMAD010</x:t>
        </x:is>
      </x:c>
      <x:c r="B1623" s="184" t="inlineStr">
        <x:is>
          <x:t xml:space="preserve">TABLA DE PINO CEPILLADO 1x4</x:t>
        </x:is>
      </x:c>
      <x:c r="C1623" s="184" t="n">
        <x:v>0</x:v>
      </x:c>
      <x:c r="D1623" s="184" t="n">
        <x:v>0</x:v>
      </x:c>
      <x:c r="E1623" s="184" t="n">
        <x:v>0</x:v>
      </x:c>
      <x:c r="F1623" s="184" t="n">
        <x:v>0</x:v>
      </x:c>
      <x:c r="G1623" s="184" t="n">
        <x:v>0</x:v>
      </x:c>
      <x:c r="H1623" s="193" t="n">
        <x:v>0</x:v>
      </x:c>
      <x:c r="I1623" s="185" t="n">
        <x:v>0</x:v>
      </x:c>
      <x:c r="J1623" s="185" t="n">
        <x:v>0</x:v>
      </x:c>
      <x:c r="K1623" s="289" t="n">
        <x:v>1398</x:v>
      </x:c>
    </x:row>
    <x:row r="1624" s="117" customFormat="1" hidden="1">
      <x:c r="A1624" s="184" t="inlineStr">
        <x:is>
          <x:t xml:space="preserve">MTPRACMAD011</x:t>
        </x:is>
      </x:c>
      <x:c r="B1624" s="184" t="inlineStr">
        <x:is>
          <x:t xml:space="preserve">PINO CEPILLADO SECO 2X3X3,2 MTS</x:t>
        </x:is>
      </x:c>
      <x:c r="C1624" s="184" t="n">
        <x:v>77</x:v>
      </x:c>
      <x:c r="D1624" s="184" t="n">
        <x:v>0</x:v>
      </x:c>
      <x:c r="E1624" s="184" t="n">
        <x:v>46</x:v>
      </x:c>
      <x:c r="F1624" s="184" t="n">
        <x:v>31</x:v>
      </x:c>
      <x:c r="G1624" s="184" t="n">
        <x:v>285659</x:v>
      </x:c>
      <x:c r="H1624" s="193" t="n">
        <x:v>0</x:v>
      </x:c>
      <x:c r="I1624" s="185" t="n">
        <x:v>170657</x:v>
      </x:c>
      <x:c r="J1624" s="185" t="n">
        <x:v>115002</x:v>
      </x:c>
      <x:c r="K1624" s="289" t="n">
        <x:v>3709.94047006</x:v>
      </x:c>
    </x:row>
    <x:row r="1625" s="117" customFormat="1" hidden="1">
      <x:c r="A1625" s="184" t="inlineStr">
        <x:is>
          <x:t xml:space="preserve">MTPRACMAD012</x:t>
        </x:is>
      </x:c>
      <x:c r="B1625" s="184" t="inlineStr">
        <x:is>
          <x:t xml:space="preserve">PINO CEPILLADO SECO 1X8X3,2 MTS</x:t>
        </x:is>
      </x:c>
      <x:c r="C1625" s="184" t="n">
        <x:v>88</x:v>
      </x:c>
      <x:c r="D1625" s="184" t="n">
        <x:v>0</x:v>
      </x:c>
      <x:c r="E1625" s="184" t="n">
        <x:v>0</x:v>
      </x:c>
      <x:c r="F1625" s="184" t="n">
        <x:v>88</x:v>
      </x:c>
      <x:c r="G1625" s="184" t="n">
        <x:v>451061</x:v>
      </x:c>
      <x:c r="H1625" s="193" t="n">
        <x:v>0</x:v>
      </x:c>
      <x:c r="I1625" s="185" t="n">
        <x:v>0</x:v>
      </x:c>
      <x:c r="J1625" s="185" t="n">
        <x:v>451061</x:v>
      </x:c>
      <x:c r="K1625" s="289" t="n">
        <x:v>5125.62105374</x:v>
      </x:c>
    </x:row>
    <x:row r="1626" s="117" customFormat="1" hidden="1">
      <x:c r="A1626" s="184" t="inlineStr">
        <x:is>
          <x:t xml:space="preserve">MTPRACMAD013</x:t>
        </x:is>
      </x:c>
      <x:c r="B1626" s="184" t="inlineStr">
        <x:is>
          <x:t xml:space="preserve">TERCIADO ESTRUCTURAL 21MM X 1200 MM X 2400 MM</x:t>
        </x:is>
      </x:c>
      <x:c r="C1626" s="184" t="n">
        <x:v>73</x:v>
      </x:c>
      <x:c r="D1626" s="184" t="n">
        <x:v>0</x:v>
      </x:c>
      <x:c r="E1626" s="184" t="n">
        <x:v>0</x:v>
      </x:c>
      <x:c r="F1626" s="184" t="n">
        <x:v>73</x:v>
      </x:c>
      <x:c r="G1626" s="184" t="n">
        <x:v>1461914</x:v>
      </x:c>
      <x:c r="H1626" s="193" t="n">
        <x:v>0</x:v>
      </x:c>
      <x:c r="I1626" s="185" t="n">
        <x:v>0</x:v>
      </x:c>
      <x:c r="J1626" s="185" t="n">
        <x:v>1461914</x:v>
      </x:c>
      <x:c r="K1626" s="289" t="n">
        <x:v>20026.2387225</x:v>
      </x:c>
    </x:row>
    <x:row r="1627" s="117" customFormat="1" hidden="1">
      <x:c r="A1627" s="184" t="inlineStr">
        <x:is>
          <x:t xml:space="preserve">MTPRACMAD014</x:t>
        </x:is>
      </x:c>
      <x:c r="B1627" s="184" t="inlineStr">
        <x:is>
          <x:t xml:space="preserve">PINO BRUTO 4 X 4 X 3,2 MTS</x:t>
        </x:is>
      </x:c>
      <x:c r="C1627" s="184" t="n">
        <x:v>200</x:v>
      </x:c>
      <x:c r="D1627" s="184" t="n">
        <x:v>0</x:v>
      </x:c>
      <x:c r="E1627" s="184" t="n">
        <x:v>20</x:v>
      </x:c>
      <x:c r="F1627" s="184" t="n">
        <x:v>180</x:v>
      </x:c>
      <x:c r="G1627" s="184" t="n">
        <x:v>1270420</x:v>
      </x:c>
      <x:c r="H1627" s="193" t="n">
        <x:v>0</x:v>
      </x:c>
      <x:c r="I1627" s="185" t="n">
        <x:v>127042</x:v>
      </x:c>
      <x:c r="J1627" s="185" t="n">
        <x:v>1143378</x:v>
      </x:c>
      <x:c r="K1627" s="289" t="n">
        <x:v>6352.10136542</x:v>
      </x:c>
    </x:row>
    <x:row r="1628" s="117" customFormat="1" hidden="1">
      <x:c r="A1628" s="184" t="inlineStr">
        <x:is>
          <x:t xml:space="preserve">MTPRACMAD015</x:t>
        </x:is>
      </x:c>
      <x:c r="B1628" s="184" t="inlineStr">
        <x:is>
          <x:t xml:space="preserve">PINO BRUTO 1X8X3.20 MTS</x:t>
        </x:is>
      </x:c>
      <x:c r="C1628" s="184" t="n">
        <x:v>144</x:v>
      </x:c>
      <x:c r="D1628" s="184" t="n">
        <x:v>0</x:v>
      </x:c>
      <x:c r="E1628" s="184" t="n">
        <x:v>60</x:v>
      </x:c>
      <x:c r="F1628" s="184" t="n">
        <x:v>84</x:v>
      </x:c>
      <x:c r="G1628" s="184" t="n">
        <x:v>520272</x:v>
      </x:c>
      <x:c r="H1628" s="193" t="n">
        <x:v>0</x:v>
      </x:c>
      <x:c r="I1628" s="185" t="n">
        <x:v>216780</x:v>
      </x:c>
      <x:c r="J1628" s="185" t="n">
        <x:v>303492</x:v>
      </x:c>
      <x:c r="K1628" s="289" t="n">
        <x:v>3613</x:v>
      </x:c>
    </x:row>
    <x:row r="1629" s="117" customFormat="1" hidden="1">
      <x:c r="A1629" s="184" t="inlineStr">
        <x:is>
          <x:t xml:space="preserve">MTPRACMAD016</x:t>
        </x:is>
      </x:c>
      <x:c r="B1629" s="184" t="inlineStr">
        <x:is>
          <x:t xml:space="preserve">PINO CEPILLADO SECO 3X2X3.20 MTS</x:t>
        </x:is>
      </x:c>
      <x:c r="C1629" s="184" t="n">
        <x:v>217</x:v>
      </x:c>
      <x:c r="D1629" s="184" t="n">
        <x:v>0</x:v>
      </x:c>
      <x:c r="E1629" s="184" t="n">
        <x:v>0</x:v>
      </x:c>
      <x:c r="F1629" s="184" t="n">
        <x:v>217</x:v>
      </x:c>
      <x:c r="G1629" s="184" t="n">
        <x:v>818307</x:v>
      </x:c>
      <x:c r="H1629" s="193" t="n">
        <x:v>0</x:v>
      </x:c>
      <x:c r="I1629" s="185" t="n">
        <x:v>0</x:v>
      </x:c>
      <x:c r="J1629" s="185" t="n">
        <x:v>818307</x:v>
      </x:c>
      <x:c r="K1629" s="289" t="n">
        <x:v>3771</x:v>
      </x:c>
    </x:row>
    <x:row r="1630" s="117" customFormat="1" hidden="1">
      <x:c r="A1630" s="184" t="inlineStr">
        <x:is>
          <x:t xml:space="preserve">MTPRACMAD017</x:t>
        </x:is>
      </x:c>
      <x:c r="B1630" s="184" t="inlineStr">
        <x:is>
          <x:t xml:space="preserve">PINO BRUTO 3X2X3.20 MTS</x:t>
        </x:is>
      </x:c>
      <x:c r="C1630" s="184" t="n">
        <x:v>18</x:v>
      </x:c>
      <x:c r="D1630" s="184" t="n">
        <x:v>0</x:v>
      </x:c>
      <x:c r="E1630" s="184" t="n">
        <x:v>18</x:v>
      </x:c>
      <x:c r="F1630" s="184" t="n">
        <x:v>0</x:v>
      </x:c>
      <x:c r="G1630" s="184" t="n">
        <x:v>40968</x:v>
      </x:c>
      <x:c r="H1630" s="193" t="n">
        <x:v>0</x:v>
      </x:c>
      <x:c r="I1630" s="185" t="n">
        <x:v>40968</x:v>
      </x:c>
      <x:c r="J1630" s="185" t="n">
        <x:v>0</x:v>
      </x:c>
      <x:c r="K1630" s="289" t="n">
        <x:v>2276</x:v>
      </x:c>
    </x:row>
    <x:row r="1631" s="117" customFormat="1" hidden="1">
      <x:c r="A1631" s="184" t="inlineStr">
        <x:is>
          <x:t xml:space="preserve">MTPRACMAD018</x:t>
        </x:is>
      </x:c>
      <x:c r="B1631" s="184" t="inlineStr">
        <x:is>
          <x:t xml:space="preserve">PINO CEPILLADO 4 X 4 X 3</x:t>
        </x:is>
      </x:c>
      <x:c r="C1631" s="184" t="n">
        <x:v>50</x:v>
      </x:c>
      <x:c r="D1631" s="184" t="n">
        <x:v>0</x:v>
      </x:c>
      <x:c r="E1631" s="184" t="n">
        <x:v>0</x:v>
      </x:c>
      <x:c r="F1631" s="184" t="n">
        <x:v>50</x:v>
      </x:c>
      <x:c r="G1631" s="184" t="n">
        <x:v>638650</x:v>
      </x:c>
      <x:c r="H1631" s="193" t="n">
        <x:v>0</x:v>
      </x:c>
      <x:c r="I1631" s="185" t="n">
        <x:v>0</x:v>
      </x:c>
      <x:c r="J1631" s="185" t="n">
        <x:v>638650</x:v>
      </x:c>
      <x:c r="K1631" s="289" t="n">
        <x:v>12773</x:v>
      </x:c>
    </x:row>
    <x:row r="1632" s="117" customFormat="1" hidden="1">
      <x:c r="A1632" s="184" t="inlineStr">
        <x:is>
          <x:t xml:space="preserve">MTPRACMAD019</x:t>
        </x:is>
      </x:c>
      <x:c r="B1632" s="184" t="inlineStr">
        <x:is>
          <x:t xml:space="preserve">PINO CEPILLADO SECO 2 X 1 X 3,2MTS</x:t>
        </x:is>
      </x:c>
      <x:c r="C1632" s="184" t="n">
        <x:v>200</x:v>
      </x:c>
      <x:c r="D1632" s="184" t="n">
        <x:v>0</x:v>
      </x:c>
      <x:c r="E1632" s="184" t="n">
        <x:v>108</x:v>
      </x:c>
      <x:c r="F1632" s="184" t="n">
        <x:v>92</x:v>
      </x:c>
      <x:c r="G1632" s="184" t="n">
        <x:v>260400</x:v>
      </x:c>
      <x:c r="H1632" s="193" t="n">
        <x:v>0</x:v>
      </x:c>
      <x:c r="I1632" s="185" t="n">
        <x:v>140616</x:v>
      </x:c>
      <x:c r="J1632" s="185" t="n">
        <x:v>119784</x:v>
      </x:c>
      <x:c r="K1632" s="289" t="n">
        <x:v>1302</x:v>
      </x:c>
    </x:row>
    <x:row r="1633" s="117" customFormat="1" hidden="1">
      <x:c r="A1633" s="184" t="inlineStr">
        <x:is>
          <x:t xml:space="preserve">MTPRACQUI001</x:t>
        </x:is>
      </x:c>
      <x:c r="B1633" s="184" t="inlineStr">
        <x:is>
          <x:t xml:space="preserve">RESINA PALATAL A430 (200 KG /TAMBOR)</x:t>
        </x:is>
      </x:c>
      <x:c r="C1633" s="184" t="n">
        <x:v>2110</x:v>
      </x:c>
      <x:c r="D1633" s="184" t="n">
        <x:v>1035</x:v>
      </x:c>
      <x:c r="E1633" s="184" t="n">
        <x:v>2250</x:v>
      </x:c>
      <x:c r="F1633" s="184" t="n">
        <x:v>895</x:v>
      </x:c>
      <x:c r="G1633" s="184" t="n">
        <x:v>7948583</x:v>
      </x:c>
      <x:c r="H1633" s="193" t="n">
        <x:v>3570917</x:v>
      </x:c>
      <x:c r="I1633" s="185" t="n">
        <x:v>8351066</x:v>
      </x:c>
      <x:c r="J1633" s="185" t="n">
        <x:v>3168434</x:v>
      </x:c>
      <x:c r="K1633" s="289" t="n">
        <x:v>3540.08083496</x:v>
      </x:c>
    </x:row>
    <x:row r="1634" s="117" customFormat="1" hidden="1">
      <x:c r="A1634" s="184" t="inlineStr">
        <x:is>
          <x:t xml:space="preserve">MTPRACQUI002</x:t>
        </x:is>
      </x:c>
      <x:c r="B1634" s="184" t="inlineStr">
        <x:is>
          <x:t xml:space="preserve">RESINA PALATAL A430FR (230 KG/ TAMBOR)</x:t>
        </x:is>
      </x:c>
      <x:c r="C1634" s="184" t="n">
        <x:v>0</x:v>
      </x:c>
      <x:c r="D1634" s="184" t="n">
        <x:v>0</x:v>
      </x:c>
      <x:c r="E1634" s="184" t="n">
        <x:v>0</x:v>
      </x:c>
      <x:c r="F1634" s="184" t="n">
        <x:v>0</x:v>
      </x:c>
      <x:c r="G1634" s="184" t="n">
        <x:v>-1</x:v>
      </x:c>
      <x:c r="H1634" s="193" t="n">
        <x:v>0</x:v>
      </x:c>
      <x:c r="I1634" s="185" t="n">
        <x:v>0</x:v>
      </x:c>
      <x:c r="J1634" s="185" t="n">
        <x:v>-1</x:v>
      </x:c>
      <x:c r="K1634" s="289" t="n">
        <x:v>6920</x:v>
      </x:c>
    </x:row>
    <x:row r="1635" s="117" customFormat="1" hidden="1">
      <x:c r="A1635" s="184" t="inlineStr">
        <x:is>
          <x:t xml:space="preserve">MTPRACQUI003</x:t>
        </x:is>
      </x:c>
      <x:c r="B1635" s="184" t="inlineStr">
        <x:is>
          <x:t xml:space="preserve">RESINA VIPEL F013 (TAMBOR DE 220 KG)</x:t>
        </x:is>
      </x:c>
      <x:c r="C1635" s="184" t="n">
        <x:v>0</x:v>
      </x:c>
      <x:c r="D1635" s="184" t="n">
        <x:v>0</x:v>
      </x:c>
      <x:c r="E1635" s="184" t="n">
        <x:v>0</x:v>
      </x:c>
      <x:c r="F1635" s="184" t="n">
        <x:v>0</x:v>
      </x:c>
      <x:c r="G1635" s="184" t="n">
        <x:v>0</x:v>
      </x:c>
      <x:c r="H1635" s="193" t="n">
        <x:v>0</x:v>
      </x:c>
      <x:c r="I1635" s="185" t="n">
        <x:v>0</x:v>
      </x:c>
      <x:c r="J1635" s="185" t="n">
        <x:v>0</x:v>
      </x:c>
      <x:c r="K1635" s="289" t="n">
        <x:v>2419</x:v>
      </x:c>
    </x:row>
    <x:row r="1636" s="117" customFormat="1" hidden="1">
      <x:c r="A1636" s="184" t="inlineStr">
        <x:is>
          <x:t xml:space="preserve">MTPRACQUI004</x:t>
        </x:is>
      </x:c>
      <x:c r="B1636" s="184" t="inlineStr">
        <x:is>
          <x:t xml:space="preserve">AGENTE TIXOTROPICO VINILESTER (10 KG.)</x:t>
        </x:is>
      </x:c>
      <x:c r="C1636" s="184" t="n">
        <x:v>0</x:v>
      </x:c>
      <x:c r="D1636" s="184" t="n">
        <x:v>0</x:v>
      </x:c>
      <x:c r="E1636" s="184" t="n">
        <x:v>0</x:v>
      </x:c>
      <x:c r="F1636" s="184" t="n">
        <x:v>0</x:v>
      </x:c>
      <x:c r="G1636" s="184" t="n">
        <x:v>0</x:v>
      </x:c>
      <x:c r="H1636" s="193" t="n">
        <x:v>0</x:v>
      </x:c>
      <x:c r="I1636" s="185" t="n">
        <x:v>0</x:v>
      </x:c>
      <x:c r="J1636" s="185" t="n">
        <x:v>0</x:v>
      </x:c>
      <x:c r="K1636" s="289" t="n">
        <x:v>14659.833333</x:v>
      </x:c>
    </x:row>
    <x:row r="1637" s="117" customFormat="1" hidden="1">
      <x:c r="A1637" s="184" t="inlineStr">
        <x:is>
          <x:t xml:space="preserve">MTPRACQUI005</x:t>
        </x:is>
      </x:c>
      <x:c r="B1637" s="184" t="inlineStr">
        <x:is>
          <x:t xml:space="preserve">DIOXIDO TITANIO (25 KG) ( NO USAR )</x:t>
        </x:is>
      </x:c>
      <x:c r="C1637" s="184" t="n">
        <x:v>0</x:v>
      </x:c>
      <x:c r="D1637" s="184" t="n">
        <x:v>0</x:v>
      </x:c>
      <x:c r="E1637" s="184" t="n">
        <x:v>0</x:v>
      </x:c>
      <x:c r="F1637" s="184" t="n">
        <x:v>0</x:v>
      </x:c>
      <x:c r="G1637" s="184" t="n">
        <x:v>0</x:v>
      </x:c>
      <x:c r="H1637" s="193" t="n">
        <x:v>0</x:v>
      </x:c>
      <x:c r="I1637" s="185" t="n">
        <x:v>0</x:v>
      </x:c>
      <x:c r="J1637" s="185" t="n">
        <x:v>0</x:v>
      </x:c>
      <x:c r="K1637" s="289" t="n">
        <x:v>3339</x:v>
      </x:c>
    </x:row>
    <x:row r="1638" s="117" customFormat="1" hidden="1">
      <x:c r="A1638" s="184" t="inlineStr">
        <x:is>
          <x:t xml:space="preserve">MTPRACQUI006</x:t>
        </x:is>
      </x:c>
      <x:c r="B1638" s="184" t="inlineStr">
        <x:is>
          <x:t xml:space="preserve">RESINA DERAKANE 470-300</x:t>
        </x:is>
      </x:c>
      <x:c r="C1638" s="184" t="n">
        <x:v>0</x:v>
      </x:c>
      <x:c r="D1638" s="184" t="n">
        <x:v>0</x:v>
      </x:c>
      <x:c r="E1638" s="184" t="n">
        <x:v>0</x:v>
      </x:c>
      <x:c r="F1638" s="184" t="n">
        <x:v>0</x:v>
      </x:c>
      <x:c r="G1638" s="184" t="n">
        <x:v>0</x:v>
      </x:c>
      <x:c r="H1638" s="193" t="n">
        <x:v>0</x:v>
      </x:c>
      <x:c r="I1638" s="185" t="n">
        <x:v>0</x:v>
      </x:c>
      <x:c r="J1638" s="185" t="n">
        <x:v>0</x:v>
      </x:c>
      <x:c r="K1638" s="289" t="n">
        <x:v>4422.956522</x:v>
      </x:c>
    </x:row>
    <x:row r="1639" s="117" customFormat="1" hidden="1">
      <x:c r="A1639" s="184" t="inlineStr">
        <x:is>
          <x:t xml:space="preserve">MTPRACQUI007</x:t>
        </x:is>
      </x:c>
      <x:c r="B1639" s="184" t="inlineStr">
        <x:is>
          <x:t xml:space="preserve">DILUYENTE POLIESTER 200 LTS ( NO USAR )</x:t>
        </x:is>
      </x:c>
      <x:c r="C1639" s="184" t="n">
        <x:v>0</x:v>
      </x:c>
      <x:c r="D1639" s="184" t="n">
        <x:v>0</x:v>
      </x:c>
      <x:c r="E1639" s="184" t="n">
        <x:v>0</x:v>
      </x:c>
      <x:c r="F1639" s="184" t="n">
        <x:v>0</x:v>
      </x:c>
      <x:c r="G1639" s="184" t="n">
        <x:v>0</x:v>
      </x:c>
      <x:c r="H1639" s="193" t="n">
        <x:v>0</x:v>
      </x:c>
      <x:c r="I1639" s="185" t="n">
        <x:v>0</x:v>
      </x:c>
      <x:c r="J1639" s="185" t="n">
        <x:v>0</x:v>
      </x:c>
      <x:c r="K1639" s="289" t="n">
        <x:v>1258</x:v>
      </x:c>
    </x:row>
    <x:row r="1640" s="117" customFormat="1" hidden="1">
      <x:c r="A1640" s="184" t="inlineStr">
        <x:is>
          <x:t xml:space="preserve">MTPRACQUI008</x:t>
        </x:is>
      </x:c>
      <x:c r="B1640" s="184" t="inlineStr">
        <x:is>
          <x:t xml:space="preserve">CERA DESMOLDANTE</x:t>
        </x:is>
      </x:c>
      <x:c r="C1640" s="184" t="n">
        <x:v>0</x:v>
      </x:c>
      <x:c r="D1640" s="184" t="n">
        <x:v>0</x:v>
      </x:c>
      <x:c r="E1640" s="184" t="n">
        <x:v>0</x:v>
      </x:c>
      <x:c r="F1640" s="184" t="n">
        <x:v>0</x:v>
      </x:c>
      <x:c r="G1640" s="184" t="n">
        <x:v>0</x:v>
      </x:c>
      <x:c r="H1640" s="193" t="n">
        <x:v>0</x:v>
      </x:c>
      <x:c r="I1640" s="185" t="n">
        <x:v>0</x:v>
      </x:c>
      <x:c r="J1640" s="185" t="n">
        <x:v>0</x:v>
      </x:c>
      <x:c r="K1640" s="289" t="n">
        <x:v>5122.727273</x:v>
      </x:c>
    </x:row>
    <x:row r="1641" s="117" customFormat="1" hidden="1">
      <x:c r="A1641" s="184" t="inlineStr">
        <x:is>
          <x:t xml:space="preserve">MTPRACQUI009</x:t>
        </x:is>
      </x:c>
      <x:c r="B1641" s="184" t="inlineStr">
        <x:is>
          <x:t xml:space="preserve">BYK-500 ELIMINADOR DE BURBUJAS</x:t>
        </x:is>
      </x:c>
      <x:c r="C1641" s="184" t="n">
        <x:v>18</x:v>
      </x:c>
      <x:c r="D1641" s="184" t="n">
        <x:v>0</x:v>
      </x:c>
      <x:c r="E1641" s="184" t="n">
        <x:v>0</x:v>
      </x:c>
      <x:c r="F1641" s="184" t="n">
        <x:v>18</x:v>
      </x:c>
      <x:c r="G1641" s="184" t="n">
        <x:v>280008</x:v>
      </x:c>
      <x:c r="H1641" s="193" t="n">
        <x:v>0</x:v>
      </x:c>
      <x:c r="I1641" s="185" t="n">
        <x:v>0</x:v>
      </x:c>
      <x:c r="J1641" s="185" t="n">
        <x:v>280008</x:v>
      </x:c>
      <x:c r="K1641" s="289" t="n">
        <x:v>15556</x:v>
      </x:c>
    </x:row>
    <x:row r="1642" s="117" customFormat="1" hidden="1">
      <x:c r="A1642" s="184" t="inlineStr">
        <x:is>
          <x:t xml:space="preserve">MTPRACQUI010</x:t>
        </x:is>
      </x:c>
      <x:c r="B1642" s="184" t="inlineStr">
        <x:is>
          <x:t xml:space="preserve">ADITIVO FILTRO UV-750</x:t>
        </x:is>
      </x:c>
      <x:c r="C1642" s="184" t="n">
        <x:v>10</x:v>
      </x:c>
      <x:c r="D1642" s="184" t="n">
        <x:v>0</x:v>
      </x:c>
      <x:c r="E1642" s="184" t="n">
        <x:v>0</x:v>
      </x:c>
      <x:c r="F1642" s="184" t="n">
        <x:v>10</x:v>
      </x:c>
      <x:c r="G1642" s="184" t="n">
        <x:v>436940</x:v>
      </x:c>
      <x:c r="H1642" s="193" t="n">
        <x:v>0</x:v>
      </x:c>
      <x:c r="I1642" s="185" t="n">
        <x:v>0</x:v>
      </x:c>
      <x:c r="J1642" s="185" t="n">
        <x:v>436940</x:v>
      </x:c>
      <x:c r="K1642" s="289" t="n">
        <x:v>43694</x:v>
      </x:c>
    </x:row>
    <x:row r="1643" s="117" customFormat="1" hidden="1">
      <x:c r="A1643" s="184" t="inlineStr">
        <x:is>
          <x:t xml:space="preserve">MTPRACQUI011</x:t>
        </x:is>
      </x:c>
      <x:c r="B1643" s="184" t="inlineStr">
        <x:is>
          <x:t xml:space="preserve">NEGRO HUMO XC 72R</x:t>
        </x:is>
      </x:c>
      <x:c r="C1643" s="184" t="n">
        <x:v>0</x:v>
      </x:c>
      <x:c r="D1643" s="184" t="n">
        <x:v>0</x:v>
      </x:c>
      <x:c r="E1643" s="184" t="n">
        <x:v>0</x:v>
      </x:c>
      <x:c r="F1643" s="184" t="n">
        <x:v>0</x:v>
      </x:c>
      <x:c r="G1643" s="184" t="n">
        <x:v>-1</x:v>
      </x:c>
      <x:c r="H1643" s="193" t="n">
        <x:v>0</x:v>
      </x:c>
      <x:c r="I1643" s="185" t="n">
        <x:v>0</x:v>
      </x:c>
      <x:c r="J1643" s="185" t="n">
        <x:v>-1</x:v>
      </x:c>
      <x:c r="K1643" s="289" t="n">
        <x:v>36159</x:v>
      </x:c>
    </x:row>
    <x:row r="1644" s="117" customFormat="1" hidden="1">
      <x:c r="A1644" s="184" t="inlineStr">
        <x:is>
          <x:t xml:space="preserve">MTPRACROD001</x:t>
        </x:is>
      </x:c>
      <x:c r="B1644" s="184" t="inlineStr">
        <x:is>
          <x:t xml:space="preserve">RODILLO CHIPORRO 7</x:t>
        </x:is>
      </x:c>
      <x:c r="C1644" s="184" t="n">
        <x:v>76</x:v>
      </x:c>
      <x:c r="D1644" s="184" t="n">
        <x:v>260</x:v>
      </x:c>
      <x:c r="E1644" s="184" t="n">
        <x:v>136</x:v>
      </x:c>
      <x:c r="F1644" s="184" t="n">
        <x:v>200</x:v>
      </x:c>
      <x:c r="G1644" s="184" t="n">
        <x:v>123727</x:v>
      </x:c>
      <x:c r="H1644" s="193" t="n">
        <x:v>382238</x:v>
      </x:c>
      <x:c r="I1644" s="185" t="n">
        <x:v>205161</x:v>
      </x:c>
      <x:c r="J1644" s="185" t="n">
        <x:v>300804</x:v>
      </x:c>
      <x:c r="K1644" s="289" t="n">
        <x:v>1503.97568545</x:v>
      </x:c>
    </x:row>
    <x:row r="1645" s="117" customFormat="1" hidden="1">
      <x:c r="A1645" s="184" t="inlineStr">
        <x:is>
          <x:t xml:space="preserve">MTPRACROD002</x:t>
        </x:is>
      </x:c>
      <x:c r="B1645" s="184" t="inlineStr">
        <x:is>
          <x:t xml:space="preserve">RODILLO CHIPORRO 9</x:t>
        </x:is>
      </x:c>
      <x:c r="C1645" s="184" t="n">
        <x:v>0</x:v>
      </x:c>
      <x:c r="D1645" s="184" t="n">
        <x:v>0</x:v>
      </x:c>
      <x:c r="E1645" s="184" t="n">
        <x:v>0</x:v>
      </x:c>
      <x:c r="F1645" s="184" t="n">
        <x:v>0</x:v>
      </x:c>
      <x:c r="G1645" s="184" t="n">
        <x:v>0</x:v>
      </x:c>
      <x:c r="H1645" s="193" t="n">
        <x:v>0</x:v>
      </x:c>
      <x:c r="I1645" s="185" t="n">
        <x:v>0</x:v>
      </x:c>
      <x:c r="J1645" s="185" t="n">
        <x:v>0</x:v>
      </x:c>
      <x:c r="K1645" s="289" t="n">
        <x:v>1622</x:v>
      </x:c>
    </x:row>
    <x:row r="1646" s="117" customFormat="1" hidden="1">
      <x:c r="A1646" s="184" t="inlineStr">
        <x:is>
          <x:t xml:space="preserve">MTPRACROD003</x:t>
        </x:is>
      </x:c>
      <x:c r="B1646" s="184" t="inlineStr">
        <x:is>
          <x:t xml:space="preserve">RODILLO CHIPORRO 12</x:t>
        </x:is>
      </x:c>
      <x:c r="C1646" s="184" t="n">
        <x:v>143</x:v>
      </x:c>
      <x:c r="D1646" s="184" t="n">
        <x:v>280</x:v>
      </x:c>
      <x:c r="E1646" s="184" t="n">
        <x:v>150</x:v>
      </x:c>
      <x:c r="F1646" s="184" t="n">
        <x:v>273</x:v>
      </x:c>
      <x:c r="G1646" s="184" t="n">
        <x:v>269874</x:v>
      </x:c>
      <x:c r="H1646" s="193" t="n">
        <x:v>483419</x:v>
      </x:c>
      <x:c r="I1646" s="185" t="n">
        <x:v>267472</x:v>
      </x:c>
      <x:c r="J1646" s="185" t="n">
        <x:v>485821</x:v>
      </x:c>
      <x:c r="K1646" s="289" t="n">
        <x:v>1783.16409386</x:v>
      </x:c>
    </x:row>
    <x:row r="1647" s="117" customFormat="1" hidden="1">
      <x:c r="A1647" s="184" t="inlineStr">
        <x:is>
          <x:t xml:space="preserve">MTPRACROD004</x:t>
        </x:is>
      </x:c>
      <x:c r="B1647" s="184" t="inlineStr">
        <x:is>
          <x:t xml:space="preserve">RODILLO CHIPORRO 18</x:t>
        </x:is>
      </x:c>
      <x:c r="C1647" s="184" t="n">
        <x:v>133</x:v>
      </x:c>
      <x:c r="D1647" s="184" t="n">
        <x:v>260</x:v>
      </x:c>
      <x:c r="E1647" s="184" t="n">
        <x:v>125</x:v>
      </x:c>
      <x:c r="F1647" s="184" t="n">
        <x:v>268</x:v>
      </x:c>
      <x:c r="G1647" s="184" t="n">
        <x:v>281229</x:v>
      </x:c>
      <x:c r="H1647" s="193" t="n">
        <x:v>494620</x:v>
      </x:c>
      <x:c r="I1647" s="185" t="n">
        <x:v>248264</x:v>
      </x:c>
      <x:c r="J1647" s="185" t="n">
        <x:v>527585</x:v>
      </x:c>
      <x:c r="K1647" s="289" t="n">
        <x:v>1968.60106033</x:v>
      </x:c>
    </x:row>
    <x:row r="1648" s="117" customFormat="1" hidden="1">
      <x:c r="A1648" s="184" t="inlineStr">
        <x:is>
          <x:t xml:space="preserve">MTPRACROD005</x:t>
        </x:is>
      </x:c>
      <x:c r="B1648" s="184" t="inlineStr">
        <x:is>
          <x:t xml:space="preserve">RODILLO METALICO (25X150)</x:t>
        </x:is>
      </x:c>
      <x:c r="C1648" s="184" t="n">
        <x:v>0</x:v>
      </x:c>
      <x:c r="D1648" s="184" t="n">
        <x:v>0</x:v>
      </x:c>
      <x:c r="E1648" s="184" t="n">
        <x:v>0</x:v>
      </x:c>
      <x:c r="F1648" s="184" t="n">
        <x:v>0</x:v>
      </x:c>
      <x:c r="G1648" s="184" t="n">
        <x:v>0</x:v>
      </x:c>
      <x:c r="H1648" s="193" t="n">
        <x:v>0</x:v>
      </x:c>
      <x:c r="I1648" s="185" t="n">
        <x:v>0</x:v>
      </x:c>
      <x:c r="J1648" s="185" t="n">
        <x:v>0</x:v>
      </x:c>
      <x:c r="K1648" s="289" t="n">
        <x:v>27504</x:v>
      </x:c>
    </x:row>
    <x:row r="1649" s="117" customFormat="1" hidden="1">
      <x:c r="A1649" s="184" t="inlineStr">
        <x:is>
          <x:t xml:space="preserve">MTPRACROD006</x:t>
        </x:is>
      </x:c>
      <x:c r="B1649" s="184" t="inlineStr">
        <x:is>
          <x:t xml:space="preserve">RODILLO METALICO (18 x 75)</x:t>
        </x:is>
      </x:c>
      <x:c r="C1649" s="184" t="n">
        <x:v>0</x:v>
      </x:c>
      <x:c r="D1649" s="184" t="n">
        <x:v>0</x:v>
      </x:c>
      <x:c r="E1649" s="184" t="n">
        <x:v>0</x:v>
      </x:c>
      <x:c r="F1649" s="184" t="n">
        <x:v>0</x:v>
      </x:c>
      <x:c r="G1649" s="184" t="n">
        <x:v>0</x:v>
      </x:c>
      <x:c r="H1649" s="193" t="n">
        <x:v>0</x:v>
      </x:c>
      <x:c r="I1649" s="185" t="n">
        <x:v>0</x:v>
      </x:c>
      <x:c r="J1649" s="185" t="n">
        <x:v>0</x:v>
      </x:c>
      <x:c r="K1649" s="289" t="n">
        <x:v>22918</x:v>
      </x:c>
    </x:row>
    <x:row r="1650" s="117" customFormat="1" hidden="1">
      <x:c r="A1650" s="184" t="inlineStr">
        <x:is>
          <x:t xml:space="preserve">MTPRACROD007</x:t>
        </x:is>
      </x:c>
      <x:c r="B1650" s="184" t="inlineStr">
        <x:is>
          <x:t xml:space="preserve">RODILLO METALICO (13 x 75)</x:t>
        </x:is>
      </x:c>
      <x:c r="C1650" s="184" t="n">
        <x:v>0</x:v>
      </x:c>
      <x:c r="D1650" s="184" t="n">
        <x:v>0</x:v>
      </x:c>
      <x:c r="E1650" s="184" t="n">
        <x:v>0</x:v>
      </x:c>
      <x:c r="F1650" s="184" t="n">
        <x:v>0</x:v>
      </x:c>
      <x:c r="G1650" s="184" t="n">
        <x:v>0</x:v>
      </x:c>
      <x:c r="H1650" s="193" t="n">
        <x:v>0</x:v>
      </x:c>
      <x:c r="I1650" s="185" t="n">
        <x:v>0</x:v>
      </x:c>
      <x:c r="J1650" s="185" t="n">
        <x:v>0</x:v>
      </x:c>
      <x:c r="K1650" s="289" t="n">
        <x:v>20407</x:v>
      </x:c>
    </x:row>
    <x:row r="1651" s="117" customFormat="1" hidden="1">
      <x:c r="A1651" s="184" t="inlineStr">
        <x:is>
          <x:t xml:space="preserve">MTPRACROD008</x:t>
        </x:is>
      </x:c>
      <x:c r="B1651" s="184" t="inlineStr">
        <x:is>
          <x:t xml:space="preserve">RODILLO METALICO (13 x 150)</x:t>
        </x:is>
      </x:c>
      <x:c r="C1651" s="184" t="n">
        <x:v>0</x:v>
      </x:c>
      <x:c r="D1651" s="184" t="n">
        <x:v>0</x:v>
      </x:c>
      <x:c r="E1651" s="184" t="n">
        <x:v>0</x:v>
      </x:c>
      <x:c r="F1651" s="184" t="n">
        <x:v>0</x:v>
      </x:c>
      <x:c r="G1651" s="184" t="n">
        <x:v>0</x:v>
      </x:c>
      <x:c r="H1651" s="193" t="n">
        <x:v>0</x:v>
      </x:c>
      <x:c r="I1651" s="185" t="n">
        <x:v>0</x:v>
      </x:c>
      <x:c r="J1651" s="185" t="n">
        <x:v>0</x:v>
      </x:c>
      <x:c r="K1651" s="289" t="n">
        <x:v>10707</x:v>
      </x:c>
    </x:row>
    <x:row r="1652" s="117" customFormat="1" hidden="1">
      <x:c r="A1652" s="184" t="inlineStr">
        <x:is>
          <x:t xml:space="preserve">MTPRACROD009</x:t>
        </x:is>
      </x:c>
      <x:c r="B1652" s="184" t="inlineStr">
        <x:is>
          <x:t xml:space="preserve">RODILLO METALICO (18 x 150)</x:t>
        </x:is>
      </x:c>
      <x:c r="C1652" s="184" t="n">
        <x:v>0</x:v>
      </x:c>
      <x:c r="D1652" s="184" t="n">
        <x:v>0</x:v>
      </x:c>
      <x:c r="E1652" s="184" t="n">
        <x:v>0</x:v>
      </x:c>
      <x:c r="F1652" s="184" t="n">
        <x:v>0</x:v>
      </x:c>
      <x:c r="G1652" s="184" t="n">
        <x:v>0</x:v>
      </x:c>
      <x:c r="H1652" s="193" t="n">
        <x:v>0</x:v>
      </x:c>
      <x:c r="I1652" s="185" t="n">
        <x:v>0</x:v>
      </x:c>
      <x:c r="J1652" s="185" t="n">
        <x:v>0</x:v>
      </x:c>
      <x:c r="K1652" s="289" t="n">
        <x:v>21540</x:v>
      </x:c>
    </x:row>
    <x:row r="1653" s="117" customFormat="1" hidden="1">
      <x:c r="A1653" s="184" t="inlineStr">
        <x:is>
          <x:t xml:space="preserve">MTPRACROD010</x:t>
        </x:is>
      </x:c>
      <x:c r="B1653" s="184" t="inlineStr">
        <x:is>
          <x:t xml:space="preserve">RODILLO METALICO (25 x 75)</x:t>
        </x:is>
      </x:c>
      <x:c r="C1653" s="184" t="n">
        <x:v>0</x:v>
      </x:c>
      <x:c r="D1653" s="184" t="n">
        <x:v>0</x:v>
      </x:c>
      <x:c r="E1653" s="184" t="n">
        <x:v>0</x:v>
      </x:c>
      <x:c r="F1653" s="184" t="n">
        <x:v>0</x:v>
      </x:c>
      <x:c r="G1653" s="184" t="n">
        <x:v>0</x:v>
      </x:c>
      <x:c r="H1653" s="193" t="n">
        <x:v>0</x:v>
      </x:c>
      <x:c r="I1653" s="185" t="n">
        <x:v>0</x:v>
      </x:c>
      <x:c r="J1653" s="185" t="n">
        <x:v>0</x:v>
      </x:c>
      <x:c r="K1653" s="289" t="n">
        <x:v>17543</x:v>
      </x:c>
    </x:row>
    <x:row r="1654" s="117" customFormat="1" hidden="1">
      <x:c r="A1654" s="184" t="inlineStr">
        <x:is>
          <x:t xml:space="preserve">MTPRACROD011</x:t>
        </x:is>
      </x:c>
      <x:c r="B1654" s="184" t="inlineStr">
        <x:is>
          <x:t xml:space="preserve">RODILLO CERDA (22 x 75)</x:t>
        </x:is>
      </x:c>
      <x:c r="C1654" s="184" t="n">
        <x:v>0</x:v>
      </x:c>
      <x:c r="D1654" s="184" t="n">
        <x:v>0</x:v>
      </x:c>
      <x:c r="E1654" s="184" t="n">
        <x:v>0</x:v>
      </x:c>
      <x:c r="F1654" s="184" t="n">
        <x:v>0</x:v>
      </x:c>
      <x:c r="G1654" s="184" t="n">
        <x:v>2</x:v>
      </x:c>
      <x:c r="H1654" s="193" t="n">
        <x:v>0</x:v>
      </x:c>
      <x:c r="I1654" s="185" t="n">
        <x:v>0</x:v>
      </x:c>
      <x:c r="J1654" s="185" t="n">
        <x:v>2</x:v>
      </x:c>
      <x:c r="K1654" s="289" t="n">
        <x:v>13163.17751533</x:v>
      </x:c>
    </x:row>
    <x:row r="1655" s="117" customFormat="1" hidden="1">
      <x:c r="A1655" s="184" t="inlineStr">
        <x:is>
          <x:t xml:space="preserve">MTPRACROD012</x:t>
        </x:is>
      </x:c>
      <x:c r="B1655" s="184" t="inlineStr">
        <x:is>
          <x:t xml:space="preserve">RODILLO CERDA (22 x 150)</x:t>
        </x:is>
      </x:c>
      <x:c r="C1655" s="184" t="n">
        <x:v>68</x:v>
      </x:c>
      <x:c r="D1655" s="184" t="n">
        <x:v>0</x:v>
      </x:c>
      <x:c r="E1655" s="184" t="n">
        <x:v>2</x:v>
      </x:c>
      <x:c r="F1655" s="184" t="n">
        <x:v>66</x:v>
      </x:c>
      <x:c r="G1655" s="184" t="n">
        <x:v>1351918</x:v>
      </x:c>
      <x:c r="H1655" s="193" t="n">
        <x:v>0</x:v>
      </x:c>
      <x:c r="I1655" s="185" t="n">
        <x:v>39762</x:v>
      </x:c>
      <x:c r="J1655" s="185" t="n">
        <x:v>1312156</x:v>
      </x:c>
      <x:c r="K1655" s="289" t="n">
        <x:v>19881.17647059</x:v>
      </x:c>
    </x:row>
    <x:row r="1656" s="117" customFormat="1" hidden="1">
      <x:c r="A1656" s="184" t="inlineStr">
        <x:is>
          <x:t xml:space="preserve">MTPRACROD013</x:t>
        </x:is>
      </x:c>
      <x:c r="B1656" s="184" t="inlineStr">
        <x:is>
          <x:t xml:space="preserve">RODILLO CERDA (28 x 75)</x:t>
        </x:is>
      </x:c>
      <x:c r="C1656" s="184" t="n">
        <x:v>0</x:v>
      </x:c>
      <x:c r="D1656" s="184" t="n">
        <x:v>0</x:v>
      </x:c>
      <x:c r="E1656" s="184" t="n">
        <x:v>0</x:v>
      </x:c>
      <x:c r="F1656" s="184" t="n">
        <x:v>0</x:v>
      </x:c>
      <x:c r="G1656" s="184" t="n">
        <x:v>0</x:v>
      </x:c>
      <x:c r="H1656" s="193" t="n">
        <x:v>0</x:v>
      </x:c>
      <x:c r="I1656" s="185" t="n">
        <x:v>0</x:v>
      </x:c>
      <x:c r="J1656" s="185" t="n">
        <x:v>0</x:v>
      </x:c>
      <x:c r="K1656" s="289" t="n">
        <x:v>20959</x:v>
      </x:c>
    </x:row>
    <x:row r="1657" s="117" customFormat="1" hidden="1">
      <x:c r="A1657" s="184" t="inlineStr">
        <x:is>
          <x:t xml:space="preserve">MTPRACROD014</x:t>
        </x:is>
      </x:c>
      <x:c r="B1657" s="184" t="inlineStr">
        <x:is>
          <x:t xml:space="preserve">RODILLO CERDA (28 x 150)</x:t>
        </x:is>
      </x:c>
      <x:c r="C1657" s="184" t="n">
        <x:v>0</x:v>
      </x:c>
      <x:c r="D1657" s="184" t="n">
        <x:v>0</x:v>
      </x:c>
      <x:c r="E1657" s="184" t="n">
        <x:v>0</x:v>
      </x:c>
      <x:c r="F1657" s="184" t="n">
        <x:v>0</x:v>
      </x:c>
      <x:c r="G1657" s="184" t="n">
        <x:v>0</x:v>
      </x:c>
      <x:c r="H1657" s="193" t="n">
        <x:v>0</x:v>
      </x:c>
      <x:c r="I1657" s="185" t="n">
        <x:v>0</x:v>
      </x:c>
      <x:c r="J1657" s="185" t="n">
        <x:v>0</x:v>
      </x:c>
      <x:c r="K1657" s="289" t="n">
        <x:v>0</x:v>
      </x:c>
    </x:row>
    <x:row r="1658" s="117" customFormat="1" hidden="1">
      <x:c r="A1658" s="184" t="inlineStr">
        <x:is>
          <x:t xml:space="preserve">MTPRACROD015</x:t>
        </x:is>
      </x:c>
      <x:c r="B1658" s="184" t="inlineStr">
        <x:is>
          <x:t xml:space="preserve">RODILLO CERDA (25 X 150)</x:t>
        </x:is>
      </x:c>
      <x:c r="C1658" s="184" t="n">
        <x:v>5</x:v>
      </x:c>
      <x:c r="D1658" s="184" t="n">
        <x:v>0</x:v>
      </x:c>
      <x:c r="E1658" s="184" t="n">
        <x:v>0</x:v>
      </x:c>
      <x:c r="F1658" s="184" t="n">
        <x:v>5</x:v>
      </x:c>
      <x:c r="G1658" s="184" t="n">
        <x:v>95750</x:v>
      </x:c>
      <x:c r="H1658" s="193" t="n">
        <x:v>0</x:v>
      </x:c>
      <x:c r="I1658" s="185" t="n">
        <x:v>0</x:v>
      </x:c>
      <x:c r="J1658" s="185" t="n">
        <x:v>95750</x:v>
      </x:c>
      <x:c r="K1658" s="289" t="n">
        <x:v>19150</x:v>
      </x:c>
    </x:row>
    <x:row r="1659" s="117" customFormat="1" hidden="1">
      <x:c r="A1659" s="184" t="inlineStr">
        <x:is>
          <x:t xml:space="preserve">MTPRACROD016</x:t>
        </x:is>
      </x:c>
      <x:c r="B1659" s="184" t="inlineStr">
        <x:is>
          <x:t xml:space="preserve">RODILLO DE CERDA 19X75 MM (CHINO)</x:t>
        </x:is>
      </x:c>
      <x:c r="C1659" s="184" t="n">
        <x:v>0</x:v>
      </x:c>
      <x:c r="D1659" s="184" t="n">
        <x:v>0</x:v>
      </x:c>
      <x:c r="E1659" s="184" t="n">
        <x:v>0</x:v>
      </x:c>
      <x:c r="F1659" s="184" t="n">
        <x:v>0</x:v>
      </x:c>
      <x:c r="G1659" s="184" t="n">
        <x:v>0</x:v>
      </x:c>
      <x:c r="H1659" s="193" t="n">
        <x:v>0</x:v>
      </x:c>
      <x:c r="I1659" s="185" t="n">
        <x:v>0</x:v>
      </x:c>
      <x:c r="J1659" s="185" t="n">
        <x:v>0</x:v>
      </x:c>
      <x:c r="K1659" s="289" t="n">
        <x:v>2658</x:v>
      </x:c>
    </x:row>
    <x:row r="1660" s="117" customFormat="1" hidden="1">
      <x:c r="A1660" s="184" t="inlineStr">
        <x:is>
          <x:t xml:space="preserve">MTPRACROD017</x:t>
        </x:is>
      </x:c>
      <x:c r="B1660" s="184" t="inlineStr">
        <x:is>
          <x:t xml:space="preserve">RODILLO DE CERDA 19X150 MM (CHINO)</x:t>
        </x:is>
      </x:c>
      <x:c r="C1660" s="184" t="n">
        <x:v>0</x:v>
      </x:c>
      <x:c r="D1660" s="184" t="n">
        <x:v>0</x:v>
      </x:c>
      <x:c r="E1660" s="184" t="n">
        <x:v>0</x:v>
      </x:c>
      <x:c r="F1660" s="184" t="n">
        <x:v>0</x:v>
      </x:c>
      <x:c r="G1660" s="184" t="n">
        <x:v>0</x:v>
      </x:c>
      <x:c r="H1660" s="193" t="n">
        <x:v>0</x:v>
      </x:c>
      <x:c r="I1660" s="185" t="n">
        <x:v>0</x:v>
      </x:c>
      <x:c r="J1660" s="185" t="n">
        <x:v>0</x:v>
      </x:c>
      <x:c r="K1660" s="289" t="n">
        <x:v>3467</x:v>
      </x:c>
    </x:row>
    <x:row r="1661" s="117" customFormat="1" hidden="1">
      <x:c r="A1661" s="184" t="inlineStr">
        <x:is>
          <x:t xml:space="preserve">MTPRACROD018</x:t>
        </x:is>
      </x:c>
      <x:c r="B1661" s="184" t="inlineStr">
        <x:is>
          <x:t xml:space="preserve">RODILLO DE CERDA 25X75 MM (CHINO)</x:t>
        </x:is>
      </x:c>
      <x:c r="C1661" s="184" t="n">
        <x:v>0</x:v>
      </x:c>
      <x:c r="D1661" s="184" t="n">
        <x:v>0</x:v>
      </x:c>
      <x:c r="E1661" s="184" t="n">
        <x:v>0</x:v>
      </x:c>
      <x:c r="F1661" s="184" t="n">
        <x:v>0</x:v>
      </x:c>
      <x:c r="G1661" s="184" t="n">
        <x:v>0</x:v>
      </x:c>
      <x:c r="H1661" s="193" t="n">
        <x:v>0</x:v>
      </x:c>
      <x:c r="I1661" s="185" t="n">
        <x:v>0</x:v>
      </x:c>
      <x:c r="J1661" s="185" t="n">
        <x:v>0</x:v>
      </x:c>
      <x:c r="K1661" s="289" t="n">
        <x:v>13400</x:v>
      </x:c>
    </x:row>
    <x:row r="1662" s="117" customFormat="1" hidden="1">
      <x:c r="A1662" s="184" t="inlineStr">
        <x:is>
          <x:t xml:space="preserve">MTPRACROD019</x:t>
        </x:is>
      </x:c>
      <x:c r="B1662" s="184" t="inlineStr">
        <x:is>
          <x:t xml:space="preserve">RODILLO DE CERDA 25X150 MM (CHINO)</x:t>
        </x:is>
      </x:c>
      <x:c r="C1662" s="184" t="n">
        <x:v>0</x:v>
      </x:c>
      <x:c r="D1662" s="184" t="n">
        <x:v>0</x:v>
      </x:c>
      <x:c r="E1662" s="184" t="n">
        <x:v>0</x:v>
      </x:c>
      <x:c r="F1662" s="184" t="n">
        <x:v>0</x:v>
      </x:c>
      <x:c r="G1662" s="184" t="n">
        <x:v>0</x:v>
      </x:c>
      <x:c r="H1662" s="193" t="n">
        <x:v>0</x:v>
      </x:c>
      <x:c r="I1662" s="185" t="n">
        <x:v>0</x:v>
      </x:c>
      <x:c r="J1662" s="185" t="n">
        <x:v>0</x:v>
      </x:c>
      <x:c r="K1662" s="289" t="n">
        <x:v>3467</x:v>
      </x:c>
    </x:row>
    <x:row r="1663" s="117" customFormat="1" hidden="1">
      <x:c r="A1663" s="184" t="inlineStr">
        <x:is>
          <x:t xml:space="preserve">MTPRACROD020</x:t>
        </x:is>
      </x:c>
      <x:c r="B1663" s="184" t="inlineStr">
        <x:is>
          <x:t xml:space="preserve">RODILLO DE ALUMINIO 13X75 MM (CHINO)</x:t>
        </x:is>
      </x:c>
      <x:c r="C1663" s="184" t="n">
        <x:v>171</x:v>
      </x:c>
      <x:c r="D1663" s="184" t="n">
        <x:v>0</x:v>
      </x:c>
      <x:c r="E1663" s="184" t="n">
        <x:v>0</x:v>
      </x:c>
      <x:c r="F1663" s="184" t="n">
        <x:v>171</x:v>
      </x:c>
      <x:c r="G1663" s="184" t="n">
        <x:v>290871</x:v>
      </x:c>
      <x:c r="H1663" s="193" t="n">
        <x:v>0</x:v>
      </x:c>
      <x:c r="I1663" s="185" t="n">
        <x:v>0</x:v>
      </x:c>
      <x:c r="J1663" s="185" t="n">
        <x:v>290871</x:v>
      </x:c>
      <x:c r="K1663" s="289" t="n">
        <x:v>1701</x:v>
      </x:c>
    </x:row>
    <x:row r="1664" s="117" customFormat="1" hidden="1">
      <x:c r="A1664" s="184" t="inlineStr">
        <x:is>
          <x:t xml:space="preserve">MTPRACROD021</x:t>
        </x:is>
      </x:c>
      <x:c r="B1664" s="184" t="inlineStr">
        <x:is>
          <x:t xml:space="preserve">RODILLO DE ALUMINIO 19X75 MM (CHINO)</x:t>
        </x:is>
      </x:c>
      <x:c r="C1664" s="184" t="n">
        <x:v>137</x:v>
      </x:c>
      <x:c r="D1664" s="184" t="n">
        <x:v>0</x:v>
      </x:c>
      <x:c r="E1664" s="184" t="n">
        <x:v>0</x:v>
      </x:c>
      <x:c r="F1664" s="184" t="n">
        <x:v>137</x:v>
      </x:c>
      <x:c r="G1664" s="184" t="n">
        <x:v>306743</x:v>
      </x:c>
      <x:c r="H1664" s="193" t="n">
        <x:v>0</x:v>
      </x:c>
      <x:c r="I1664" s="185" t="n">
        <x:v>0</x:v>
      </x:c>
      <x:c r="J1664" s="185" t="n">
        <x:v>306743</x:v>
      </x:c>
      <x:c r="K1664" s="289" t="n">
        <x:v>2239</x:v>
      </x:c>
    </x:row>
    <x:row r="1665" s="117" customFormat="1" hidden="1">
      <x:c r="A1665" s="184" t="inlineStr">
        <x:is>
          <x:t xml:space="preserve">MTPRACROD022</x:t>
        </x:is>
      </x:c>
      <x:c r="B1665" s="184" t="inlineStr">
        <x:is>
          <x:t xml:space="preserve">RODILLO DE ALUMINIO 19X150 MM (CHINO)</x:t>
        </x:is>
      </x:c>
      <x:c r="C1665" s="184" t="n">
        <x:v>0</x:v>
      </x:c>
      <x:c r="D1665" s="184" t="n">
        <x:v>0</x:v>
      </x:c>
      <x:c r="E1665" s="184" t="n">
        <x:v>0</x:v>
      </x:c>
      <x:c r="F1665" s="184" t="n">
        <x:v>0</x:v>
      </x:c>
      <x:c r="G1665" s="184" t="n">
        <x:v>-1</x:v>
      </x:c>
      <x:c r="H1665" s="193" t="n">
        <x:v>0</x:v>
      </x:c>
      <x:c r="I1665" s="185" t="n">
        <x:v>0</x:v>
      </x:c>
      <x:c r="J1665" s="185" t="n">
        <x:v>-1</x:v>
      </x:c>
      <x:c r="K1665" s="289" t="n">
        <x:v>7126.30769231</x:v>
      </x:c>
    </x:row>
    <x:row r="1666" s="117" customFormat="1" hidden="1">
      <x:c r="A1666" s="184" t="inlineStr">
        <x:is>
          <x:t xml:space="preserve">MTPRACROD023</x:t>
        </x:is>
      </x:c>
      <x:c r="B1666" s="184" t="inlineStr">
        <x:is>
          <x:t xml:space="preserve">RODILLO DE ALUMINIO 25X75 MM (CHINO)</x:t>
        </x:is>
      </x:c>
      <x:c r="C1666" s="184" t="n">
        <x:v>177</x:v>
      </x:c>
      <x:c r="D1666" s="184" t="n">
        <x:v>0</x:v>
      </x:c>
      <x:c r="E1666" s="184" t="n">
        <x:v>0</x:v>
      </x:c>
      <x:c r="F1666" s="184" t="n">
        <x:v>177</x:v>
      </x:c>
      <x:c r="G1666" s="184" t="n">
        <x:v>475422</x:v>
      </x:c>
      <x:c r="H1666" s="193" t="n">
        <x:v>0</x:v>
      </x:c>
      <x:c r="I1666" s="185" t="n">
        <x:v>0</x:v>
      </x:c>
      <x:c r="J1666" s="185" t="n">
        <x:v>475422</x:v>
      </x:c>
      <x:c r="K1666" s="289" t="n">
        <x:v>2686</x:v>
      </x:c>
    </x:row>
    <x:row r="1667" s="117" customFormat="1" hidden="1">
      <x:c r="A1667" s="184" t="inlineStr">
        <x:is>
          <x:t xml:space="preserve">MTPRACROD024</x:t>
        </x:is>
      </x:c>
      <x:c r="B1667" s="184" t="inlineStr">
        <x:is>
          <x:t xml:space="preserve">RODILLO DE ACERO 12X75 MM (CHINO)</x:t>
        </x:is>
      </x:c>
      <x:c r="C1667" s="184" t="n">
        <x:v>0</x:v>
      </x:c>
      <x:c r="D1667" s="184" t="n">
        <x:v>0</x:v>
      </x:c>
      <x:c r="E1667" s="184" t="n">
        <x:v>0</x:v>
      </x:c>
      <x:c r="F1667" s="184" t="n">
        <x:v>0</x:v>
      </x:c>
      <x:c r="G1667" s="184" t="n">
        <x:v>0</x:v>
      </x:c>
      <x:c r="H1667" s="193" t="n">
        <x:v>0</x:v>
      </x:c>
      <x:c r="I1667" s="185" t="n">
        <x:v>0</x:v>
      </x:c>
      <x:c r="J1667" s="185" t="n">
        <x:v>0</x:v>
      </x:c>
      <x:c r="K1667" s="289" t="n">
        <x:v>1433</x:v>
      </x:c>
    </x:row>
    <x:row r="1668" s="117" customFormat="1" hidden="1">
      <x:c r="A1668" s="184" t="inlineStr">
        <x:is>
          <x:t xml:space="preserve">MTPRACROD025</x:t>
        </x:is>
      </x:c>
      <x:c r="B1668" s="184" t="inlineStr">
        <x:is>
          <x:t xml:space="preserve">RODILLO DE ACERO 12X50 MM (CHINO)</x:t>
        </x:is>
      </x:c>
      <x:c r="C1668" s="184" t="n">
        <x:v>163</x:v>
      </x:c>
      <x:c r="D1668" s="184" t="n">
        <x:v>0</x:v>
      </x:c>
      <x:c r="E1668" s="184" t="n">
        <x:v>0</x:v>
      </x:c>
      <x:c r="F1668" s="184" t="n">
        <x:v>163</x:v>
      </x:c>
      <x:c r="G1668" s="184" t="n">
        <x:v>218909</x:v>
      </x:c>
      <x:c r="H1668" s="193" t="n">
        <x:v>0</x:v>
      </x:c>
      <x:c r="I1668" s="185" t="n">
        <x:v>0</x:v>
      </x:c>
      <x:c r="J1668" s="185" t="n">
        <x:v>218909</x:v>
      </x:c>
      <x:c r="K1668" s="289" t="n">
        <x:v>1343</x:v>
      </x:c>
    </x:row>
    <x:row r="1669" s="117" customFormat="1" hidden="1">
      <x:c r="A1669" s="184" t="inlineStr">
        <x:is>
          <x:t xml:space="preserve">MTPRACROD026</x:t>
        </x:is>
      </x:c>
      <x:c r="B1669" s="184" t="inlineStr">
        <x:is>
          <x:t xml:space="preserve">RODILLO DE ACERO 14X150 MM (CHINO)</x:t>
        </x:is>
      </x:c>
      <x:c r="C1669" s="184" t="n">
        <x:v>0</x:v>
      </x:c>
      <x:c r="D1669" s="184" t="n">
        <x:v>0</x:v>
      </x:c>
      <x:c r="E1669" s="184" t="n">
        <x:v>0</x:v>
      </x:c>
      <x:c r="F1669" s="184" t="n">
        <x:v>0</x:v>
      </x:c>
      <x:c r="G1669" s="184" t="n">
        <x:v>0</x:v>
      </x:c>
      <x:c r="H1669" s="193" t="n">
        <x:v>0</x:v>
      </x:c>
      <x:c r="I1669" s="185" t="n">
        <x:v>0</x:v>
      </x:c>
      <x:c r="J1669" s="185" t="n">
        <x:v>0</x:v>
      </x:c>
      <x:c r="K1669" s="289" t="n">
        <x:v>2485</x:v>
      </x:c>
    </x:row>
    <x:row r="1670" s="117" customFormat="1" hidden="1">
      <x:c r="A1670" s="184" t="inlineStr">
        <x:is>
          <x:t xml:space="preserve">MTPRACROD027</x:t>
        </x:is>
      </x:c>
      <x:c r="B1670" s="184" t="inlineStr">
        <x:is>
          <x:t xml:space="preserve">RODILLO DE ACERO 19X75 MM (CHINO)</x:t>
        </x:is>
      </x:c>
      <x:c r="C1670" s="184" t="n">
        <x:v>312</x:v>
      </x:c>
      <x:c r="D1670" s="184" t="n">
        <x:v>0</x:v>
      </x:c>
      <x:c r="E1670" s="184" t="n">
        <x:v>0</x:v>
      </x:c>
      <x:c r="F1670" s="184" t="n">
        <x:v>312</x:v>
      </x:c>
      <x:c r="G1670" s="184" t="n">
        <x:v>502944</x:v>
      </x:c>
      <x:c r="H1670" s="193" t="n">
        <x:v>0</x:v>
      </x:c>
      <x:c r="I1670" s="185" t="n">
        <x:v>0</x:v>
      </x:c>
      <x:c r="J1670" s="185" t="n">
        <x:v>502944</x:v>
      </x:c>
      <x:c r="K1670" s="289" t="n">
        <x:v>1612</x:v>
      </x:c>
    </x:row>
    <x:row r="1671" s="117" customFormat="1" hidden="1">
      <x:c r="A1671" s="184" t="inlineStr">
        <x:is>
          <x:t xml:space="preserve">MTPRACROD028</x:t>
        </x:is>
      </x:c>
      <x:c r="B1671" s="184" t="inlineStr">
        <x:is>
          <x:t xml:space="preserve">RODILLO DE ACERO 19X150 MM (CHINO)</x:t>
        </x:is>
      </x:c>
      <x:c r="C1671" s="184" t="n">
        <x:v>0</x:v>
      </x:c>
      <x:c r="D1671" s="184" t="n">
        <x:v>0</x:v>
      </x:c>
      <x:c r="E1671" s="184" t="n">
        <x:v>0</x:v>
      </x:c>
      <x:c r="F1671" s="184" t="n">
        <x:v>0</x:v>
      </x:c>
      <x:c r="G1671" s="184" t="n">
        <x:v>0</x:v>
      </x:c>
      <x:c r="H1671" s="193" t="n">
        <x:v>0</x:v>
      </x:c>
      <x:c r="I1671" s="185" t="n">
        <x:v>0</x:v>
      </x:c>
      <x:c r="J1671" s="185" t="n">
        <x:v>0</x:v>
      </x:c>
      <x:c r="K1671" s="289" t="n">
        <x:v>2658</x:v>
      </x:c>
    </x:row>
    <x:row r="1672" s="117" customFormat="1" hidden="1">
      <x:c r="A1672" s="184" t="inlineStr">
        <x:is>
          <x:t xml:space="preserve">MTPRACROD029</x:t>
        </x:is>
      </x:c>
      <x:c r="B1672" s="184" t="inlineStr">
        <x:is>
          <x:t xml:space="preserve">RODILLO DE ALUMINIO 13X150 MM</x:t>
        </x:is>
      </x:c>
      <x:c r="C1672" s="184" t="n">
        <x:v>0</x:v>
      </x:c>
      <x:c r="D1672" s="184" t="n">
        <x:v>0</x:v>
      </x:c>
      <x:c r="E1672" s="184" t="n">
        <x:v>0</x:v>
      </x:c>
      <x:c r="F1672" s="184" t="n">
        <x:v>0</x:v>
      </x:c>
      <x:c r="G1672" s="184" t="n">
        <x:v>0</x:v>
      </x:c>
      <x:c r="H1672" s="193" t="n">
        <x:v>0</x:v>
      </x:c>
      <x:c r="I1672" s="185" t="n">
        <x:v>0</x:v>
      </x:c>
      <x:c r="J1672" s="185" t="n">
        <x:v>0</x:v>
      </x:c>
      <x:c r="K1672" s="289" t="n">
        <x:v>17000</x:v>
      </x:c>
    </x:row>
    <x:row r="1673" s="117" customFormat="1" hidden="1">
      <x:c r="A1673" s="184" t="inlineStr">
        <x:is>
          <x:t xml:space="preserve">MTPRACROD030</x:t>
        </x:is>
      </x:c>
      <x:c r="B1673" s="184" t="inlineStr">
        <x:is>
          <x:t xml:space="preserve">RODILLO SINTETICO TIPO 2 DE 14 CM (CHINO)</x:t>
        </x:is>
      </x:c>
      <x:c r="C1673" s="184" t="n">
        <x:v>0</x:v>
      </x:c>
      <x:c r="D1673" s="184" t="n">
        <x:v>0</x:v>
      </x:c>
      <x:c r="E1673" s="184" t="n">
        <x:v>0</x:v>
      </x:c>
      <x:c r="F1673" s="184" t="n">
        <x:v>0</x:v>
      </x:c>
      <x:c r="G1673" s="184" t="n">
        <x:v>0</x:v>
      </x:c>
      <x:c r="H1673" s="193" t="n">
        <x:v>0</x:v>
      </x:c>
      <x:c r="I1673" s="185" t="n">
        <x:v>0</x:v>
      </x:c>
      <x:c r="J1673" s="185" t="n">
        <x:v>0</x:v>
      </x:c>
      <x:c r="K1673" s="289" t="n">
        <x:v>600</x:v>
      </x:c>
    </x:row>
    <x:row r="1674" s="117" customFormat="1" hidden="1">
      <x:c r="A1674" s="184" t="inlineStr">
        <x:is>
          <x:t xml:space="preserve">MTPRACROD031</x:t>
        </x:is>
      </x:c>
      <x:c r="B1674" s="184" t="inlineStr">
        <x:is>
          <x:t xml:space="preserve">RODILLO SINTETICO TIPO 2 DE 10 CM (CHINO)</x:t>
        </x:is>
      </x:c>
      <x:c r="C1674" s="184" t="n">
        <x:v>0</x:v>
      </x:c>
      <x:c r="D1674" s="184" t="n">
        <x:v>0</x:v>
      </x:c>
      <x:c r="E1674" s="184" t="n">
        <x:v>0</x:v>
      </x:c>
      <x:c r="F1674" s="184" t="n">
        <x:v>0</x:v>
      </x:c>
      <x:c r="G1674" s="184" t="n">
        <x:v>0</x:v>
      </x:c>
      <x:c r="H1674" s="193" t="n">
        <x:v>0</x:v>
      </x:c>
      <x:c r="I1674" s="185" t="n">
        <x:v>0</x:v>
      </x:c>
      <x:c r="J1674" s="185" t="n">
        <x:v>0</x:v>
      </x:c>
      <x:c r="K1674" s="289" t="n">
        <x:v>546</x:v>
      </x:c>
    </x:row>
    <x:row r="1675" s="117" customFormat="1" hidden="1">
      <x:c r="A1675" s="184" t="inlineStr">
        <x:is>
          <x:t xml:space="preserve">MTPRACROD032</x:t>
        </x:is>
      </x:c>
      <x:c r="B1675" s="184" t="inlineStr">
        <x:is>
          <x:t xml:space="preserve">RODILLO  CHIPORRO SINTETICO TIPO 1 DE 18 CM (CHINO)</x:t>
        </x:is>
      </x:c>
      <x:c r="C1675" s="184" t="n">
        <x:v>0</x:v>
      </x:c>
      <x:c r="D1675" s="184" t="n">
        <x:v>402</x:v>
      </x:c>
      <x:c r="E1675" s="184" t="n">
        <x:v>249</x:v>
      </x:c>
      <x:c r="F1675" s="184" t="n">
        <x:v>153</x:v>
      </x:c>
      <x:c r="G1675" s="184" t="n">
        <x:v>0</x:v>
      </x:c>
      <x:c r="H1675" s="193" t="n">
        <x:v>270144</x:v>
      </x:c>
      <x:c r="I1675" s="185" t="n">
        <x:v>167328</x:v>
      </x:c>
      <x:c r="J1675" s="185" t="n">
        <x:v>102816</x:v>
      </x:c>
      <x:c r="K1675" s="289" t="n">
        <x:v>672</x:v>
      </x:c>
    </x:row>
    <x:row r="1676" s="117" customFormat="1" hidden="1">
      <x:c r="A1676" s="184" t="inlineStr">
        <x:is>
          <x:t xml:space="preserve">MTPRACROD033</x:t>
        </x:is>
      </x:c>
      <x:c r="B1676" s="184" t="inlineStr">
        <x:is>
          <x:t xml:space="preserve">RODILLO  CHIPORRO SINTETICO TIPO 1 DE 14 CM (CHINO)</x:t>
        </x:is>
      </x:c>
      <x:c r="C1676" s="184" t="n">
        <x:v>0</x:v>
      </x:c>
      <x:c r="D1676" s="184" t="n">
        <x:v>0</x:v>
      </x:c>
      <x:c r="E1676" s="184" t="n">
        <x:v>0</x:v>
      </x:c>
      <x:c r="F1676" s="184" t="n">
        <x:v>0</x:v>
      </x:c>
      <x:c r="G1676" s="184" t="n">
        <x:v>0</x:v>
      </x:c>
      <x:c r="H1676" s="193" t="n">
        <x:v>0</x:v>
      </x:c>
      <x:c r="I1676" s="185" t="n">
        <x:v>0</x:v>
      </x:c>
      <x:c r="J1676" s="185" t="n">
        <x:v>0</x:v>
      </x:c>
      <x:c r="K1676" s="289" t="n">
        <x:v>600</x:v>
      </x:c>
    </x:row>
    <x:row r="1677" s="117" customFormat="1" hidden="1">
      <x:c r="A1677" s="184" t="inlineStr">
        <x:is>
          <x:t xml:space="preserve">MTPRACROD034</x:t>
        </x:is>
      </x:c>
      <x:c r="B1677" s="184" t="inlineStr">
        <x:is>
          <x:t xml:space="preserve">RODILLO  CHIPORRO SINTETICO TIPO 1 DE 10 CM (CHINO)</x:t>
        </x:is>
      </x:c>
      <x:c r="C1677" s="184" t="n">
        <x:v>0</x:v>
      </x:c>
      <x:c r="D1677" s="184" t="n">
        <x:v>0</x:v>
      </x:c>
      <x:c r="E1677" s="184" t="n">
        <x:v>0</x:v>
      </x:c>
      <x:c r="F1677" s="184" t="n">
        <x:v>0</x:v>
      </x:c>
      <x:c r="G1677" s="184" t="n">
        <x:v>0</x:v>
      </x:c>
      <x:c r="H1677" s="193" t="n">
        <x:v>0</x:v>
      </x:c>
      <x:c r="I1677" s="185" t="n">
        <x:v>0</x:v>
      </x:c>
      <x:c r="J1677" s="185" t="n">
        <x:v>0</x:v>
      </x:c>
      <x:c r="K1677" s="289" t="n">
        <x:v>546</x:v>
      </x:c>
    </x:row>
    <x:row r="1678" s="117" customFormat="1" hidden="1">
      <x:c r="A1678" s="184" t="inlineStr">
        <x:is>
          <x:t xml:space="preserve">MTPRACROD035</x:t>
        </x:is>
      </x:c>
      <x:c r="B1678" s="184" t="inlineStr">
        <x:is>
          <x:t xml:space="preserve">RODILLO BURBUJERO METALICO 24 X 100 (CHINO) PUNTOS</x:t>
        </x:is>
      </x:c>
      <x:c r="C1678" s="184" t="n">
        <x:v>146</x:v>
      </x:c>
      <x:c r="D1678" s="184" t="n">
        <x:v>0</x:v>
      </x:c>
      <x:c r="E1678" s="184" t="n">
        <x:v>0</x:v>
      </x:c>
      <x:c r="F1678" s="184" t="n">
        <x:v>146</x:v>
      </x:c>
      <x:c r="G1678" s="184" t="n">
        <x:v>287620</x:v>
      </x:c>
      <x:c r="H1678" s="193" t="n">
        <x:v>0</x:v>
      </x:c>
      <x:c r="I1678" s="185" t="n">
        <x:v>0</x:v>
      </x:c>
      <x:c r="J1678" s="185" t="n">
        <x:v>287620</x:v>
      </x:c>
      <x:c r="K1678" s="289" t="n">
        <x:v>1970</x:v>
      </x:c>
    </x:row>
    <x:row r="1679" s="117" customFormat="1" hidden="1">
      <x:c r="A1679" s="184" t="inlineStr">
        <x:is>
          <x:t xml:space="preserve">MTPRACROD036</x:t>
        </x:is>
      </x:c>
      <x:c r="B1679" s="184" t="inlineStr">
        <x:is>
          <x:t xml:space="preserve">RODILLO BURBUJERO METALICO 24 X 50 (CHINO) PUNTOS</x:t>
        </x:is>
      </x:c>
      <x:c r="C1679" s="184" t="n">
        <x:v>63</x:v>
      </x:c>
      <x:c r="D1679" s="184" t="n">
        <x:v>0</x:v>
      </x:c>
      <x:c r="E1679" s="184" t="n">
        <x:v>5</x:v>
      </x:c>
      <x:c r="F1679" s="184" t="n">
        <x:v>58</x:v>
      </x:c>
      <x:c r="G1679" s="184" t="n">
        <x:v>107163</x:v>
      </x:c>
      <x:c r="H1679" s="193" t="n">
        <x:v>0</x:v>
      </x:c>
      <x:c r="I1679" s="185" t="n">
        <x:v>8505</x:v>
      </x:c>
      <x:c r="J1679" s="185" t="n">
        <x:v>98658</x:v>
      </x:c>
      <x:c r="K1679" s="289" t="n">
        <x:v>1701</x:v>
      </x:c>
    </x:row>
    <x:row r="1680" s="117" customFormat="1" hidden="1">
      <x:c r="A1680" s="184" t="inlineStr">
        <x:is>
          <x:t xml:space="preserve">MTPRACROD037</x:t>
        </x:is>
      </x:c>
      <x:c r="B1680" s="184" t="inlineStr">
        <x:is>
          <x:t xml:space="preserve">RODILLO ACERO 25X75 (CHINO)</x:t>
        </x:is>
      </x:c>
      <x:c r="C1680" s="184" t="n">
        <x:v>235</x:v>
      </x:c>
      <x:c r="D1680" s="184" t="n">
        <x:v>0</x:v>
      </x:c>
      <x:c r="E1680" s="184" t="n">
        <x:v>0</x:v>
      </x:c>
      <x:c r="F1680" s="184" t="n">
        <x:v>235</x:v>
      </x:c>
      <x:c r="G1680" s="184" t="n">
        <x:v>484100</x:v>
      </x:c>
      <x:c r="H1680" s="193" t="n">
        <x:v>0</x:v>
      </x:c>
      <x:c r="I1680" s="185" t="n">
        <x:v>0</x:v>
      </x:c>
      <x:c r="J1680" s="185" t="n">
        <x:v>484100</x:v>
      </x:c>
      <x:c r="K1680" s="289" t="n">
        <x:v>2060</x:v>
      </x:c>
    </x:row>
    <x:row r="1681" s="117" customFormat="1" hidden="1">
      <x:c r="A1681" s="184" t="inlineStr">
        <x:is>
          <x:t xml:space="preserve">MTPRACROD038</x:t>
        </x:is>
      </x:c>
      <x:c r="B1681" s="184" t="inlineStr">
        <x:is>
          <x:t xml:space="preserve">RODILLO ACERO 10X75 (CHINO)</x:t>
        </x:is>
      </x:c>
      <x:c r="C1681" s="184" t="n">
        <x:v>223</x:v>
      </x:c>
      <x:c r="D1681" s="184" t="n">
        <x:v>0</x:v>
      </x:c>
      <x:c r="E1681" s="184" t="n">
        <x:v>0</x:v>
      </x:c>
      <x:c r="F1681" s="184" t="n">
        <x:v>223</x:v>
      </x:c>
      <x:c r="G1681" s="184" t="n">
        <x:v>319559</x:v>
      </x:c>
      <x:c r="H1681" s="193" t="n">
        <x:v>0</x:v>
      </x:c>
      <x:c r="I1681" s="185" t="n">
        <x:v>0</x:v>
      </x:c>
      <x:c r="J1681" s="185" t="n">
        <x:v>319559</x:v>
      </x:c>
      <x:c r="K1681" s="289" t="n">
        <x:v>1433</x:v>
      </x:c>
    </x:row>
    <x:row r="1682" s="117" customFormat="1" hidden="1">
      <x:c r="A1682" s="184" t="inlineStr">
        <x:is>
          <x:t xml:space="preserve">MTPRACROD039</x:t>
        </x:is>
      </x:c>
      <x:c r="B1682" s="184" t="inlineStr">
        <x:is>
          <x:t xml:space="preserve">RODILLO SINTETICO TIPO 2 DE 18 CM (CHINO)</x:t>
        </x:is>
      </x:c>
      <x:c r="C1682" s="184" t="n">
        <x:v>0</x:v>
      </x:c>
      <x:c r="D1682" s="184" t="n">
        <x:v>0</x:v>
      </x:c>
      <x:c r="E1682" s="184" t="n">
        <x:v>0</x:v>
      </x:c>
      <x:c r="F1682" s="184" t="n">
        <x:v>0</x:v>
      </x:c>
      <x:c r="G1682" s="184" t="n">
        <x:v>0</x:v>
      </x:c>
      <x:c r="H1682" s="193" t="n">
        <x:v>0</x:v>
      </x:c>
      <x:c r="I1682" s="185" t="n">
        <x:v>0</x:v>
      </x:c>
      <x:c r="J1682" s="185" t="n">
        <x:v>0</x:v>
      </x:c>
      <x:c r="K1682" s="289" t="n">
        <x:v>672</x:v>
      </x:c>
    </x:row>
    <x:row r="1683" s="117" customFormat="1" hidden="1">
      <x:c r="A1683" s="184" t="inlineStr">
        <x:is>
          <x:t xml:space="preserve">MTPRACROD040</x:t>
        </x:is>
      </x:c>
      <x:c r="B1683" s="184" t="inlineStr">
        <x:is>
          <x:t xml:space="preserve">RODILLO BURBUJERO  CERDA  25 X 75</x:t>
        </x:is>
      </x:c>
      <x:c r="C1683" s="184" t="n">
        <x:v>4</x:v>
      </x:c>
      <x:c r="D1683" s="184" t="n">
        <x:v>0</x:v>
      </x:c>
      <x:c r="E1683" s="184" t="n">
        <x:v>0</x:v>
      </x:c>
      <x:c r="F1683" s="184" t="n">
        <x:v>4</x:v>
      </x:c>
      <x:c r="G1683" s="184" t="n">
        <x:v>53600</x:v>
      </x:c>
      <x:c r="H1683" s="193" t="n">
        <x:v>0</x:v>
      </x:c>
      <x:c r="I1683" s="185" t="n">
        <x:v>0</x:v>
      </x:c>
      <x:c r="J1683" s="185" t="n">
        <x:v>53600</x:v>
      </x:c>
      <x:c r="K1683" s="289" t="n">
        <x:v>13400</x:v>
      </x:c>
    </x:row>
    <x:row r="1684" s="117" customFormat="1" hidden="1">
      <x:c r="A1684" s="184" t="inlineStr">
        <x:is>
          <x:t xml:space="preserve">MTPRACROD041</x:t>
        </x:is>
      </x:c>
      <x:c r="B1684" s="184" t="inlineStr">
        <x:is>
          <x:t xml:space="preserve">RODILLO BURBUJERO  CERDA  19 X 75  (CHINO)</x:t>
        </x:is>
      </x:c>
      <x:c r="C1684" s="184" t="n">
        <x:v>0</x:v>
      </x:c>
      <x:c r="D1684" s="184" t="n">
        <x:v>0</x:v>
      </x:c>
      <x:c r="E1684" s="184" t="n">
        <x:v>0</x:v>
      </x:c>
      <x:c r="F1684" s="184" t="n">
        <x:v>0</x:v>
      </x:c>
      <x:c r="G1684" s="184" t="n">
        <x:v>0</x:v>
      </x:c>
      <x:c r="H1684" s="193" t="n">
        <x:v>0</x:v>
      </x:c>
      <x:c r="I1684" s="185" t="n">
        <x:v>0</x:v>
      </x:c>
      <x:c r="J1684" s="185" t="n">
        <x:v>0</x:v>
      </x:c>
      <x:c r="K1684" s="289" t="n">
        <x:v>2060</x:v>
      </x:c>
    </x:row>
    <x:row r="1685" s="117" customFormat="1" hidden="1">
      <x:c r="A1685" s="184" t="inlineStr">
        <x:is>
          <x:t xml:space="preserve">MTPRACROD042</x:t>
        </x:is>
      </x:c>
      <x:c r="B1685" s="184" t="inlineStr">
        <x:is>
          <x:t xml:space="preserve">RODILLO BURBUJERO  CERDA  22 X 50 (3/4 X 2)</x:t>
        </x:is>
      </x:c>
      <x:c r="C1685" s="184" t="n">
        <x:v>30</x:v>
      </x:c>
      <x:c r="D1685" s="184" t="n">
        <x:v>0</x:v>
      </x:c>
      <x:c r="E1685" s="184" t="n">
        <x:v>8</x:v>
      </x:c>
      <x:c r="F1685" s="184" t="n">
        <x:v>22</x:v>
      </x:c>
      <x:c r="G1685" s="184" t="n">
        <x:v>367500</x:v>
      </x:c>
      <x:c r="H1685" s="193" t="n">
        <x:v>0</x:v>
      </x:c>
      <x:c r="I1685" s="185" t="n">
        <x:v>98000</x:v>
      </x:c>
      <x:c r="J1685" s="185" t="n">
        <x:v>269500</x:v>
      </x:c>
      <x:c r="K1685" s="289" t="n">
        <x:v>12250</x:v>
      </x:c>
    </x:row>
    <x:row r="1686" s="117" customFormat="1" hidden="1">
      <x:c r="A1686" s="184" t="inlineStr">
        <x:is>
          <x:t xml:space="preserve">MTPRACROD043</x:t>
        </x:is>
      </x:c>
      <x:c r="B1686" s="184" t="inlineStr">
        <x:is>
          <x:t xml:space="preserve">RODILLO DE ALUMINIO 21 X 75 (3/4 X 3)</x:t>
        </x:is>
      </x:c>
      <x:c r="C1686" s="184" t="n">
        <x:v>10</x:v>
      </x:c>
      <x:c r="D1686" s="184" t="n">
        <x:v>0</x:v>
      </x:c>
      <x:c r="E1686" s="184" t="n">
        <x:v>0</x:v>
      </x:c>
      <x:c r="F1686" s="184" t="n">
        <x:v>10</x:v>
      </x:c>
      <x:c r="G1686" s="184" t="n">
        <x:v>191500</x:v>
      </x:c>
      <x:c r="H1686" s="193" t="n">
        <x:v>0</x:v>
      </x:c>
      <x:c r="I1686" s="185" t="n">
        <x:v>0</x:v>
      </x:c>
      <x:c r="J1686" s="185" t="n">
        <x:v>191500</x:v>
      </x:c>
      <x:c r="K1686" s="289" t="n">
        <x:v>19150</x:v>
      </x:c>
    </x:row>
    <x:row r="1687" s="117" customFormat="1" hidden="1">
      <x:c r="A1687" s="184" t="inlineStr">
        <x:is>
          <x:t xml:space="preserve">MTPRACROD044</x:t>
        </x:is>
      </x:c>
      <x:c r="B1687" s="184" t="inlineStr">
        <x:is>
          <x:t xml:space="preserve">BURBUJERO CERDA 25 x 100</x:t>
        </x:is>
      </x:c>
      <x:c r="C1687" s="184" t="n">
        <x:v>20</x:v>
      </x:c>
      <x:c r="D1687" s="184" t="n">
        <x:v>0</x:v>
      </x:c>
      <x:c r="E1687" s="184" t="n">
        <x:v>0</x:v>
      </x:c>
      <x:c r="F1687" s="184" t="n">
        <x:v>20</x:v>
      </x:c>
      <x:c r="G1687" s="184" t="n">
        <x:v>329000</x:v>
      </x:c>
      <x:c r="H1687" s="193" t="n">
        <x:v>0</x:v>
      </x:c>
      <x:c r="I1687" s="185" t="n">
        <x:v>0</x:v>
      </x:c>
      <x:c r="J1687" s="185" t="n">
        <x:v>329000</x:v>
      </x:c>
      <x:c r="K1687" s="289" t="n">
        <x:v>16450</x:v>
      </x:c>
    </x:row>
    <x:row r="1688" s="117" customFormat="1" hidden="1">
      <x:c r="A1688" s="184" t="inlineStr">
        <x:is>
          <x:t xml:space="preserve">MTPSEFHIL001</x:t>
        </x:is>
      </x:c>
      <x:c r="B1688" s="184" t="inlineStr">
        <x:is>
          <x:t xml:space="preserve">HILADO KEVLAR TWARON ARAMID FILAMETN YARN 1030</x:t>
        </x:is>
      </x:c>
      <x:c r="C1688" s="184" t="n">
        <x:v>0</x:v>
      </x:c>
      <x:c r="D1688" s="184" t="n">
        <x:v>0</x:v>
      </x:c>
      <x:c r="E1688" s="184" t="n">
        <x:v>0</x:v>
      </x:c>
      <x:c r="F1688" s="184" t="n">
        <x:v>0</x:v>
      </x:c>
      <x:c r="G1688" s="184" t="n">
        <x:v>-1</x:v>
      </x:c>
      <x:c r="H1688" s="193" t="n">
        <x:v>0</x:v>
      </x:c>
      <x:c r="I1688" s="185" t="n">
        <x:v>0</x:v>
      </x:c>
      <x:c r="J1688" s="185" t="n">
        <x:v>-1</x:v>
      </x:c>
      <x:c r="K1688" s="289" t="n">
        <x:v>54236</x:v>
      </x:c>
    </x:row>
    <x:row r="1689" s="117" customFormat="1" hidden="1">
      <x:c r="A1689" s="184" t="inlineStr">
        <x:is>
          <x:t xml:space="preserve">MTPSEFHIL002</x:t>
        </x:is>
      </x:c>
      <x:c r="B1689" s="184" t="inlineStr">
        <x:is>
          <x:t xml:space="preserve">HILADO PM1 (AG1) TUBULAR FIBRA DE VIDRIO/ACRILICO YARN</x:t>
        </x:is>
      </x:c>
      <x:c r="C1689" s="184" t="n">
        <x:v>748</x:v>
      </x:c>
      <x:c r="D1689" s="184" t="n">
        <x:v>0</x:v>
      </x:c>
      <x:c r="E1689" s="184" t="n">
        <x:v>208</x:v>
      </x:c>
      <x:c r="F1689" s="184" t="n">
        <x:v>540</x:v>
      </x:c>
      <x:c r="G1689" s="184" t="n">
        <x:v>7277143</x:v>
      </x:c>
      <x:c r="H1689" s="193" t="n">
        <x:v>0</x:v>
      </x:c>
      <x:c r="I1689" s="185" t="n">
        <x:v>2023590</x:v>
      </x:c>
      <x:c r="J1689" s="185" t="n">
        <x:v>5253553</x:v>
      </x:c>
      <x:c r="K1689" s="289" t="n">
        <x:v>9728.79976717</x:v>
      </x:c>
    </x:row>
    <x:row r="1690" s="117" customFormat="1" hidden="1">
      <x:c r="A1690" s="184" t="inlineStr">
        <x:is>
          <x:t xml:space="preserve">MTPSEFHIL003</x:t>
        </x:is>
      </x:c>
      <x:c r="B1690" s="184" t="inlineStr">
        <x:is>
          <x:t xml:space="preserve">HILADO FIBRA DE VIDRIO FIBERGLAS YAM  (HILADO DE ZETEX)</x:t>
        </x:is>
      </x:c>
      <x:c r="C1690" s="184" t="n">
        <x:v>280</x:v>
      </x:c>
      <x:c r="D1690" s="184" t="n">
        <x:v>0</x:v>
      </x:c>
      <x:c r="E1690" s="184" t="n">
        <x:v>0</x:v>
      </x:c>
      <x:c r="F1690" s="184" t="n">
        <x:v>280</x:v>
      </x:c>
      <x:c r="G1690" s="184" t="n">
        <x:v>392306</x:v>
      </x:c>
      <x:c r="H1690" s="193" t="n">
        <x:v>0</x:v>
      </x:c>
      <x:c r="I1690" s="185" t="n">
        <x:v>0</x:v>
      </x:c>
      <x:c r="J1690" s="185" t="n">
        <x:v>392306</x:v>
      </x:c>
      <x:c r="K1690" s="289" t="n">
        <x:v>1401.09195402</x:v>
      </x:c>
    </x:row>
    <x:row r="1691" s="117" customFormat="1" hidden="1">
      <x:c r="A1691" s="184" t="inlineStr">
        <x:is>
          <x:t xml:space="preserve">MTPSEFHIL004</x:t>
        </x:is>
      </x:c>
      <x:c r="B1691" s="184" t="inlineStr">
        <x:is>
          <x:t xml:space="preserve">HILADO PARA EMPAQUETADURAS DE TEFLON PURO TYPE 623</x:t>
        </x:is>
      </x:c>
      <x:c r="C1691" s="184" t="n">
        <x:v>0</x:v>
      </x:c>
      <x:c r="D1691" s="184" t="n">
        <x:v>0</x:v>
      </x:c>
      <x:c r="E1691" s="184" t="n">
        <x:v>0</x:v>
      </x:c>
      <x:c r="F1691" s="184" t="n">
        <x:v>0</x:v>
      </x:c>
      <x:c r="G1691" s="184" t="n">
        <x:v>0</x:v>
      </x:c>
      <x:c r="H1691" s="193" t="n">
        <x:v>0</x:v>
      </x:c>
      <x:c r="I1691" s="185" t="n">
        <x:v>0</x:v>
      </x:c>
      <x:c r="J1691" s="185" t="n">
        <x:v>0</x:v>
      </x:c>
      <x:c r="K1691" s="289" t="n">
        <x:v>0</x:v>
      </x:c>
    </x:row>
    <x:row r="1692" s="117" customFormat="1" hidden="1">
      <x:c r="A1692" s="184" t="inlineStr">
        <x:is>
          <x:t xml:space="preserve">MTPSEFHIL005</x:t>
        </x:is>
      </x:c>
      <x:c r="B1692" s="184" t="inlineStr">
        <x:is>
          <x:t xml:space="preserve">HILADO LENZING SANDWICH YARN TYPE 925 GS</x:t>
        </x:is>
      </x:c>
      <x:c r="C1692" s="184" t="n">
        <x:v>0</x:v>
      </x:c>
      <x:c r="D1692" s="184" t="n">
        <x:v>0</x:v>
      </x:c>
      <x:c r="E1692" s="184" t="n">
        <x:v>0</x:v>
      </x:c>
      <x:c r="F1692" s="184" t="n">
        <x:v>0</x:v>
      </x:c>
      <x:c r="G1692" s="184" t="n">
        <x:v>-4</x:v>
      </x:c>
      <x:c r="H1692" s="193" t="n">
        <x:v>0</x:v>
      </x:c>
      <x:c r="I1692" s="185" t="n">
        <x:v>0</x:v>
      </x:c>
      <x:c r="J1692" s="185" t="n">
        <x:v>-4</x:v>
      </x:c>
      <x:c r="K1692" s="289" t="n">
        <x:v>40329</x:v>
      </x:c>
    </x:row>
    <x:row r="1693" s="117" customFormat="1" hidden="1">
      <x:c r="A1693" s="184" t="inlineStr">
        <x:is>
          <x:t xml:space="preserve">MTPSEFHIL006</x:t>
        </x:is>
      </x:c>
      <x:c r="B1693" s="184" t="inlineStr">
        <x:is>
          <x:t xml:space="preserve">HILADO LENZING PTFE PACKING  YARN TYPE 723</x:t>
        </x:is>
      </x:c>
      <x:c r="C1693" s="184" t="n">
        <x:v>0</x:v>
      </x:c>
      <x:c r="D1693" s="184" t="n">
        <x:v>0</x:v>
      </x:c>
      <x:c r="E1693" s="184" t="n">
        <x:v>0</x:v>
      </x:c>
      <x:c r="F1693" s="184" t="n">
        <x:v>0</x:v>
      </x:c>
      <x:c r="G1693" s="184" t="n">
        <x:v>0</x:v>
      </x:c>
      <x:c r="H1693" s="193" t="n">
        <x:v>0</x:v>
      </x:c>
      <x:c r="I1693" s="185" t="n">
        <x:v>0</x:v>
      </x:c>
      <x:c r="J1693" s="185" t="n">
        <x:v>0</x:v>
      </x:c>
      <x:c r="K1693" s="289" t="n">
        <x:v>42316</x:v>
      </x:c>
    </x:row>
    <x:row r="1694" s="117" customFormat="1" hidden="1">
      <x:c r="A1694" s="184" t="inlineStr">
        <x:is>
          <x:t xml:space="preserve">MTPSEFHIL007</x:t>
        </x:is>
      </x:c>
      <x:c r="B1694" s="184" t="inlineStr">
        <x:is>
          <x:t xml:space="preserve">HILADO 100 % GFO YARN (CHINO)</x:t>
        </x:is>
      </x:c>
      <x:c r="C1694" s="184" t="n">
        <x:v>567</x:v>
      </x:c>
      <x:c r="D1694" s="184" t="n">
        <x:v>0</x:v>
      </x:c>
      <x:c r="E1694" s="184" t="n">
        <x:v>0</x:v>
      </x:c>
      <x:c r="F1694" s="184" t="n">
        <x:v>567</x:v>
      </x:c>
      <x:c r="G1694" s="184" t="n">
        <x:v>10328134</x:v>
      </x:c>
      <x:c r="H1694" s="193" t="n">
        <x:v>0</x:v>
      </x:c>
      <x:c r="I1694" s="185" t="n">
        <x:v>0</x:v>
      </x:c>
      <x:c r="J1694" s="185" t="n">
        <x:v>10328134</x:v>
      </x:c>
      <x:c r="K1694" s="289" t="n">
        <x:v>18215.40249548</x:v>
      </x:c>
    </x:row>
    <x:row r="1695" s="117" customFormat="1" hidden="1">
      <x:c r="A1695" s="184" t="inlineStr">
        <x:is>
          <x:t xml:space="preserve">MTPSEFHIL008</x:t>
        </x:is>
      </x:c>
      <x:c r="B1695" s="184" t="inlineStr">
        <x:is>
          <x:t xml:space="preserve">HILADO GRAFITE PTFE FILAMENT LUB GRAF.2G/MT (723)</x:t>
        </x:is>
      </x:c>
      <x:c r="C1695" s="184" t="n">
        <x:v>0</x:v>
      </x:c>
      <x:c r="D1695" s="184" t="n">
        <x:v>0</x:v>
      </x:c>
      <x:c r="E1695" s="184" t="n">
        <x:v>0</x:v>
      </x:c>
      <x:c r="F1695" s="184" t="n">
        <x:v>0</x:v>
      </x:c>
      <x:c r="G1695" s="184" t="n">
        <x:v>0</x:v>
      </x:c>
      <x:c r="H1695" s="193" t="n">
        <x:v>0</x:v>
      </x:c>
      <x:c r="I1695" s="185" t="n">
        <x:v>0</x:v>
      </x:c>
      <x:c r="J1695" s="185" t="n">
        <x:v>0</x:v>
      </x:c>
      <x:c r="K1695" s="289" t="n">
        <x:v>26296</x:v>
      </x:c>
    </x:row>
    <x:row r="1696" s="117" customFormat="1" hidden="1">
      <x:c r="A1696" s="184" t="inlineStr">
        <x:is>
          <x:t xml:space="preserve">MTPSEFIMP001</x:t>
        </x:is>
      </x:c>
      <x:c r="B1696" s="184" t="inlineStr">
        <x:is>
          <x:t xml:space="preserve">TEFLON EN SOLUCION 30-B</x:t>
        </x:is>
      </x:c>
      <x:c r="C1696" s="184" t="n">
        <x:v>0</x:v>
      </x:c>
      <x:c r="D1696" s="184" t="n">
        <x:v>0</x:v>
      </x:c>
      <x:c r="E1696" s="184" t="n">
        <x:v>0</x:v>
      </x:c>
      <x:c r="F1696" s="184" t="n">
        <x:v>0</x:v>
      </x:c>
      <x:c r="G1696" s="184" t="n">
        <x:v>0</x:v>
      </x:c>
      <x:c r="H1696" s="193" t="n">
        <x:v>0</x:v>
      </x:c>
      <x:c r="I1696" s="185" t="n">
        <x:v>0</x:v>
      </x:c>
      <x:c r="J1696" s="185" t="n">
        <x:v>0</x:v>
      </x:c>
      <x:c r="K1696" s="289" t="n">
        <x:v>24442</x:v>
      </x:c>
    </x:row>
    <x:row r="1697" s="117" customFormat="1" hidden="1">
      <x:c r="A1697" s="184" t="inlineStr">
        <x:is>
          <x:t xml:space="preserve">MTPSEFIMP002</x:t>
        </x:is>
      </x:c>
      <x:c r="B1697" s="184" t="inlineStr">
        <x:is>
          <x:t xml:space="preserve">PETROLATHUM</x:t>
        </x:is>
      </x:c>
      <x:c r="C1697" s="184" t="n">
        <x:v>0</x:v>
      </x:c>
      <x:c r="D1697" s="184" t="n">
        <x:v>0</x:v>
      </x:c>
      <x:c r="E1697" s="184" t="n">
        <x:v>0</x:v>
      </x:c>
      <x:c r="F1697" s="184" t="n">
        <x:v>0</x:v>
      </x:c>
      <x:c r="G1697" s="184" t="n">
        <x:v>0</x:v>
      </x:c>
      <x:c r="H1697" s="193" t="n">
        <x:v>0</x:v>
      </x:c>
      <x:c r="I1697" s="185" t="n">
        <x:v>0</x:v>
      </x:c>
      <x:c r="J1697" s="185" t="n">
        <x:v>0</x:v>
      </x:c>
      <x:c r="K1697" s="289" t="n">
        <x:v>0</x:v>
      </x:c>
    </x:row>
    <x:row r="1698" s="117" customFormat="1" hidden="1">
      <x:c r="A1698" s="184" t="inlineStr">
        <x:is>
          <x:t xml:space="preserve">MTPSEFIMP003</x:t>
        </x:is>
      </x:c>
      <x:c r="B1698" s="184" t="inlineStr">
        <x:is>
          <x:t xml:space="preserve">VASELINA LIQUIDA ADVANCE DRAKEOL WHITE OIL 85</x:t>
        </x:is>
      </x:c>
      <x:c r="C1698" s="184" t="n">
        <x:v>320</x:v>
      </x:c>
      <x:c r="D1698" s="184" t="n">
        <x:v>0</x:v>
      </x:c>
      <x:c r="E1698" s="184" t="n">
        <x:v>0</x:v>
      </x:c>
      <x:c r="F1698" s="184" t="n">
        <x:v>320</x:v>
      </x:c>
      <x:c r="G1698" s="184" t="n">
        <x:v>876481</x:v>
      </x:c>
      <x:c r="H1698" s="193" t="n">
        <x:v>0</x:v>
      </x:c>
      <x:c r="I1698" s="185" t="n">
        <x:v>0</x:v>
      </x:c>
      <x:c r="J1698" s="185" t="n">
        <x:v>876481</x:v>
      </x:c>
      <x:c r="K1698" s="289" t="n">
        <x:v>2739</x:v>
      </x:c>
    </x:row>
    <x:row r="1699" s="117" customFormat="1" hidden="1">
      <x:c r="A1699" s="184" t="inlineStr">
        <x:is>
          <x:t xml:space="preserve">MTPSEFTEL001</x:t>
        </x:is>
      </x:c>
      <x:c r="B1699" s="184" t="inlineStr">
        <x:is>
          <x:t xml:space="preserve">KIT CABLE CALEFACTOR PROTECCIONES TERMICAS COLLAHUASI</x:t>
        </x:is>
      </x:c>
      <x:c r="C1699" s="184" t="n">
        <x:v>0</x:v>
      </x:c>
      <x:c r="D1699" s="184" t="n">
        <x:v>0</x:v>
      </x:c>
      <x:c r="E1699" s="184" t="n">
        <x:v>0</x:v>
      </x:c>
      <x:c r="F1699" s="184" t="n">
        <x:v>0</x:v>
      </x:c>
      <x:c r="G1699" s="184" t="n">
        <x:v>0</x:v>
      </x:c>
      <x:c r="H1699" s="193" t="n">
        <x:v>0</x:v>
      </x:c>
      <x:c r="I1699" s="185" t="n">
        <x:v>0</x:v>
      </x:c>
      <x:c r="J1699" s="185" t="n">
        <x:v>0</x:v>
      </x:c>
      <x:c r="K1699" s="289" t="n">
        <x:v>131100</x:v>
      </x:c>
    </x:row>
    <x:row r="1700" s="117" customFormat="1" hidden="1">
      <x:c r="A1700" s="184" t="inlineStr">
        <x:is>
          <x:t xml:space="preserve">MTPTRREPP001</x:t>
        </x:is>
      </x:c>
      <x:c r="B1700" s="184" t="inlineStr">
        <x:is>
          <x:t xml:space="preserve">PIJAMA DE ALGODON T/XL</x:t>
        </x:is>
      </x:c>
      <x:c r="C1700" s="184" t="n">
        <x:v>0</x:v>
      </x:c>
      <x:c r="D1700" s="184" t="n">
        <x:v>0</x:v>
      </x:c>
      <x:c r="E1700" s="184" t="n">
        <x:v>0</x:v>
      </x:c>
      <x:c r="F1700" s="184" t="n">
        <x:v>0</x:v>
      </x:c>
      <x:c r="G1700" s="184" t="n">
        <x:v>0</x:v>
      </x:c>
      <x:c r="H1700" s="193" t="n">
        <x:v>0</x:v>
      </x:c>
      <x:c r="I1700" s="185" t="n">
        <x:v>0</x:v>
      </x:c>
      <x:c r="J1700" s="185" t="n">
        <x:v>0</x:v>
      </x:c>
      <x:c r="K1700" s="289" t="n">
        <x:v>0</x:v>
      </x:c>
    </x:row>
    <x:row r="1701" s="117" customFormat="1" hidden="1">
      <x:c r="A1701" s="184" t="inlineStr">
        <x:is>
          <x:t xml:space="preserve">MTPTRREPP002</x:t>
        </x:is>
      </x:c>
      <x:c r="B1701" s="184" t="inlineStr">
        <x:is>
          <x:t xml:space="preserve">PIJAMA DE ALGODON T/L</x:t>
        </x:is>
      </x:c>
      <x:c r="C1701" s="184" t="n">
        <x:v>0</x:v>
      </x:c>
      <x:c r="D1701" s="184" t="n">
        <x:v>0</x:v>
      </x:c>
      <x:c r="E1701" s="184" t="n">
        <x:v>0</x:v>
      </x:c>
      <x:c r="F1701" s="184" t="n">
        <x:v>0</x:v>
      </x:c>
      <x:c r="G1701" s="184" t="n">
        <x:v>0</x:v>
      </x:c>
      <x:c r="H1701" s="193" t="n">
        <x:v>0</x:v>
      </x:c>
      <x:c r="I1701" s="185" t="n">
        <x:v>0</x:v>
      </x:c>
      <x:c r="J1701" s="185" t="n">
        <x:v>0</x:v>
      </x:c>
      <x:c r="K1701" s="289" t="n">
        <x:v>0</x:v>
      </x:c>
    </x:row>
    <x:row r="1702" s="117" customFormat="1" hidden="1">
      <x:c r="A1702" s="184" t="inlineStr">
        <x:is>
          <x:t xml:space="preserve">MTPTRREPP003</x:t>
        </x:is>
      </x:c>
      <x:c r="B1702" s="184" t="inlineStr">
        <x:is>
          <x:t xml:space="preserve">PIJAMA DE ALGODON T/M</x:t>
        </x:is>
      </x:c>
      <x:c r="C1702" s="184" t="n">
        <x:v>0</x:v>
      </x:c>
      <x:c r="D1702" s="184" t="n">
        <x:v>0</x:v>
      </x:c>
      <x:c r="E1702" s="184" t="n">
        <x:v>0</x:v>
      </x:c>
      <x:c r="F1702" s="184" t="n">
        <x:v>0</x:v>
      </x:c>
      <x:c r="G1702" s="184" t="n">
        <x:v>0</x:v>
      </x:c>
      <x:c r="H1702" s="193" t="n">
        <x:v>0</x:v>
      </x:c>
      <x:c r="I1702" s="185" t="n">
        <x:v>0</x:v>
      </x:c>
      <x:c r="J1702" s="185" t="n">
        <x:v>0</x:v>
      </x:c>
      <x:c r="K1702" s="289" t="n">
        <x:v>0</x:v>
      </x:c>
    </x:row>
    <x:row r="1703" s="117" customFormat="1" hidden="1">
      <x:c r="A1703" s="184" t="inlineStr">
        <x:is>
          <x:t xml:space="preserve">MTPTRREPP004</x:t>
        </x:is>
      </x:c>
      <x:c r="B1703" s="184" t="inlineStr">
        <x:is>
          <x:t xml:space="preserve">PIJAMA DE ALGODON T/S</x:t>
        </x:is>
      </x:c>
      <x:c r="C1703" s="184" t="n">
        <x:v>0</x:v>
      </x:c>
      <x:c r="D1703" s="184" t="n">
        <x:v>0</x:v>
      </x:c>
      <x:c r="E1703" s="184" t="n">
        <x:v>0</x:v>
      </x:c>
      <x:c r="F1703" s="184" t="n">
        <x:v>0</x:v>
      </x:c>
      <x:c r="G1703" s="184" t="n">
        <x:v>0</x:v>
      </x:c>
      <x:c r="H1703" s="193" t="n">
        <x:v>0</x:v>
      </x:c>
      <x:c r="I1703" s="185" t="n">
        <x:v>0</x:v>
      </x:c>
      <x:c r="J1703" s="185" t="n">
        <x:v>0</x:v>
      </x:c>
      <x:c r="K1703" s="289" t="n">
        <x:v>0</x:v>
      </x:c>
    </x:row>
    <x:row r="1704" s="117" customFormat="1" hidden="1">
      <x:c r="A1704" s="184" t="inlineStr">
        <x:is>
          <x:t xml:space="preserve">MTPTRREPP005</x:t>
        </x:is>
      </x:c>
      <x:c r="B1704" s="184" t="inlineStr">
        <x:is>
          <x:t xml:space="preserve">LENTE 3M VIRTUA SELLADO</x:t>
        </x:is>
      </x:c>
      <x:c r="C1704" s="184" t="n">
        <x:v>0</x:v>
      </x:c>
      <x:c r="D1704" s="184" t="n">
        <x:v>0</x:v>
      </x:c>
      <x:c r="E1704" s="184" t="n">
        <x:v>0</x:v>
      </x:c>
      <x:c r="F1704" s="184" t="n">
        <x:v>0</x:v>
      </x:c>
      <x:c r="G1704" s="184" t="n">
        <x:v>0</x:v>
      </x:c>
      <x:c r="H1704" s="193" t="n">
        <x:v>0</x:v>
      </x:c>
      <x:c r="I1704" s="185" t="n">
        <x:v>0</x:v>
      </x:c>
      <x:c r="J1704" s="185" t="n">
        <x:v>0</x:v>
      </x:c>
      <x:c r="K1704" s="289" t="n">
        <x:v>3250</x:v>
      </x:c>
    </x:row>
    <x:row r="1705" s="117" customFormat="1" hidden="1">
      <x:c r="A1705" s="184" t="inlineStr">
        <x:is>
          <x:t xml:space="preserve">MTPTRREPP006</x:t>
        </x:is>
      </x:c>
      <x:c r="B1705" s="184" t="inlineStr">
        <x:is>
          <x:t xml:space="preserve">CANDADO BLOQUEO A.LOCK GRIS</x:t>
        </x:is>
      </x:c>
      <x:c r="C1705" s="184" t="n">
        <x:v>0</x:v>
      </x:c>
      <x:c r="D1705" s="184" t="n">
        <x:v>0</x:v>
      </x:c>
      <x:c r="E1705" s="184" t="n">
        <x:v>0</x:v>
      </x:c>
      <x:c r="F1705" s="184" t="n">
        <x:v>0</x:v>
      </x:c>
      <x:c r="G1705" s="184" t="n">
        <x:v>0</x:v>
      </x:c>
      <x:c r="H1705" s="193" t="n">
        <x:v>0</x:v>
      </x:c>
      <x:c r="I1705" s="185" t="n">
        <x:v>0</x:v>
      </x:c>
      <x:c r="J1705" s="185" t="n">
        <x:v>0</x:v>
      </x:c>
      <x:c r="K1705" s="289" t="n">
        <x:v>5850</x:v>
      </x:c>
    </x:row>
    <x:row r="1706" s="117" customFormat="1" hidden="1">
      <x:c r="A1706" s="184" t="inlineStr">
        <x:is>
          <x:t xml:space="preserve">MTPTRREPP007</x:t>
        </x:is>
      </x:c>
      <x:c r="B1706" s="184" t="inlineStr">
        <x:is>
          <x:t xml:space="preserve">CANDADO ANODIZADO ATOX 205 PLATA</x:t>
        </x:is>
      </x:c>
      <x:c r="C1706" s="184" t="n">
        <x:v>0</x:v>
      </x:c>
      <x:c r="D1706" s="184" t="n">
        <x:v>0</x:v>
      </x:c>
      <x:c r="E1706" s="184" t="n">
        <x:v>0</x:v>
      </x:c>
      <x:c r="F1706" s="184" t="n">
        <x:v>0</x:v>
      </x:c>
      <x:c r="G1706" s="184" t="n">
        <x:v>0</x:v>
      </x:c>
      <x:c r="H1706" s="193" t="n">
        <x:v>0</x:v>
      </x:c>
      <x:c r="I1706" s="185" t="n">
        <x:v>0</x:v>
      </x:c>
      <x:c r="J1706" s="185" t="n">
        <x:v>0</x:v>
      </x:c>
      <x:c r="K1706" s="289" t="n">
        <x:v>5900</x:v>
      </x:c>
    </x:row>
    <x:row r="1707" s="117" customFormat="1" hidden="1">
      <x:c r="A1707" s="184" t="inlineStr">
        <x:is>
          <x:t xml:space="preserve">PDTACCHDP001</x:t>
        </x:is>
      </x:c>
      <x:c r="B1707" s="184" t="inlineStr">
        <x:is>
          <x:t xml:space="preserve">FLANGE CIEGO A/C 63MM ANSI 150LBS REVESTIDO EN HDPE</x:t>
        </x:is>
      </x:c>
      <x:c r="C1707" s="184" t="n">
        <x:v>0</x:v>
      </x:c>
      <x:c r="D1707" s="184" t="n">
        <x:v>0</x:v>
      </x:c>
      <x:c r="E1707" s="184" t="n">
        <x:v>0</x:v>
      </x:c>
      <x:c r="F1707" s="184" t="n">
        <x:v>0</x:v>
      </x:c>
      <x:c r="G1707" s="184" t="n">
        <x:v>0</x:v>
      </x:c>
      <x:c r="H1707" s="193" t="n">
        <x:v>0</x:v>
      </x:c>
      <x:c r="I1707" s="185" t="n">
        <x:v>0</x:v>
      </x:c>
      <x:c r="J1707" s="185" t="n">
        <x:v>0</x:v>
      </x:c>
      <x:c r="K1707" s="289" t="n">
        <x:v>12100</x:v>
      </x:c>
    </x:row>
    <x:row r="1708" s="117" customFormat="1" hidden="1">
      <x:c r="A1708" s="184" t="inlineStr">
        <x:is>
          <x:t xml:space="preserve">PDTACCTEF001</x:t>
        </x:is>
      </x:c>
      <x:c r="B1708" s="184" t="inlineStr">
        <x:is>
          <x:t xml:space="preserve">CARRETE ACERO CARBONO 2 PLG X 400 MM ASTM A 106 SCH 40 INTERIOR PTFE 3 MM BRIDA ANSI B16.5</x:t>
        </x:is>
      </x:c>
      <x:c r="C1708" s="184" t="n">
        <x:v>0</x:v>
      </x:c>
      <x:c r="D1708" s="184" t="n">
        <x:v>0</x:v>
      </x:c>
      <x:c r="E1708" s="184" t="n">
        <x:v>0</x:v>
      </x:c>
      <x:c r="F1708" s="184" t="n">
        <x:v>0</x:v>
      </x:c>
      <x:c r="G1708" s="184" t="n">
        <x:v>0</x:v>
      </x:c>
      <x:c r="H1708" s="193" t="n">
        <x:v>0</x:v>
      </x:c>
      <x:c r="I1708" s="185" t="n">
        <x:v>0</x:v>
      </x:c>
      <x:c r="J1708" s="185" t="n">
        <x:v>0</x:v>
      </x:c>
      <x:c r="K1708" s="289" t="n">
        <x:v>131426</x:v>
      </x:c>
    </x:row>
    <x:row r="1709" s="117" customFormat="1" hidden="1">
      <x:c r="A1709" s="184" t="inlineStr">
        <x:is>
          <x:t xml:space="preserve">PDTACCTEF002</x:t>
        </x:is>
      </x:c>
      <x:c r="B1709" s="184" t="inlineStr">
        <x:is>
          <x:t xml:space="preserve">TEE REDUCCION DIAM.4 PLG X 2 PLG LGO STANDAR ACERO CARBONO REVESTIDO PTFE 3 MM</x:t>
        </x:is>
      </x:c>
      <x:c r="C1709" s="184" t="n">
        <x:v>0</x:v>
      </x:c>
      <x:c r="D1709" s="184" t="n">
        <x:v>0</x:v>
      </x:c>
      <x:c r="E1709" s="184" t="n">
        <x:v>0</x:v>
      </x:c>
      <x:c r="F1709" s="184" t="n">
        <x:v>0</x:v>
      </x:c>
      <x:c r="G1709" s="184" t="n">
        <x:v>0</x:v>
      </x:c>
      <x:c r="H1709" s="193" t="n">
        <x:v>0</x:v>
      </x:c>
      <x:c r="I1709" s="185" t="n">
        <x:v>0</x:v>
      </x:c>
      <x:c r="J1709" s="185" t="n">
        <x:v>0</x:v>
      </x:c>
      <x:c r="K1709" s="289" t="n">
        <x:v>116372</x:v>
      </x:c>
    </x:row>
    <x:row r="1710" s="117" customFormat="1" hidden="1">
      <x:c r="A1710" s="184" t="inlineStr">
        <x:is>
          <x:t xml:space="preserve">PDTACCTEF003</x:t>
        </x:is>
      </x:c>
      <x:c r="B1710" s="184" t="inlineStr">
        <x:is>
          <x:t xml:space="preserve">CAÑERIA ACERO SCH 40 CONB PTFE INTERIOR FLANGES CLASE 150 2440 MM X 1 PLG DIAM.</x:t>
        </x:is>
      </x:c>
      <x:c r="C1710" s="184" t="n">
        <x:v>0</x:v>
      </x:c>
      <x:c r="D1710" s="184" t="n">
        <x:v>0</x:v>
      </x:c>
      <x:c r="E1710" s="184" t="n">
        <x:v>0</x:v>
      </x:c>
      <x:c r="F1710" s="184" t="n">
        <x:v>0</x:v>
      </x:c>
      <x:c r="G1710" s="184" t="n">
        <x:v>0</x:v>
      </x:c>
      <x:c r="H1710" s="193" t="n">
        <x:v>0</x:v>
      </x:c>
      <x:c r="I1710" s="185" t="n">
        <x:v>0</x:v>
      </x:c>
      <x:c r="J1710" s="185" t="n">
        <x:v>0</x:v>
      </x:c>
      <x:c r="K1710" s="289" t="n">
        <x:v>62841</x:v>
      </x:c>
    </x:row>
    <x:row r="1711" s="117" customFormat="1" hidden="1">
      <x:c r="A1711" s="184" t="inlineStr">
        <x:is>
          <x:t xml:space="preserve">PDTACCTEF004</x:t>
        </x:is>
      </x:c>
      <x:c r="B1711" s="184" t="inlineStr">
        <x:is>
          <x:t xml:space="preserve">VALVULA DE DIAFRAGMA ACERO REVESTIDA PFA DN 250</x:t>
        </x:is>
      </x:c>
      <x:c r="C1711" s="184" t="n">
        <x:v>0</x:v>
      </x:c>
      <x:c r="D1711" s="184" t="n">
        <x:v>0</x:v>
      </x:c>
      <x:c r="E1711" s="184" t="n">
        <x:v>0</x:v>
      </x:c>
      <x:c r="F1711" s="184" t="n">
        <x:v>0</x:v>
      </x:c>
      <x:c r="G1711" s="184" t="n">
        <x:v>0</x:v>
      </x:c>
      <x:c r="H1711" s="193" t="n">
        <x:v>0</x:v>
      </x:c>
      <x:c r="I1711" s="185" t="n">
        <x:v>0</x:v>
      </x:c>
      <x:c r="J1711" s="185" t="n">
        <x:v>0</x:v>
      </x:c>
      <x:c r="K1711" s="289" t="n">
        <x:v>3345691</x:v>
      </x:c>
    </x:row>
    <x:row r="1712" s="117" customFormat="1" hidden="1">
      <x:c r="A1712" s="184" t="inlineStr">
        <x:is>
          <x:t xml:space="preserve">PDTACCTEF005</x:t>
        </x:is>
      </x:c>
      <x:c r="B1712" s="184" t="inlineStr">
        <x:is>
          <x:t xml:space="preserve">SPOOL ACERO CARBONO REVESTIDO PTFE DN 25 L2986 MM CON UN FLANGE LOCO PLANO 2329-PL-P-004 REV1</x:t>
        </x:is>
      </x:c>
      <x:c r="C1712" s="184" t="n">
        <x:v>0</x:v>
      </x:c>
      <x:c r="D1712" s="184" t="n">
        <x:v>0</x:v>
      </x:c>
      <x:c r="E1712" s="184" t="n">
        <x:v>0</x:v>
      </x:c>
      <x:c r="F1712" s="184" t="n">
        <x:v>0</x:v>
      </x:c>
      <x:c r="G1712" s="184" t="n">
        <x:v>0</x:v>
      </x:c>
      <x:c r="H1712" s="193" t="n">
        <x:v>0</x:v>
      </x:c>
      <x:c r="I1712" s="185" t="n">
        <x:v>0</x:v>
      </x:c>
      <x:c r="J1712" s="185" t="n">
        <x:v>0</x:v>
      </x:c>
      <x:c r="K1712" s="289" t="n">
        <x:v>369312</x:v>
      </x:c>
    </x:row>
    <x:row r="1713" s="117" customFormat="1" hidden="1">
      <x:c r="A1713" s="184" t="inlineStr">
        <x:is>
          <x:t xml:space="preserve">PDTACCTEF006</x:t>
        </x:is>
      </x:c>
      <x:c r="B1713" s="184" t="inlineStr">
        <x:is>
          <x:t xml:space="preserve">SPOOL ACERO CARBONO REVESTIDO PTFE DN 25 L2030 MM CON UN FLANGE LOCO PLANO 2329-PL-P-005 REV1</x:t>
        </x:is>
      </x:c>
      <x:c r="C1713" s="184" t="n">
        <x:v>0</x:v>
      </x:c>
      <x:c r="D1713" s="184" t="n">
        <x:v>0</x:v>
      </x:c>
      <x:c r="E1713" s="184" t="n">
        <x:v>0</x:v>
      </x:c>
      <x:c r="F1713" s="184" t="n">
        <x:v>0</x:v>
      </x:c>
      <x:c r="G1713" s="184" t="n">
        <x:v>0</x:v>
      </x:c>
      <x:c r="H1713" s="193" t="n">
        <x:v>0</x:v>
      </x:c>
      <x:c r="I1713" s="185" t="n">
        <x:v>0</x:v>
      </x:c>
      <x:c r="J1713" s="185" t="n">
        <x:v>0</x:v>
      </x:c>
      <x:c r="K1713" s="289" t="n">
        <x:v>278404</x:v>
      </x:c>
    </x:row>
    <x:row r="1714" s="117" customFormat="1" hidden="1">
      <x:c r="A1714" s="184" t="inlineStr">
        <x:is>
          <x:t xml:space="preserve">PDTACCTEF007</x:t>
        </x:is>
      </x:c>
      <x:c r="B1714" s="184" t="inlineStr">
        <x:is>
          <x:t xml:space="preserve">SPOOL ACERO CARBONO REVESTIDO PTFE DN 100 L202 MM CON UN FLANGE LOCO PLANO 2329-PL-P-003 REV1</x:t>
        </x:is>
      </x:c>
      <x:c r="C1714" s="184" t="n">
        <x:v>0</x:v>
      </x:c>
      <x:c r="D1714" s="184" t="n">
        <x:v>0</x:v>
      </x:c>
      <x:c r="E1714" s="184" t="n">
        <x:v>0</x:v>
      </x:c>
      <x:c r="F1714" s="184" t="n">
        <x:v>0</x:v>
      </x:c>
      <x:c r="G1714" s="184" t="n">
        <x:v>0</x:v>
      </x:c>
      <x:c r="H1714" s="193" t="n">
        <x:v>0</x:v>
      </x:c>
      <x:c r="I1714" s="185" t="n">
        <x:v>0</x:v>
      </x:c>
      <x:c r="J1714" s="185" t="n">
        <x:v>0</x:v>
      </x:c>
      <x:c r="K1714" s="289" t="n">
        <x:v>386357</x:v>
      </x:c>
    </x:row>
    <x:row r="1715" s="117" customFormat="1" hidden="1">
      <x:c r="A1715" s="184" t="inlineStr">
        <x:is>
          <x:t xml:space="preserve">PDTACCTEF008</x:t>
        </x:is>
      </x:c>
      <x:c r="B1715" s="184" t="inlineStr">
        <x:is>
          <x:t xml:space="preserve">SPOOL ACERO CARBONO REVESTIDO PTFE DN 50 L170 MM CON UN FLANGE LOCO PLANO 2329-PL-P-006 REV0</x:t>
        </x:is>
      </x:c>
      <x:c r="C1715" s="184" t="n">
        <x:v>0</x:v>
      </x:c>
      <x:c r="D1715" s="184" t="n">
        <x:v>0</x:v>
      </x:c>
      <x:c r="E1715" s="184" t="n">
        <x:v>0</x:v>
      </x:c>
      <x:c r="F1715" s="184" t="n">
        <x:v>0</x:v>
      </x:c>
      <x:c r="G1715" s="184" t="n">
        <x:v>0</x:v>
      </x:c>
      <x:c r="H1715" s="193" t="n">
        <x:v>0</x:v>
      </x:c>
      <x:c r="I1715" s="185" t="n">
        <x:v>0</x:v>
      </x:c>
      <x:c r="J1715" s="185" t="n">
        <x:v>0</x:v>
      </x:c>
      <x:c r="K1715" s="289" t="n">
        <x:v>159088</x:v>
      </x:c>
    </x:row>
    <x:row r="1716" s="117" customFormat="1" hidden="1">
      <x:c r="A1716" s="184" t="inlineStr">
        <x:is>
          <x:t xml:space="preserve">PDTACCTEF009</x:t>
        </x:is>
      </x:c>
      <x:c r="B1716" s="184" t="inlineStr">
        <x:is>
          <x:t xml:space="preserve">TEE REDUCCIOON ACERO TEFLON  3X1 PLG  S/PLANO 2329-PL-P-004-REV1</x:t>
        </x:is>
      </x:c>
      <x:c r="C1716" s="184" t="n">
        <x:v>0</x:v>
      </x:c>
      <x:c r="D1716" s="184" t="n">
        <x:v>0</x:v>
      </x:c>
      <x:c r="E1716" s="184" t="n">
        <x:v>0</x:v>
      </x:c>
      <x:c r="F1716" s="184" t="n">
        <x:v>0</x:v>
      </x:c>
      <x:c r="G1716" s="184" t="n">
        <x:v>0</x:v>
      </x:c>
      <x:c r="H1716" s="193" t="n">
        <x:v>0</x:v>
      </x:c>
      <x:c r="I1716" s="185" t="n">
        <x:v>0</x:v>
      </x:c>
      <x:c r="J1716" s="185" t="n">
        <x:v>0</x:v>
      </x:c>
      <x:c r="K1716" s="289" t="n">
        <x:v>352267</x:v>
      </x:c>
    </x:row>
    <x:row r="1717" s="117" customFormat="1" hidden="1">
      <x:c r="A1717" s="184" t="inlineStr">
        <x:is>
          <x:t xml:space="preserve">PDTACCTEF010</x:t>
        </x:is>
      </x:c>
      <x:c r="B1717" s="184" t="inlineStr">
        <x:is>
          <x:t xml:space="preserve">TEE REDUCCION ACERO TEFLON  3X1 PLG  S/PLANO 2329-PL-P-005-REV1</x:t>
        </x:is>
      </x:c>
      <x:c r="C1717" s="184" t="n">
        <x:v>0</x:v>
      </x:c>
      <x:c r="D1717" s="184" t="n">
        <x:v>0</x:v>
      </x:c>
      <x:c r="E1717" s="184" t="n">
        <x:v>0</x:v>
      </x:c>
      <x:c r="F1717" s="184" t="n">
        <x:v>0</x:v>
      </x:c>
      <x:c r="G1717" s="184" t="n">
        <x:v>0</x:v>
      </x:c>
      <x:c r="H1717" s="193" t="n">
        <x:v>0</x:v>
      </x:c>
      <x:c r="I1717" s="185" t="n">
        <x:v>0</x:v>
      </x:c>
      <x:c r="J1717" s="185" t="n">
        <x:v>0</x:v>
      </x:c>
      <x:c r="K1717" s="289" t="n">
        <x:v>352267</x:v>
      </x:c>
    </x:row>
    <x:row r="1718" s="117" customFormat="1" hidden="1">
      <x:c r="A1718" s="184" t="inlineStr">
        <x:is>
          <x:t xml:space="preserve">PDTACCTEF011</x:t>
        </x:is>
      </x:c>
      <x:c r="B1718" s="184" t="inlineStr">
        <x:is>
          <x:t xml:space="preserve">LIMEA DE ACIDO CLORHIDRICO SPOOL AC/PTFE ( 8 PIEZAS)FUL0919-NV0003 PELAMBRES</x:t>
        </x:is>
      </x:c>
      <x:c r="C1718" s="184" t="n">
        <x:v>0</x:v>
      </x:c>
      <x:c r="D1718" s="184" t="n">
        <x:v>0</x:v>
      </x:c>
      <x:c r="E1718" s="184" t="n">
        <x:v>0</x:v>
      </x:c>
      <x:c r="F1718" s="184" t="n">
        <x:v>0</x:v>
      </x:c>
      <x:c r="G1718" s="184" t="n">
        <x:v>0</x:v>
      </x:c>
      <x:c r="H1718" s="193" t="n">
        <x:v>0</x:v>
      </x:c>
      <x:c r="I1718" s="185" t="n">
        <x:v>0</x:v>
      </x:c>
      <x:c r="J1718" s="185" t="n">
        <x:v>0</x:v>
      </x:c>
      <x:c r="K1718" s="289" t="n">
        <x:v>2072257</x:v>
      </x:c>
    </x:row>
    <x:row r="1719" s="117" customFormat="1" hidden="1">
      <x:c r="A1719" s="184" t="inlineStr">
        <x:is>
          <x:t xml:space="preserve">PDTACCTEF012</x:t>
        </x:is>
      </x:c>
      <x:c r="B1719" s="184" t="inlineStr">
        <x:is>
          <x:t xml:space="preserve">CODO 90° 4 PLG X LGOP STANDAR NORMA ASTM A234 WPB SCH40 INTERIOR CON PFA 3 MM BRIDA ANSI B16.5 CLASE</x:t>
        </x:is>
      </x:c>
      <x:c r="C1719" s="184" t="n">
        <x:v>0</x:v>
      </x:c>
      <x:c r="D1719" s="184" t="n">
        <x:v>0</x:v>
      </x:c>
      <x:c r="E1719" s="184" t="n">
        <x:v>0</x:v>
      </x:c>
      <x:c r="F1719" s="184" t="n">
        <x:v>0</x:v>
      </x:c>
      <x:c r="G1719" s="184" t="n">
        <x:v>0</x:v>
      </x:c>
      <x:c r="H1719" s="193" t="n">
        <x:v>0</x:v>
      </x:c>
      <x:c r="I1719" s="185" t="n">
        <x:v>0</x:v>
      </x:c>
      <x:c r="J1719" s="185" t="n">
        <x:v>0</x:v>
      </x:c>
      <x:c r="K1719" s="289" t="n">
        <x:v>465748</x:v>
      </x:c>
    </x:row>
    <x:row r="1720" s="117" customFormat="1" hidden="1">
      <x:c r="A1720" s="184" t="inlineStr">
        <x:is>
          <x:t xml:space="preserve">PDTACCTEF013</x:t>
        </x:is>
      </x:c>
      <x:c r="B1720" s="184" t="inlineStr">
        <x:is>
          <x:t xml:space="preserve">TEE REDUCCION  AC/REV.PTFE  DN 100 X 50 MM  C/165 MM</x:t>
        </x:is>
      </x:c>
      <x:c r="C1720" s="184" t="n">
        <x:v>1</x:v>
      </x:c>
      <x:c r="D1720" s="184" t="n">
        <x:v>0</x:v>
      </x:c>
      <x:c r="E1720" s="184" t="n">
        <x:v>0</x:v>
      </x:c>
      <x:c r="F1720" s="184" t="n">
        <x:v>1</x:v>
      </x:c>
      <x:c r="G1720" s="184" t="n">
        <x:v>556878</x:v>
      </x:c>
      <x:c r="H1720" s="193" t="n">
        <x:v>0</x:v>
      </x:c>
      <x:c r="I1720" s="185" t="n">
        <x:v>0</x:v>
      </x:c>
      <x:c r="J1720" s="185" t="n">
        <x:v>556878</x:v>
      </x:c>
      <x:c r="K1720" s="289" t="n">
        <x:v>556878</x:v>
      </x:c>
    </x:row>
    <x:row r="1721" s="117" customFormat="1" hidden="1">
      <x:c r="A1721" s="184" t="inlineStr">
        <x:is>
          <x:t xml:space="preserve">PDTACCTEF014</x:t>
        </x:is>
      </x:c>
      <x:c r="B1721" s="184" t="inlineStr">
        <x:is>
          <x:t xml:space="preserve">CODO 90° AC/REVEST PTFE DN50  C/114 MM</x:t>
        </x:is>
      </x:c>
      <x:c r="C1721" s="184" t="n">
        <x:v>0</x:v>
      </x:c>
      <x:c r="D1721" s="184" t="n">
        <x:v>0</x:v>
      </x:c>
      <x:c r="E1721" s="184" t="n">
        <x:v>0</x:v>
      </x:c>
      <x:c r="F1721" s="184" t="n">
        <x:v>0</x:v>
      </x:c>
      <x:c r="G1721" s="184" t="n">
        <x:v>0</x:v>
      </x:c>
      <x:c r="H1721" s="193" t="n">
        <x:v>0</x:v>
      </x:c>
      <x:c r="I1721" s="185" t="n">
        <x:v>0</x:v>
      </x:c>
      <x:c r="J1721" s="185" t="n">
        <x:v>0</x:v>
      </x:c>
      <x:c r="K1721" s="289" t="n">
        <x:v>145693</x:v>
      </x:c>
    </x:row>
    <x:row r="1722" s="117" customFormat="1" hidden="1">
      <x:c r="A1722" s="184" t="inlineStr">
        <x:is>
          <x:t xml:space="preserve">PDTACCTEF015</x:t>
        </x:is>
      </x:c>
      <x:c r="B1722" s="184" t="inlineStr">
        <x:is>
          <x:t xml:space="preserve">SPOOL AC/PTFE DN50 L-300 MM</x:t>
        </x:is>
      </x:c>
      <x:c r="C1722" s="184" t="n">
        <x:v>4</x:v>
      </x:c>
      <x:c r="D1722" s="184" t="n">
        <x:v>0</x:v>
      </x:c>
      <x:c r="E1722" s="184" t="n">
        <x:v>0</x:v>
      </x:c>
      <x:c r="F1722" s="184" t="n">
        <x:v>4</x:v>
      </x:c>
      <x:c r="G1722" s="184" t="n">
        <x:v>475668</x:v>
      </x:c>
      <x:c r="H1722" s="193" t="n">
        <x:v>0</x:v>
      </x:c>
      <x:c r="I1722" s="185" t="n">
        <x:v>0</x:v>
      </x:c>
      <x:c r="J1722" s="185" t="n">
        <x:v>475668</x:v>
      </x:c>
      <x:c r="K1722" s="289" t="n">
        <x:v>118917</x:v>
      </x:c>
    </x:row>
    <x:row r="1723" s="117" customFormat="1" hidden="1">
      <x:c r="A1723" s="184" t="inlineStr">
        <x:is>
          <x:t xml:space="preserve">PDTACCTEF016</x:t>
        </x:is>
      </x:c>
      <x:c r="B1723" s="184" t="inlineStr">
        <x:is>
          <x:t xml:space="preserve">SPOOL AC/PTFE DN50 L-500 MM</x:t>
        </x:is>
      </x:c>
      <x:c r="C1723" s="184" t="n">
        <x:v>1</x:v>
      </x:c>
      <x:c r="D1723" s="184" t="n">
        <x:v>0</x:v>
      </x:c>
      <x:c r="E1723" s="184" t="n">
        <x:v>0</x:v>
      </x:c>
      <x:c r="F1723" s="184" t="n">
        <x:v>1</x:v>
      </x:c>
      <x:c r="G1723" s="184" t="n">
        <x:v>136319</x:v>
      </x:c>
      <x:c r="H1723" s="193" t="n">
        <x:v>0</x:v>
      </x:c>
      <x:c r="I1723" s="185" t="n">
        <x:v>0</x:v>
      </x:c>
      <x:c r="J1723" s="185" t="n">
        <x:v>136319</x:v>
      </x:c>
      <x:c r="K1723" s="289" t="n">
        <x:v>136319</x:v>
      </x:c>
    </x:row>
    <x:row r="1724" s="117" customFormat="1" hidden="1">
      <x:c r="A1724" s="184" t="inlineStr">
        <x:is>
          <x:t xml:space="preserve">PDTACCTEF017</x:t>
        </x:is>
      </x:c>
      <x:c r="B1724" s="184" t="inlineStr">
        <x:is>
          <x:t xml:space="preserve">TEE 2 PLG X 288 MM X 144 MM CLASE 150 AC/PTFE ASTM A234 ANSI B16,5  1143586</x:t>
        </x:is>
      </x:c>
      <x:c r="C1724" s="184" t="n">
        <x:v>0</x:v>
      </x:c>
      <x:c r="D1724" s="184" t="n">
        <x:v>0</x:v>
      </x:c>
      <x:c r="E1724" s="184" t="n">
        <x:v>0</x:v>
      </x:c>
      <x:c r="F1724" s="184" t="n">
        <x:v>0</x:v>
      </x:c>
      <x:c r="G1724" s="184" t="n">
        <x:v>0</x:v>
      </x:c>
      <x:c r="H1724" s="193" t="n">
        <x:v>0</x:v>
      </x:c>
      <x:c r="I1724" s="185" t="n">
        <x:v>0</x:v>
      </x:c>
      <x:c r="J1724" s="185" t="n">
        <x:v>0</x:v>
      </x:c>
      <x:c r="K1724" s="289" t="n">
        <x:v>122316</x:v>
      </x:c>
    </x:row>
    <x:row r="1725" s="117" customFormat="1" hidden="1">
      <x:c r="A1725" s="184" t="inlineStr">
        <x:is>
          <x:t xml:space="preserve">PDTACCTEF018</x:t>
        </x:is>
      </x:c>
      <x:c r="B1725" s="184" t="inlineStr">
        <x:is>
          <x:t xml:space="preserve">SPOOL AC/PTFE DN25 ANSI CLASE 150 (19 PIEZAS) FUL0321-NV0011 PELAMBRES</x:t>
        </x:is>
      </x:c>
      <x:c r="C1725" s="184" t="n">
        <x:v>0</x:v>
      </x:c>
      <x:c r="D1725" s="184" t="n">
        <x:v>0</x:v>
      </x:c>
      <x:c r="E1725" s="184" t="n">
        <x:v>0</x:v>
      </x:c>
      <x:c r="F1725" s="184" t="n">
        <x:v>0</x:v>
      </x:c>
      <x:c r="G1725" s="184" t="n">
        <x:v>0</x:v>
      </x:c>
      <x:c r="H1725" s="193" t="n">
        <x:v>0</x:v>
      </x:c>
      <x:c r="I1725" s="185" t="n">
        <x:v>0</x:v>
      </x:c>
      <x:c r="J1725" s="185" t="n">
        <x:v>0</x:v>
      </x:c>
      <x:c r="K1725" s="289" t="n">
        <x:v>1714822</x:v>
      </x:c>
    </x:row>
    <x:row r="1726" s="117" customFormat="1" hidden="1">
      <x:c r="A1726" s="184" t="inlineStr">
        <x:is>
          <x:t xml:space="preserve">PDTACCTEF019</x:t>
        </x:is>
      </x:c>
      <x:c r="B1726" s="184" t="inlineStr">
        <x:is>
          <x:t xml:space="preserve">CARRETE ACERO CARBONO/PTFE  2 PLG X 2568 MM ASTM A 106 SCH 40 INTERIOR PTFE 3 MM BRIDA ANSI B16.5</x:t>
        </x:is>
      </x:c>
      <x:c r="C1726" s="184" t="n">
        <x:v>0</x:v>
      </x:c>
      <x:c r="D1726" s="184" t="n">
        <x:v>0</x:v>
      </x:c>
      <x:c r="E1726" s="184" t="n">
        <x:v>0</x:v>
      </x:c>
      <x:c r="F1726" s="184" t="n">
        <x:v>0</x:v>
      </x:c>
      <x:c r="G1726" s="184" t="n">
        <x:v>0</x:v>
      </x:c>
      <x:c r="H1726" s="193" t="n">
        <x:v>0</x:v>
      </x:c>
      <x:c r="I1726" s="185" t="n">
        <x:v>0</x:v>
      </x:c>
      <x:c r="J1726" s="185" t="n">
        <x:v>0</x:v>
      </x:c>
      <x:c r="K1726" s="289" t="n">
        <x:v>344994</x:v>
      </x:c>
    </x:row>
    <x:row r="1727" s="117" customFormat="1" hidden="1">
      <x:c r="A1727" s="184" t="inlineStr">
        <x:is>
          <x:t xml:space="preserve">PDTACCTEF020</x:t>
        </x:is>
      </x:c>
      <x:c r="B1727" s="184" t="inlineStr">
        <x:is>
          <x:t xml:space="preserve">TEE ESPECIAl AC/PTFE DN25XDN80XDN25 C/FLAGES SUELTOS ANSI CLASE 150 AVANCE 174 MM  11185144 PELAMBRE</x:t>
        </x:is>
      </x:c>
      <x:c r="C1727" s="184" t="n">
        <x:v>1</x:v>
      </x:c>
      <x:c r="D1727" s="184" t="n">
        <x:v>0</x:v>
      </x:c>
      <x:c r="E1727" s="184" t="n">
        <x:v>0</x:v>
      </x:c>
      <x:c r="F1727" s="184" t="n">
        <x:v>1</x:v>
      </x:c>
      <x:c r="G1727" s="184" t="n">
        <x:v>385920</x:v>
      </x:c>
      <x:c r="H1727" s="193" t="n">
        <x:v>0</x:v>
      </x:c>
      <x:c r="I1727" s="185" t="n">
        <x:v>0</x:v>
      </x:c>
      <x:c r="J1727" s="185" t="n">
        <x:v>385920</x:v>
      </x:c>
      <x:c r="K1727" s="289" t="n">
        <x:v>385920</x:v>
      </x:c>
    </x:row>
    <x:row r="1728" s="117" customFormat="1" hidden="1">
      <x:c r="A1728" s="184" t="inlineStr">
        <x:is>
          <x:t xml:space="preserve">PDTACCTEF021</x:t>
        </x:is>
      </x:c>
      <x:c r="B1728" s="184" t="inlineStr">
        <x:is>
          <x:t xml:space="preserve">REDUCCION CONCENTRICA  AC/PTFE 4X3 AVANCE 152 MM ANSI B16,5 CLASE 150 1 FL/LOCO</x:t>
        </x:is>
      </x:c>
      <x:c r="C1728" s="184" t="n">
        <x:v>1</x:v>
      </x:c>
      <x:c r="D1728" s="184" t="n">
        <x:v>0</x:v>
      </x:c>
      <x:c r="E1728" s="184" t="n">
        <x:v>0</x:v>
      </x:c>
      <x:c r="F1728" s="184" t="n">
        <x:v>1</x:v>
      </x:c>
      <x:c r="G1728" s="184" t="n">
        <x:v>347990</x:v>
      </x:c>
      <x:c r="H1728" s="193" t="n">
        <x:v>0</x:v>
      </x:c>
      <x:c r="I1728" s="185" t="n">
        <x:v>0</x:v>
      </x:c>
      <x:c r="J1728" s="185" t="n">
        <x:v>347990</x:v>
      </x:c>
      <x:c r="K1728" s="289" t="n">
        <x:v>347990</x:v>
      </x:c>
    </x:row>
    <x:row r="1729" s="117" customFormat="1" hidden="1">
      <x:c r="A1729" s="184" t="inlineStr">
        <x:is>
          <x:t xml:space="preserve">PDTACCTEF022</x:t>
        </x:is>
      </x:c>
      <x:c r="B1729" s="184" t="inlineStr">
        <x:is>
          <x:t xml:space="preserve">SPOOL ACC/PTFE DN25 L3000 MM</x:t>
        </x:is>
      </x:c>
      <x:c r="C1729" s="184" t="n">
        <x:v>5</x:v>
      </x:c>
      <x:c r="D1729" s="184" t="n">
        <x:v>0</x:v>
      </x:c>
      <x:c r="E1729" s="184" t="n">
        <x:v>0</x:v>
      </x:c>
      <x:c r="F1729" s="184" t="n">
        <x:v>5</x:v>
      </x:c>
      <x:c r="G1729" s="184" t="n">
        <x:v>415455</x:v>
      </x:c>
      <x:c r="H1729" s="193" t="n">
        <x:v>0</x:v>
      </x:c>
      <x:c r="I1729" s="185" t="n">
        <x:v>0</x:v>
      </x:c>
      <x:c r="J1729" s="185" t="n">
        <x:v>415455</x:v>
      </x:c>
      <x:c r="K1729" s="289" t="n">
        <x:v>83091</x:v>
      </x:c>
    </x:row>
    <x:row r="1730" s="117" customFormat="1" hidden="1">
      <x:c r="A1730" s="184" t="inlineStr">
        <x:is>
          <x:t xml:space="preserve">PDTACCTEF023</x:t>
        </x:is>
      </x:c>
      <x:c r="B1730" s="184" t="inlineStr">
        <x:is>
          <x:t xml:space="preserve">SPOOL ACC/PTFE DN50 L3000 MM</x:t>
        </x:is>
      </x:c>
      <x:c r="C1730" s="184" t="n">
        <x:v>6</x:v>
      </x:c>
      <x:c r="D1730" s="184" t="n">
        <x:v>0</x:v>
      </x:c>
      <x:c r="E1730" s="184" t="n">
        <x:v>0</x:v>
      </x:c>
      <x:c r="F1730" s="184" t="n">
        <x:v>6</x:v>
      </x:c>
      <x:c r="G1730" s="184" t="n">
        <x:v>942462</x:v>
      </x:c>
      <x:c r="H1730" s="193" t="n">
        <x:v>0</x:v>
      </x:c>
      <x:c r="I1730" s="185" t="n">
        <x:v>0</x:v>
      </x:c>
      <x:c r="J1730" s="185" t="n">
        <x:v>942462</x:v>
      </x:c>
      <x:c r="K1730" s="289" t="n">
        <x:v>157077</x:v>
      </x:c>
    </x:row>
    <x:row r="1731" s="117" customFormat="1" hidden="1">
      <x:c r="A1731" s="184" t="inlineStr">
        <x:is>
          <x:t xml:space="preserve">PDTACCTEF024</x:t>
        </x:is>
      </x:c>
      <x:c r="B1731" s="184" t="inlineStr">
        <x:is>
          <x:t xml:space="preserve">SPOOL ACC/PTFE DN80 L3000 MM</x:t>
        </x:is>
      </x:c>
      <x:c r="C1731" s="184" t="n">
        <x:v>3</x:v>
      </x:c>
      <x:c r="D1731" s="184" t="n">
        <x:v>0</x:v>
      </x:c>
      <x:c r="E1731" s="184" t="n">
        <x:v>0</x:v>
      </x:c>
      <x:c r="F1731" s="184" t="n">
        <x:v>3</x:v>
      </x:c>
      <x:c r="G1731" s="184" t="n">
        <x:v>898068</x:v>
      </x:c>
      <x:c r="H1731" s="193" t="n">
        <x:v>0</x:v>
      </x:c>
      <x:c r="I1731" s="185" t="n">
        <x:v>0</x:v>
      </x:c>
      <x:c r="J1731" s="185" t="n">
        <x:v>898068</x:v>
      </x:c>
      <x:c r="K1731" s="289" t="n">
        <x:v>299356</x:v>
      </x:c>
    </x:row>
    <x:row r="1732" s="117" customFormat="1" hidden="1">
      <x:c r="A1732" s="184" t="inlineStr">
        <x:is>
          <x:t xml:space="preserve">PDTACCTEF025</x:t>
        </x:is>
      </x:c>
      <x:c r="B1732" s="184" t="inlineStr">
        <x:is>
          <x:t xml:space="preserve">SPOOL ACC/PTFE DN100  L3000 MM</x:t>
        </x:is>
      </x:c>
      <x:c r="C1732" s="184" t="n">
        <x:v>3</x:v>
      </x:c>
      <x:c r="D1732" s="184" t="n">
        <x:v>0</x:v>
      </x:c>
      <x:c r="E1732" s="184" t="n">
        <x:v>0</x:v>
      </x:c>
      <x:c r="F1732" s="184" t="n">
        <x:v>3</x:v>
      </x:c>
      <x:c r="G1732" s="184" t="n">
        <x:v>1106364</x:v>
      </x:c>
      <x:c r="H1732" s="193" t="n">
        <x:v>0</x:v>
      </x:c>
      <x:c r="I1732" s="185" t="n">
        <x:v>0</x:v>
      </x:c>
      <x:c r="J1732" s="185" t="n">
        <x:v>1106364</x:v>
      </x:c>
      <x:c r="K1732" s="289" t="n">
        <x:v>368788</x:v>
      </x:c>
    </x:row>
    <x:row r="1733" s="117" customFormat="1" hidden="1">
      <x:c r="A1733" s="184" t="inlineStr">
        <x:is>
          <x:t xml:space="preserve">PDTACCTEF026</x:t>
        </x:is>
      </x:c>
      <x:c r="B1733" s="184" t="inlineStr">
        <x:is>
          <x:t xml:space="preserve">SPOOL ACC/PTFE DN150  L3000 MM</x:t>
        </x:is>
      </x:c>
      <x:c r="C1733" s="184" t="n">
        <x:v>3</x:v>
      </x:c>
      <x:c r="D1733" s="184" t="n">
        <x:v>0</x:v>
      </x:c>
      <x:c r="E1733" s="184" t="n">
        <x:v>0</x:v>
      </x:c>
      <x:c r="F1733" s="184" t="n">
        <x:v>3</x:v>
      </x:c>
      <x:c r="G1733" s="184" t="n">
        <x:v>2028336</x:v>
      </x:c>
      <x:c r="H1733" s="193" t="n">
        <x:v>0</x:v>
      </x:c>
      <x:c r="I1733" s="185" t="n">
        <x:v>0</x:v>
      </x:c>
      <x:c r="J1733" s="185" t="n">
        <x:v>2028336</x:v>
      </x:c>
      <x:c r="K1733" s="289" t="n">
        <x:v>676112</x:v>
      </x:c>
    </x:row>
    <x:row r="1734" s="117" customFormat="1" hidden="1">
      <x:c r="A1734" s="184" t="inlineStr">
        <x:is>
          <x:t xml:space="preserve">PDTACCTEF027</x:t>
        </x:is>
      </x:c>
      <x:c r="B1734" s="184" t="inlineStr">
        <x:is>
          <x:t xml:space="preserve">CODO 90° AC/PTFE DN25 C/F92MM</x:t>
        </x:is>
      </x:c>
      <x:c r="C1734" s="184" t="n">
        <x:v>4</x:v>
      </x:c>
      <x:c r="D1734" s="184" t="n">
        <x:v>0</x:v>
      </x:c>
      <x:c r="E1734" s="184" t="n">
        <x:v>0</x:v>
      </x:c>
      <x:c r="F1734" s="184" t="n">
        <x:v>4</x:v>
      </x:c>
      <x:c r="G1734" s="184" t="n">
        <x:v>145696</x:v>
      </x:c>
      <x:c r="H1734" s="193" t="n">
        <x:v>0</x:v>
      </x:c>
      <x:c r="I1734" s="185" t="n">
        <x:v>0</x:v>
      </x:c>
      <x:c r="J1734" s="185" t="n">
        <x:v>145696</x:v>
      </x:c>
      <x:c r="K1734" s="289" t="n">
        <x:v>36424</x:v>
      </x:c>
    </x:row>
    <x:row r="1735" s="117" customFormat="1" hidden="1">
      <x:c r="A1735" s="184" t="inlineStr">
        <x:is>
          <x:t xml:space="preserve">PDTACCTEF028</x:t>
        </x:is>
      </x:c>
      <x:c r="B1735" s="184" t="inlineStr">
        <x:is>
          <x:t xml:space="preserve">CODO 90° AC/PTFE DN50 C/F92MM</x:t>
        </x:is>
      </x:c>
      <x:c r="C1735" s="184" t="n">
        <x:v>10</x:v>
      </x:c>
      <x:c r="D1735" s="184" t="n">
        <x:v>0</x:v>
      </x:c>
      <x:c r="E1735" s="184" t="n">
        <x:v>0</x:v>
      </x:c>
      <x:c r="F1735" s="184" t="n">
        <x:v>10</x:v>
      </x:c>
      <x:c r="G1735" s="184" t="n">
        <x:v>603260</x:v>
      </x:c>
      <x:c r="H1735" s="193" t="n">
        <x:v>0</x:v>
      </x:c>
      <x:c r="I1735" s="185" t="n">
        <x:v>0</x:v>
      </x:c>
      <x:c r="J1735" s="185" t="n">
        <x:v>603260</x:v>
      </x:c>
      <x:c r="K1735" s="289" t="n">
        <x:v>60326</x:v>
      </x:c>
    </x:row>
    <x:row r="1736" s="117" customFormat="1" hidden="1">
      <x:c r="A1736" s="184" t="inlineStr">
        <x:is>
          <x:t xml:space="preserve">PDTACCTEF029</x:t>
        </x:is>
      </x:c>
      <x:c r="B1736" s="184" t="inlineStr">
        <x:is>
          <x:t xml:space="preserve">CODO 90° AC/PTFE DN80 C/F92MM</x:t>
        </x:is>
      </x:c>
      <x:c r="C1736" s="184" t="n">
        <x:v>4</x:v>
      </x:c>
      <x:c r="D1736" s="184" t="n">
        <x:v>0</x:v>
      </x:c>
      <x:c r="E1736" s="184" t="n">
        <x:v>0</x:v>
      </x:c>
      <x:c r="F1736" s="184" t="n">
        <x:v>4</x:v>
      </x:c>
      <x:c r="G1736" s="184" t="n">
        <x:v>459848</x:v>
      </x:c>
      <x:c r="H1736" s="193" t="n">
        <x:v>0</x:v>
      </x:c>
      <x:c r="I1736" s="185" t="n">
        <x:v>0</x:v>
      </x:c>
      <x:c r="J1736" s="185" t="n">
        <x:v>459848</x:v>
      </x:c>
      <x:c r="K1736" s="289" t="n">
        <x:v>114962</x:v>
      </x:c>
    </x:row>
    <x:row r="1737" s="117" customFormat="1" hidden="1">
      <x:c r="A1737" s="184" t="inlineStr">
        <x:is>
          <x:t xml:space="preserve">PDTACCTEF030</x:t>
        </x:is>
      </x:c>
      <x:c r="B1737" s="184" t="inlineStr">
        <x:is>
          <x:t xml:space="preserve">CODO 90° AC/PTFE DN100 C/F92MM</x:t>
        </x:is>
      </x:c>
      <x:c r="C1737" s="184" t="n">
        <x:v>4</x:v>
      </x:c>
      <x:c r="D1737" s="184" t="n">
        <x:v>0</x:v>
      </x:c>
      <x:c r="E1737" s="184" t="n">
        <x:v>0</x:v>
      </x:c>
      <x:c r="F1737" s="184" t="n">
        <x:v>4</x:v>
      </x:c>
      <x:c r="G1737" s="184" t="n">
        <x:v>678388</x:v>
      </x:c>
      <x:c r="H1737" s="193" t="n">
        <x:v>0</x:v>
      </x:c>
      <x:c r="I1737" s="185" t="n">
        <x:v>0</x:v>
      </x:c>
      <x:c r="J1737" s="185" t="n">
        <x:v>678388</x:v>
      </x:c>
      <x:c r="K1737" s="289" t="n">
        <x:v>169597</x:v>
      </x:c>
    </x:row>
    <x:row r="1738" s="117" customFormat="1" hidden="1">
      <x:c r="A1738" s="184" t="inlineStr">
        <x:is>
          <x:t xml:space="preserve">PDTACCTEF031</x:t>
        </x:is>
      </x:c>
      <x:c r="B1738" s="184" t="inlineStr">
        <x:is>
          <x:t xml:space="preserve">CODO 90° AC/PTFE DN150 C/F92MM</x:t>
        </x:is>
      </x:c>
      <x:c r="C1738" s="184" t="n">
        <x:v>2</x:v>
      </x:c>
      <x:c r="D1738" s="184" t="n">
        <x:v>0</x:v>
      </x:c>
      <x:c r="E1738" s="184" t="n">
        <x:v>0</x:v>
      </x:c>
      <x:c r="F1738" s="184" t="n">
        <x:v>2</x:v>
      </x:c>
      <x:c r="G1738" s="184" t="n">
        <x:v>667006</x:v>
      </x:c>
      <x:c r="H1738" s="193" t="n">
        <x:v>0</x:v>
      </x:c>
      <x:c r="I1738" s="185" t="n">
        <x:v>0</x:v>
      </x:c>
      <x:c r="J1738" s="185" t="n">
        <x:v>667006</x:v>
      </x:c>
      <x:c r="K1738" s="289" t="n">
        <x:v>333503</x:v>
      </x:c>
    </x:row>
    <x:row r="1739" s="117" customFormat="1" hidden="1">
      <x:c r="A1739" s="184" t="inlineStr">
        <x:is>
          <x:t xml:space="preserve">PDTACCTEF032</x:t>
        </x:is>
      </x:c>
      <x:c r="B1739" s="184" t="inlineStr">
        <x:is>
          <x:t xml:space="preserve">TEE AC/PTFE DN50 C/F114MM</x:t>
        </x:is>
      </x:c>
      <x:c r="C1739" s="184" t="n">
        <x:v>1</x:v>
      </x:c>
      <x:c r="D1739" s="184" t="n">
        <x:v>0</x:v>
      </x:c>
      <x:c r="E1739" s="184" t="n">
        <x:v>0</x:v>
      </x:c>
      <x:c r="F1739" s="184" t="n">
        <x:v>1</x:v>
      </x:c>
      <x:c r="G1739" s="184" t="n">
        <x:v>110409</x:v>
      </x:c>
      <x:c r="H1739" s="193" t="n">
        <x:v>0</x:v>
      </x:c>
      <x:c r="I1739" s="185" t="n">
        <x:v>0</x:v>
      </x:c>
      <x:c r="J1739" s="185" t="n">
        <x:v>110409</x:v>
      </x:c>
      <x:c r="K1739" s="289" t="n">
        <x:v>110409</x:v>
      </x:c>
    </x:row>
    <x:row r="1740" s="117" customFormat="1" hidden="1">
      <x:c r="A1740" s="184" t="inlineStr">
        <x:is>
          <x:t xml:space="preserve">PDTACCTEF033</x:t>
        </x:is>
      </x:c>
      <x:c r="B1740" s="184" t="inlineStr">
        <x:is>
          <x:t xml:space="preserve">TEE AC/PTFE DN100 C/F165MM</x:t>
        </x:is>
      </x:c>
      <x:c r="C1740" s="184" t="n">
        <x:v>0</x:v>
      </x:c>
      <x:c r="D1740" s="184" t="n">
        <x:v>0</x:v>
      </x:c>
      <x:c r="E1740" s="184" t="n">
        <x:v>0</x:v>
      </x:c>
      <x:c r="F1740" s="184" t="n">
        <x:v>0</x:v>
      </x:c>
      <x:c r="G1740" s="184" t="n">
        <x:v>0</x:v>
      </x:c>
      <x:c r="H1740" s="193" t="n">
        <x:v>0</x:v>
      </x:c>
      <x:c r="I1740" s="185" t="n">
        <x:v>0</x:v>
      </x:c>
      <x:c r="J1740" s="185" t="n">
        <x:v>0</x:v>
      </x:c>
      <x:c r="K1740" s="289" t="n">
        <x:v>593785</x:v>
      </x:c>
    </x:row>
    <x:row r="1741" s="117" customFormat="1" hidden="1">
      <x:c r="A1741" s="184" t="inlineStr">
        <x:is>
          <x:t xml:space="preserve">PDTACCTEF034</x:t>
        </x:is>
      </x:c>
      <x:c r="B1741" s="184" t="inlineStr">
        <x:is>
          <x:t xml:space="preserve">LINER PTFE OD28 T2MM L3000MM</x:t>
        </x:is>
      </x:c>
      <x:c r="C1741" s="184" t="n">
        <x:v>0</x:v>
      </x:c>
      <x:c r="D1741" s="184" t="n">
        <x:v>0</x:v>
      </x:c>
      <x:c r="E1741" s="184" t="n">
        <x:v>0</x:v>
      </x:c>
      <x:c r="F1741" s="184" t="n">
        <x:v>0</x:v>
      </x:c>
      <x:c r="G1741" s="184" t="n">
        <x:v>0</x:v>
      </x:c>
      <x:c r="H1741" s="193" t="n">
        <x:v>0</x:v>
      </x:c>
      <x:c r="I1741" s="185" t="n">
        <x:v>0</x:v>
      </x:c>
      <x:c r="J1741" s="185" t="n">
        <x:v>0</x:v>
      </x:c>
      <x:c r="K1741" s="289" t="n">
        <x:v>33009</x:v>
      </x:c>
    </x:row>
    <x:row r="1742" s="117" customFormat="1" hidden="1">
      <x:c r="A1742" s="184" t="inlineStr">
        <x:is>
          <x:t xml:space="preserve">PDTACCTEF035</x:t>
        </x:is>
      </x:c>
      <x:c r="B1742" s="184" t="inlineStr">
        <x:is>
          <x:t xml:space="preserve">LINER PTFE OD51 T2,5MM L3000MM</x:t>
        </x:is>
      </x:c>
      <x:c r="C1742" s="184" t="n">
        <x:v>0</x:v>
      </x:c>
      <x:c r="D1742" s="184" t="n">
        <x:v>0</x:v>
      </x:c>
      <x:c r="E1742" s="184" t="n">
        <x:v>0</x:v>
      </x:c>
      <x:c r="F1742" s="184" t="n">
        <x:v>0</x:v>
      </x:c>
      <x:c r="G1742" s="184" t="n">
        <x:v>0</x:v>
      </x:c>
      <x:c r="H1742" s="193" t="n">
        <x:v>0</x:v>
      </x:c>
      <x:c r="I1742" s="185" t="n">
        <x:v>0</x:v>
      </x:c>
      <x:c r="J1742" s="185" t="n">
        <x:v>0</x:v>
      </x:c>
      <x:c r="K1742" s="289" t="n">
        <x:v>77400</x:v>
      </x:c>
    </x:row>
    <x:row r="1743" s="117" customFormat="1" hidden="1">
      <x:c r="A1743" s="184" t="inlineStr">
        <x:is>
          <x:t xml:space="preserve">PDTACCTEF036</x:t>
        </x:is>
      </x:c>
      <x:c r="B1743" s="184" t="inlineStr">
        <x:is>
          <x:t xml:space="preserve">LINER PTFE OD81 T3MM L3000MM</x:t>
        </x:is>
      </x:c>
      <x:c r="C1743" s="184" t="n">
        <x:v>0</x:v>
      </x:c>
      <x:c r="D1743" s="184" t="n">
        <x:v>0</x:v>
      </x:c>
      <x:c r="E1743" s="184" t="n">
        <x:v>0</x:v>
      </x:c>
      <x:c r="F1743" s="184" t="n">
        <x:v>0</x:v>
      </x:c>
      <x:c r="G1743" s="184" t="n">
        <x:v>0</x:v>
      </x:c>
      <x:c r="H1743" s="193" t="n">
        <x:v>0</x:v>
      </x:c>
      <x:c r="I1743" s="185" t="n">
        <x:v>0</x:v>
      </x:c>
      <x:c r="J1743" s="185" t="n">
        <x:v>0</x:v>
      </x:c>
      <x:c r="K1743" s="289" t="n">
        <x:v>150247</x:v>
      </x:c>
    </x:row>
    <x:row r="1744" s="117" customFormat="1" hidden="1">
      <x:c r="A1744" s="184" t="inlineStr">
        <x:is>
          <x:t xml:space="preserve">PDTACCTEF037</x:t>
        </x:is>
      </x:c>
      <x:c r="B1744" s="184" t="inlineStr">
        <x:is>
          <x:t xml:space="preserve">LINER PTFE OD100 T3MM L3000MM</x:t>
        </x:is>
      </x:c>
      <x:c r="C1744" s="184" t="n">
        <x:v>0</x:v>
      </x:c>
      <x:c r="D1744" s="184" t="n">
        <x:v>0</x:v>
      </x:c>
      <x:c r="E1744" s="184" t="n">
        <x:v>0</x:v>
      </x:c>
      <x:c r="F1744" s="184" t="n">
        <x:v>0</x:v>
      </x:c>
      <x:c r="G1744" s="184" t="n">
        <x:v>0</x:v>
      </x:c>
      <x:c r="H1744" s="193" t="n">
        <x:v>0</x:v>
      </x:c>
      <x:c r="I1744" s="185" t="n">
        <x:v>0</x:v>
      </x:c>
      <x:c r="J1744" s="185" t="n">
        <x:v>0</x:v>
      </x:c>
      <x:c r="K1744" s="289" t="n">
        <x:v>186671</x:v>
      </x:c>
    </x:row>
    <x:row r="1745" s="117" customFormat="1" hidden="1">
      <x:c r="A1745" s="184" t="inlineStr">
        <x:is>
          <x:t xml:space="preserve">PDTACCTEF038</x:t>
        </x:is>
      </x:c>
      <x:c r="B1745" s="184" t="inlineStr">
        <x:is>
          <x:t xml:space="preserve">LINER PTFE OD149 T4MM L3000MM</x:t>
        </x:is>
      </x:c>
      <x:c r="C1745" s="184" t="n">
        <x:v>0</x:v>
      </x:c>
      <x:c r="D1745" s="184" t="n">
        <x:v>0</x:v>
      </x:c>
      <x:c r="E1745" s="184" t="n">
        <x:v>0</x:v>
      </x:c>
      <x:c r="F1745" s="184" t="n">
        <x:v>0</x:v>
      </x:c>
      <x:c r="G1745" s="184" t="n">
        <x:v>0</x:v>
      </x:c>
      <x:c r="H1745" s="193" t="n">
        <x:v>0</x:v>
      </x:c>
      <x:c r="I1745" s="185" t="n">
        <x:v>0</x:v>
      </x:c>
      <x:c r="J1745" s="185" t="n">
        <x:v>0</x:v>
      </x:c>
      <x:c r="K1745" s="289" t="n">
        <x:v>373341</x:v>
      </x:c>
    </x:row>
    <x:row r="1746" s="117" customFormat="1" hidden="1">
      <x:c r="A1746" s="184" t="inlineStr">
        <x:is>
          <x:t xml:space="preserve">PDTACCTEF039</x:t>
        </x:is>
      </x:c>
      <x:c r="B1746" s="184" t="inlineStr">
        <x:is>
          <x:t xml:space="preserve">SPOOL ACERO CARBONO REVESTIDO PTFE 2PLG X 300 MM S/PLANO 26148-200-P4-0586-00501 TAG 0586-ZP-02245</x:t>
        </x:is>
      </x:c>
      <x:c r="C1746" s="184" t="n">
        <x:v>0</x:v>
      </x:c>
      <x:c r="D1746" s="184" t="n">
        <x:v>0</x:v>
      </x:c>
      <x:c r="E1746" s="184" t="n">
        <x:v>0</x:v>
      </x:c>
      <x:c r="F1746" s="184" t="n">
        <x:v>0</x:v>
      </x:c>
      <x:c r="G1746" s="184" t="n">
        <x:v>0</x:v>
      </x:c>
      <x:c r="H1746" s="193" t="n">
        <x:v>0</x:v>
      </x:c>
      <x:c r="I1746" s="185" t="n">
        <x:v>0</x:v>
      </x:c>
      <x:c r="J1746" s="185" t="n">
        <x:v>0</x:v>
      </x:c>
      <x:c r="K1746" s="289" t="n">
        <x:v>304700</x:v>
      </x:c>
    </x:row>
    <x:row r="1747" s="117" customFormat="1" hidden="1">
      <x:c r="A1747" s="184" t="inlineStr">
        <x:is>
          <x:t xml:space="preserve">PDTACCTEF040</x:t>
        </x:is>
      </x:c>
      <x:c r="B1747" s="184" t="inlineStr">
        <x:is>
          <x:t xml:space="preserve">SPOOL AC/PTFE DN25 LGO 2000 MM F/LOCOS ANSI CLASE 150 (11182665)</x:t>
        </x:is>
      </x:c>
      <x:c r="C1747" s="184" t="n">
        <x:v>3</x:v>
      </x:c>
      <x:c r="D1747" s="184" t="n">
        <x:v>0</x:v>
      </x:c>
      <x:c r="E1747" s="184" t="n">
        <x:v>0</x:v>
      </x:c>
      <x:c r="F1747" s="184" t="n">
        <x:v>3</x:v>
      </x:c>
      <x:c r="G1747" s="184" t="n">
        <x:v>502432</x:v>
      </x:c>
      <x:c r="H1747" s="193" t="n">
        <x:v>0</x:v>
      </x:c>
      <x:c r="I1747" s="185" t="n">
        <x:v>0</x:v>
      </x:c>
      <x:c r="J1747" s="185" t="n">
        <x:v>502432</x:v>
      </x:c>
      <x:c r="K1747" s="289" t="n">
        <x:v>167477.2</x:v>
      </x:c>
    </x:row>
    <x:row r="1748" s="117" customFormat="1" hidden="1">
      <x:c r="A1748" s="184" t="inlineStr">
        <x:is>
          <x:t xml:space="preserve">PDTACCTEF041</x:t>
        </x:is>
      </x:c>
      <x:c r="B1748" s="184" t="inlineStr">
        <x:is>
          <x:t xml:space="preserve">SPOOL AC/PTFE DN25 LGO 2151 MM F/LOCOS ANSI CLASE 150 (11182664)</x:t>
        </x:is>
      </x:c>
      <x:c r="C1748" s="184" t="n">
        <x:v>0</x:v>
      </x:c>
      <x:c r="D1748" s="184" t="n">
        <x:v>0</x:v>
      </x:c>
      <x:c r="E1748" s="184" t="n">
        <x:v>0</x:v>
      </x:c>
      <x:c r="F1748" s="184" t="n">
        <x:v>0</x:v>
      </x:c>
      <x:c r="G1748" s="184" t="n">
        <x:v>0</x:v>
      </x:c>
      <x:c r="H1748" s="193" t="n">
        <x:v>0</x:v>
      </x:c>
      <x:c r="I1748" s="185" t="n">
        <x:v>0</x:v>
      </x:c>
      <x:c r="J1748" s="185" t="n">
        <x:v>0</x:v>
      </x:c>
      <x:c r="K1748" s="289" t="n">
        <x:v>160799</x:v>
      </x:c>
    </x:row>
    <x:row r="1749" s="117" customFormat="1" hidden="1">
      <x:c r="A1749" s="184" t="inlineStr">
        <x:is>
          <x:t xml:space="preserve">PDTACCTEF042</x:t>
        </x:is>
      </x:c>
      <x:c r="B1749" s="184" t="inlineStr">
        <x:is>
          <x:t xml:space="preserve">CODO ACC/PTFE  3 MM A234 SCH40 DN 4 INCH BRIDASS ANSI B16.5 CL 150 AVANCE 165MM (1143588)</x:t>
        </x:is>
      </x:c>
      <x:c r="C1749" s="184" t="n">
        <x:v>0</x:v>
      </x:c>
      <x:c r="D1749" s="184" t="n">
        <x:v>0</x:v>
      </x:c>
      <x:c r="E1749" s="184" t="n">
        <x:v>0</x:v>
      </x:c>
      <x:c r="F1749" s="184" t="n">
        <x:v>0</x:v>
      </x:c>
      <x:c r="G1749" s="184" t="n">
        <x:v>0</x:v>
      </x:c>
      <x:c r="H1749" s="193" t="n">
        <x:v>0</x:v>
      </x:c>
      <x:c r="I1749" s="185" t="n">
        <x:v>0</x:v>
      </x:c>
      <x:c r="J1749" s="185" t="n">
        <x:v>0</x:v>
      </x:c>
      <x:c r="K1749" s="289" t="n">
        <x:v>142008</x:v>
      </x:c>
    </x:row>
    <x:row r="1750" s="117" customFormat="1" hidden="1">
      <x:c r="A1750" s="184" t="inlineStr">
        <x:is>
          <x:t xml:space="preserve">PDTACCTEF043</x:t>
        </x:is>
      </x:c>
      <x:c r="B1750" s="184" t="inlineStr">
        <x:is>
          <x:t xml:space="preserve">SPOOL ACC/PTFE IMPORTACION 74571 RLS1122-NV0004 LOMAS BAYAS</x:t>
        </x:is>
      </x:c>
      <x:c r="C1750" s="184" t="n">
        <x:v>0</x:v>
      </x:c>
      <x:c r="D1750" s="184" t="n">
        <x:v>0</x:v>
      </x:c>
      <x:c r="E1750" s="184" t="n">
        <x:v>0</x:v>
      </x:c>
      <x:c r="F1750" s="184" t="n">
        <x:v>0</x:v>
      </x:c>
      <x:c r="G1750" s="184" t="n">
        <x:v>0</x:v>
      </x:c>
      <x:c r="H1750" s="193" t="n">
        <x:v>0</x:v>
      </x:c>
      <x:c r="I1750" s="185" t="n">
        <x:v>0</x:v>
      </x:c>
      <x:c r="J1750" s="185" t="n">
        <x:v>0</x:v>
      </x:c>
      <x:c r="K1750" s="289" t="n">
        <x:v>7828726</x:v>
      </x:c>
    </x:row>
    <x:row r="1751" s="117" customFormat="1" hidden="1">
      <x:c r="A1751" s="184" t="inlineStr">
        <x:is>
          <x:t xml:space="preserve">PDTACCTEF044</x:t>
        </x:is>
      </x:c>
      <x:c r="B1751" s="184" t="inlineStr">
        <x:is>
          <x:t xml:space="preserve">SPOOL AC/PTFE LOMAS BAYAS OC-4500349043 RLS1122-NV0004</x:t>
        </x:is>
      </x:c>
      <x:c r="C1751" s="184" t="n">
        <x:v>0</x:v>
      </x:c>
      <x:c r="D1751" s="184" t="n">
        <x:v>0</x:v>
      </x:c>
      <x:c r="E1751" s="184" t="n">
        <x:v>0</x:v>
      </x:c>
      <x:c r="F1751" s="184" t="n">
        <x:v>0</x:v>
      </x:c>
      <x:c r="G1751" s="184" t="n">
        <x:v>0</x:v>
      </x:c>
      <x:c r="H1751" s="193" t="n">
        <x:v>0</x:v>
      </x:c>
      <x:c r="I1751" s="185" t="n">
        <x:v>0</x:v>
      </x:c>
      <x:c r="J1751" s="185" t="n">
        <x:v>0</x:v>
      </x:c>
      <x:c r="K1751" s="289" t="n">
        <x:v>8223726</x:v>
      </x:c>
    </x:row>
    <x:row r="1752" s="117" customFormat="1" hidden="1">
      <x:c r="A1752" s="184" t="inlineStr">
        <x:is>
          <x:t xml:space="preserve">PDTACCTEF045</x:t>
        </x:is>
      </x:c>
      <x:c r="B1752" s="184" t="inlineStr">
        <x:is>
          <x:t xml:space="preserve">LINES ACERO TEFLON MINERA LOS PELAMBRES FUL1122-NV0005</x:t>
        </x:is>
      </x:c>
      <x:c r="C1752" s="184" t="n">
        <x:v>0</x:v>
      </x:c>
      <x:c r="D1752" s="184" t="n">
        <x:v>0</x:v>
      </x:c>
      <x:c r="E1752" s="184" t="n">
        <x:v>0</x:v>
      </x:c>
      <x:c r="F1752" s="184" t="n">
        <x:v>0</x:v>
      </x:c>
      <x:c r="G1752" s="184" t="n">
        <x:v>0</x:v>
      </x:c>
      <x:c r="H1752" s="193" t="n">
        <x:v>0</x:v>
      </x:c>
      <x:c r="I1752" s="185" t="n">
        <x:v>0</x:v>
      </x:c>
      <x:c r="J1752" s="185" t="n">
        <x:v>0</x:v>
      </x:c>
      <x:c r="K1752" s="289" t="n">
        <x:v>9264104</x:v>
      </x:c>
    </x:row>
    <x:row r="1753" s="117" customFormat="1" hidden="1">
      <x:c r="A1753" s="184" t="inlineStr">
        <x:is>
          <x:t xml:space="preserve">PDTACCTEF046</x:t>
        </x:is>
      </x:c>
      <x:c r="B1753" s="184" t="inlineStr">
        <x:is>
          <x:t xml:space="preserve">COD 1117028 REDUCTOR TUBE T;INSTRUMENTACION DIA 6 PLG X 1 PLG</x:t>
        </x:is>
      </x:c>
      <x:c r="C1753" s="184" t="n">
        <x:v>0</x:v>
      </x:c>
      <x:c r="D1753" s="184" t="n">
        <x:v>0</x:v>
      </x:c>
      <x:c r="E1753" s="184" t="n">
        <x:v>0</x:v>
      </x:c>
      <x:c r="F1753" s="184" t="n">
        <x:v>0</x:v>
      </x:c>
      <x:c r="G1753" s="184" t="n">
        <x:v>0</x:v>
      </x:c>
      <x:c r="H1753" s="193" t="n">
        <x:v>0</x:v>
      </x:c>
      <x:c r="I1753" s="185" t="n">
        <x:v>0</x:v>
      </x:c>
      <x:c r="J1753" s="185" t="n">
        <x:v>0</x:v>
      </x:c>
      <x:c r="K1753" s="289" t="n">
        <x:v>605079</x:v>
      </x:c>
    </x:row>
    <x:row r="1754" s="117" customFormat="1" hidden="1">
      <x:c r="A1754" s="184" t="inlineStr">
        <x:is>
          <x:t xml:space="preserve">PDTACCTEF047</x:t>
        </x:is>
      </x:c>
      <x:c r="B1754" s="184" t="inlineStr">
        <x:is>
          <x:t xml:space="preserve">COD 1117029 REDUCTOR TUBE T ;INSTUMENTACION DIA 6 PLG X 1 PLG</x:t>
        </x:is>
      </x:c>
      <x:c r="C1754" s="184" t="n">
        <x:v>0</x:v>
      </x:c>
      <x:c r="D1754" s="184" t="n">
        <x:v>0</x:v>
      </x:c>
      <x:c r="E1754" s="184" t="n">
        <x:v>0</x:v>
      </x:c>
      <x:c r="F1754" s="184" t="n">
        <x:v>0</x:v>
      </x:c>
      <x:c r="G1754" s="184" t="n">
        <x:v>0</x:v>
      </x:c>
      <x:c r="H1754" s="193" t="n">
        <x:v>0</x:v>
      </x:c>
      <x:c r="I1754" s="185" t="n">
        <x:v>0</x:v>
      </x:c>
      <x:c r="J1754" s="185" t="n">
        <x:v>0</x:v>
      </x:c>
      <x:c r="K1754" s="289" t="n">
        <x:v>147631</x:v>
      </x:c>
    </x:row>
    <x:row r="1755" s="117" customFormat="1" hidden="1">
      <x:c r="A1755" s="184" t="inlineStr">
        <x:is>
          <x:t xml:space="preserve">PDTACCTEF048</x:t>
        </x:is>
      </x:c>
      <x:c r="B1755" s="184" t="inlineStr">
        <x:is>
          <x:t xml:space="preserve">FLEXIBLE SS PTFE 1 PLG X L 410 MM  C/FLANGE LOOSE</x:t>
        </x:is>
      </x:c>
      <x:c r="C1755" s="184" t="n">
        <x:v>0</x:v>
      </x:c>
      <x:c r="D1755" s="184" t="n">
        <x:v>0</x:v>
      </x:c>
      <x:c r="E1755" s="184" t="n">
        <x:v>0</x:v>
      </x:c>
      <x:c r="F1755" s="184" t="n">
        <x:v>0</x:v>
      </x:c>
      <x:c r="G1755" s="184" t="n">
        <x:v>0</x:v>
      </x:c>
      <x:c r="H1755" s="193" t="n">
        <x:v>0</x:v>
      </x:c>
      <x:c r="I1755" s="185" t="n">
        <x:v>0</x:v>
      </x:c>
      <x:c r="J1755" s="185" t="n">
        <x:v>0</x:v>
      </x:c>
      <x:c r="K1755" s="289" t="n">
        <x:v>85252</x:v>
      </x:c>
    </x:row>
    <x:row r="1756" s="117" customFormat="1" hidden="1">
      <x:c r="A1756" s="184" t="inlineStr">
        <x:is>
          <x:t xml:space="preserve">PDTACCTEF049</x:t>
        </x:is>
      </x:c>
      <x:c r="B1756" s="184" t="inlineStr">
        <x:is>
          <x:t xml:space="preserve">REDUCCION CONCENTRICA 3 X 1 L 152 CLASE 150 PTFE</x:t>
        </x:is>
      </x:c>
      <x:c r="C1756" s="184" t="n">
        <x:v>2</x:v>
      </x:c>
      <x:c r="D1756" s="184" t="n">
        <x:v>0</x:v>
      </x:c>
      <x:c r="E1756" s="184" t="n">
        <x:v>0</x:v>
      </x:c>
      <x:c r="F1756" s="184" t="n">
        <x:v>2</x:v>
      </x:c>
      <x:c r="G1756" s="184" t="n">
        <x:v>278628</x:v>
      </x:c>
      <x:c r="H1756" s="193" t="n">
        <x:v>0</x:v>
      </x:c>
      <x:c r="I1756" s="185" t="n">
        <x:v>0</x:v>
      </x:c>
      <x:c r="J1756" s="185" t="n">
        <x:v>278628</x:v>
      </x:c>
      <x:c r="K1756" s="289" t="n">
        <x:v>139314</x:v>
      </x:c>
    </x:row>
    <x:row r="1757" s="117" customFormat="1" hidden="1">
      <x:c r="A1757" s="184" t="inlineStr">
        <x:is>
          <x:t xml:space="preserve">PDTACCTEF050</x:t>
        </x:is>
      </x:c>
      <x:c r="B1757" s="184" t="inlineStr">
        <x:is>
          <x:t xml:space="preserve">COD 1117001 TUBERIA ROLLO;NOM 152,4 MM,BRIDA,SCH 40</x:t>
        </x:is>
      </x:c>
      <x:c r="C1757" s="184" t="n">
        <x:v>0</x:v>
      </x:c>
      <x:c r="D1757" s="184" t="n">
        <x:v>0</x:v>
      </x:c>
      <x:c r="E1757" s="184" t="n">
        <x:v>0</x:v>
      </x:c>
      <x:c r="F1757" s="184" t="n">
        <x:v>0</x:v>
      </x:c>
      <x:c r="G1757" s="184" t="n">
        <x:v>0</x:v>
      </x:c>
      <x:c r="H1757" s="193" t="n">
        <x:v>0</x:v>
      </x:c>
      <x:c r="I1757" s="185" t="n">
        <x:v>0</x:v>
      </x:c>
      <x:c r="J1757" s="185" t="n">
        <x:v>0</x:v>
      </x:c>
      <x:c r="K1757" s="289" t="n">
        <x:v>1054209</x:v>
      </x:c>
    </x:row>
    <x:row r="1758" s="117" customFormat="1" hidden="1">
      <x:c r="A1758" s="184" t="inlineStr">
        <x:is>
          <x:t xml:space="preserve">PDTACCTEF051</x:t>
        </x:is>
      </x:c>
      <x:c r="B1758" s="184" t="inlineStr">
        <x:is>
          <x:t xml:space="preserve">COD 1143582 TUBERIA ROLLO;NOM 50.8 MM , BRIDA.SCH 40 DIA 2 PLG X 2568 MM</x:t>
        </x:is>
      </x:c>
      <x:c r="C1758" s="184" t="n">
        <x:v>0</x:v>
      </x:c>
      <x:c r="D1758" s="184" t="n">
        <x:v>0</x:v>
      </x:c>
      <x:c r="E1758" s="184" t="n">
        <x:v>0</x:v>
      </x:c>
      <x:c r="F1758" s="184" t="n">
        <x:v>0</x:v>
      </x:c>
      <x:c r="G1758" s="184" t="n">
        <x:v>0</x:v>
      </x:c>
      <x:c r="H1758" s="193" t="n">
        <x:v>0</x:v>
      </x:c>
      <x:c r="I1758" s="185" t="n">
        <x:v>0</x:v>
      </x:c>
      <x:c r="J1758" s="185" t="n">
        <x:v>0</x:v>
      </x:c>
      <x:c r="K1758" s="289" t="n">
        <x:v>216248</x:v>
      </x:c>
    </x:row>
    <x:row r="1759" s="117" customFormat="1" hidden="1">
      <x:c r="A1759" s="184" t="inlineStr">
        <x:is>
          <x:t xml:space="preserve">PDTACCTEF052</x:t>
        </x:is>
      </x:c>
      <x:c r="B1759" s="184" t="inlineStr">
        <x:is>
          <x:t xml:space="preserve">COD 1143581 TUBERIA ROLLO;NOM 50.8 MM , BRIDA.SCH 40 DIA 2 PLG X 400 MM</x:t>
        </x:is>
      </x:c>
      <x:c r="C1759" s="184" t="n">
        <x:v>0</x:v>
      </x:c>
      <x:c r="D1759" s="184" t="n">
        <x:v>0</x:v>
      </x:c>
      <x:c r="E1759" s="184" t="n">
        <x:v>0</x:v>
      </x:c>
      <x:c r="F1759" s="184" t="n">
        <x:v>0</x:v>
      </x:c>
      <x:c r="G1759" s="184" t="n">
        <x:v>0</x:v>
      </x:c>
      <x:c r="H1759" s="193" t="n">
        <x:v>0</x:v>
      </x:c>
      <x:c r="I1759" s="185" t="n">
        <x:v>0</x:v>
      </x:c>
      <x:c r="J1759" s="185" t="n">
        <x:v>0</x:v>
      </x:c>
      <x:c r="K1759" s="289" t="n">
        <x:v>81093</x:v>
      </x:c>
    </x:row>
    <x:row r="1760" s="117" customFormat="1" hidden="1">
      <x:c r="A1760" s="184" t="inlineStr">
        <x:is>
          <x:t xml:space="preserve">PDTACCTEF053</x:t>
        </x:is>
      </x:c>
      <x:c r="B1760" s="184" t="inlineStr">
        <x:is>
          <x:t xml:space="preserve">1117020 TUBERIA T ESTANDAR NOM 6 IN ,SCH40,3 MM AC/PTFE</x:t>
        </x:is>
      </x:c>
      <x:c r="C1760" s="184" t="n">
        <x:v>0</x:v>
      </x:c>
      <x:c r="D1760" s="184" t="n">
        <x:v>0</x:v>
      </x:c>
      <x:c r="E1760" s="184" t="n">
        <x:v>0</x:v>
      </x:c>
      <x:c r="F1760" s="184" t="n">
        <x:v>0</x:v>
      </x:c>
      <x:c r="G1760" s="184" t="n">
        <x:v>0</x:v>
      </x:c>
      <x:c r="H1760" s="193" t="n">
        <x:v>0</x:v>
      </x:c>
      <x:c r="I1760" s="185" t="n">
        <x:v>0</x:v>
      </x:c>
      <x:c r="J1760" s="185" t="n">
        <x:v>0</x:v>
      </x:c>
      <x:c r="K1760" s="289" t="n">
        <x:v>960581</x:v>
      </x:c>
    </x:row>
    <x:row r="1761" s="117" customFormat="1" hidden="1">
      <x:c r="A1761" s="184" t="inlineStr">
        <x:is>
          <x:t xml:space="preserve">PDTACCTEF054</x:t>
        </x:is>
      </x:c>
      <x:c r="B1761" s="184" t="inlineStr">
        <x:is>
          <x:t xml:space="preserve">SPOOL ACC/PTFE DN25 L3069 MM</x:t>
        </x:is>
      </x:c>
      <x:c r="C1761" s="184" t="n">
        <x:v>2</x:v>
      </x:c>
      <x:c r="D1761" s="184" t="n">
        <x:v>0</x:v>
      </x:c>
      <x:c r="E1761" s="184" t="n">
        <x:v>0</x:v>
      </x:c>
      <x:c r="F1761" s="184" t="n">
        <x:v>2</x:v>
      </x:c>
      <x:c r="G1761" s="184" t="n">
        <x:v>166182</x:v>
      </x:c>
      <x:c r="H1761" s="193" t="n">
        <x:v>0</x:v>
      </x:c>
      <x:c r="I1761" s="185" t="n">
        <x:v>0</x:v>
      </x:c>
      <x:c r="J1761" s="185" t="n">
        <x:v>166182</x:v>
      </x:c>
      <x:c r="K1761" s="289" t="n">
        <x:v>83091</x:v>
      </x:c>
    </x:row>
    <x:row r="1762" s="117" customFormat="1" hidden="1">
      <x:c r="A1762" s="184" t="inlineStr">
        <x:is>
          <x:t xml:space="preserve">PDTACCTEF055</x:t>
        </x:is>
      </x:c>
      <x:c r="B1762" s="184" t="inlineStr">
        <x:is>
          <x:t xml:space="preserve">SPOOL ACC/PTFE DN25 L2315  MM</x:t>
        </x:is>
      </x:c>
      <x:c r="C1762" s="184" t="n">
        <x:v>3</x:v>
      </x:c>
      <x:c r="D1762" s="184" t="n">
        <x:v>0</x:v>
      </x:c>
      <x:c r="E1762" s="184" t="n">
        <x:v>0</x:v>
      </x:c>
      <x:c r="F1762" s="184" t="n">
        <x:v>3</x:v>
      </x:c>
      <x:c r="G1762" s="184" t="n">
        <x:v>499938</x:v>
      </x:c>
      <x:c r="H1762" s="193" t="n">
        <x:v>0</x:v>
      </x:c>
      <x:c r="I1762" s="185" t="n">
        <x:v>0</x:v>
      </x:c>
      <x:c r="J1762" s="185" t="n">
        <x:v>499938</x:v>
      </x:c>
      <x:c r="K1762" s="289" t="n">
        <x:v>166646</x:v>
      </x:c>
    </x:row>
    <x:row r="1763" s="117" customFormat="1" hidden="1">
      <x:c r="A1763" s="184" t="inlineStr">
        <x:is>
          <x:t xml:space="preserve">PDTACCTEF056</x:t>
        </x:is>
      </x:c>
      <x:c r="B1763" s="184" t="inlineStr">
        <x:is>
          <x:t xml:space="preserve">SPOOL ACC/PTFE DN25 L1954  MM</x:t>
        </x:is>
      </x:c>
      <x:c r="C1763" s="184" t="n">
        <x:v>1</x:v>
      </x:c>
      <x:c r="D1763" s="184" t="n">
        <x:v>0</x:v>
      </x:c>
      <x:c r="E1763" s="184" t="n">
        <x:v>0</x:v>
      </x:c>
      <x:c r="F1763" s="184" t="n">
        <x:v>1</x:v>
      </x:c>
      <x:c r="G1763" s="184" t="n">
        <x:v>166646</x:v>
      </x:c>
      <x:c r="H1763" s="193" t="n">
        <x:v>0</x:v>
      </x:c>
      <x:c r="I1763" s="185" t="n">
        <x:v>0</x:v>
      </x:c>
      <x:c r="J1763" s="185" t="n">
        <x:v>166646</x:v>
      </x:c>
      <x:c r="K1763" s="289" t="n">
        <x:v>166646</x:v>
      </x:c>
    </x:row>
    <x:row r="1764" s="117" customFormat="1" hidden="1">
      <x:c r="A1764" s="184" t="inlineStr">
        <x:is>
          <x:t xml:space="preserve">PDTACCTEF057</x:t>
        </x:is>
      </x:c>
      <x:c r="B1764" s="184" t="inlineStr">
        <x:is>
          <x:t xml:space="preserve">SPOOL ACC/PTFE DN25 L1892  MM</x:t>
        </x:is>
      </x:c>
      <x:c r="C1764" s="184" t="n">
        <x:v>1</x:v>
      </x:c>
      <x:c r="D1764" s="184" t="n">
        <x:v>0</x:v>
      </x:c>
      <x:c r="E1764" s="184" t="n">
        <x:v>0</x:v>
      </x:c>
      <x:c r="F1764" s="184" t="n">
        <x:v>1</x:v>
      </x:c>
      <x:c r="G1764" s="184" t="n">
        <x:v>166646</x:v>
      </x:c>
      <x:c r="H1764" s="193" t="n">
        <x:v>0</x:v>
      </x:c>
      <x:c r="I1764" s="185" t="n">
        <x:v>0</x:v>
      </x:c>
      <x:c r="J1764" s="185" t="n">
        <x:v>166646</x:v>
      </x:c>
      <x:c r="K1764" s="289" t="n">
        <x:v>166646</x:v>
      </x:c>
    </x:row>
    <x:row r="1765" s="117" customFormat="1" hidden="1">
      <x:c r="A1765" s="184" t="inlineStr">
        <x:is>
          <x:t xml:space="preserve">PDTACCTEF058</x:t>
        </x:is>
      </x:c>
      <x:c r="B1765" s="184" t="inlineStr">
        <x:is>
          <x:t xml:space="preserve">SPOOL ACC/PTFE DN25 L1530  MM</x:t>
        </x:is>
      </x:c>
      <x:c r="C1765" s="184" t="n">
        <x:v>1</x:v>
      </x:c>
      <x:c r="D1765" s="184" t="n">
        <x:v>0</x:v>
      </x:c>
      <x:c r="E1765" s="184" t="n">
        <x:v>0</x:v>
      </x:c>
      <x:c r="F1765" s="184" t="n">
        <x:v>1</x:v>
      </x:c>
      <x:c r="G1765" s="184" t="n">
        <x:v>111097</x:v>
      </x:c>
      <x:c r="H1765" s="193" t="n">
        <x:v>0</x:v>
      </x:c>
      <x:c r="I1765" s="185" t="n">
        <x:v>0</x:v>
      </x:c>
      <x:c r="J1765" s="185" t="n">
        <x:v>111097</x:v>
      </x:c>
      <x:c r="K1765" s="289" t="n">
        <x:v>111097</x:v>
      </x:c>
    </x:row>
    <x:row r="1766" s="117" customFormat="1" hidden="1">
      <x:c r="A1766" s="184" t="inlineStr">
        <x:is>
          <x:t xml:space="preserve">PDTACCTEF059</x:t>
        </x:is>
      </x:c>
      <x:c r="B1766" s="184" t="inlineStr">
        <x:is>
          <x:t xml:space="preserve">SPOOL ACC/PTFE DN25 L264MM</x:t>
        </x:is>
      </x:c>
      <x:c r="C1766" s="184" t="n">
        <x:v>0</x:v>
      </x:c>
      <x:c r="D1766" s="184" t="n">
        <x:v>0</x:v>
      </x:c>
      <x:c r="E1766" s="184" t="n">
        <x:v>0</x:v>
      </x:c>
      <x:c r="F1766" s="184" t="n">
        <x:v>0</x:v>
      </x:c>
      <x:c r="G1766" s="184" t="n">
        <x:v>0</x:v>
      </x:c>
      <x:c r="H1766" s="193" t="n">
        <x:v>0</x:v>
      </x:c>
      <x:c r="I1766" s="185" t="n">
        <x:v>0</x:v>
      </x:c>
      <x:c r="J1766" s="185" t="n">
        <x:v>0</x:v>
      </x:c>
      <x:c r="K1766" s="289" t="n">
        <x:v>84362</x:v>
      </x:c>
    </x:row>
    <x:row r="1767" s="117" customFormat="1" hidden="1">
      <x:c r="A1767" s="184" t="inlineStr">
        <x:is>
          <x:t xml:space="preserve">PDTACCTEF060</x:t>
        </x:is>
      </x:c>
      <x:c r="B1767" s="184" t="inlineStr">
        <x:is>
          <x:t xml:space="preserve">TEE ACC/PTFE DN25 C/F89MM</x:t>
        </x:is>
      </x:c>
      <x:c r="C1767" s="184" t="n">
        <x:v>0</x:v>
      </x:c>
      <x:c r="D1767" s="184" t="n">
        <x:v>0</x:v>
      </x:c>
      <x:c r="E1767" s="184" t="n">
        <x:v>0</x:v>
      </x:c>
      <x:c r="F1767" s="184" t="n">
        <x:v>0</x:v>
      </x:c>
      <x:c r="G1767" s="184" t="n">
        <x:v>0</x:v>
      </x:c>
      <x:c r="H1767" s="193" t="n">
        <x:v>0</x:v>
      </x:c>
      <x:c r="I1767" s="185" t="n">
        <x:v>0</x:v>
      </x:c>
      <x:c r="J1767" s="185" t="n">
        <x:v>0</x:v>
      </x:c>
      <x:c r="K1767" s="289" t="n">
        <x:v>129788</x:v>
      </x:c>
    </x:row>
    <x:row r="1768" s="117" customFormat="1" hidden="1">
      <x:c r="A1768" s="184" t="inlineStr">
        <x:is>
          <x:t xml:space="preserve">PDTACCTEF061</x:t>
        </x:is>
      </x:c>
      <x:c r="B1768" s="184" t="inlineStr">
        <x:is>
          <x:t xml:space="preserve">SPOOL ACC/PTFE DN25 L147MM</x:t>
        </x:is>
      </x:c>
      <x:c r="C1768" s="184" t="n">
        <x:v>0</x:v>
      </x:c>
      <x:c r="D1768" s="184" t="n">
        <x:v>0</x:v>
      </x:c>
      <x:c r="E1768" s="184" t="n">
        <x:v>0</x:v>
      </x:c>
      <x:c r="F1768" s="184" t="n">
        <x:v>0</x:v>
      </x:c>
      <x:c r="G1768" s="184" t="n">
        <x:v>0</x:v>
      </x:c>
      <x:c r="H1768" s="193" t="n">
        <x:v>0</x:v>
      </x:c>
      <x:c r="I1768" s="185" t="n">
        <x:v>0</x:v>
      </x:c>
      <x:c r="J1768" s="185" t="n">
        <x:v>0</x:v>
      </x:c>
      <x:c r="K1768" s="289" t="n">
        <x:v>77873</x:v>
      </x:c>
    </x:row>
    <x:row r="1769" s="117" customFormat="1" hidden="1">
      <x:c r="A1769" s="184" t="inlineStr">
        <x:is>
          <x:t xml:space="preserve">PDTACCTEF062</x:t>
        </x:is>
      </x:c>
      <x:c r="B1769" s="184" t="inlineStr">
        <x:is>
          <x:t xml:space="preserve">SPOOL ACC/PTFE DN25 L100MM</x:t>
        </x:is>
      </x:c>
      <x:c r="C1769" s="184" t="n">
        <x:v>0</x:v>
      </x:c>
      <x:c r="D1769" s="184" t="n">
        <x:v>0</x:v>
      </x:c>
      <x:c r="E1769" s="184" t="n">
        <x:v>0</x:v>
      </x:c>
      <x:c r="F1769" s="184" t="n">
        <x:v>0</x:v>
      </x:c>
      <x:c r="G1769" s="184" t="n">
        <x:v>0</x:v>
      </x:c>
      <x:c r="H1769" s="193" t="n">
        <x:v>0</x:v>
      </x:c>
      <x:c r="I1769" s="185" t="n">
        <x:v>0</x:v>
      </x:c>
      <x:c r="J1769" s="185" t="n">
        <x:v>0</x:v>
      </x:c>
      <x:c r="K1769" s="289" t="n">
        <x:v>74628</x:v>
      </x:c>
    </x:row>
    <x:row r="1770" s="117" customFormat="1" hidden="1">
      <x:c r="A1770" s="184" t="inlineStr">
        <x:is>
          <x:t xml:space="preserve">PDTACCTEF063</x:t>
        </x:is>
      </x:c>
      <x:c r="B1770" s="184" t="inlineStr">
        <x:is>
          <x:t xml:space="preserve">CODO 90° ACC/PTFE DN25 C/F89MM</x:t>
        </x:is>
      </x:c>
      <x:c r="C1770" s="184" t="n">
        <x:v>0</x:v>
      </x:c>
      <x:c r="D1770" s="184" t="n">
        <x:v>0</x:v>
      </x:c>
      <x:c r="E1770" s="184" t="n">
        <x:v>0</x:v>
      </x:c>
      <x:c r="F1770" s="184" t="n">
        <x:v>0</x:v>
      </x:c>
      <x:c r="G1770" s="184" t="n">
        <x:v>0</x:v>
      </x:c>
      <x:c r="H1770" s="193" t="n">
        <x:v>0</x:v>
      </x:c>
      <x:c r="I1770" s="185" t="n">
        <x:v>0</x:v>
      </x:c>
      <x:c r="J1770" s="185" t="n">
        <x:v>0</x:v>
      </x:c>
      <x:c r="K1770" s="289" t="n">
        <x:v>90851</x:v>
      </x:c>
    </x:row>
    <x:row r="1771" s="117" customFormat="1" hidden="1">
      <x:c r="A1771" s="184" t="inlineStr">
        <x:is>
          <x:t xml:space="preserve">PDTACCTEF064</x:t>
        </x:is>
      </x:c>
      <x:c r="B1771" s="184" t="inlineStr">
        <x:is>
          <x:t xml:space="preserve">SPOOL ACC/PTFE DN25 L1220MM</x:t>
        </x:is>
      </x:c>
      <x:c r="C1771" s="184" t="n">
        <x:v>0</x:v>
      </x:c>
      <x:c r="D1771" s="184" t="n">
        <x:v>0</x:v>
      </x:c>
      <x:c r="E1771" s="184" t="n">
        <x:v>0</x:v>
      </x:c>
      <x:c r="F1771" s="184" t="n">
        <x:v>0</x:v>
      </x:c>
      <x:c r="G1771" s="184" t="n">
        <x:v>0</x:v>
      </x:c>
      <x:c r="H1771" s="193" t="n">
        <x:v>0</x:v>
      </x:c>
      <x:c r="I1771" s="185" t="n">
        <x:v>0</x:v>
      </x:c>
      <x:c r="J1771" s="185" t="n">
        <x:v>0</x:v>
      </x:c>
      <x:c r="K1771" s="289" t="n">
        <x:v>129788</x:v>
      </x:c>
    </x:row>
    <x:row r="1772" s="117" customFormat="1" hidden="1">
      <x:c r="A1772" s="184" t="inlineStr">
        <x:is>
          <x:t xml:space="preserve">PDTACCTEF065</x:t>
        </x:is>
      </x:c>
      <x:c r="B1772" s="184" t="inlineStr">
        <x:is>
          <x:t xml:space="preserve">SPOOL ACC/PTFE DN25 L357MM</x:t>
        </x:is>
      </x:c>
      <x:c r="C1772" s="184" t="n">
        <x:v>0</x:v>
      </x:c>
      <x:c r="D1772" s="184" t="n">
        <x:v>0</x:v>
      </x:c>
      <x:c r="E1772" s="184" t="n">
        <x:v>0</x:v>
      </x:c>
      <x:c r="F1772" s="184" t="n">
        <x:v>0</x:v>
      </x:c>
      <x:c r="G1772" s="184" t="n">
        <x:v>0</x:v>
      </x:c>
      <x:c r="H1772" s="193" t="n">
        <x:v>0</x:v>
      </x:c>
      <x:c r="I1772" s="185" t="n">
        <x:v>0</x:v>
      </x:c>
      <x:c r="J1772" s="185" t="n">
        <x:v>0</x:v>
      </x:c>
      <x:c r="K1772" s="289" t="n">
        <x:v>87607</x:v>
      </x:c>
    </x:row>
    <x:row r="1773" s="117" customFormat="1" hidden="1">
      <x:c r="A1773" s="184" t="inlineStr">
        <x:is>
          <x:t xml:space="preserve">PDTACCTEF066</x:t>
        </x:is>
      </x:c>
      <x:c r="B1773" s="184" t="inlineStr">
        <x:is>
          <x:t xml:space="preserve">SPOOL ACC/PTFE DN25 L2022MM</x:t>
        </x:is>
      </x:c>
      <x:c r="C1773" s="184" t="n">
        <x:v>0</x:v>
      </x:c>
      <x:c r="D1773" s="184" t="n">
        <x:v>0</x:v>
      </x:c>
      <x:c r="E1773" s="184" t="n">
        <x:v>0</x:v>
      </x:c>
      <x:c r="F1773" s="184" t="n">
        <x:v>0</x:v>
      </x:c>
      <x:c r="G1773" s="184" t="n">
        <x:v>0</x:v>
      </x:c>
      <x:c r="H1773" s="193" t="n">
        <x:v>0</x:v>
      </x:c>
      <x:c r="I1773" s="185" t="n">
        <x:v>0</x:v>
      </x:c>
      <x:c r="J1773" s="185" t="n">
        <x:v>0</x:v>
      </x:c>
      <x:c r="K1773" s="289" t="n">
        <x:v>168724</x:v>
      </x:c>
    </x:row>
    <x:row r="1774" s="117" customFormat="1" hidden="1">
      <x:c r="A1774" s="184" t="inlineStr">
        <x:is>
          <x:t xml:space="preserve">PDTACCTEF067</x:t>
        </x:is>
      </x:c>
      <x:c r="B1774" s="184" t="inlineStr">
        <x:is>
          <x:t xml:space="preserve">SPOOL ACC/PTFE L140MM</x:t>
        </x:is>
      </x:c>
      <x:c r="C1774" s="184" t="n">
        <x:v>0</x:v>
      </x:c>
      <x:c r="D1774" s="184" t="n">
        <x:v>0</x:v>
      </x:c>
      <x:c r="E1774" s="184" t="n">
        <x:v>0</x:v>
      </x:c>
      <x:c r="F1774" s="184" t="n">
        <x:v>0</x:v>
      </x:c>
      <x:c r="G1774" s="184" t="n">
        <x:v>0</x:v>
      </x:c>
      <x:c r="H1774" s="193" t="n">
        <x:v>0</x:v>
      </x:c>
      <x:c r="I1774" s="185" t="n">
        <x:v>0</x:v>
      </x:c>
      <x:c r="J1774" s="185" t="n">
        <x:v>0</x:v>
      </x:c>
      <x:c r="K1774" s="289" t="n">
        <x:v>77873</x:v>
      </x:c>
    </x:row>
    <x:row r="1775" s="117" customFormat="1" hidden="1">
      <x:c r="A1775" s="184" t="inlineStr">
        <x:is>
          <x:t xml:space="preserve">PDTACETEF001</x:t>
        </x:is>
      </x:c>
      <x:c r="B1775" s="184" t="inlineStr">
        <x:is>
          <x:t xml:space="preserve">SPOOL ACERO CARBONO 2 PLG X 400 MM LG.REVSTIDO EN PTFE</x:t>
        </x:is>
      </x:c>
      <x:c r="C1775" s="184" t="n">
        <x:v>0</x:v>
      </x:c>
      <x:c r="D1775" s="184" t="n">
        <x:v>0</x:v>
      </x:c>
      <x:c r="E1775" s="184" t="n">
        <x:v>0</x:v>
      </x:c>
      <x:c r="F1775" s="184" t="n">
        <x:v>0</x:v>
      </x:c>
      <x:c r="G1775" s="184" t="n">
        <x:v>0</x:v>
      </x:c>
      <x:c r="H1775" s="193" t="n">
        <x:v>0</x:v>
      </x:c>
      <x:c r="I1775" s="185" t="n">
        <x:v>0</x:v>
      </x:c>
      <x:c r="J1775" s="185" t="n">
        <x:v>0</x:v>
      </x:c>
      <x:c r="K1775" s="289" t="n">
        <x:v>319134</x:v>
      </x:c>
    </x:row>
    <x:row r="1776" s="117" customFormat="1" hidden="1">
      <x:c r="A1776" s="184" t="inlineStr">
        <x:is>
          <x:t xml:space="preserve">PDTACETEF002</x:t>
        </x:is>
      </x:c>
      <x:c r="B1776" s="184" t="inlineStr">
        <x:is>
          <x:t xml:space="preserve">TEE REDUCCION DIAM.4 PLG X 2 PLG LGO STANDAR ACERO CARBONO REVESTIDO PTFE 3 MM</x:t>
        </x:is>
      </x:c>
      <x:c r="C1776" s="184" t="n">
        <x:v>0</x:v>
      </x:c>
      <x:c r="D1776" s="184" t="n">
        <x:v>0</x:v>
      </x:c>
      <x:c r="E1776" s="184" t="n">
        <x:v>0</x:v>
      </x:c>
      <x:c r="F1776" s="184" t="n">
        <x:v>0</x:v>
      </x:c>
      <x:c r="G1776" s="184" t="n">
        <x:v>0</x:v>
      </x:c>
      <x:c r="H1776" s="193" t="n">
        <x:v>0</x:v>
      </x:c>
      <x:c r="I1776" s="185" t="n">
        <x:v>0</x:v>
      </x:c>
      <x:c r="J1776" s="185" t="n">
        <x:v>0</x:v>
      </x:c>
      <x:c r="K1776" s="289" t="n">
        <x:v>394964</x:v>
      </x:c>
    </x:row>
    <x:row r="1777" s="117" customFormat="1" hidden="1">
      <x:c r="A1777" s="184" t="inlineStr">
        <x:is>
          <x:t xml:space="preserve">PDTACETEF003</x:t>
        </x:is>
      </x:c>
      <x:c r="B1777" s="184" t="inlineStr">
        <x:is>
          <x:t xml:space="preserve">CONJUNTO PIPING AC/PTFE IMORTACION 73480 FUL0222-NV0005 PELAMBRES</x:t>
        </x:is>
      </x:c>
      <x:c r="C1777" s="184" t="n">
        <x:v>0</x:v>
      </x:c>
      <x:c r="D1777" s="184" t="n">
        <x:v>0</x:v>
      </x:c>
      <x:c r="E1777" s="184" t="n">
        <x:v>0</x:v>
      </x:c>
      <x:c r="F1777" s="184" t="n">
        <x:v>0</x:v>
      </x:c>
      <x:c r="G1777" s="184" t="n">
        <x:v>0</x:v>
      </x:c>
      <x:c r="H1777" s="193" t="n">
        <x:v>0</x:v>
      </x:c>
      <x:c r="I1777" s="185" t="n">
        <x:v>0</x:v>
      </x:c>
      <x:c r="J1777" s="185" t="n">
        <x:v>0</x:v>
      </x:c>
      <x:c r="K1777" s="289" t="n">
        <x:v>1205097</x:v>
      </x:c>
    </x:row>
    <x:row r="1778" s="117" customFormat="1" hidden="1">
      <x:c r="A1778" s="184" t="inlineStr">
        <x:is>
          <x:t xml:space="preserve">PDTACETEF004</x:t>
        </x:is>
      </x:c>
      <x:c r="B1778" s="184" t="inlineStr">
        <x:is>
          <x:t xml:space="preserve">CONJUNTO PIPING AC/PTFE IMORTACION 73478 FUL0322-NV0003 PELAMBRES</x:t>
        </x:is>
      </x:c>
      <x:c r="C1778" s="184" t="n">
        <x:v>0</x:v>
      </x:c>
      <x:c r="D1778" s="184" t="n">
        <x:v>0</x:v>
      </x:c>
      <x:c r="E1778" s="184" t="n">
        <x:v>0</x:v>
      </x:c>
      <x:c r="F1778" s="184" t="n">
        <x:v>0</x:v>
      </x:c>
      <x:c r="G1778" s="184" t="n">
        <x:v>0</x:v>
      </x:c>
      <x:c r="H1778" s="193" t="n">
        <x:v>0</x:v>
      </x:c>
      <x:c r="I1778" s="185" t="n">
        <x:v>0</x:v>
      </x:c>
      <x:c r="J1778" s="185" t="n">
        <x:v>0</x:v>
      </x:c>
      <x:c r="K1778" s="289" t="n">
        <x:v>4602416</x:v>
      </x:c>
    </x:row>
    <x:row r="1779" s="117" customFormat="1" hidden="1">
      <x:c r="A1779" s="184" t="inlineStr">
        <x:is>
          <x:t xml:space="preserve">PDTACETEF005</x:t>
        </x:is>
      </x:c>
      <x:c r="B1779" s="184" t="inlineStr">
        <x:is>
          <x:t xml:space="preserve">CONJUNTO PIPING AC/PTFE IMORTACION 73479 FUL0322-NV0000 PELAMBRES  GD 15034 OC 4510159701</x:t>
        </x:is>
      </x:c>
      <x:c r="C1779" s="184" t="n">
        <x:v>0</x:v>
      </x:c>
      <x:c r="D1779" s="184" t="n">
        <x:v>0</x:v>
      </x:c>
      <x:c r="E1779" s="184" t="n">
        <x:v>0</x:v>
      </x:c>
      <x:c r="F1779" s="184" t="n">
        <x:v>0</x:v>
      </x:c>
      <x:c r="G1779" s="184" t="n">
        <x:v>0</x:v>
      </x:c>
      <x:c r="H1779" s="193" t="n">
        <x:v>0</x:v>
      </x:c>
      <x:c r="I1779" s="185" t="n">
        <x:v>0</x:v>
      </x:c>
      <x:c r="J1779" s="185" t="n">
        <x:v>0</x:v>
      </x:c>
      <x:c r="K1779" s="289" t="n">
        <x:v>3158444</x:v>
      </x:c>
    </x:row>
    <x:row r="1780" s="117" customFormat="1" hidden="1">
      <x:c r="A1780" s="184" t="inlineStr">
        <x:is>
          <x:t xml:space="preserve">PDTACETEF006</x:t>
        </x:is>
      </x:c>
      <x:c r="B1780" s="184" t="inlineStr">
        <x:is>
          <x:t xml:space="preserve">CONJUNTO PIPING AC/PTFE IMORTACION 73479 FUL0322-NV0000 PELAMBRES  GD 15036 OC 4510159701</x:t>
        </x:is>
      </x:c>
      <x:c r="C1780" s="184" t="n">
        <x:v>0</x:v>
      </x:c>
      <x:c r="D1780" s="184" t="n">
        <x:v>0</x:v>
      </x:c>
      <x:c r="E1780" s="184" t="n">
        <x:v>0</x:v>
      </x:c>
      <x:c r="F1780" s="184" t="n">
        <x:v>0</x:v>
      </x:c>
      <x:c r="G1780" s="184" t="n">
        <x:v>0</x:v>
      </x:c>
      <x:c r="H1780" s="193" t="n">
        <x:v>0</x:v>
      </x:c>
      <x:c r="I1780" s="185" t="n">
        <x:v>0</x:v>
      </x:c>
      <x:c r="J1780" s="185" t="n">
        <x:v>0</x:v>
      </x:c>
      <x:c r="K1780" s="289" t="n">
        <x:v>3078514</x:v>
      </x:c>
    </x:row>
    <x:row r="1781" s="117" customFormat="1" hidden="1">
      <x:c r="A1781" s="184" t="inlineStr">
        <x:is>
          <x:t xml:space="preserve">PDTACETEF007</x:t>
        </x:is>
      </x:c>
      <x:c r="B1781" s="184" t="inlineStr">
        <x:is>
          <x:t xml:space="preserve">CONJUNTO PIPING AC/PTFE IMORTACION 74828-74829 RRC1122-NV0000 CELU PELAMBRES  GD 15034 OC 4510159701</x:t>
        </x:is>
      </x:c>
      <x:c r="C1781" s="184" t="n">
        <x:v>0</x:v>
      </x:c>
      <x:c r="D1781" s="184" t="n">
        <x:v>0</x:v>
      </x:c>
      <x:c r="E1781" s="184" t="n">
        <x:v>0</x:v>
      </x:c>
      <x:c r="F1781" s="184" t="n">
        <x:v>0</x:v>
      </x:c>
      <x:c r="G1781" s="184" t="n">
        <x:v>0</x:v>
      </x:c>
      <x:c r="H1781" s="193" t="n">
        <x:v>0</x:v>
      </x:c>
      <x:c r="I1781" s="185" t="n">
        <x:v>0</x:v>
      </x:c>
      <x:c r="J1781" s="185" t="n">
        <x:v>0</x:v>
      </x:c>
      <x:c r="K1781" s="289" t="n">
        <x:v>4252519</x:v>
      </x:c>
    </x:row>
    <x:row r="1782" s="117" customFormat="1" hidden="1">
      <x:c r="A1782" s="184" t="inlineStr">
        <x:is>
          <x:t xml:space="preserve">PDTACETEF008</x:t>
        </x:is>
      </x:c>
      <x:c r="B1782" s="184" t="inlineStr">
        <x:is>
          <x:t xml:space="preserve">CONJUNTO PIPING AC/PTFE IMPORTACION 74849 FUL1122-NV0040 PELAMBRES</x:t>
        </x:is>
      </x:c>
      <x:c r="C1782" s="184" t="n">
        <x:v>0</x:v>
      </x:c>
      <x:c r="D1782" s="184" t="n">
        <x:v>0</x:v>
      </x:c>
      <x:c r="E1782" s="184" t="n">
        <x:v>0</x:v>
      </x:c>
      <x:c r="F1782" s="184" t="n">
        <x:v>0</x:v>
      </x:c>
      <x:c r="G1782" s="184" t="n">
        <x:v>0</x:v>
      </x:c>
      <x:c r="H1782" s="193" t="n">
        <x:v>0</x:v>
      </x:c>
      <x:c r="I1782" s="185" t="n">
        <x:v>0</x:v>
      </x:c>
      <x:c r="J1782" s="185" t="n">
        <x:v>0</x:v>
      </x:c>
      <x:c r="K1782" s="289" t="n">
        <x:v>1911931</x:v>
      </x:c>
    </x:row>
    <x:row r="1783" s="117" customFormat="1" hidden="1">
      <x:c r="A1783" s="184" t="inlineStr">
        <x:is>
          <x:t xml:space="preserve">PDTACETEF009</x:t>
        </x:is>
      </x:c>
      <x:c r="B1783" s="184" t="inlineStr">
        <x:is>
          <x:t xml:space="preserve">MEZCLADOR ESTATICO AC/PFA DIA.EXT 535 MM ,DIAM.INT 330 MM (PPT075ACT084</x:t>
        </x:is>
      </x:c>
      <x:c r="C1783" s="184" t="n">
        <x:v>0</x:v>
      </x:c>
      <x:c r="D1783" s="184" t="n">
        <x:v>0</x:v>
      </x:c>
      <x:c r="E1783" s="184" t="n">
        <x:v>0</x:v>
      </x:c>
      <x:c r="F1783" s="184" t="n">
        <x:v>0</x:v>
      </x:c>
      <x:c r="G1783" s="184" t="n">
        <x:v>0</x:v>
      </x:c>
      <x:c r="H1783" s="193" t="n">
        <x:v>0</x:v>
      </x:c>
      <x:c r="I1783" s="185" t="n">
        <x:v>0</x:v>
      </x:c>
      <x:c r="J1783" s="185" t="n">
        <x:v>0</x:v>
      </x:c>
      <x:c r="K1783" s="289" t="n">
        <x:v>2767691</x:v>
      </x:c>
    </x:row>
    <x:row r="1784" s="117" customFormat="1" hidden="1">
      <x:c r="A1784" s="184" t="inlineStr">
        <x:is>
          <x:t xml:space="preserve">PDTACETEF010</x:t>
        </x:is>
      </x:c>
      <x:c r="B1784" s="184" t="inlineStr">
        <x:is>
          <x:t xml:space="preserve">CONJUNTO PIPING AC/PTFE IMORTACION 75962 FUL0921-NV0008 PELAMBRES</x:t>
        </x:is>
      </x:c>
      <x:c r="C1784" s="184" t="n">
        <x:v>0</x:v>
      </x:c>
      <x:c r="D1784" s="184" t="n">
        <x:v>0</x:v>
      </x:c>
      <x:c r="E1784" s="184" t="n">
        <x:v>0</x:v>
      </x:c>
      <x:c r="F1784" s="184" t="n">
        <x:v>0</x:v>
      </x:c>
      <x:c r="G1784" s="184" t="n">
        <x:v>0</x:v>
      </x:c>
      <x:c r="H1784" s="193" t="n">
        <x:v>0</x:v>
      </x:c>
      <x:c r="I1784" s="185" t="n">
        <x:v>0</x:v>
      </x:c>
      <x:c r="J1784" s="185" t="n">
        <x:v>0</x:v>
      </x:c>
      <x:c r="K1784" s="289" t="n">
        <x:v>2285679</x:v>
      </x:c>
    </x:row>
    <x:row r="1785" s="117" customFormat="1" hidden="1">
      <x:c r="A1785" s="184" t="inlineStr">
        <x:is>
          <x:t xml:space="preserve">PDTACETEF011</x:t>
        </x:is>
      </x:c>
      <x:c r="B1785" s="184" t="inlineStr">
        <x:is>
          <x:t xml:space="preserve">SUMINISTRO LINEAS ACERO TEFLON PLANTA CLORACION CMLP</x:t>
        </x:is>
      </x:c>
      <x:c r="C1785" s="184" t="n">
        <x:v>0</x:v>
      </x:c>
      <x:c r="D1785" s="184" t="n">
        <x:v>0</x:v>
      </x:c>
      <x:c r="E1785" s="184" t="n">
        <x:v>0</x:v>
      </x:c>
      <x:c r="F1785" s="184" t="n">
        <x:v>0</x:v>
      </x:c>
      <x:c r="G1785" s="184" t="n">
        <x:v>0</x:v>
      </x:c>
      <x:c r="H1785" s="193" t="n">
        <x:v>0</x:v>
      </x:c>
      <x:c r="I1785" s="185" t="n">
        <x:v>0</x:v>
      </x:c>
      <x:c r="J1785" s="185" t="n">
        <x:v>0</x:v>
      </x:c>
      <x:c r="K1785" s="289" t="n">
        <x:v>13273962</x:v>
      </x:c>
    </x:row>
    <x:row r="1786" s="117" customFormat="1" hidden="1">
      <x:c r="A1786" s="184" t="inlineStr">
        <x:is>
          <x:t xml:space="preserve">PDTEQU001001</x:t>
        </x:is>
      </x:c>
      <x:c r="B1786" s="184" t="inlineStr">
        <x:is>
          <x:t xml:space="preserve">EDUCTOR 14 PLG MODELO C-ED-1-F-05</x:t>
        </x:is>
      </x:c>
      <x:c r="C1786" s="184" t="n">
        <x:v>0</x:v>
      </x:c>
      <x:c r="D1786" s="184" t="n">
        <x:v>0</x:v>
      </x:c>
      <x:c r="E1786" s="184" t="n">
        <x:v>0</x:v>
      </x:c>
      <x:c r="F1786" s="184" t="n">
        <x:v>0</x:v>
      </x:c>
      <x:c r="G1786" s="184" t="n">
        <x:v>0</x:v>
      </x:c>
      <x:c r="H1786" s="193" t="n">
        <x:v>0</x:v>
      </x:c>
      <x:c r="I1786" s="185" t="n">
        <x:v>0</x:v>
      </x:c>
      <x:c r="J1786" s="185" t="n">
        <x:v>0</x:v>
      </x:c>
      <x:c r="K1786" s="289" t="n">
        <x:v>5591875</x:v>
      </x:c>
    </x:row>
    <x:row r="1787" s="117" customFormat="1" hidden="1">
      <x:c r="A1787" s="184" t="inlineStr">
        <x:is>
          <x:t xml:space="preserve">PDTFRP001001</x:t>
        </x:is>
      </x:c>
      <x:c r="B1787" s="184" t="inlineStr">
        <x:is>
          <x:t xml:space="preserve">PLANCHA DE FRP RESINA VINILESTER PV6 900MM X6000MMX2MM</x:t>
        </x:is>
      </x:c>
      <x:c r="C1787" s="184" t="n">
        <x:v>43</x:v>
      </x:c>
      <x:c r="D1787" s="184" t="n">
        <x:v>0</x:v>
      </x:c>
      <x:c r="E1787" s="184" t="n">
        <x:v>0</x:v>
      </x:c>
      <x:c r="F1787" s="184" t="n">
        <x:v>43</x:v>
      </x:c>
      <x:c r="G1787" s="184" t="n">
        <x:v>645000</x:v>
      </x:c>
      <x:c r="H1787" s="193" t="n">
        <x:v>0</x:v>
      </x:c>
      <x:c r="I1787" s="185" t="n">
        <x:v>0</x:v>
      </x:c>
      <x:c r="J1787" s="185" t="n">
        <x:v>645000</x:v>
      </x:c>
      <x:c r="K1787" s="289" t="n">
        <x:v>15000</x:v>
      </x:c>
    </x:row>
    <x:row r="1788" s="117" customFormat="1" hidden="1">
      <x:c r="A1788" s="184" t="inlineStr">
        <x:is>
          <x:t xml:space="preserve">PDTFRP001002</x:t>
        </x:is>
      </x:c>
      <x:c r="B1788" s="184" t="inlineStr">
        <x:is>
          <x:t xml:space="preserve">PIEZA ECIAL FRP DN 700 (TIE IN 311 -TP-019) ARAUCO</x:t>
        </x:is>
      </x:c>
      <x:c r="C1788" s="184" t="n">
        <x:v>0</x:v>
      </x:c>
      <x:c r="D1788" s="184" t="n">
        <x:v>0</x:v>
      </x:c>
      <x:c r="E1788" s="184" t="n">
        <x:v>0</x:v>
      </x:c>
      <x:c r="F1788" s="184" t="n">
        <x:v>0</x:v>
      </x:c>
      <x:c r="G1788" s="184" t="n">
        <x:v>0</x:v>
      </x:c>
      <x:c r="H1788" s="193" t="n">
        <x:v>0</x:v>
      </x:c>
      <x:c r="I1788" s="185" t="n">
        <x:v>0</x:v>
      </x:c>
      <x:c r="J1788" s="185" t="n">
        <x:v>0</x:v>
      </x:c>
      <x:c r="K1788" s="289" t="n">
        <x:v>956325</x:v>
      </x:c>
    </x:row>
    <x:row r="1789" s="117" customFormat="1" hidden="1">
      <x:c r="A1789" s="184" t="inlineStr">
        <x:is>
          <x:t xml:space="preserve">PDTFRP001003</x:t>
        </x:is>
      </x:c>
      <x:c r="B1789" s="184" t="inlineStr">
        <x:is>
          <x:t xml:space="preserve">KIT VENDAJE DN 700 ARAUCO</x:t>
        </x:is>
      </x:c>
      <x:c r="C1789" s="184" t="n">
        <x:v>0</x:v>
      </x:c>
      <x:c r="D1789" s="184" t="n">
        <x:v>0</x:v>
      </x:c>
      <x:c r="E1789" s="184" t="n">
        <x:v>0</x:v>
      </x:c>
      <x:c r="F1789" s="184" t="n">
        <x:v>0</x:v>
      </x:c>
      <x:c r="G1789" s="184" t="n">
        <x:v>0</x:v>
      </x:c>
      <x:c r="H1789" s="193" t="n">
        <x:v>0</x:v>
      </x:c>
      <x:c r="I1789" s="185" t="n">
        <x:v>0</x:v>
      </x:c>
      <x:c r="J1789" s="185" t="n">
        <x:v>0</x:v>
      </x:c>
      <x:c r="K1789" s="289" t="n">
        <x:v>180730</x:v>
      </x:c>
    </x:row>
    <x:row r="1790" s="117" customFormat="1" hidden="1">
      <x:c r="A1790" s="184" t="inlineStr">
        <x:is>
          <x:t xml:space="preserve">PDTFRP001004</x:t>
        </x:is>
      </x:c>
      <x:c r="B1790" s="184" t="inlineStr">
        <x:is>
          <x:t xml:space="preserve">PIPING ALIMENTACION ANILLO INFERIOR T101A.</x:t>
        </x:is>
      </x:c>
      <x:c r="C1790" s="184" t="n">
        <x:v>0</x:v>
      </x:c>
      <x:c r="D1790" s="184" t="n">
        <x:v>0</x:v>
      </x:c>
      <x:c r="E1790" s="184" t="n">
        <x:v>0</x:v>
      </x:c>
      <x:c r="F1790" s="184" t="n">
        <x:v>0</x:v>
      </x:c>
      <x:c r="G1790" s="184" t="n">
        <x:v>0</x:v>
      </x:c>
      <x:c r="H1790" s="193" t="n">
        <x:v>0</x:v>
      </x:c>
      <x:c r="I1790" s="185" t="n">
        <x:v>0</x:v>
      </x:c>
      <x:c r="J1790" s="185" t="n">
        <x:v>0</x:v>
      </x:c>
      <x:c r="K1790" s="289" t="n">
        <x:v>2583694</x:v>
      </x:c>
    </x:row>
    <x:row r="1791" s="117" customFormat="1" hidden="1">
      <x:c r="A1791" s="184" t="inlineStr">
        <x:is>
          <x:t xml:space="preserve">PDTFRP001005</x:t>
        </x:is>
      </x:c>
      <x:c r="B1791" s="184" t="inlineStr">
        <x:is>
          <x:t xml:space="preserve">PIPING ALIMENTACION ANILLO SUPERIOR T101A.</x:t>
        </x:is>
      </x:c>
      <x:c r="C1791" s="184" t="n">
        <x:v>0</x:v>
      </x:c>
      <x:c r="D1791" s="184" t="n">
        <x:v>0</x:v>
      </x:c>
      <x:c r="E1791" s="184" t="n">
        <x:v>0</x:v>
      </x:c>
      <x:c r="F1791" s="184" t="n">
        <x:v>0</x:v>
      </x:c>
      <x:c r="G1791" s="184" t="n">
        <x:v>0</x:v>
      </x:c>
      <x:c r="H1791" s="193" t="n">
        <x:v>0</x:v>
      </x:c>
      <x:c r="I1791" s="185" t="n">
        <x:v>0</x:v>
      </x:c>
      <x:c r="J1791" s="185" t="n">
        <x:v>0</x:v>
      </x:c>
      <x:c r="K1791" s="289" t="n">
        <x:v>2743792</x:v>
      </x:c>
    </x:row>
    <x:row r="1792" s="117" customFormat="1" hidden="1">
      <x:c r="A1792" s="184" t="inlineStr">
        <x:is>
          <x:t xml:space="preserve">PDTFRP001006</x:t>
        </x:is>
      </x:c>
      <x:c r="B1792" s="184" t="inlineStr">
        <x:is>
          <x:t xml:space="preserve">PIPING ALIMENTACION ANILLO INFERIOR T101B.</x:t>
        </x:is>
      </x:c>
      <x:c r="C1792" s="184" t="n">
        <x:v>0</x:v>
      </x:c>
      <x:c r="D1792" s="184" t="n">
        <x:v>0</x:v>
      </x:c>
      <x:c r="E1792" s="184" t="n">
        <x:v>0</x:v>
      </x:c>
      <x:c r="F1792" s="184" t="n">
        <x:v>0</x:v>
      </x:c>
      <x:c r="G1792" s="184" t="n">
        <x:v>0</x:v>
      </x:c>
      <x:c r="H1792" s="193" t="n">
        <x:v>0</x:v>
      </x:c>
      <x:c r="I1792" s="185" t="n">
        <x:v>0</x:v>
      </x:c>
      <x:c r="J1792" s="185" t="n">
        <x:v>0</x:v>
      </x:c>
      <x:c r="K1792" s="289" t="n">
        <x:v>2743792</x:v>
      </x:c>
    </x:row>
    <x:row r="1793" s="117" customFormat="1" hidden="1">
      <x:c r="A1793" s="184" t="inlineStr">
        <x:is>
          <x:t xml:space="preserve">PDTFRP001007</x:t>
        </x:is>
      </x:c>
      <x:c r="B1793" s="184" t="inlineStr">
        <x:is>
          <x:t xml:space="preserve">PIPING ALIMENTACION ANILLO INFERIOR T101B.</x:t>
        </x:is>
      </x:c>
      <x:c r="C1793" s="184" t="n">
        <x:v>0</x:v>
      </x:c>
      <x:c r="D1793" s="184" t="n">
        <x:v>0</x:v>
      </x:c>
      <x:c r="E1793" s="184" t="n">
        <x:v>0</x:v>
      </x:c>
      <x:c r="F1793" s="184" t="n">
        <x:v>0</x:v>
      </x:c>
      <x:c r="G1793" s="184" t="n">
        <x:v>0</x:v>
      </x:c>
      <x:c r="H1793" s="193" t="n">
        <x:v>0</x:v>
      </x:c>
      <x:c r="I1793" s="185" t="n">
        <x:v>0</x:v>
      </x:c>
      <x:c r="J1793" s="185" t="n">
        <x:v>0</x:v>
      </x:c>
      <x:c r="K1793" s="289" t="n">
        <x:v>2743792</x:v>
      </x:c>
    </x:row>
    <x:row r="1794" s="117" customFormat="1" hidden="1">
      <x:c r="A1794" s="184" t="inlineStr">
        <x:is>
          <x:t xml:space="preserve">PDTFRP001008</x:t>
        </x:is>
      </x:c>
      <x:c r="B1794" s="184" t="inlineStr">
        <x:is>
          <x:t xml:space="preserve">PIPING ALIMENTACION ANILLO INFERIOR TRAMO 2.</x:t>
        </x:is>
      </x:c>
      <x:c r="C1794" s="184" t="n">
        <x:v>0</x:v>
      </x:c>
      <x:c r="D1794" s="184" t="n">
        <x:v>0</x:v>
      </x:c>
      <x:c r="E1794" s="184" t="n">
        <x:v>0</x:v>
      </x:c>
      <x:c r="F1794" s="184" t="n">
        <x:v>0</x:v>
      </x:c>
      <x:c r="G1794" s="184" t="n">
        <x:v>0</x:v>
      </x:c>
      <x:c r="H1794" s="193" t="n">
        <x:v>0</x:v>
      </x:c>
      <x:c r="I1794" s="185" t="n">
        <x:v>0</x:v>
      </x:c>
      <x:c r="J1794" s="185" t="n">
        <x:v>0</x:v>
      </x:c>
      <x:c r="K1794" s="289" t="n">
        <x:v>2222894</x:v>
      </x:c>
    </x:row>
    <x:row r="1795" s="117" customFormat="1" hidden="1">
      <x:c r="A1795" s="184" t="inlineStr">
        <x:is>
          <x:t xml:space="preserve">PDTFRP001009</x:t>
        </x:is>
      </x:c>
      <x:c r="B1795" s="184" t="inlineStr">
        <x:is>
          <x:t xml:space="preserve">BRAZO N° 2 DE MANIFOLD TRAMO D PLANO GCP2T101N022D DUAL LAMINATE</x:t>
        </x:is>
      </x:c>
      <x:c r="C1795" s="184" t="n">
        <x:v>0</x:v>
      </x:c>
      <x:c r="D1795" s="184" t="n">
        <x:v>0</x:v>
      </x:c>
      <x:c r="E1795" s="184" t="n">
        <x:v>0</x:v>
      </x:c>
      <x:c r="F1795" s="184" t="n">
        <x:v>0</x:v>
      </x:c>
      <x:c r="G1795" s="184" t="n">
        <x:v>0</x:v>
      </x:c>
      <x:c r="H1795" s="193" t="n">
        <x:v>0</x:v>
      </x:c>
      <x:c r="I1795" s="185" t="n">
        <x:v>0</x:v>
      </x:c>
      <x:c r="J1795" s="185" t="n">
        <x:v>0</x:v>
      </x:c>
      <x:c r="K1795" s="289" t="n">
        <x:v>3063806</x:v>
      </x:c>
    </x:row>
    <x:row r="1796" s="117" customFormat="1" hidden="1">
      <x:c r="A1796" s="184" t="inlineStr">
        <x:is>
          <x:t xml:space="preserve">PDTFRP001010</x:t>
        </x:is>
      </x:c>
      <x:c r="B1796" s="184" t="inlineStr">
        <x:is>
          <x:t xml:space="preserve">BRAZO N° 3 DE MANIFOLD TRAMO E PLANO GCP2T101N02E DUAL LAMINATE</x:t>
        </x:is>
      </x:c>
      <x:c r="C1796" s="184" t="n">
        <x:v>0</x:v>
      </x:c>
      <x:c r="D1796" s="184" t="n">
        <x:v>0</x:v>
      </x:c>
      <x:c r="E1796" s="184" t="n">
        <x:v>0</x:v>
      </x:c>
      <x:c r="F1796" s="184" t="n">
        <x:v>0</x:v>
      </x:c>
      <x:c r="G1796" s="184" t="n">
        <x:v>0</x:v>
      </x:c>
      <x:c r="H1796" s="193" t="n">
        <x:v>0</x:v>
      </x:c>
      <x:c r="I1796" s="185" t="n">
        <x:v>0</x:v>
      </x:c>
      <x:c r="J1796" s="185" t="n">
        <x:v>0</x:v>
      </x:c>
      <x:c r="K1796" s="289" t="n">
        <x:v>5468336</x:v>
      </x:c>
    </x:row>
    <x:row r="1797" s="117" customFormat="1" hidden="1">
      <x:c r="A1797" s="184" t="inlineStr">
        <x:is>
          <x:t xml:space="preserve">PDTFRP001011</x:t>
        </x:is>
      </x:c>
      <x:c r="B1797" s="184" t="inlineStr">
        <x:is>
          <x:t xml:space="preserve">BRAZO N° 3 DE MANIFOLD TRAMO G PLANO GCP2T101N02G DUAL LAMINATE</x:t>
        </x:is>
      </x:c>
      <x:c r="C1797" s="184" t="n">
        <x:v>0</x:v>
      </x:c>
      <x:c r="D1797" s="184" t="n">
        <x:v>0</x:v>
      </x:c>
      <x:c r="E1797" s="184" t="n">
        <x:v>0</x:v>
      </x:c>
      <x:c r="F1797" s="184" t="n">
        <x:v>0</x:v>
      </x:c>
      <x:c r="G1797" s="184" t="n">
        <x:v>0</x:v>
      </x:c>
      <x:c r="H1797" s="193" t="n">
        <x:v>0</x:v>
      </x:c>
      <x:c r="I1797" s="185" t="n">
        <x:v>0</x:v>
      </x:c>
      <x:c r="J1797" s="185" t="n">
        <x:v>0</x:v>
      </x:c>
      <x:c r="K1797" s="289" t="n">
        <x:v>3063806</x:v>
      </x:c>
    </x:row>
    <x:row r="1798" s="117" customFormat="1" hidden="1">
      <x:c r="A1798" s="184" t="inlineStr">
        <x:is>
          <x:t xml:space="preserve">PDTFRP001012</x:t>
        </x:is>
      </x:c>
      <x:c r="B1798" s="184" t="inlineStr">
        <x:is>
          <x:t xml:space="preserve">1463499 PLACA INPOACTO INVENIO 16CONC2GC 600X500X25 MM TRIXALON</x:t>
        </x:is>
      </x:c>
      <x:c r="C1798" s="184" t="n">
        <x:v>0</x:v>
      </x:c>
      <x:c r="D1798" s="184" t="n">
        <x:v>0</x:v>
      </x:c>
      <x:c r="E1798" s="184" t="n">
        <x:v>0</x:v>
      </x:c>
      <x:c r="F1798" s="184" t="n">
        <x:v>0</x:v>
      </x:c>
      <x:c r="G1798" s="184" t="n">
        <x:v>0</x:v>
      </x:c>
      <x:c r="H1798" s="193" t="n">
        <x:v>0</x:v>
      </x:c>
      <x:c r="I1798" s="185" t="n">
        <x:v>0</x:v>
      </x:c>
      <x:c r="J1798" s="185" t="n">
        <x:v>0</x:v>
      </x:c>
      <x:c r="K1798" s="289" t="n">
        <x:v>46900</x:v>
      </x:c>
    </x:row>
    <x:row r="1799" s="117" customFormat="1" hidden="1">
      <x:c r="A1799" s="184" t="inlineStr">
        <x:is>
          <x:t xml:space="preserve">PDTFRP001013</x:t>
        </x:is>
      </x:c>
      <x:c r="B1799" s="184" t="inlineStr">
        <x:is>
          <x:t xml:space="preserve">CODO ESPECIAL S/PLANO FRP RESINA VINILESTER 2 CLASE 150</x:t>
        </x:is>
      </x:c>
      <x:c r="C1799" s="184" t="n">
        <x:v>0</x:v>
      </x:c>
      <x:c r="D1799" s="184" t="n">
        <x:v>0</x:v>
      </x:c>
      <x:c r="E1799" s="184" t="n">
        <x:v>0</x:v>
      </x:c>
      <x:c r="F1799" s="184" t="n">
        <x:v>0</x:v>
      </x:c>
      <x:c r="G1799" s="184" t="n">
        <x:v>0</x:v>
      </x:c>
      <x:c r="H1799" s="193" t="n">
        <x:v>0</x:v>
      </x:c>
      <x:c r="I1799" s="185" t="n">
        <x:v>0</x:v>
      </x:c>
      <x:c r="J1799" s="185" t="n">
        <x:v>0</x:v>
      </x:c>
      <x:c r="K1799" s="289" t="n">
        <x:v>27081</x:v>
      </x:c>
    </x:row>
    <x:row r="1800" s="117" customFormat="1" hidden="1">
      <x:c r="A1800" s="184" t="inlineStr">
        <x:is>
          <x:t xml:space="preserve">PDTFRP001014</x:t>
        </x:is>
      </x:c>
      <x:c r="B1800" s="184" t="inlineStr">
        <x:is>
          <x:t xml:space="preserve">REDUCCION CONCENTRICA DE 12 PLG A 6 PLG DUAL LAMINATE PP-FRP (TENIENTE)6451253</x:t>
        </x:is>
      </x:c>
      <x:c r="C1800" s="184" t="n">
        <x:v>0</x:v>
      </x:c>
      <x:c r="D1800" s="184" t="n">
        <x:v>0</x:v>
      </x:c>
      <x:c r="E1800" s="184" t="n">
        <x:v>0</x:v>
      </x:c>
      <x:c r="F1800" s="184" t="n">
        <x:v>0</x:v>
      </x:c>
      <x:c r="G1800" s="184" t="n">
        <x:v>0</x:v>
      </x:c>
      <x:c r="H1800" s="193" t="n">
        <x:v>0</x:v>
      </x:c>
      <x:c r="I1800" s="185" t="n">
        <x:v>0</x:v>
      </x:c>
      <x:c r="J1800" s="185" t="n">
        <x:v>0</x:v>
      </x:c>
      <x:c r="K1800" s="289" t="n">
        <x:v>431335</x:v>
      </x:c>
    </x:row>
    <x:row r="1801" s="117" customFormat="1" hidden="1">
      <x:c r="A1801" s="184" t="inlineStr">
        <x:is>
          <x:t xml:space="preserve">PDTFRP001015</x:t>
        </x:is>
      </x:c>
      <x:c r="B1801" s="184" t="inlineStr">
        <x:is>
          <x:t xml:space="preserve">BARRA FRP POLTRUIDO RESINA VINILESTER DIAM. 1 PLG X 1 MTS LGO</x:t>
        </x:is>
      </x:c>
      <x:c r="C1801" s="184" t="n">
        <x:v>0</x:v>
      </x:c>
      <x:c r="D1801" s="184" t="n">
        <x:v>0</x:v>
      </x:c>
      <x:c r="E1801" s="184" t="n">
        <x:v>0</x:v>
      </x:c>
      <x:c r="F1801" s="184" t="n">
        <x:v>0</x:v>
      </x:c>
      <x:c r="G1801" s="184" t="n">
        <x:v>0</x:v>
      </x:c>
      <x:c r="H1801" s="193" t="n">
        <x:v>0</x:v>
      </x:c>
      <x:c r="I1801" s="185" t="n">
        <x:v>0</x:v>
      </x:c>
      <x:c r="J1801" s="185" t="n">
        <x:v>0</x:v>
      </x:c>
      <x:c r="K1801" s="289" t="n">
        <x:v>36624</x:v>
      </x:c>
    </x:row>
    <x:row r="1802" s="117" customFormat="1" hidden="1">
      <x:c r="A1802" s="184" t="inlineStr">
        <x:is>
          <x:t xml:space="preserve">PDTFRP001016</x:t>
        </x:is>
      </x:c>
      <x:c r="B1802" s="184" t="inlineStr">
        <x:is>
          <x:t xml:space="preserve">CAPSULA PORTA ENCHUFE COLLAHUASI C/BASE SOPORTANTE</x:t>
        </x:is>
      </x:c>
      <x:c r="C1802" s="184" t="n">
        <x:v>0</x:v>
      </x:c>
      <x:c r="D1802" s="184" t="n">
        <x:v>0</x:v>
      </x:c>
      <x:c r="E1802" s="184" t="n">
        <x:v>0</x:v>
      </x:c>
      <x:c r="F1802" s="184" t="n">
        <x:v>0</x:v>
      </x:c>
      <x:c r="G1802" s="184" t="n">
        <x:v>0</x:v>
      </x:c>
      <x:c r="H1802" s="193" t="n">
        <x:v>0</x:v>
      </x:c>
      <x:c r="I1802" s="185" t="n">
        <x:v>0</x:v>
      </x:c>
      <x:c r="J1802" s="185" t="n">
        <x:v>0</x:v>
      </x:c>
      <x:c r="K1802" s="289" t="n">
        <x:v>600000</x:v>
      </x:c>
    </x:row>
    <x:row r="1803" s="117" customFormat="1" hidden="1">
      <x:c r="A1803" s="184" t="inlineStr">
        <x:is>
          <x:t xml:space="preserve">PDTFRP001017</x:t>
        </x:is>
      </x:c>
      <x:c r="B1803" s="184" t="inlineStr">
        <x:is>
          <x:t xml:space="preserve">TAPA GORRO FRP CELULOSA ARAUCO</x:t>
        </x:is>
      </x:c>
      <x:c r="C1803" s="184" t="n">
        <x:v>0</x:v>
      </x:c>
      <x:c r="D1803" s="184" t="n">
        <x:v>0</x:v>
      </x:c>
      <x:c r="E1803" s="184" t="n">
        <x:v>0</x:v>
      </x:c>
      <x:c r="F1803" s="184" t="n">
        <x:v>0</x:v>
      </x:c>
      <x:c r="G1803" s="184" t="n">
        <x:v>0</x:v>
      </x:c>
      <x:c r="H1803" s="193" t="n">
        <x:v>0</x:v>
      </x:c>
      <x:c r="I1803" s="185" t="n">
        <x:v>0</x:v>
      </x:c>
      <x:c r="J1803" s="185" t="n">
        <x:v>0</x:v>
      </x:c>
      <x:c r="K1803" s="289" t="n">
        <x:v>450000</x:v>
      </x:c>
    </x:row>
    <x:row r="1804" s="117" customFormat="1" hidden="1">
      <x:c r="A1804" s="184" t="inlineStr">
        <x:is>
          <x:t xml:space="preserve">PDTFRP001018</x:t>
        </x:is>
      </x:c>
      <x:c r="B1804" s="184" t="inlineStr">
        <x:is>
          <x:t xml:space="preserve">DUCTO SALIDA DE GASES SALVADOR</x:t>
        </x:is>
      </x:c>
      <x:c r="C1804" s="184" t="n">
        <x:v>0</x:v>
      </x:c>
      <x:c r="D1804" s="184" t="n">
        <x:v>0</x:v>
      </x:c>
      <x:c r="E1804" s="184" t="n">
        <x:v>0</x:v>
      </x:c>
      <x:c r="F1804" s="184" t="n">
        <x:v>0</x:v>
      </x:c>
      <x:c r="G1804" s="184" t="n">
        <x:v>0</x:v>
      </x:c>
      <x:c r="H1804" s="193" t="n">
        <x:v>0</x:v>
      </x:c>
      <x:c r="I1804" s="185" t="n">
        <x:v>0</x:v>
      </x:c>
      <x:c r="J1804" s="185" t="n">
        <x:v>0</x:v>
      </x:c>
      <x:c r="K1804" s="289" t="n">
        <x:v>250000</x:v>
      </x:c>
    </x:row>
    <x:row r="1805" s="117" customFormat="1" hidden="1">
      <x:c r="A1805" s="184" t="inlineStr">
        <x:is>
          <x:t xml:space="preserve">PDTFRP001019</x:t>
        </x:is>
      </x:c>
      <x:c r="B1805" s="184" t="inlineStr">
        <x:is>
          <x:t xml:space="preserve">DUCTO PVDF/FRP DIAMTRO N200 MM X 3170 MM C/FLANGE MANTOS BLANCOS</x:t>
        </x:is>
      </x:c>
      <x:c r="C1805" s="184" t="n">
        <x:v>0</x:v>
      </x:c>
      <x:c r="D1805" s="184" t="n">
        <x:v>0</x:v>
      </x:c>
      <x:c r="E1805" s="184" t="n">
        <x:v>0</x:v>
      </x:c>
      <x:c r="F1805" s="184" t="n">
        <x:v>0</x:v>
      </x:c>
      <x:c r="G1805" s="184" t="n">
        <x:v>0</x:v>
      </x:c>
      <x:c r="H1805" s="193" t="n">
        <x:v>0</x:v>
      </x:c>
      <x:c r="I1805" s="185" t="n">
        <x:v>0</x:v>
      </x:c>
      <x:c r="J1805" s="185" t="n">
        <x:v>0</x:v>
      </x:c>
      <x:c r="K1805" s="289" t="n">
        <x:v>980000</x:v>
      </x:c>
    </x:row>
    <x:row r="1806" s="117" customFormat="1" hidden="1">
      <x:c r="A1806" s="184" t="inlineStr">
        <x:is>
          <x:t xml:space="preserve">PDTFRP001020</x:t>
        </x:is>
      </x:c>
      <x:c r="B1806" s="184" t="inlineStr">
        <x:is>
          <x:t xml:space="preserve">TUBO 450X360X3 MM PRUEBA SOLDADURA</x:t>
        </x:is>
      </x:c>
      <x:c r="C1806" s="184" t="n">
        <x:v>0</x:v>
      </x:c>
      <x:c r="D1806" s="184" t="n">
        <x:v>0</x:v>
      </x:c>
      <x:c r="E1806" s="184" t="n">
        <x:v>0</x:v>
      </x:c>
      <x:c r="F1806" s="184" t="n">
        <x:v>0</x:v>
      </x:c>
      <x:c r="G1806" s="184" t="n">
        <x:v>0</x:v>
      </x:c>
      <x:c r="H1806" s="193" t="n">
        <x:v>0</x:v>
      </x:c>
      <x:c r="I1806" s="185" t="n">
        <x:v>0</x:v>
      </x:c>
      <x:c r="J1806" s="185" t="n">
        <x:v>0</x:v>
      </x:c>
      <x:c r="K1806" s="289" t="n">
        <x:v>15000</x:v>
      </x:c>
    </x:row>
    <x:row r="1807" s="117" customFormat="1" hidden="1">
      <x:c r="A1807" s="184" t="inlineStr">
        <x:is>
          <x:t xml:space="preserve">PDTFRP001021</x:t>
        </x:is>
      </x:c>
      <x:c r="B1807" s="184" t="inlineStr">
        <x:is>
          <x:t xml:space="preserve">TUBO 480X142X3 MM PRUEBA SOLDADURA</x:t>
        </x:is>
      </x:c>
      <x:c r="C1807" s="184" t="n">
        <x:v>0</x:v>
      </x:c>
      <x:c r="D1807" s="184" t="n">
        <x:v>0</x:v>
      </x:c>
      <x:c r="E1807" s="184" t="n">
        <x:v>0</x:v>
      </x:c>
      <x:c r="F1807" s="184" t="n">
        <x:v>0</x:v>
      </x:c>
      <x:c r="G1807" s="184" t="n">
        <x:v>0</x:v>
      </x:c>
      <x:c r="H1807" s="193" t="n">
        <x:v>0</x:v>
      </x:c>
      <x:c r="I1807" s="185" t="n">
        <x:v>0</x:v>
      </x:c>
      <x:c r="J1807" s="185" t="n">
        <x:v>0</x:v>
      </x:c>
      <x:c r="K1807" s="289" t="n">
        <x:v>15000</x:v>
      </x:c>
    </x:row>
    <x:row r="1808" s="117" customFormat="1" hidden="1">
      <x:c r="A1808" s="184" t="inlineStr">
        <x:is>
          <x:t xml:space="preserve">PDTFRP001022</x:t>
        </x:is>
      </x:c>
      <x:c r="B1808" s="184" t="inlineStr">
        <x:is>
          <x:t xml:space="preserve">CUPUILA NDE CODELCO NSALVADOR PP/FRP</x:t>
        </x:is>
      </x:c>
      <x:c r="C1808" s="184" t="n">
        <x:v>0</x:v>
      </x:c>
      <x:c r="D1808" s="184" t="n">
        <x:v>0</x:v>
      </x:c>
      <x:c r="E1808" s="184" t="n">
        <x:v>0</x:v>
      </x:c>
      <x:c r="F1808" s="184" t="n">
        <x:v>0</x:v>
      </x:c>
      <x:c r="G1808" s="184" t="n">
        <x:v>0</x:v>
      </x:c>
      <x:c r="H1808" s="193" t="n">
        <x:v>0</x:v>
      </x:c>
      <x:c r="I1808" s="185" t="n">
        <x:v>0</x:v>
      </x:c>
      <x:c r="J1808" s="185" t="n">
        <x:v>0</x:v>
      </x:c>
      <x:c r="K1808" s="289" t="n">
        <x:v>30000000</x:v>
      </x:c>
    </x:row>
    <x:row r="1809" s="117" customFormat="1" hidden="1">
      <x:c r="A1809" s="184" t="inlineStr">
        <x:is>
          <x:t xml:space="preserve">PDTFRP001023</x:t>
        </x:is>
      </x:c>
      <x:c r="B1809" s="184" t="inlineStr">
        <x:is>
          <x:t xml:space="preserve">STUB END 6 PLG FRP RESINA VINILESTER CUELLO LARGO</x:t>
        </x:is>
      </x:c>
      <x:c r="C1809" s="184" t="n">
        <x:v>0</x:v>
      </x:c>
      <x:c r="D1809" s="184" t="n">
        <x:v>0</x:v>
      </x:c>
      <x:c r="E1809" s="184" t="n">
        <x:v>0</x:v>
      </x:c>
      <x:c r="F1809" s="184" t="n">
        <x:v>0</x:v>
      </x:c>
      <x:c r="G1809" s="184" t="n">
        <x:v>0</x:v>
      </x:c>
      <x:c r="H1809" s="193" t="n">
        <x:v>0</x:v>
      </x:c>
      <x:c r="I1809" s="185" t="n">
        <x:v>0</x:v>
      </x:c>
      <x:c r="J1809" s="185" t="n">
        <x:v>0</x:v>
      </x:c>
      <x:c r="K1809" s="289" t="n">
        <x:v>47758</x:v>
      </x:c>
    </x:row>
    <x:row r="1810" s="117" customFormat="1" hidden="1">
      <x:c r="A1810" s="184" t="inlineStr">
        <x:is>
          <x:t xml:space="preserve">PDTFRP001024</x:t>
        </x:is>
      </x:c>
      <x:c r="B1810" s="184" t="inlineStr">
        <x:is>
          <x:t xml:space="preserve">REDUCCION EXCENTRICA DIAM.18 PLG X 10 PLG DOBLE LAMINA PP-FRP BQ POLIPROPILENO SDR17 BE RESINA VINIL</x:t>
        </x:is>
      </x:c>
      <x:c r="C1810" s="184" t="n">
        <x:v>0</x:v>
      </x:c>
      <x:c r="D1810" s="184" t="n">
        <x:v>0</x:v>
      </x:c>
      <x:c r="E1810" s="184" t="n">
        <x:v>0</x:v>
      </x:c>
      <x:c r="F1810" s="184" t="n">
        <x:v>0</x:v>
      </x:c>
      <x:c r="G1810" s="184" t="n">
        <x:v>0</x:v>
      </x:c>
      <x:c r="H1810" s="193" t="n">
        <x:v>0</x:v>
      </x:c>
      <x:c r="I1810" s="185" t="n">
        <x:v>0</x:v>
      </x:c>
      <x:c r="J1810" s="185" t="n">
        <x:v>0</x:v>
      </x:c>
      <x:c r="K1810" s="289" t="n">
        <x:v>652656</x:v>
      </x:c>
    </x:row>
    <x:row r="1811" s="117" customFormat="1" hidden="1">
      <x:c r="A1811" s="184" t="inlineStr">
        <x:is>
          <x:t xml:space="preserve">PDTFRP001025</x:t>
        </x:is>
      </x:c>
      <x:c r="B1811" s="184" t="inlineStr">
        <x:is>
          <x:t xml:space="preserve">(4157856)STUB END 10 PLG X 250 MM DUAL LAMINATE FRP-PP CON FLANGE RESOACLDO AC-PP ANSI CLASE 150</x:t>
        </x:is>
      </x:c>
      <x:c r="C1811" s="184" t="n">
        <x:v>0</x:v>
      </x:c>
      <x:c r="D1811" s="184" t="n">
        <x:v>0</x:v>
      </x:c>
      <x:c r="E1811" s="184" t="n">
        <x:v>0</x:v>
      </x:c>
      <x:c r="F1811" s="184" t="n">
        <x:v>0</x:v>
      </x:c>
      <x:c r="G1811" s="184" t="n">
        <x:v>0</x:v>
      </x:c>
      <x:c r="H1811" s="193" t="n">
        <x:v>0</x:v>
      </x:c>
      <x:c r="I1811" s="185" t="n">
        <x:v>0</x:v>
      </x:c>
      <x:c r="J1811" s="185" t="n">
        <x:v>0</x:v>
      </x:c>
      <x:c r="K1811" s="289" t="n">
        <x:v>114764</x:v>
      </x:c>
    </x:row>
    <x:row r="1812" s="117" customFormat="1" hidden="1">
      <x:c r="A1812" s="184" t="inlineStr">
        <x:is>
          <x:t xml:space="preserve">PDTFRP001026</x:t>
        </x:is>
      </x:c>
      <x:c r="B1812" s="184" t="inlineStr">
        <x:is>
          <x:t xml:space="preserve">(4157908)TRAMOP CAÑERIA DIAMETRO 10 PLG X 2850 MM LARGO  DUAL LAMINATE PP-FRP</x:t>
        </x:is>
      </x:c>
      <x:c r="C1812" s="184" t="n">
        <x:v>0</x:v>
      </x:c>
      <x:c r="D1812" s="184" t="n">
        <x:v>0</x:v>
      </x:c>
      <x:c r="E1812" s="184" t="n">
        <x:v>0</x:v>
      </x:c>
      <x:c r="F1812" s="184" t="n">
        <x:v>0</x:v>
      </x:c>
      <x:c r="G1812" s="184" t="n">
        <x:v>0</x:v>
      </x:c>
      <x:c r="H1812" s="193" t="n">
        <x:v>0</x:v>
      </x:c>
      <x:c r="I1812" s="185" t="n">
        <x:v>0</x:v>
      </x:c>
      <x:c r="J1812" s="185" t="n">
        <x:v>0</x:v>
      </x:c>
      <x:c r="K1812" s="289" t="n">
        <x:v>279873</x:v>
      </x:c>
    </x:row>
    <x:row r="1813" s="117" customFormat="1" hidden="1">
      <x:c r="A1813" s="184" t="inlineStr">
        <x:is>
          <x:t xml:space="preserve">PDTFRP001027</x:t>
        </x:is>
      </x:c>
      <x:c r="B1813" s="184" t="inlineStr">
        <x:is>
          <x:t xml:space="preserve">TAPA ENFRIADERA FRP CORTADURA P3 DIAMETRO 1500 MM METODO HLU PLANO I0158-6680-PL-410-005_1</x:t>
        </x:is>
      </x:c>
      <x:c r="C1813" s="184" t="n">
        <x:v>0</x:v>
      </x:c>
      <x:c r="D1813" s="184" t="n">
        <x:v>0</x:v>
      </x:c>
      <x:c r="E1813" s="184" t="n">
        <x:v>0</x:v>
      </x:c>
      <x:c r="F1813" s="184" t="n">
        <x:v>0</x:v>
      </x:c>
      <x:c r="G1813" s="184" t="n">
        <x:v>0</x:v>
      </x:c>
      <x:c r="H1813" s="193" t="n">
        <x:v>0</x:v>
      </x:c>
      <x:c r="I1813" s="185" t="n">
        <x:v>0</x:v>
      </x:c>
      <x:c r="J1813" s="185" t="n">
        <x:v>0</x:v>
      </x:c>
      <x:c r="K1813" s="289" t="n">
        <x:v>2840922</x:v>
      </x:c>
    </x:row>
    <x:row r="1814" s="117" customFormat="1" hidden="1">
      <x:c r="A1814" s="184" t="inlineStr">
        <x:is>
          <x:t xml:space="preserve">PDTFRP001028</x:t>
        </x:is>
      </x:c>
      <x:c r="B1814" s="184" t="inlineStr">
        <x:is>
          <x:t xml:space="preserve">TAPA ENFRIADERA FRP STRIPING P3 DIAMETRO 1000 MM METODO HLU PLANO I0158-6680-PL-410-006_1</x:t>
        </x:is>
      </x:c>
      <x:c r="C1814" s="184" t="n">
        <x:v>0</x:v>
      </x:c>
      <x:c r="D1814" s="184" t="n">
        <x:v>0</x:v>
      </x:c>
      <x:c r="E1814" s="184" t="n">
        <x:v>0</x:v>
      </x:c>
      <x:c r="F1814" s="184" t="n">
        <x:v>0</x:v>
      </x:c>
      <x:c r="G1814" s="184" t="n">
        <x:v>0</x:v>
      </x:c>
      <x:c r="H1814" s="193" t="n">
        <x:v>0</x:v>
      </x:c>
      <x:c r="I1814" s="185" t="n">
        <x:v>0</x:v>
      </x:c>
      <x:c r="J1814" s="185" t="n">
        <x:v>0</x:v>
      </x:c>
      <x:c r="K1814" s="289" t="n">
        <x:v>2840922</x:v>
      </x:c>
    </x:row>
    <x:row r="1815" s="117" customFormat="1" hidden="1">
      <x:c r="A1815" s="184" t="inlineStr">
        <x:is>
          <x:t xml:space="preserve">PDTFRP001029</x:t>
        </x:is>
      </x:c>
      <x:c r="B1815" s="184" t="inlineStr">
        <x:is>
          <x:t xml:space="preserve">CODO 90° 4 PLG FRP-PP VINILESTER 4167318</x:t>
        </x:is>
      </x:c>
      <x:c r="C1815" s="184" t="n">
        <x:v>0</x:v>
      </x:c>
      <x:c r="D1815" s="184" t="n">
        <x:v>0</x:v>
      </x:c>
      <x:c r="E1815" s="184" t="n">
        <x:v>0</x:v>
      </x:c>
      <x:c r="F1815" s="184" t="n">
        <x:v>0</x:v>
      </x:c>
      <x:c r="G1815" s="184" t="n">
        <x:v>0</x:v>
      </x:c>
      <x:c r="H1815" s="193" t="n">
        <x:v>0</x:v>
      </x:c>
      <x:c r="I1815" s="185" t="n">
        <x:v>0</x:v>
      </x:c>
      <x:c r="J1815" s="185" t="n">
        <x:v>0</x:v>
      </x:c>
      <x:c r="K1815" s="289" t="n">
        <x:v>62562</x:v>
      </x:c>
    </x:row>
    <x:row r="1816" s="117" customFormat="1" hidden="1">
      <x:c r="A1816" s="184" t="inlineStr">
        <x:is>
          <x:t xml:space="preserve">PDTFRP001030</x:t>
        </x:is>
      </x:c>
      <x:c r="B1816" s="184" t="inlineStr">
        <x:is>
          <x:t xml:space="preserve">TERMINAL BRIDA 3 PLG FRP-PP RESINA VINILESTER FLANGE ACERO SS304 4167319</x:t>
        </x:is>
      </x:c>
      <x:c r="C1816" s="184" t="n">
        <x:v>0</x:v>
      </x:c>
      <x:c r="D1816" s="184" t="n">
        <x:v>0</x:v>
      </x:c>
      <x:c r="E1816" s="184" t="n">
        <x:v>0</x:v>
      </x:c>
      <x:c r="F1816" s="184" t="n">
        <x:v>0</x:v>
      </x:c>
      <x:c r="G1816" s="184" t="n">
        <x:v>0</x:v>
      </x:c>
      <x:c r="H1816" s="193" t="n">
        <x:v>0</x:v>
      </x:c>
      <x:c r="I1816" s="185" t="n">
        <x:v>0</x:v>
      </x:c>
      <x:c r="J1816" s="185" t="n">
        <x:v>0</x:v>
      </x:c>
      <x:c r="K1816" s="289" t="n">
        <x:v>73219</x:v>
      </x:c>
    </x:row>
    <x:row r="1817" s="117" customFormat="1" hidden="1">
      <x:c r="A1817" s="184" t="inlineStr">
        <x:is>
          <x:t xml:space="preserve">PDTFRP001031</x:t>
        </x:is>
      </x:c>
      <x:c r="B1817" s="184" t="inlineStr">
        <x:is>
          <x:t xml:space="preserve">TERMINAL BRIDA 4 PLG FRP-PP RESINA VINILESTER FLANGE ACERO SS304 4167320</x:t>
        </x:is>
      </x:c>
      <x:c r="C1817" s="184" t="n">
        <x:v>0</x:v>
      </x:c>
      <x:c r="D1817" s="184" t="n">
        <x:v>0</x:v>
      </x:c>
      <x:c r="E1817" s="184" t="n">
        <x:v>0</x:v>
      </x:c>
      <x:c r="F1817" s="184" t="n">
        <x:v>0</x:v>
      </x:c>
      <x:c r="G1817" s="184" t="n">
        <x:v>0</x:v>
      </x:c>
      <x:c r="H1817" s="193" t="n">
        <x:v>0</x:v>
      </x:c>
      <x:c r="I1817" s="185" t="n">
        <x:v>0</x:v>
      </x:c>
      <x:c r="J1817" s="185" t="n">
        <x:v>0</x:v>
      </x:c>
      <x:c r="K1817" s="289" t="n">
        <x:v>79062</x:v>
      </x:c>
    </x:row>
    <x:row r="1818" s="117" customFormat="1" hidden="1">
      <x:c r="A1818" s="184" t="inlineStr">
        <x:is>
          <x:t xml:space="preserve">PDTFRP001032</x:t>
        </x:is>
      </x:c>
      <x:c r="B1818" s="184" t="inlineStr">
        <x:is>
          <x:t xml:space="preserve">TUBERIA DE 3 PLG FRP-PP RESINA VINILESTER 4167341</x:t>
        </x:is>
      </x:c>
      <x:c r="C1818" s="184" t="n">
        <x:v>0</x:v>
      </x:c>
      <x:c r="D1818" s="184" t="n">
        <x:v>0</x:v>
      </x:c>
      <x:c r="E1818" s="184" t="n">
        <x:v>0</x:v>
      </x:c>
      <x:c r="F1818" s="184" t="n">
        <x:v>0</x:v>
      </x:c>
      <x:c r="G1818" s="184" t="n">
        <x:v>0</x:v>
      </x:c>
      <x:c r="H1818" s="193" t="n">
        <x:v>0</x:v>
      </x:c>
      <x:c r="I1818" s="185" t="n">
        <x:v>0</x:v>
      </x:c>
      <x:c r="J1818" s="185" t="n">
        <x:v>0</x:v>
      </x:c>
      <x:c r="K1818" s="289" t="n">
        <x:v>35062</x:v>
      </x:c>
    </x:row>
    <x:row r="1819" s="117" customFormat="1" hidden="1">
      <x:c r="A1819" s="184" t="inlineStr">
        <x:is>
          <x:t xml:space="preserve">PDTFRP001033</x:t>
        </x:is>
      </x:c>
      <x:c r="B1819" s="184" t="inlineStr">
        <x:is>
          <x:t xml:space="preserve">TUBERIA DE 4 PLG FRP-PP RESINA VINILESTER 4167342</x:t>
        </x:is>
      </x:c>
      <x:c r="C1819" s="184" t="n">
        <x:v>0</x:v>
      </x:c>
      <x:c r="D1819" s="184" t="n">
        <x:v>0</x:v>
      </x:c>
      <x:c r="E1819" s="184" t="n">
        <x:v>0</x:v>
      </x:c>
      <x:c r="F1819" s="184" t="n">
        <x:v>0</x:v>
      </x:c>
      <x:c r="G1819" s="184" t="n">
        <x:v>0</x:v>
      </x:c>
      <x:c r="H1819" s="193" t="n">
        <x:v>0</x:v>
      </x:c>
      <x:c r="I1819" s="185" t="n">
        <x:v>0</x:v>
      </x:c>
      <x:c r="J1819" s="185" t="n">
        <x:v>0</x:v>
      </x:c>
      <x:c r="K1819" s="289" t="n">
        <x:v>38500</x:v>
      </x:c>
    </x:row>
    <x:row r="1820" s="117" customFormat="1" hidden="1">
      <x:c r="A1820" s="184" t="inlineStr">
        <x:is>
          <x:t xml:space="preserve">PDTFRP001034</x:t>
        </x:is>
      </x:c>
      <x:c r="B1820" s="184" t="inlineStr">
        <x:is>
          <x:t xml:space="preserve">CODO 90° 3 PLG FRP-PP VINILESTER 4167343</x:t>
        </x:is>
      </x:c>
      <x:c r="C1820" s="184" t="n">
        <x:v>0</x:v>
      </x:c>
      <x:c r="D1820" s="184" t="n">
        <x:v>0</x:v>
      </x:c>
      <x:c r="E1820" s="184" t="n">
        <x:v>0</x:v>
      </x:c>
      <x:c r="F1820" s="184" t="n">
        <x:v>0</x:v>
      </x:c>
      <x:c r="G1820" s="184" t="n">
        <x:v>0</x:v>
      </x:c>
      <x:c r="H1820" s="193" t="n">
        <x:v>0</x:v>
      </x:c>
      <x:c r="I1820" s="185" t="n">
        <x:v>0</x:v>
      </x:c>
      <x:c r="J1820" s="185" t="n">
        <x:v>0</x:v>
      </x:c>
      <x:c r="K1820" s="289" t="n">
        <x:v>53625</x:v>
      </x:c>
    </x:row>
    <x:row r="1821" s="117" customFormat="1" hidden="1">
      <x:c r="A1821" s="184" t="inlineStr">
        <x:is>
          <x:t xml:space="preserve">PDTFRP001035</x:t>
        </x:is>
      </x:c>
      <x:c r="B1821" s="184" t="inlineStr">
        <x:is>
          <x:t xml:space="preserve">CODO FRP RESINA VINILESTER 3 PLG 4167353</x:t>
        </x:is>
      </x:c>
      <x:c r="C1821" s="184" t="n">
        <x:v>0</x:v>
      </x:c>
      <x:c r="D1821" s="184" t="n">
        <x:v>0</x:v>
      </x:c>
      <x:c r="E1821" s="184" t="n">
        <x:v>0</x:v>
      </x:c>
      <x:c r="F1821" s="184" t="n">
        <x:v>0</x:v>
      </x:c>
      <x:c r="G1821" s="184" t="n">
        <x:v>0</x:v>
      </x:c>
      <x:c r="H1821" s="193" t="n">
        <x:v>0</x:v>
      </x:c>
      <x:c r="I1821" s="185" t="n">
        <x:v>0</x:v>
      </x:c>
      <x:c r="J1821" s="185" t="n">
        <x:v>0</x:v>
      </x:c>
      <x:c r="K1821" s="289" t="n">
        <x:v>40562</x:v>
      </x:c>
    </x:row>
    <x:row r="1822" s="117" customFormat="1" hidden="1">
      <x:c r="A1822" s="184" t="inlineStr">
        <x:is>
          <x:t xml:space="preserve">PDTFRP001036</x:t>
        </x:is>
      </x:c>
      <x:c r="B1822" s="184" t="inlineStr">
        <x:is>
          <x:t xml:space="preserve">CODO FRP RESINA VINILESTER 6 PLG 4167355</x:t>
        </x:is>
      </x:c>
      <x:c r="C1822" s="184" t="n">
        <x:v>0</x:v>
      </x:c>
      <x:c r="D1822" s="184" t="n">
        <x:v>0</x:v>
      </x:c>
      <x:c r="E1822" s="184" t="n">
        <x:v>0</x:v>
      </x:c>
      <x:c r="F1822" s="184" t="n">
        <x:v>0</x:v>
      </x:c>
      <x:c r="G1822" s="184" t="n">
        <x:v>0</x:v>
      </x:c>
      <x:c r="H1822" s="193" t="n">
        <x:v>0</x:v>
      </x:c>
      <x:c r="I1822" s="185" t="n">
        <x:v>0</x:v>
      </x:c>
      <x:c r="J1822" s="185" t="n">
        <x:v>0</x:v>
      </x:c>
      <x:c r="K1822" s="289" t="n">
        <x:v>63937</x:v>
      </x:c>
    </x:row>
    <x:row r="1823" s="117" customFormat="1" hidden="1">
      <x:c r="A1823" s="184" t="inlineStr">
        <x:is>
          <x:t xml:space="preserve">PDTFRP001037</x:t>
        </x:is>
      </x:c>
      <x:c r="B1823" s="184" t="inlineStr">
        <x:is>
          <x:t xml:space="preserve">FLANGE INOXIDABLE 316 3 PLG 4167365</x:t>
        </x:is>
      </x:c>
      <x:c r="C1823" s="184" t="n">
        <x:v>0</x:v>
      </x:c>
      <x:c r="D1823" s="184" t="n">
        <x:v>0</x:v>
      </x:c>
      <x:c r="E1823" s="184" t="n">
        <x:v>0</x:v>
      </x:c>
      <x:c r="F1823" s="184" t="n">
        <x:v>0</x:v>
      </x:c>
      <x:c r="G1823" s="184" t="n">
        <x:v>0</x:v>
      </x:c>
      <x:c r="H1823" s="193" t="n">
        <x:v>0</x:v>
      </x:c>
      <x:c r="I1823" s="185" t="n">
        <x:v>0</x:v>
      </x:c>
      <x:c r="J1823" s="185" t="n">
        <x:v>0</x:v>
      </x:c>
      <x:c r="K1823" s="289" t="n">
        <x:v>34708</x:v>
      </x:c>
    </x:row>
    <x:row r="1824" s="117" customFormat="1" hidden="1">
      <x:c r="A1824" s="184" t="inlineStr">
        <x:is>
          <x:t xml:space="preserve">PDTFRP001038</x:t>
        </x:is>
      </x:c>
      <x:c r="B1824" s="184" t="inlineStr">
        <x:is>
          <x:t xml:space="preserve">FLANGE INOXIDABLE 316 DE 10  PLG 4167367</x:t>
        </x:is>
      </x:c>
      <x:c r="C1824" s="184" t="n">
        <x:v>0</x:v>
      </x:c>
      <x:c r="D1824" s="184" t="n">
        <x:v>0</x:v>
      </x:c>
      <x:c r="E1824" s="184" t="n">
        <x:v>0</x:v>
      </x:c>
      <x:c r="F1824" s="184" t="n">
        <x:v>0</x:v>
      </x:c>
      <x:c r="G1824" s="184" t="n">
        <x:v>0</x:v>
      </x:c>
      <x:c r="H1824" s="193" t="n">
        <x:v>0</x:v>
      </x:c>
      <x:c r="I1824" s="185" t="n">
        <x:v>0</x:v>
      </x:c>
      <x:c r="J1824" s="185" t="n">
        <x:v>0</x:v>
      </x:c>
      <x:c r="K1824" s="289" t="n">
        <x:v>199460</x:v>
      </x:c>
    </x:row>
    <x:row r="1825" s="117" customFormat="1" hidden="1">
      <x:c r="A1825" s="184" t="inlineStr">
        <x:is>
          <x:t xml:space="preserve">PDTFRP001039</x:t>
        </x:is>
      </x:c>
      <x:c r="B1825" s="184" t="inlineStr">
        <x:is>
          <x:t xml:space="preserve">TERMINAL BRIDA 3 PLG FRP  RESINA VINILESTER FLANGE ACERO SS316 4167369</x:t>
        </x:is>
      </x:c>
      <x:c r="C1825" s="184" t="n">
        <x:v>0</x:v>
      </x:c>
      <x:c r="D1825" s="184" t="n">
        <x:v>0</x:v>
      </x:c>
      <x:c r="E1825" s="184" t="n">
        <x:v>0</x:v>
      </x:c>
      <x:c r="F1825" s="184" t="n">
        <x:v>0</x:v>
      </x:c>
      <x:c r="G1825" s="184" t="n">
        <x:v>0</x:v>
      </x:c>
      <x:c r="H1825" s="193" t="n">
        <x:v>0</x:v>
      </x:c>
      <x:c r="I1825" s="185" t="n">
        <x:v>0</x:v>
      </x:c>
      <x:c r="J1825" s="185" t="n">
        <x:v>0</x:v>
      </x:c>
      <x:c r="K1825" s="289" t="n">
        <x:v>51562</x:v>
      </x:c>
    </x:row>
    <x:row r="1826" s="117" customFormat="1" hidden="1">
      <x:c r="A1826" s="184" t="inlineStr">
        <x:is>
          <x:t xml:space="preserve">PDTFRP001040</x:t>
        </x:is>
      </x:c>
      <x:c r="B1826" s="184" t="inlineStr">
        <x:is>
          <x:t xml:space="preserve">BOQUILLA FRP RESINA VINILESTER DE 3 PLG 4167371</x:t>
        </x:is>
      </x:c>
      <x:c r="C1826" s="184" t="n">
        <x:v>0</x:v>
      </x:c>
      <x:c r="D1826" s="184" t="n">
        <x:v>0</x:v>
      </x:c>
      <x:c r="E1826" s="184" t="n">
        <x:v>0</x:v>
      </x:c>
      <x:c r="F1826" s="184" t="n">
        <x:v>0</x:v>
      </x:c>
      <x:c r="G1826" s="184" t="n">
        <x:v>0</x:v>
      </x:c>
      <x:c r="H1826" s="193" t="n">
        <x:v>0</x:v>
      </x:c>
      <x:c r="I1826" s="185" t="n">
        <x:v>0</x:v>
      </x:c>
      <x:c r="J1826" s="185" t="n">
        <x:v>0</x:v>
      </x:c>
      <x:c r="K1826" s="289" t="n">
        <x:v>40562</x:v>
      </x:c>
    </x:row>
    <x:row r="1827" s="117" customFormat="1" hidden="1">
      <x:c r="A1827" s="184" t="inlineStr">
        <x:is>
          <x:t xml:space="preserve">PDTFRP001041</x:t>
        </x:is>
      </x:c>
      <x:c r="B1827" s="184" t="inlineStr">
        <x:is>
          <x:t xml:space="preserve">BOQUILLA FRP RESINA VINILESTER DE 6 PLG 4167373</x:t>
        </x:is>
      </x:c>
      <x:c r="C1827" s="184" t="n">
        <x:v>0</x:v>
      </x:c>
      <x:c r="D1827" s="184" t="n">
        <x:v>0</x:v>
      </x:c>
      <x:c r="E1827" s="184" t="n">
        <x:v>0</x:v>
      </x:c>
      <x:c r="F1827" s="184" t="n">
        <x:v>0</x:v>
      </x:c>
      <x:c r="G1827" s="184" t="n">
        <x:v>0</x:v>
      </x:c>
      <x:c r="H1827" s="193" t="n">
        <x:v>0</x:v>
      </x:c>
      <x:c r="I1827" s="185" t="n">
        <x:v>0</x:v>
      </x:c>
      <x:c r="J1827" s="185" t="n">
        <x:v>0</x:v>
      </x:c>
      <x:c r="K1827" s="289" t="n">
        <x:v>59125</x:v>
      </x:c>
    </x:row>
    <x:row r="1828" s="117" customFormat="1" hidden="1">
      <x:c r="A1828" s="184" t="inlineStr">
        <x:is>
          <x:t xml:space="preserve">PDTFRP001042</x:t>
        </x:is>
      </x:c>
      <x:c r="B1828" s="184" t="inlineStr">
        <x:is>
          <x:t xml:space="preserve">FLANGE INOXIDABLE 316 DE 6  PLG 4167381</x:t>
        </x:is>
      </x:c>
      <x:c r="C1828" s="184" t="n">
        <x:v>0</x:v>
      </x:c>
      <x:c r="D1828" s="184" t="n">
        <x:v>0</x:v>
      </x:c>
      <x:c r="E1828" s="184" t="n">
        <x:v>0</x:v>
      </x:c>
      <x:c r="F1828" s="184" t="n">
        <x:v>0</x:v>
      </x:c>
      <x:c r="G1828" s="184" t="n">
        <x:v>0</x:v>
      </x:c>
      <x:c r="H1828" s="193" t="n">
        <x:v>0</x:v>
      </x:c>
      <x:c r="I1828" s="185" t="n">
        <x:v>0</x:v>
      </x:c>
      <x:c r="J1828" s="185" t="n">
        <x:v>0</x:v>
      </x:c>
      <x:c r="K1828" s="289" t="n">
        <x:v>82850</x:v>
      </x:c>
    </x:row>
    <x:row r="1829" s="117" customFormat="1" hidden="1">
      <x:c r="A1829" s="184" t="inlineStr">
        <x:is>
          <x:t xml:space="preserve">PDTFRP001043</x:t>
        </x:is>
      </x:c>
      <x:c r="B1829" s="184" t="inlineStr">
        <x:is>
          <x:t xml:space="preserve">CODO 90°  DE 8 PLG FRP-PP RESINA VINILESTER  4169631</x:t>
        </x:is>
      </x:c>
      <x:c r="C1829" s="184" t="n">
        <x:v>0</x:v>
      </x:c>
      <x:c r="D1829" s="184" t="n">
        <x:v>0</x:v>
      </x:c>
      <x:c r="E1829" s="184" t="n">
        <x:v>0</x:v>
      </x:c>
      <x:c r="F1829" s="184" t="n">
        <x:v>0</x:v>
      </x:c>
      <x:c r="G1829" s="184" t="n">
        <x:v>0</x:v>
      </x:c>
      <x:c r="H1829" s="193" t="n">
        <x:v>0</x:v>
      </x:c>
      <x:c r="I1829" s="185" t="n">
        <x:v>0</x:v>
      </x:c>
      <x:c r="J1829" s="185" t="n">
        <x:v>0</x:v>
      </x:c>
      <x:c r="K1829" s="289" t="n">
        <x:v>96195</x:v>
      </x:c>
    </x:row>
    <x:row r="1830" s="117" customFormat="1" hidden="1">
      <x:c r="A1830" s="184" t="inlineStr">
        <x:is>
          <x:t xml:space="preserve">PDTFRP001044</x:t>
        </x:is>
      </x:c>
      <x:c r="B1830" s="184" t="inlineStr">
        <x:is>
          <x:t xml:space="preserve">CODO 90°  PP-FRP DIAMETRO 10 PLG VINILESTER 4169632</x:t>
        </x:is>
      </x:c>
      <x:c r="C1830" s="184" t="n">
        <x:v>0</x:v>
      </x:c>
      <x:c r="D1830" s="184" t="n">
        <x:v>0</x:v>
      </x:c>
      <x:c r="E1830" s="184" t="n">
        <x:v>0</x:v>
      </x:c>
      <x:c r="F1830" s="184" t="n">
        <x:v>0</x:v>
      </x:c>
      <x:c r="G1830" s="184" t="n">
        <x:v>0</x:v>
      </x:c>
      <x:c r="H1830" s="193" t="n">
        <x:v>0</x:v>
      </x:c>
      <x:c r="I1830" s="185" t="n">
        <x:v>0</x:v>
      </x:c>
      <x:c r="J1830" s="185" t="n">
        <x:v>0</x:v>
      </x:c>
      <x:c r="K1830" s="289" t="n">
        <x:v>106872</x:v>
      </x:c>
    </x:row>
    <x:row r="1831" s="117" customFormat="1" hidden="1">
      <x:c r="A1831" s="184" t="inlineStr">
        <x:is>
          <x:t xml:space="preserve">PDTFRP001045</x:t>
        </x:is>
      </x:c>
      <x:c r="B1831" s="184" t="inlineStr">
        <x:is>
          <x:t xml:space="preserve">CODO 90°  PP-FRP DIAMETRO 12  PLG VINILESTER 4169633</x:t>
        </x:is>
      </x:c>
      <x:c r="C1831" s="184" t="n">
        <x:v>0</x:v>
      </x:c>
      <x:c r="D1831" s="184" t="n">
        <x:v>0</x:v>
      </x:c>
      <x:c r="E1831" s="184" t="n">
        <x:v>0</x:v>
      </x:c>
      <x:c r="F1831" s="184" t="n">
        <x:v>0</x:v>
      </x:c>
      <x:c r="G1831" s="184" t="n">
        <x:v>0</x:v>
      </x:c>
      <x:c r="H1831" s="193" t="n">
        <x:v>0</x:v>
      </x:c>
      <x:c r="I1831" s="185" t="n">
        <x:v>0</x:v>
      </x:c>
      <x:c r="J1831" s="185" t="n">
        <x:v>0</x:v>
      </x:c>
      <x:c r="K1831" s="289" t="n">
        <x:v>173208</x:v>
      </x:c>
    </x:row>
    <x:row r="1832" s="117" customFormat="1" hidden="1">
      <x:c r="A1832" s="184" t="inlineStr">
        <x:is>
          <x:t xml:space="preserve">PDTFRP001046</x:t>
        </x:is>
      </x:c>
      <x:c r="B1832" s="184" t="inlineStr">
        <x:is>
          <x:t xml:space="preserve">TERMINAL BRIDA 6 PLG FRP-PP RESINA VINILESTER FLANGE ACERO SS304 4169634</x:t>
        </x:is>
      </x:c>
      <x:c r="C1832" s="184" t="n">
        <x:v>0</x:v>
      </x:c>
      <x:c r="D1832" s="184" t="n">
        <x:v>0</x:v>
      </x:c>
      <x:c r="E1832" s="184" t="n">
        <x:v>0</x:v>
      </x:c>
      <x:c r="F1832" s="184" t="n">
        <x:v>0</x:v>
      </x:c>
      <x:c r="G1832" s="184" t="n">
        <x:v>0</x:v>
      </x:c>
      <x:c r="H1832" s="193" t="n">
        <x:v>0</x:v>
      </x:c>
      <x:c r="I1832" s="185" t="n">
        <x:v>0</x:v>
      </x:c>
      <x:c r="J1832" s="185" t="n">
        <x:v>0</x:v>
      </x:c>
      <x:c r="K1832" s="289" t="n">
        <x:v>128170</x:v>
      </x:c>
    </x:row>
    <x:row r="1833" s="117" customFormat="1" hidden="1">
      <x:c r="A1833" s="184" t="inlineStr">
        <x:is>
          <x:t xml:space="preserve">PDTFRP001047</x:t>
        </x:is>
      </x:c>
      <x:c r="B1833" s="184" t="inlineStr">
        <x:is>
          <x:t xml:space="preserve">TERMINAL BRIDA 10 PLG FRP-PP RESINA VINILESTER FLANGE ACERO SS304 4169636</x:t>
        </x:is>
      </x:c>
      <x:c r="C1833" s="184" t="n">
        <x:v>0</x:v>
      </x:c>
      <x:c r="D1833" s="184" t="n">
        <x:v>0</x:v>
      </x:c>
      <x:c r="E1833" s="184" t="n">
        <x:v>0</x:v>
      </x:c>
      <x:c r="F1833" s="184" t="n">
        <x:v>0</x:v>
      </x:c>
      <x:c r="G1833" s="184" t="n">
        <x:v>0</x:v>
      </x:c>
      <x:c r="H1833" s="193" t="n">
        <x:v>0</x:v>
      </x:c>
      <x:c r="I1833" s="185" t="n">
        <x:v>0</x:v>
      </x:c>
      <x:c r="J1833" s="185" t="n">
        <x:v>0</x:v>
      </x:c>
      <x:c r="K1833" s="289" t="n">
        <x:v>273233</x:v>
      </x:c>
    </x:row>
    <x:row r="1834" s="117" customFormat="1" hidden="1">
      <x:c r="A1834" s="184" t="inlineStr">
        <x:is>
          <x:t xml:space="preserve">PDTFRP001048</x:t>
        </x:is>
      </x:c>
      <x:c r="B1834" s="184" t="inlineStr">
        <x:is>
          <x:t xml:space="preserve">TERMINAL BRIDA 12 PLG FRP-PP RESINA VINILESTER FLANGE ACERO SS304 4169637</x:t>
        </x:is>
      </x:c>
      <x:c r="C1834" s="184" t="n">
        <x:v>0</x:v>
      </x:c>
      <x:c r="D1834" s="184" t="n">
        <x:v>0</x:v>
      </x:c>
      <x:c r="E1834" s="184" t="n">
        <x:v>0</x:v>
      </x:c>
      <x:c r="F1834" s="184" t="n">
        <x:v>0</x:v>
      </x:c>
      <x:c r="G1834" s="184" t="n">
        <x:v>0</x:v>
      </x:c>
      <x:c r="H1834" s="193" t="n">
        <x:v>0</x:v>
      </x:c>
      <x:c r="I1834" s="185" t="n">
        <x:v>0</x:v>
      </x:c>
      <x:c r="J1834" s="185" t="n">
        <x:v>0</x:v>
      </x:c>
      <x:c r="K1834" s="289" t="n">
        <x:v>357671</x:v>
      </x:c>
    </x:row>
    <x:row r="1835" s="117" customFormat="1" hidden="1">
      <x:c r="A1835" s="184" t="inlineStr">
        <x:is>
          <x:t xml:space="preserve">PDTFRP001049</x:t>
        </x:is>
      </x:c>
      <x:c r="B1835" s="184" t="inlineStr">
        <x:is>
          <x:t xml:space="preserve">TEE FRP DIAMETRO 12 PLG RESINA VINILESTER 4169638</x:t>
        </x:is>
      </x:c>
      <x:c r="C1835" s="184" t="n">
        <x:v>0</x:v>
      </x:c>
      <x:c r="D1835" s="184" t="n">
        <x:v>0</x:v>
      </x:c>
      <x:c r="E1835" s="184" t="n">
        <x:v>0</x:v>
      </x:c>
      <x:c r="F1835" s="184" t="n">
        <x:v>0</x:v>
      </x:c>
      <x:c r="G1835" s="184" t="n">
        <x:v>0</x:v>
      </x:c>
      <x:c r="H1835" s="193" t="n">
        <x:v>0</x:v>
      </x:c>
      <x:c r="I1835" s="185" t="n">
        <x:v>0</x:v>
      </x:c>
      <x:c r="J1835" s="185" t="n">
        <x:v>0</x:v>
      </x:c>
      <x:c r="K1835" s="289" t="n">
        <x:v>337693</x:v>
      </x:c>
    </x:row>
    <x:row r="1836" s="117" customFormat="1" hidden="1">
      <x:c r="A1836" s="184" t="inlineStr">
        <x:is>
          <x:t xml:space="preserve">PDTFRP001050</x:t>
        </x:is>
      </x:c>
      <x:c r="B1836" s="184" t="inlineStr">
        <x:is>
          <x:t xml:space="preserve">CODO 90°  FRP RESINA VINILESTER 8 PLG 4169639</x:t>
        </x:is>
      </x:c>
      <x:c r="C1836" s="184" t="n">
        <x:v>0</x:v>
      </x:c>
      <x:c r="D1836" s="184" t="n">
        <x:v>0</x:v>
      </x:c>
      <x:c r="E1836" s="184" t="n">
        <x:v>0</x:v>
      </x:c>
      <x:c r="F1836" s="184" t="n">
        <x:v>0</x:v>
      </x:c>
      <x:c r="G1836" s="184" t="n">
        <x:v>0</x:v>
      </x:c>
      <x:c r="H1836" s="193" t="n">
        <x:v>0</x:v>
      </x:c>
      <x:c r="I1836" s="185" t="n">
        <x:v>0</x:v>
      </x:c>
      <x:c r="J1836" s="185" t="n">
        <x:v>0</x:v>
      </x:c>
      <x:c r="K1836" s="289" t="n">
        <x:v>73803</x:v>
      </x:c>
    </x:row>
    <x:row r="1837" s="117" customFormat="1" hidden="1">
      <x:c r="A1837" s="184" t="inlineStr">
        <x:is>
          <x:t xml:space="preserve">PDTFRP001051</x:t>
        </x:is>
      </x:c>
      <x:c r="B1837" s="184" t="inlineStr">
        <x:is>
          <x:t xml:space="preserve">TUBERIA FRP RESINA VINILESTER DIAM. 8 PLG X 6 MTS 4169640</x:t>
        </x:is>
      </x:c>
      <x:c r="C1837" s="184" t="n">
        <x:v>0</x:v>
      </x:c>
      <x:c r="D1837" s="184" t="n">
        <x:v>0</x:v>
      </x:c>
      <x:c r="E1837" s="184" t="n">
        <x:v>0</x:v>
      </x:c>
      <x:c r="F1837" s="184" t="n">
        <x:v>0</x:v>
      </x:c>
      <x:c r="G1837" s="184" t="n">
        <x:v>0</x:v>
      </x:c>
      <x:c r="H1837" s="193" t="n">
        <x:v>0</x:v>
      </x:c>
      <x:c r="I1837" s="185" t="n">
        <x:v>0</x:v>
      </x:c>
      <x:c r="J1837" s="185" t="n">
        <x:v>0</x:v>
      </x:c>
      <x:c r="K1837" s="289" t="n">
        <x:v>420646</x:v>
      </x:c>
    </x:row>
    <x:row r="1838" s="117" customFormat="1" hidden="1">
      <x:c r="A1838" s="184" t="inlineStr">
        <x:is>
          <x:t xml:space="preserve">PDTFRP001052</x:t>
        </x:is>
      </x:c>
      <x:c r="B1838" s="184" t="inlineStr">
        <x:is>
          <x:t xml:space="preserve">CODO 90°  PP-FRP DIAMETRO 5 PLG VINILESTER 4169645</x:t>
        </x:is>
      </x:c>
      <x:c r="C1838" s="184" t="n">
        <x:v>0</x:v>
      </x:c>
      <x:c r="D1838" s="184" t="n">
        <x:v>0</x:v>
      </x:c>
      <x:c r="E1838" s="184" t="n">
        <x:v>0</x:v>
      </x:c>
      <x:c r="F1838" s="184" t="n">
        <x:v>0</x:v>
      </x:c>
      <x:c r="G1838" s="184" t="n">
        <x:v>0</x:v>
      </x:c>
      <x:c r="H1838" s="193" t="n">
        <x:v>0</x:v>
      </x:c>
      <x:c r="I1838" s="185" t="n">
        <x:v>0</x:v>
      </x:c>
      <x:c r="J1838" s="185" t="n">
        <x:v>0</x:v>
      </x:c>
      <x:c r="K1838" s="289" t="n">
        <x:v>65147</x:v>
      </x:c>
    </x:row>
    <x:row r="1839" s="117" customFormat="1" hidden="1">
      <x:c r="A1839" s="184" t="inlineStr">
        <x:is>
          <x:t xml:space="preserve">PDTFRP001053</x:t>
        </x:is>
      </x:c>
      <x:c r="B1839" s="184" t="inlineStr">
        <x:is>
          <x:t xml:space="preserve">TUBERIA DE 6 PLG X 5 MTS  FRP-PP RESINA VINILESTER 4169646</x:t>
        </x:is>
      </x:c>
      <x:c r="C1839" s="184" t="n">
        <x:v>0</x:v>
      </x:c>
      <x:c r="D1839" s="184" t="n">
        <x:v>0</x:v>
      </x:c>
      <x:c r="E1839" s="184" t="n">
        <x:v>0</x:v>
      </x:c>
      <x:c r="F1839" s="184" t="n">
        <x:v>0</x:v>
      </x:c>
      <x:c r="G1839" s="184" t="n">
        <x:v>0</x:v>
      </x:c>
      <x:c r="H1839" s="193" t="n">
        <x:v>0</x:v>
      </x:c>
      <x:c r="I1839" s="185" t="n">
        <x:v>0</x:v>
      </x:c>
      <x:c r="J1839" s="185" t="n">
        <x:v>0</x:v>
      </x:c>
      <x:c r="K1839" s="289" t="n">
        <x:v>452615</x:v>
      </x:c>
    </x:row>
    <x:row r="1840" s="117" customFormat="1" hidden="1">
      <x:c r="A1840" s="184" t="inlineStr">
        <x:is>
          <x:t xml:space="preserve">PDTFRP001054</x:t>
        </x:is>
      </x:c>
      <x:c r="B1840" s="184" t="inlineStr">
        <x:is>
          <x:t xml:space="preserve">TUBERIA DE 12  PLG X 5 MTS FRP-PP RESINA VINILESTER 4167349</x:t>
        </x:is>
      </x:c>
      <x:c r="C1840" s="184" t="n">
        <x:v>0</x:v>
      </x:c>
      <x:c r="D1840" s="184" t="n">
        <x:v>0</x:v>
      </x:c>
      <x:c r="E1840" s="184" t="n">
        <x:v>0</x:v>
      </x:c>
      <x:c r="F1840" s="184" t="n">
        <x:v>0</x:v>
      </x:c>
      <x:c r="G1840" s="184" t="n">
        <x:v>0</x:v>
      </x:c>
      <x:c r="H1840" s="193" t="n">
        <x:v>0</x:v>
      </x:c>
      <x:c r="I1840" s="185" t="n">
        <x:v>0</x:v>
      </x:c>
      <x:c r="J1840" s="185" t="n">
        <x:v>0</x:v>
      </x:c>
      <x:c r="K1840" s="289" t="n">
        <x:v>999761</x:v>
      </x:c>
    </x:row>
    <x:row r="1841" s="117" customFormat="1" hidden="1">
      <x:c r="A1841" s="184" t="inlineStr">
        <x:is>
          <x:t xml:space="preserve">PDTFRP001055</x:t>
        </x:is>
      </x:c>
      <x:c r="B1841" s="184" t="inlineStr">
        <x:is>
          <x:t xml:space="preserve">TEE FRP DIAMETRO 3 PLG RESINA VINILESTER 4169650</x:t>
        </x:is>
      </x:c>
      <x:c r="C1841" s="184" t="n">
        <x:v>0</x:v>
      </x:c>
      <x:c r="D1841" s="184" t="n">
        <x:v>0</x:v>
      </x:c>
      <x:c r="E1841" s="184" t="n">
        <x:v>0</x:v>
      </x:c>
      <x:c r="F1841" s="184" t="n">
        <x:v>0</x:v>
      </x:c>
      <x:c r="G1841" s="184" t="n">
        <x:v>0</x:v>
      </x:c>
      <x:c r="H1841" s="193" t="n">
        <x:v>0</x:v>
      </x:c>
      <x:c r="I1841" s="185" t="n">
        <x:v>0</x:v>
      </x:c>
      <x:c r="J1841" s="185" t="n">
        <x:v>0</x:v>
      </x:c>
      <x:c r="K1841" s="289" t="n">
        <x:v>48035</x:v>
      </x:c>
    </x:row>
    <x:row r="1842" s="117" customFormat="1" hidden="1">
      <x:c r="A1842" s="184" t="inlineStr">
        <x:is>
          <x:t xml:space="preserve">PDTFRP001056</x:t>
        </x:is>
      </x:c>
      <x:c r="B1842" s="184" t="inlineStr">
        <x:is>
          <x:t xml:space="preserve">TEE FRP DIAMETRO 6 PLG RESINA VINILESTER 4169652</x:t>
        </x:is>
      </x:c>
      <x:c r="C1842" s="184" t="n">
        <x:v>0</x:v>
      </x:c>
      <x:c r="D1842" s="184" t="n">
        <x:v>0</x:v>
      </x:c>
      <x:c r="E1842" s="184" t="n">
        <x:v>0</x:v>
      </x:c>
      <x:c r="F1842" s="184" t="n">
        <x:v>0</x:v>
      </x:c>
      <x:c r="G1842" s="184" t="n">
        <x:v>0</x:v>
      </x:c>
      <x:c r="H1842" s="193" t="n">
        <x:v>0</x:v>
      </x:c>
      <x:c r="I1842" s="185" t="n">
        <x:v>0</x:v>
      </x:c>
      <x:c r="J1842" s="185" t="n">
        <x:v>0</x:v>
      </x:c>
      <x:c r="K1842" s="289" t="n">
        <x:v>103605</x:v>
      </x:c>
    </x:row>
    <x:row r="1843" s="117" customFormat="1" hidden="1">
      <x:c r="A1843" s="184" t="inlineStr">
        <x:is>
          <x:t xml:space="preserve">PDTFRP001057</x:t>
        </x:is>
      </x:c>
      <x:c r="B1843" s="184" t="inlineStr">
        <x:is>
          <x:t xml:space="preserve">TEE FRP DIAMETRO 4 PLG RESINA VINILESTER 4169651</x:t>
        </x:is>
      </x:c>
      <x:c r="C1843" s="184" t="n">
        <x:v>0</x:v>
      </x:c>
      <x:c r="D1843" s="184" t="n">
        <x:v>0</x:v>
      </x:c>
      <x:c r="E1843" s="184" t="n">
        <x:v>0</x:v>
      </x:c>
      <x:c r="F1843" s="184" t="n">
        <x:v>0</x:v>
      </x:c>
      <x:c r="G1843" s="184" t="n">
        <x:v>0</x:v>
      </x:c>
      <x:c r="H1843" s="193" t="n">
        <x:v>0</x:v>
      </x:c>
      <x:c r="I1843" s="185" t="n">
        <x:v>0</x:v>
      </x:c>
      <x:c r="J1843" s="185" t="n">
        <x:v>0</x:v>
      </x:c>
      <x:c r="K1843" s="289" t="n">
        <x:v>112362</x:v>
      </x:c>
    </x:row>
    <x:row r="1844" s="117" customFormat="1" hidden="1">
      <x:c r="A1844" s="184" t="inlineStr">
        <x:is>
          <x:t xml:space="preserve">PDTFRP001058</x:t>
        </x:is>
      </x:c>
      <x:c r="B1844" s="184" t="inlineStr">
        <x:is>
          <x:t xml:space="preserve">TEE FRP DIAMETRO 10 PLG RESINA VINILESTER 4169654</x:t>
        </x:is>
      </x:c>
      <x:c r="C1844" s="184" t="n">
        <x:v>0</x:v>
      </x:c>
      <x:c r="D1844" s="184" t="n">
        <x:v>0</x:v>
      </x:c>
      <x:c r="E1844" s="184" t="n">
        <x:v>0</x:v>
      </x:c>
      <x:c r="F1844" s="184" t="n">
        <x:v>0</x:v>
      </x:c>
      <x:c r="G1844" s="184" t="n">
        <x:v>0</x:v>
      </x:c>
      <x:c r="H1844" s="193" t="n">
        <x:v>0</x:v>
      </x:c>
      <x:c r="I1844" s="185" t="n">
        <x:v>0</x:v>
      </x:c>
      <x:c r="J1844" s="185" t="n">
        <x:v>0</x:v>
      </x:c>
      <x:c r="K1844" s="289" t="n">
        <x:v>237070</x:v>
      </x:c>
    </x:row>
    <x:row r="1845" s="117" customFormat="1" hidden="1">
      <x:c r="A1845" s="184" t="inlineStr">
        <x:is>
          <x:t xml:space="preserve">PDTFRP001059</x:t>
        </x:is>
      </x:c>
      <x:c r="B1845" s="184" t="inlineStr">
        <x:is>
          <x:t xml:space="preserve">CODO 90° FRP RESINA VINILESTER DIAM 2 PLG DIN 16965 CLASE 150 4184703</x:t>
        </x:is>
      </x:c>
      <x:c r="C1845" s="184" t="n">
        <x:v>0</x:v>
      </x:c>
      <x:c r="D1845" s="184" t="n">
        <x:v>0</x:v>
      </x:c>
      <x:c r="E1845" s="184" t="n">
        <x:v>0</x:v>
      </x:c>
      <x:c r="F1845" s="184" t="n">
        <x:v>0</x:v>
      </x:c>
      <x:c r="G1845" s="184" t="n">
        <x:v>0</x:v>
      </x:c>
      <x:c r="H1845" s="193" t="n">
        <x:v>0</x:v>
      </x:c>
      <x:c r="I1845" s="185" t="n">
        <x:v>0</x:v>
      </x:c>
      <x:c r="J1845" s="185" t="n">
        <x:v>0</x:v>
      </x:c>
      <x:c r="K1845" s="289" t="n">
        <x:v>14285</x:v>
      </x:c>
    </x:row>
    <x:row r="1846" s="117" customFormat="1" hidden="1">
      <x:c r="A1846" s="184" t="inlineStr">
        <x:is>
          <x:t xml:space="preserve">PDTFRP001060</x:t>
        </x:is>
      </x:c>
      <x:c r="B1846" s="184" t="inlineStr">
        <x:is>
          <x:t xml:space="preserve">REDUCCION 5 PLG X 4 PLG RESINA VINILESTER CLASE 150 4184132</x:t>
        </x:is>
      </x:c>
      <x:c r="C1846" s="184" t="n">
        <x:v>0</x:v>
      </x:c>
      <x:c r="D1846" s="184" t="n">
        <x:v>0</x:v>
      </x:c>
      <x:c r="E1846" s="184" t="n">
        <x:v>0</x:v>
      </x:c>
      <x:c r="F1846" s="184" t="n">
        <x:v>0</x:v>
      </x:c>
      <x:c r="G1846" s="184" t="n">
        <x:v>0</x:v>
      </x:c>
      <x:c r="H1846" s="193" t="n">
        <x:v>0</x:v>
      </x:c>
      <x:c r="I1846" s="185" t="n">
        <x:v>0</x:v>
      </x:c>
      <x:c r="J1846" s="185" t="n">
        <x:v>0</x:v>
      </x:c>
      <x:c r="K1846" s="289" t="n">
        <x:v>25545</x:v>
      </x:c>
    </x:row>
    <x:row r="1847" s="117" customFormat="1" hidden="1">
      <x:c r="A1847" s="184" t="inlineStr">
        <x:is>
          <x:t xml:space="preserve">PDTFRP001061</x:t>
        </x:is>
      </x:c>
      <x:c r="B1847" s="184" t="inlineStr">
        <x:is>
          <x:t xml:space="preserve">CODO 90°  FRP RESINA VINILESTER 5 PLG 4184704</x:t>
        </x:is>
      </x:c>
      <x:c r="C1847" s="184" t="n">
        <x:v>0</x:v>
      </x:c>
      <x:c r="D1847" s="184" t="n">
        <x:v>0</x:v>
      </x:c>
      <x:c r="E1847" s="184" t="n">
        <x:v>0</x:v>
      </x:c>
      <x:c r="F1847" s="184" t="n">
        <x:v>0</x:v>
      </x:c>
      <x:c r="G1847" s="184" t="n">
        <x:v>0</x:v>
      </x:c>
      <x:c r="H1847" s="193" t="n">
        <x:v>0</x:v>
      </x:c>
      <x:c r="I1847" s="185" t="n">
        <x:v>0</x:v>
      </x:c>
      <x:c r="J1847" s="185" t="n">
        <x:v>0</x:v>
      </x:c>
      <x:c r="K1847" s="289" t="n">
        <x:v>33685</x:v>
      </x:c>
    </x:row>
    <x:row r="1848" s="117" customFormat="1" hidden="1">
      <x:c r="A1848" s="184" t="inlineStr">
        <x:is>
          <x:t xml:space="preserve">PDTFRP001062</x:t>
        </x:is>
      </x:c>
      <x:c r="B1848" s="184" t="inlineStr">
        <x:is>
          <x:t xml:space="preserve">CODO 45°  FRP RESINA VINILESTER 2 PLG 4184723</x:t>
        </x:is>
      </x:c>
      <x:c r="C1848" s="184" t="n">
        <x:v>0</x:v>
      </x:c>
      <x:c r="D1848" s="184" t="n">
        <x:v>0</x:v>
      </x:c>
      <x:c r="E1848" s="184" t="n">
        <x:v>0</x:v>
      </x:c>
      <x:c r="F1848" s="184" t="n">
        <x:v>0</x:v>
      </x:c>
      <x:c r="G1848" s="184" t="n">
        <x:v>0</x:v>
      </x:c>
      <x:c r="H1848" s="193" t="n">
        <x:v>0</x:v>
      </x:c>
      <x:c r="I1848" s="185" t="n">
        <x:v>0</x:v>
      </x:c>
      <x:c r="J1848" s="185" t="n">
        <x:v>0</x:v>
      </x:c>
      <x:c r="K1848" s="289" t="n">
        <x:v>11745</x:v>
      </x:c>
    </x:row>
    <x:row r="1849" s="117" customFormat="1" hidden="1">
      <x:c r="A1849" s="184" t="inlineStr">
        <x:is>
          <x:t xml:space="preserve">PDTFRP001063</x:t>
        </x:is>
      </x:c>
      <x:c r="B1849" s="184" t="inlineStr">
        <x:is>
          <x:t xml:space="preserve">TERMINAL BRIDA (STUB END) 2 PLG FRP  RESINA VINILESTER C/FLANGE AC.S304 CLASE 150 CODIGO 4187474</x:t>
        </x:is>
      </x:c>
      <x:c r="C1849" s="184" t="n">
        <x:v>0</x:v>
      </x:c>
      <x:c r="D1849" s="184" t="n">
        <x:v>0</x:v>
      </x:c>
      <x:c r="E1849" s="184" t="n">
        <x:v>0</x:v>
      </x:c>
      <x:c r="F1849" s="184" t="n">
        <x:v>0</x:v>
      </x:c>
      <x:c r="G1849" s="184" t="n">
        <x:v>0</x:v>
      </x:c>
      <x:c r="H1849" s="193" t="n">
        <x:v>0</x:v>
      </x:c>
      <x:c r="I1849" s="185" t="n">
        <x:v>0</x:v>
      </x:c>
      <x:c r="J1849" s="185" t="n">
        <x:v>0</x:v>
      </x:c>
      <x:c r="K1849" s="289" t="n">
        <x:v>39016</x:v>
      </x:c>
    </x:row>
    <x:row r="1850" s="117" customFormat="1" hidden="1">
      <x:c r="A1850" s="184" t="inlineStr">
        <x:is>
          <x:t xml:space="preserve">PDTFRP001064</x:t>
        </x:is>
      </x:c>
      <x:c r="B1850" s="184" t="inlineStr">
        <x:is>
          <x:t xml:space="preserve">CODO 90° DIN 160 CON FLANGES FIJOS AMBOS EXTERMOS CLASE 150 RESINA VINILESTER CLASE 150 100 PSI SQM</x:t>
        </x:is>
      </x:c>
      <x:c r="C1850" s="184" t="n">
        <x:v>0</x:v>
      </x:c>
      <x:c r="D1850" s="184" t="n">
        <x:v>0</x:v>
      </x:c>
      <x:c r="E1850" s="184" t="n">
        <x:v>0</x:v>
      </x:c>
      <x:c r="F1850" s="184" t="n">
        <x:v>0</x:v>
      </x:c>
      <x:c r="G1850" s="184" t="n">
        <x:v>0</x:v>
      </x:c>
      <x:c r="H1850" s="193" t="n">
        <x:v>0</x:v>
      </x:c>
      <x:c r="I1850" s="185" t="n">
        <x:v>0</x:v>
      </x:c>
      <x:c r="J1850" s="185" t="n">
        <x:v>0</x:v>
      </x:c>
      <x:c r="K1850" s="289" t="n">
        <x:v>114444</x:v>
      </x:c>
    </x:row>
    <x:row r="1851" s="117" customFormat="1" hidden="1">
      <x:c r="A1851" s="184" t="inlineStr">
        <x:is>
          <x:t xml:space="preserve">PDTFRP001065</x:t>
        </x:is>
      </x:c>
      <x:c r="B1851" s="184" t="inlineStr">
        <x:is>
          <x:t xml:space="preserve">CODO 90° DIN 250 CON FLANGES FIJOS AMBOS EXTERMOS CLASE 150 RESINA VINILESTER CLASE 150 100 PSI SQM</x:t>
        </x:is>
      </x:c>
      <x:c r="C1851" s="184" t="n">
        <x:v>0</x:v>
      </x:c>
      <x:c r="D1851" s="184" t="n">
        <x:v>0</x:v>
      </x:c>
      <x:c r="E1851" s="184" t="n">
        <x:v>0</x:v>
      </x:c>
      <x:c r="F1851" s="184" t="n">
        <x:v>0</x:v>
      </x:c>
      <x:c r="G1851" s="184" t="n">
        <x:v>0</x:v>
      </x:c>
      <x:c r="H1851" s="193" t="n">
        <x:v>0</x:v>
      </x:c>
      <x:c r="I1851" s="185" t="n">
        <x:v>0</x:v>
      </x:c>
      <x:c r="J1851" s="185" t="n">
        <x:v>0</x:v>
      </x:c>
      <x:c r="K1851" s="289" t="n">
        <x:v>152777</x:v>
      </x:c>
    </x:row>
    <x:row r="1852" s="117" customFormat="1" hidden="1">
      <x:c r="A1852" s="184" t="inlineStr">
        <x:is>
          <x:t xml:space="preserve">PDTFRP001066</x:t>
        </x:is>
      </x:c>
      <x:c r="B1852" s="184" t="inlineStr">
        <x:is>
          <x:t xml:space="preserve">TK NEUTRALIZADOR DE FRP PARA FLUIDO DER SODA CAUTICA AL 20% DE 1500 MM DIAM X 2500 ALTO</x:t>
        </x:is>
      </x:c>
      <x:c r="C1852" s="184" t="n">
        <x:v>0</x:v>
      </x:c>
      <x:c r="D1852" s="184" t="n">
        <x:v>0</x:v>
      </x:c>
      <x:c r="E1852" s="184" t="n">
        <x:v>0</x:v>
      </x:c>
      <x:c r="F1852" s="184" t="n">
        <x:v>0</x:v>
      </x:c>
      <x:c r="G1852" s="184" t="n">
        <x:v>0</x:v>
      </x:c>
      <x:c r="H1852" s="193" t="n">
        <x:v>0</x:v>
      </x:c>
      <x:c r="I1852" s="185" t="n">
        <x:v>0</x:v>
      </x:c>
      <x:c r="J1852" s="185" t="n">
        <x:v>0</x:v>
      </x:c>
      <x:c r="K1852" s="289" t="n">
        <x:v>4517979</x:v>
      </x:c>
    </x:row>
    <x:row r="1853" s="117" customFormat="1" hidden="1">
      <x:c r="A1853" s="184" t="inlineStr">
        <x:is>
          <x:t xml:space="preserve">PDTFRP001067</x:t>
        </x:is>
      </x:c>
      <x:c r="B1853" s="184" t="inlineStr">
        <x:is>
          <x:t xml:space="preserve">REDUCCION CONCENTRICA 12 PLG A 6 PLG DUAL LAMINATE PP-FRP (6451253)</x:t>
        </x:is>
      </x:c>
      <x:c r="C1853" s="184" t="n">
        <x:v>0</x:v>
      </x:c>
      <x:c r="D1853" s="184" t="n">
        <x:v>0</x:v>
      </x:c>
      <x:c r="E1853" s="184" t="n">
        <x:v>0</x:v>
      </x:c>
      <x:c r="F1853" s="184" t="n">
        <x:v>0</x:v>
      </x:c>
      <x:c r="G1853" s="184" t="n">
        <x:v>0</x:v>
      </x:c>
      <x:c r="H1853" s="193" t="n">
        <x:v>0</x:v>
      </x:c>
      <x:c r="I1853" s="185" t="n">
        <x:v>0</x:v>
      </x:c>
      <x:c r="J1853" s="185" t="n">
        <x:v>0</x:v>
      </x:c>
      <x:c r="K1853" s="289" t="n">
        <x:v>521708</x:v>
      </x:c>
    </x:row>
    <x:row r="1854" s="117" customFormat="1" hidden="1">
      <x:c r="A1854" s="184" t="inlineStr">
        <x:is>
          <x:t xml:space="preserve">PDTFRP001068</x:t>
        </x:is>
      </x:c>
      <x:c r="B1854" s="184" t="inlineStr">
        <x:is>
          <x:t xml:space="preserve">DUCTO DOBLE LAMINA DIAMETRO 8 PLG MATERIAL PP-FRP VINILESTER  TIRA 5 MTS (1515859)</x:t>
        </x:is>
      </x:c>
      <x:c r="C1854" s="184" t="n">
        <x:v>0</x:v>
      </x:c>
      <x:c r="D1854" s="184" t="n">
        <x:v>0</x:v>
      </x:c>
      <x:c r="E1854" s="184" t="n">
        <x:v>0</x:v>
      </x:c>
      <x:c r="F1854" s="184" t="n">
        <x:v>0</x:v>
      </x:c>
      <x:c r="G1854" s="184" t="n">
        <x:v>0</x:v>
      </x:c>
      <x:c r="H1854" s="193" t="n">
        <x:v>0</x:v>
      </x:c>
      <x:c r="I1854" s="185" t="n">
        <x:v>0</x:v>
      </x:c>
      <x:c r="J1854" s="185" t="n">
        <x:v>0</x:v>
      </x:c>
      <x:c r="K1854" s="289" t="n">
        <x:v>440698</x:v>
      </x:c>
    </x:row>
    <x:row r="1855" s="117" customFormat="1" hidden="1">
      <x:c r="A1855" s="184" t="inlineStr">
        <x:is>
          <x:t xml:space="preserve">PDTFRP001069</x:t>
        </x:is>
      </x:c>
      <x:c r="B1855" s="184" t="inlineStr">
        <x:is>
          <x:t xml:space="preserve">ESPARRAGO (STUB END) DOBLE LAMINA DIAMETRO 3 PLG MATERIAL PP-FRP (1519205)</x:t>
        </x:is>
      </x:c>
      <x:c r="C1855" s="184" t="n">
        <x:v>0</x:v>
      </x:c>
      <x:c r="D1855" s="184" t="n">
        <x:v>0</x:v>
      </x:c>
      <x:c r="E1855" s="184" t="n">
        <x:v>0</x:v>
      </x:c>
      <x:c r="F1855" s="184" t="n">
        <x:v>0</x:v>
      </x:c>
      <x:c r="G1855" s="184" t="n">
        <x:v>0</x:v>
      </x:c>
      <x:c r="H1855" s="193" t="n">
        <x:v>0</x:v>
      </x:c>
      <x:c r="I1855" s="185" t="n">
        <x:v>0</x:v>
      </x:c>
      <x:c r="J1855" s="185" t="n">
        <x:v>0</x:v>
      </x:c>
      <x:c r="K1855" s="289" t="n">
        <x:v>45089</x:v>
      </x:c>
    </x:row>
    <x:row r="1856" s="117" customFormat="1" hidden="1">
      <x:c r="A1856" s="184" t="inlineStr">
        <x:is>
          <x:t xml:space="preserve">PDTFRP001070</x:t>
        </x:is>
      </x:c>
      <x:c r="B1856" s="184" t="inlineStr">
        <x:is>
          <x:t xml:space="preserve">ESPARRAGO (STUB END) DOBLE LAMINA DIAMETRO 8 PLG MATERIAL PP-FRP (1519208)</x:t>
        </x:is>
      </x:c>
      <x:c r="C1856" s="184" t="n">
        <x:v>0</x:v>
      </x:c>
      <x:c r="D1856" s="184" t="n">
        <x:v>0</x:v>
      </x:c>
      <x:c r="E1856" s="184" t="n">
        <x:v>0</x:v>
      </x:c>
      <x:c r="F1856" s="184" t="n">
        <x:v>0</x:v>
      </x:c>
      <x:c r="G1856" s="184" t="n">
        <x:v>0</x:v>
      </x:c>
      <x:c r="H1856" s="193" t="n">
        <x:v>0</x:v>
      </x:c>
      <x:c r="I1856" s="185" t="n">
        <x:v>0</x:v>
      </x:c>
      <x:c r="J1856" s="185" t="n">
        <x:v>0</x:v>
      </x:c>
      <x:c r="K1856" s="289" t="n">
        <x:v>72358</x:v>
      </x:c>
    </x:row>
    <x:row r="1857" s="117" customFormat="1" hidden="1">
      <x:c r="A1857" s="184" t="inlineStr">
        <x:is>
          <x:t xml:space="preserve">PDTFRP001071</x:t>
        </x:is>
      </x:c>
      <x:c r="B1857" s="184" t="inlineStr">
        <x:is>
          <x:t xml:space="preserve">ESPARRAGO (STUB END) DOBLE LAMINA DIAMETRO 16 PLG MATERIAL PP-FRP (1519211)</x:t>
        </x:is>
      </x:c>
      <x:c r="C1857" s="184" t="n">
        <x:v>0</x:v>
      </x:c>
      <x:c r="D1857" s="184" t="n">
        <x:v>0</x:v>
      </x:c>
      <x:c r="E1857" s="184" t="n">
        <x:v>0</x:v>
      </x:c>
      <x:c r="F1857" s="184" t="n">
        <x:v>0</x:v>
      </x:c>
      <x:c r="G1857" s="184" t="n">
        <x:v>0</x:v>
      </x:c>
      <x:c r="H1857" s="193" t="n">
        <x:v>0</x:v>
      </x:c>
      <x:c r="I1857" s="185" t="n">
        <x:v>0</x:v>
      </x:c>
      <x:c r="J1857" s="185" t="n">
        <x:v>0</x:v>
      </x:c>
      <x:c r="K1857" s="289" t="n">
        <x:v>251304</x:v>
      </x:c>
    </x:row>
    <x:row r="1858" s="117" customFormat="1" hidden="1">
      <x:c r="A1858" s="184" t="inlineStr">
        <x:is>
          <x:t xml:space="preserve">PDTFRP001072</x:t>
        </x:is>
      </x:c>
      <x:c r="B1858" s="184" t="inlineStr">
        <x:is>
          <x:t xml:space="preserve">CODO 90 GRD DOBLE LAMINA DE 2 PLG MATERIAL PP-FRP (1519213)</x:t>
        </x:is>
      </x:c>
      <x:c r="C1858" s="184" t="n">
        <x:v>0</x:v>
      </x:c>
      <x:c r="D1858" s="184" t="n">
        <x:v>0</x:v>
      </x:c>
      <x:c r="E1858" s="184" t="n">
        <x:v>0</x:v>
      </x:c>
      <x:c r="F1858" s="184" t="n">
        <x:v>0</x:v>
      </x:c>
      <x:c r="G1858" s="184" t="n">
        <x:v>0</x:v>
      </x:c>
      <x:c r="H1858" s="193" t="n">
        <x:v>0</x:v>
      </x:c>
      <x:c r="I1858" s="185" t="n">
        <x:v>0</x:v>
      </x:c>
      <x:c r="J1858" s="185" t="n">
        <x:v>0</x:v>
      </x:c>
      <x:c r="K1858" s="289" t="n">
        <x:v>24935</x:v>
      </x:c>
    </x:row>
    <x:row r="1859" s="117" customFormat="1" hidden="1">
      <x:c r="A1859" s="184" t="inlineStr">
        <x:is>
          <x:t xml:space="preserve">PDTFRP001073</x:t>
        </x:is>
      </x:c>
      <x:c r="B1859" s="184" t="inlineStr">
        <x:is>
          <x:t xml:space="preserve">CODO 90 GRD DOBLE LAMINA DE 12 PLG MATERIAL PP-FRP (1519219)</x:t>
        </x:is>
      </x:c>
      <x:c r="C1859" s="184" t="n">
        <x:v>0</x:v>
      </x:c>
      <x:c r="D1859" s="184" t="n">
        <x:v>0</x:v>
      </x:c>
      <x:c r="E1859" s="184" t="n">
        <x:v>0</x:v>
      </x:c>
      <x:c r="F1859" s="184" t="n">
        <x:v>0</x:v>
      </x:c>
      <x:c r="G1859" s="184" t="n">
        <x:v>0</x:v>
      </x:c>
      <x:c r="H1859" s="193" t="n">
        <x:v>0</x:v>
      </x:c>
      <x:c r="I1859" s="185" t="n">
        <x:v>0</x:v>
      </x:c>
      <x:c r="J1859" s="185" t="n">
        <x:v>0</x:v>
      </x:c>
      <x:c r="K1859" s="289" t="n">
        <x:v>141966</x:v>
      </x:c>
    </x:row>
    <x:row r="1860" s="117" customFormat="1" hidden="1">
      <x:c r="A1860" s="184" t="inlineStr">
        <x:is>
          <x:t xml:space="preserve">PDTFRP001074</x:t>
        </x:is>
      </x:c>
      <x:c r="B1860" s="184" t="inlineStr">
        <x:is>
          <x:t xml:space="preserve">CODO 90 GRD DOBLE LAMINA DE 16 PLG MATERIAL PP-FRP (1519220)</x:t>
        </x:is>
      </x:c>
      <x:c r="C1860" s="184" t="n">
        <x:v>0</x:v>
      </x:c>
      <x:c r="D1860" s="184" t="n">
        <x:v>0</x:v>
      </x:c>
      <x:c r="E1860" s="184" t="n">
        <x:v>0</x:v>
      </x:c>
      <x:c r="F1860" s="184" t="n">
        <x:v>0</x:v>
      </x:c>
      <x:c r="G1860" s="184" t="n">
        <x:v>0</x:v>
      </x:c>
      <x:c r="H1860" s="193" t="n">
        <x:v>0</x:v>
      </x:c>
      <x:c r="I1860" s="185" t="n">
        <x:v>0</x:v>
      </x:c>
      <x:c r="J1860" s="185" t="n">
        <x:v>0</x:v>
      </x:c>
      <x:c r="K1860" s="289" t="n">
        <x:v>423689</x:v>
      </x:c>
    </x:row>
    <x:row r="1861" s="117" customFormat="1" hidden="1">
      <x:c r="A1861" s="184" t="inlineStr">
        <x:is>
          <x:t xml:space="preserve">PDTFRP001075</x:t>
        </x:is>
      </x:c>
      <x:c r="B1861" s="184" t="inlineStr">
        <x:is>
          <x:t xml:space="preserve">CODO 45 GRD DOBLE LAMINA DE 3 PLG MATERIAL PP-FRP (1519223)</x:t>
        </x:is>
      </x:c>
      <x:c r="C1861" s="184" t="n">
        <x:v>0</x:v>
      </x:c>
      <x:c r="D1861" s="184" t="n">
        <x:v>0</x:v>
      </x:c>
      <x:c r="E1861" s="184" t="n">
        <x:v>0</x:v>
      </x:c>
      <x:c r="F1861" s="184" t="n">
        <x:v>0</x:v>
      </x:c>
      <x:c r="G1861" s="184" t="n">
        <x:v>0</x:v>
      </x:c>
      <x:c r="H1861" s="193" t="n">
        <x:v>0</x:v>
      </x:c>
      <x:c r="I1861" s="185" t="n">
        <x:v>0</x:v>
      </x:c>
      <x:c r="J1861" s="185" t="n">
        <x:v>0</x:v>
      </x:c>
      <x:c r="K1861" s="289" t="n">
        <x:v>25054</x:v>
      </x:c>
    </x:row>
    <x:row r="1862" s="117" customFormat="1" hidden="1">
      <x:c r="A1862" s="184" t="inlineStr">
        <x:is>
          <x:t xml:space="preserve">PDTFRP001076</x:t>
        </x:is>
      </x:c>
      <x:c r="B1862" s="184" t="inlineStr">
        <x:is>
          <x:t xml:space="preserve">CODO 90° DIN 315 C/FLANGES FIJOS EN AMBOS EXTREMOS CLASE 150 ANSI RESINA VINILESTER 100 PSI</x:t>
        </x:is>
      </x:c>
      <x:c r="C1862" s="184" t="n">
        <x:v>0</x:v>
      </x:c>
      <x:c r="D1862" s="184" t="n">
        <x:v>0</x:v>
      </x:c>
      <x:c r="E1862" s="184" t="n">
        <x:v>0</x:v>
      </x:c>
      <x:c r="F1862" s="184" t="n">
        <x:v>0</x:v>
      </x:c>
      <x:c r="G1862" s="184" t="n">
        <x:v>0</x:v>
      </x:c>
      <x:c r="H1862" s="193" t="n">
        <x:v>0</x:v>
      </x:c>
      <x:c r="I1862" s="185" t="n">
        <x:v>0</x:v>
      </x:c>
      <x:c r="J1862" s="185" t="n">
        <x:v>0</x:v>
      </x:c>
      <x:c r="K1862" s="289" t="n">
        <x:v>176611</x:v>
      </x:c>
    </x:row>
    <x:row r="1863" s="117" customFormat="1" hidden="1">
      <x:c r="A1863" s="184" t="inlineStr">
        <x:is>
          <x:t xml:space="preserve">PDTFRP001077</x:t>
        </x:is>
      </x:c>
      <x:c r="B1863" s="184" t="inlineStr">
        <x:is>
          <x:t xml:space="preserve">DUCTO DE 315 MM (12PLG) DIAMETRO X 6000 MM LGO</x:t>
        </x:is>
      </x:c>
      <x:c r="C1863" s="184" t="n">
        <x:v>0</x:v>
      </x:c>
      <x:c r="D1863" s="184" t="n">
        <x:v>0</x:v>
      </x:c>
      <x:c r="E1863" s="184" t="n">
        <x:v>0</x:v>
      </x:c>
      <x:c r="F1863" s="184" t="n">
        <x:v>0</x:v>
      </x:c>
      <x:c r="G1863" s="184" t="n">
        <x:v>0</x:v>
      </x:c>
      <x:c r="H1863" s="193" t="n">
        <x:v>0</x:v>
      </x:c>
      <x:c r="I1863" s="185" t="n">
        <x:v>0</x:v>
      </x:c>
      <x:c r="J1863" s="185" t="n">
        <x:v>0</x:v>
      </x:c>
      <x:c r="K1863" s="289" t="n">
        <x:v>442920</x:v>
      </x:c>
    </x:row>
    <x:row r="1864" s="117" customFormat="1" hidden="1">
      <x:c r="A1864" s="184" t="inlineStr">
        <x:is>
          <x:t xml:space="preserve">PDTFRP001078</x:t>
        </x:is>
      </x:c>
      <x:c r="B1864" s="184" t="inlineStr">
        <x:is>
          <x:t xml:space="preserve">DUCTO DE 250 MM (10PLG) DIAMETRO X 6000 MM LGO RESINA VINILESTER</x:t>
        </x:is>
      </x:c>
      <x:c r="C1864" s="184" t="n">
        <x:v>0</x:v>
      </x:c>
      <x:c r="D1864" s="184" t="n">
        <x:v>0</x:v>
      </x:c>
      <x:c r="E1864" s="184" t="n">
        <x:v>0</x:v>
      </x:c>
      <x:c r="F1864" s="184" t="n">
        <x:v>0</x:v>
      </x:c>
      <x:c r="G1864" s="184" t="n">
        <x:v>0</x:v>
      </x:c>
      <x:c r="H1864" s="193" t="n">
        <x:v>0</x:v>
      </x:c>
      <x:c r="I1864" s="185" t="n">
        <x:v>0</x:v>
      </x:c>
      <x:c r="J1864" s="185" t="n">
        <x:v>0</x:v>
      </x:c>
      <x:c r="K1864" s="289" t="n">
        <x:v>318568</x:v>
      </x:c>
    </x:row>
    <x:row r="1865" s="117" customFormat="1" hidden="1">
      <x:c r="A1865" s="184" t="inlineStr">
        <x:is>
          <x:t xml:space="preserve">PDTFRP001079</x:t>
        </x:is>
      </x:c>
      <x:c r="B1865" s="184" t="inlineStr">
        <x:is>
          <x:t xml:space="preserve">DUCTO DE 160 MM 6 PLG) DIAMETRO X 6000 MM LGO RESINA VINILESTER</x:t>
        </x:is>
      </x:c>
      <x:c r="C1865" s="184" t="n">
        <x:v>0</x:v>
      </x:c>
      <x:c r="D1865" s="184" t="n">
        <x:v>0</x:v>
      </x:c>
      <x:c r="E1865" s="184" t="n">
        <x:v>0</x:v>
      </x:c>
      <x:c r="F1865" s="184" t="n">
        <x:v>0</x:v>
      </x:c>
      <x:c r="G1865" s="184" t="n">
        <x:v>0</x:v>
      </x:c>
      <x:c r="H1865" s="193" t="n">
        <x:v>0</x:v>
      </x:c>
      <x:c r="I1865" s="185" t="n">
        <x:v>0</x:v>
      </x:c>
      <x:c r="J1865" s="185" t="n">
        <x:v>0</x:v>
      </x:c>
      <x:c r="K1865" s="289" t="n">
        <x:v>165468</x:v>
      </x:c>
    </x:row>
    <x:row r="1866" s="117" customFormat="1" hidden="1">
      <x:c r="A1866" s="184" t="inlineStr">
        <x:is>
          <x:t xml:space="preserve">PDTFRP001080</x:t>
        </x:is>
      </x:c>
      <x:c r="B1866" s="184" t="inlineStr">
        <x:is>
          <x:t xml:space="preserve">TERMINAL BRIDA 8 PLG FRP RESINA VINILESTER C/FLANGE AC.304 CLASE 150 COD.4169641</x:t>
        </x:is>
      </x:c>
      <x:c r="C1866" s="184" t="n">
        <x:v>0</x:v>
      </x:c>
      <x:c r="D1866" s="184" t="n">
        <x:v>0</x:v>
      </x:c>
      <x:c r="E1866" s="184" t="n">
        <x:v>0</x:v>
      </x:c>
      <x:c r="F1866" s="184" t="n">
        <x:v>0</x:v>
      </x:c>
      <x:c r="G1866" s="184" t="n">
        <x:v>0</x:v>
      </x:c>
      <x:c r="H1866" s="193" t="n">
        <x:v>0</x:v>
      </x:c>
      <x:c r="I1866" s="185" t="n">
        <x:v>0</x:v>
      </x:c>
      <x:c r="J1866" s="185" t="n">
        <x:v>0</x:v>
      </x:c>
      <x:c r="K1866" s="289" t="n">
        <x:v>173063</x:v>
      </x:c>
    </x:row>
    <x:row r="1867" s="117" customFormat="1" hidden="1">
      <x:c r="A1867" s="184" t="inlineStr">
        <x:is>
          <x:t xml:space="preserve">PDTFRP001081</x:t>
        </x:is>
      </x:c>
      <x:c r="B1867" s="184" t="inlineStr">
        <x:is>
          <x:t xml:space="preserve">BRIDA 2 PLG CLASE 150 PSI AC.INOX S316 COD.4184709</x:t>
        </x:is>
      </x:c>
      <x:c r="C1867" s="184" t="n">
        <x:v>0</x:v>
      </x:c>
      <x:c r="D1867" s="184" t="n">
        <x:v>0</x:v>
      </x:c>
      <x:c r="E1867" s="184" t="n">
        <x:v>0</x:v>
      </x:c>
      <x:c r="F1867" s="184" t="n">
        <x:v>0</x:v>
      </x:c>
      <x:c r="G1867" s="184" t="n">
        <x:v>0</x:v>
      </x:c>
      <x:c r="H1867" s="193" t="n">
        <x:v>0</x:v>
      </x:c>
      <x:c r="I1867" s="185" t="n">
        <x:v>0</x:v>
      </x:c>
      <x:c r="J1867" s="185" t="n">
        <x:v>0</x:v>
      </x:c>
      <x:c r="K1867" s="289" t="n">
        <x:v>0</x:v>
      </x:c>
    </x:row>
    <x:row r="1868" s="117" customFormat="1" hidden="1">
      <x:c r="A1868" s="184" t="inlineStr">
        <x:is>
          <x:t xml:space="preserve">PDTFRP001082</x:t>
        </x:is>
      </x:c>
      <x:c r="B1868" s="184" t="inlineStr">
        <x:is>
          <x:t xml:space="preserve">BOQUILLA 5 PLG CLASE 150 PSI FRP CON EXTREMOS PARA VENDAR  COD.4184712</x:t>
        </x:is>
      </x:c>
      <x:c r="C1868" s="184" t="n">
        <x:v>0</x:v>
      </x:c>
      <x:c r="D1868" s="184" t="n">
        <x:v>0</x:v>
      </x:c>
      <x:c r="E1868" s="184" t="n">
        <x:v>0</x:v>
      </x:c>
      <x:c r="F1868" s="184" t="n">
        <x:v>0</x:v>
      </x:c>
      <x:c r="G1868" s="184" t="n">
        <x:v>0</x:v>
      </x:c>
      <x:c r="H1868" s="193" t="n">
        <x:v>0</x:v>
      </x:c>
      <x:c r="I1868" s="185" t="n">
        <x:v>0</x:v>
      </x:c>
      <x:c r="J1868" s="185" t="n">
        <x:v>0</x:v>
      </x:c>
      <x:c r="K1868" s="289" t="n">
        <x:v>38080</x:v>
      </x:c>
    </x:row>
    <x:row r="1869" s="117" customFormat="1" hidden="1">
      <x:c r="A1869" s="184" t="inlineStr">
        <x:is>
          <x:t xml:space="preserve">PDTFRP001083</x:t>
        </x:is>
      </x:c>
      <x:c r="B1869" s="184" t="inlineStr">
        <x:is>
          <x:t xml:space="preserve">FLANGE DIAMETRO 8 PLG ACERO INOX. 316 COD.4169644</x:t>
        </x:is>
      </x:c>
      <x:c r="C1869" s="184" t="n">
        <x:v>0</x:v>
      </x:c>
      <x:c r="D1869" s="184" t="n">
        <x:v>0</x:v>
      </x:c>
      <x:c r="E1869" s="184" t="n">
        <x:v>0</x:v>
      </x:c>
      <x:c r="F1869" s="184" t="n">
        <x:v>0</x:v>
      </x:c>
      <x:c r="G1869" s="184" t="n">
        <x:v>0</x:v>
      </x:c>
      <x:c r="H1869" s="193" t="n">
        <x:v>0</x:v>
      </x:c>
      <x:c r="I1869" s="185" t="n">
        <x:v>0</x:v>
      </x:c>
      <x:c r="J1869" s="185" t="n">
        <x:v>0</x:v>
      </x:c>
      <x:c r="K1869" s="289" t="n">
        <x:v>73543</x:v>
      </x:c>
    </x:row>
    <x:row r="1870" s="117" customFormat="1" hidden="1">
      <x:c r="A1870" s="184" t="inlineStr">
        <x:is>
          <x:t xml:space="preserve">PDTFRP001084</x:t>
        </x:is>
      </x:c>
      <x:c r="B1870" s="184" t="inlineStr">
        <x:is>
          <x:t xml:space="preserve">TERMINAL BRIDA 5 PLG FRP RESINA VINILESTER C/FLANGE AC.304S CLASE 150 COD.4187475</x:t>
        </x:is>
      </x:c>
      <x:c r="C1870" s="184" t="n">
        <x:v>0</x:v>
      </x:c>
      <x:c r="D1870" s="184" t="n">
        <x:v>0</x:v>
      </x:c>
      <x:c r="E1870" s="184" t="n">
        <x:v>0</x:v>
      </x:c>
      <x:c r="F1870" s="184" t="n">
        <x:v>0</x:v>
      </x:c>
      <x:c r="G1870" s="184" t="n">
        <x:v>0</x:v>
      </x:c>
      <x:c r="H1870" s="193" t="n">
        <x:v>0</x:v>
      </x:c>
      <x:c r="I1870" s="185" t="n">
        <x:v>0</x:v>
      </x:c>
      <x:c r="J1870" s="185" t="n">
        <x:v>0</x:v>
      </x:c>
      <x:c r="K1870" s="289" t="n">
        <x:v>213611.5</x:v>
      </x:c>
    </x:row>
    <x:row r="1871" s="117" customFormat="1" hidden="1">
      <x:c r="A1871" s="184" t="inlineStr">
        <x:is>
          <x:t xml:space="preserve">PDTFRP001085</x:t>
        </x:is>
      </x:c>
      <x:c r="B1871" s="184" t="inlineStr">
        <x:is>
          <x:t xml:space="preserve">BRICA DE 2 PLG CLASE 150 PSI AC INOX S304 COD.4184707</x:t>
        </x:is>
      </x:c>
      <x:c r="C1871" s="184" t="n">
        <x:v>0</x:v>
      </x:c>
      <x:c r="D1871" s="184" t="n">
        <x:v>0</x:v>
      </x:c>
      <x:c r="E1871" s="184" t="n">
        <x:v>0</x:v>
      </x:c>
      <x:c r="F1871" s="184" t="n">
        <x:v>0</x:v>
      </x:c>
      <x:c r="G1871" s="184" t="n">
        <x:v>0</x:v>
      </x:c>
      <x:c r="H1871" s="193" t="n">
        <x:v>0</x:v>
      </x:c>
      <x:c r="I1871" s="185" t="n">
        <x:v>0</x:v>
      </x:c>
      <x:c r="J1871" s="185" t="n">
        <x:v>0</x:v>
      </x:c>
      <x:c r="K1871" s="289" t="n">
        <x:v>26846</x:v>
      </x:c>
    </x:row>
    <x:row r="1872" s="117" customFormat="1" hidden="1">
      <x:c r="A1872" s="184" t="inlineStr">
        <x:is>
          <x:t xml:space="preserve">PDTFRP001086</x:t>
        </x:is>
      </x:c>
      <x:c r="B1872" s="184" t="inlineStr">
        <x:is>
          <x:t xml:space="preserve">TEE 2 PLG FRP 150 PSI DIN 16965 C/EXTREMOS PARA VENDAR RESINA VINILESTER CODIGO 4184713</x:t>
        </x:is>
      </x:c>
      <x:c r="C1872" s="184" t="n">
        <x:v>0</x:v>
      </x:c>
      <x:c r="D1872" s="184" t="n">
        <x:v>0</x:v>
      </x:c>
      <x:c r="E1872" s="184" t="n">
        <x:v>0</x:v>
      </x:c>
      <x:c r="F1872" s="184" t="n">
        <x:v>0</x:v>
      </x:c>
      <x:c r="G1872" s="184" t="n">
        <x:v>0</x:v>
      </x:c>
      <x:c r="H1872" s="193" t="n">
        <x:v>0</x:v>
      </x:c>
      <x:c r="I1872" s="185" t="n">
        <x:v>0</x:v>
      </x:c>
      <x:c r="J1872" s="185" t="n">
        <x:v>0</x:v>
      </x:c>
      <x:c r="K1872" s="289" t="n">
        <x:v>47185</x:v>
      </x:c>
    </x:row>
    <x:row r="1873" s="117" customFormat="1" hidden="1">
      <x:c r="A1873" s="184" t="inlineStr">
        <x:is>
          <x:t xml:space="preserve">PDTFRP001087</x:t>
        </x:is>
      </x:c>
      <x:c r="B1873" s="184" t="inlineStr">
        <x:is>
          <x:t xml:space="preserve">TEE 5 PLG FRP 150 PSI DIN 16965 C/EXTREMOS PARA VENDAR RESINA VINILESTER CODIGO 4184714</x:t>
        </x:is>
      </x:c>
      <x:c r="C1873" s="184" t="n">
        <x:v>0</x:v>
      </x:c>
      <x:c r="D1873" s="184" t="n">
        <x:v>0</x:v>
      </x:c>
      <x:c r="E1873" s="184" t="n">
        <x:v>0</x:v>
      </x:c>
      <x:c r="F1873" s="184" t="n">
        <x:v>0</x:v>
      </x:c>
      <x:c r="G1873" s="184" t="n">
        <x:v>0</x:v>
      </x:c>
      <x:c r="H1873" s="193" t="n">
        <x:v>0</x:v>
      </x:c>
      <x:c r="I1873" s="185" t="n">
        <x:v>0</x:v>
      </x:c>
      <x:c r="J1873" s="185" t="n">
        <x:v>0</x:v>
      </x:c>
      <x:c r="K1873" s="289" t="n">
        <x:v>31903</x:v>
      </x:c>
    </x:row>
    <x:row r="1874" s="117" customFormat="1" hidden="1">
      <x:c r="A1874" s="184" t="inlineStr">
        <x:is>
          <x:t xml:space="preserve">PDTFRP001088</x:t>
        </x:is>
      </x:c>
      <x:c r="B1874" s="184" t="inlineStr">
        <x:is>
          <x:t xml:space="preserve">4157056 CONJUNTO TEE 10 PLG 100104RA00 DOBLE LAMINA FRP-PP C/FLANGES AC/PP MAS STUB END</x:t>
        </x:is>
      </x:c>
      <x:c r="C1874" s="184" t="n">
        <x:v>0</x:v>
      </x:c>
      <x:c r="D1874" s="184" t="n">
        <x:v>0</x:v>
      </x:c>
      <x:c r="E1874" s="184" t="n">
        <x:v>0</x:v>
      </x:c>
      <x:c r="F1874" s="184" t="n">
        <x:v>0</x:v>
      </x:c>
      <x:c r="G1874" s="184" t="n">
        <x:v>0</x:v>
      </x:c>
      <x:c r="H1874" s="193" t="n">
        <x:v>0</x:v>
      </x:c>
      <x:c r="I1874" s="185" t="n">
        <x:v>0</x:v>
      </x:c>
      <x:c r="J1874" s="185" t="n">
        <x:v>0</x:v>
      </x:c>
      <x:c r="K1874" s="289" t="n">
        <x:v>678714</x:v>
      </x:c>
    </x:row>
    <x:row r="1875" s="117" customFormat="1" hidden="1">
      <x:c r="A1875" s="184" t="inlineStr">
        <x:is>
          <x:t xml:space="preserve">PDTFRP001089</x:t>
        </x:is>
      </x:c>
      <x:c r="B1875" s="184" t="inlineStr">
        <x:is>
          <x:t xml:space="preserve">DUCTO DE DOBLELAMINA DIAMETRO 12 PLG FRP-PP VINILESTER TIRA 5 MTS COD.15119201</x:t>
        </x:is>
      </x:c>
      <x:c r="C1875" s="184" t="n">
        <x:v>0</x:v>
      </x:c>
      <x:c r="D1875" s="184" t="n">
        <x:v>0</x:v>
      </x:c>
      <x:c r="E1875" s="184" t="n">
        <x:v>0</x:v>
      </x:c>
      <x:c r="F1875" s="184" t="n">
        <x:v>0</x:v>
      </x:c>
      <x:c r="G1875" s="184" t="n">
        <x:v>0</x:v>
      </x:c>
      <x:c r="H1875" s="193" t="n">
        <x:v>0</x:v>
      </x:c>
      <x:c r="I1875" s="185" t="n">
        <x:v>0</x:v>
      </x:c>
      <x:c r="J1875" s="185" t="n">
        <x:v>0</x:v>
      </x:c>
      <x:c r="K1875" s="289" t="n">
        <x:v>885810</x:v>
      </x:c>
    </x:row>
    <x:row r="1876" s="117" customFormat="1" hidden="1">
      <x:c r="A1876" s="184" t="inlineStr">
        <x:is>
          <x:t xml:space="preserve">PDTFRP001090</x:t>
        </x:is>
      </x:c>
      <x:c r="B1876" s="184" t="inlineStr">
        <x:is>
          <x:t xml:space="preserve">ESPARRAGO (STUB END) DOBLE LAMINA DIAMETRO 14 PLG MATERIAL PP-FRP (1519206)</x:t>
        </x:is>
      </x:c>
      <x:c r="C1876" s="184" t="n">
        <x:v>0</x:v>
      </x:c>
      <x:c r="D1876" s="184" t="n">
        <x:v>0</x:v>
      </x:c>
      <x:c r="E1876" s="184" t="n">
        <x:v>0</x:v>
      </x:c>
      <x:c r="F1876" s="184" t="n">
        <x:v>0</x:v>
      </x:c>
      <x:c r="G1876" s="184" t="n">
        <x:v>0</x:v>
      </x:c>
      <x:c r="H1876" s="193" t="n">
        <x:v>0</x:v>
      </x:c>
      <x:c r="I1876" s="185" t="n">
        <x:v>0</x:v>
      </x:c>
      <x:c r="J1876" s="185" t="n">
        <x:v>0</x:v>
      </x:c>
      <x:c r="K1876" s="289" t="n">
        <x:v>56028</x:v>
      </x:c>
    </x:row>
    <x:row r="1877" s="117" customFormat="1" hidden="1">
      <x:c r="A1877" s="184" t="inlineStr">
        <x:is>
          <x:t xml:space="preserve">PDTFRP001091</x:t>
        </x:is>
      </x:c>
      <x:c r="B1877" s="184" t="inlineStr">
        <x:is>
          <x:t xml:space="preserve">CODO 90° DE DOBLE LAMINA DIAM.4 PLG FRP-PP VINILESTER CODIGO 1519215</x:t>
        </x:is>
      </x:c>
      <x:c r="C1877" s="184" t="n">
        <x:v>0</x:v>
      </x:c>
      <x:c r="D1877" s="184" t="n">
        <x:v>0</x:v>
      </x:c>
      <x:c r="E1877" s="184" t="n">
        <x:v>0</x:v>
      </x:c>
      <x:c r="F1877" s="184" t="n">
        <x:v>0</x:v>
      </x:c>
      <x:c r="G1877" s="184" t="n">
        <x:v>0</x:v>
      </x:c>
      <x:c r="H1877" s="193" t="n">
        <x:v>0</x:v>
      </x:c>
      <x:c r="I1877" s="185" t="n">
        <x:v>0</x:v>
      </x:c>
      <x:c r="J1877" s="185" t="n">
        <x:v>0</x:v>
      </x:c>
      <x:c r="K1877" s="289" t="n">
        <x:v>75882</x:v>
      </x:c>
    </x:row>
    <x:row r="1878" s="117" customFormat="1" hidden="1">
      <x:c r="A1878" s="184" t="inlineStr">
        <x:is>
          <x:t xml:space="preserve">PDTFRP001092</x:t>
        </x:is>
      </x:c>
      <x:c r="B1878" s="184" t="inlineStr">
        <x:is>
          <x:t xml:space="preserve">CODO 45° DOBLE LAMINA DIAM. 4 PLG FRP-PP VINILESTER CODIGO 1519224</x:t>
        </x:is>
      </x:c>
      <x:c r="C1878" s="184" t="n">
        <x:v>0</x:v>
      </x:c>
      <x:c r="D1878" s="184" t="n">
        <x:v>0</x:v>
      </x:c>
      <x:c r="E1878" s="184" t="n">
        <x:v>0</x:v>
      </x:c>
      <x:c r="F1878" s="184" t="n">
        <x:v>0</x:v>
      </x:c>
      <x:c r="G1878" s="184" t="n">
        <x:v>0</x:v>
      </x:c>
      <x:c r="H1878" s="193" t="n">
        <x:v>0</x:v>
      </x:c>
      <x:c r="I1878" s="185" t="n">
        <x:v>0</x:v>
      </x:c>
      <x:c r="J1878" s="185" t="n">
        <x:v>0</x:v>
      </x:c>
      <x:c r="K1878" s="289" t="n">
        <x:v>55118</x:v>
      </x:c>
    </x:row>
    <x:row r="1879" s="117" customFormat="1" hidden="1">
      <x:c r="A1879" s="184" t="inlineStr">
        <x:is>
          <x:t xml:space="preserve">PDTFRP001093</x:t>
        </x:is>
      </x:c>
      <x:c r="B1879" s="184" t="inlineStr">
        <x:is>
          <x:t xml:space="preserve">CODO 45° DOBLE LAMINA DIAM. 6 PLG FRP-PP VINILESTER CODIGO 1519225</x:t>
        </x:is>
      </x:c>
      <x:c r="C1879" s="184" t="n">
        <x:v>0</x:v>
      </x:c>
      <x:c r="D1879" s="184" t="n">
        <x:v>0</x:v>
      </x:c>
      <x:c r="E1879" s="184" t="n">
        <x:v>0</x:v>
      </x:c>
      <x:c r="F1879" s="184" t="n">
        <x:v>0</x:v>
      </x:c>
      <x:c r="G1879" s="184" t="n">
        <x:v>0</x:v>
      </x:c>
      <x:c r="H1879" s="193" t="n">
        <x:v>0</x:v>
      </x:c>
      <x:c r="I1879" s="185" t="n">
        <x:v>0</x:v>
      </x:c>
      <x:c r="J1879" s="185" t="n">
        <x:v>0</x:v>
      </x:c>
      <x:c r="K1879" s="289" t="n">
        <x:v>57570</x:v>
      </x:c>
    </x:row>
    <x:row r="1880" s="117" customFormat="1" hidden="1">
      <x:c r="A1880" s="184" t="inlineStr">
        <x:is>
          <x:t xml:space="preserve">PDTFRP001094</x:t>
        </x:is>
      </x:c>
      <x:c r="B1880" s="184" t="inlineStr">
        <x:is>
          <x:t xml:space="preserve">CODO 45° DOBLE LAMINA DIAM. 8 PLG FRP-PP VINILESTER CODIGO 1519226</x:t>
        </x:is>
      </x:c>
      <x:c r="C1880" s="184" t="n">
        <x:v>0</x:v>
      </x:c>
      <x:c r="D1880" s="184" t="n">
        <x:v>0</x:v>
      </x:c>
      <x:c r="E1880" s="184" t="n">
        <x:v>0</x:v>
      </x:c>
      <x:c r="F1880" s="184" t="n">
        <x:v>0</x:v>
      </x:c>
      <x:c r="G1880" s="184" t="n">
        <x:v>0</x:v>
      </x:c>
      <x:c r="H1880" s="193" t="n">
        <x:v>0</x:v>
      </x:c>
      <x:c r="I1880" s="185" t="n">
        <x:v>0</x:v>
      </x:c>
      <x:c r="J1880" s="185" t="n">
        <x:v>0</x:v>
      </x:c>
      <x:c r="K1880" s="289" t="n">
        <x:v>72552</x:v>
      </x:c>
    </x:row>
    <x:row r="1881" s="117" customFormat="1" hidden="1">
      <x:c r="A1881" s="184" t="inlineStr">
        <x:is>
          <x:t xml:space="preserve">PDTFRP001095</x:t>
        </x:is>
      </x:c>
      <x:c r="B1881" s="184" t="inlineStr">
        <x:is>
          <x:t xml:space="preserve">CODO 45° DOBLE LAMINA DIAM. 10 PLG FRP-PP VINILESTER CODIGO 1519227</x:t>
        </x:is>
      </x:c>
      <x:c r="C1881" s="184" t="n">
        <x:v>0</x:v>
      </x:c>
      <x:c r="D1881" s="184" t="n">
        <x:v>0</x:v>
      </x:c>
      <x:c r="E1881" s="184" t="n">
        <x:v>0</x:v>
      </x:c>
      <x:c r="F1881" s="184" t="n">
        <x:v>0</x:v>
      </x:c>
      <x:c r="G1881" s="184" t="n">
        <x:v>0</x:v>
      </x:c>
      <x:c r="H1881" s="193" t="n">
        <x:v>0</x:v>
      </x:c>
      <x:c r="I1881" s="185" t="n">
        <x:v>0</x:v>
      </x:c>
      <x:c r="J1881" s="185" t="n">
        <x:v>0</x:v>
      </x:c>
      <x:c r="K1881" s="289" t="n">
        <x:v>99960</x:v>
      </x:c>
    </x:row>
    <x:row r="1882" s="117" customFormat="1" hidden="1">
      <x:c r="A1882" s="184" t="inlineStr">
        <x:is>
          <x:t xml:space="preserve">PDTFRP001096</x:t>
        </x:is>
      </x:c>
      <x:c r="B1882" s="184" t="inlineStr">
        <x:is>
          <x:t xml:space="preserve">CODO 45° DOBLE LAMINA DIAM. 12 PLG FRP-PP VINILESTER CODIGO 1519228</x:t>
        </x:is>
      </x:c>
      <x:c r="C1882" s="184" t="n">
        <x:v>0</x:v>
      </x:c>
      <x:c r="D1882" s="184" t="n">
        <x:v>0</x:v>
      </x:c>
      <x:c r="E1882" s="184" t="n">
        <x:v>0</x:v>
      </x:c>
      <x:c r="F1882" s="184" t="n">
        <x:v>0</x:v>
      </x:c>
      <x:c r="G1882" s="184" t="n">
        <x:v>0</x:v>
      </x:c>
      <x:c r="H1882" s="193" t="n">
        <x:v>0</x:v>
      </x:c>
      <x:c r="I1882" s="185" t="n">
        <x:v>0</x:v>
      </x:c>
      <x:c r="J1882" s="185" t="n">
        <x:v>0</x:v>
      </x:c>
      <x:c r="K1882" s="289" t="n">
        <x:v>153006</x:v>
      </x:c>
    </x:row>
    <x:row r="1883" s="117" customFormat="1" hidden="1">
      <x:c r="A1883" s="184" t="inlineStr">
        <x:is>
          <x:t xml:space="preserve">PDTFRP001097</x:t>
        </x:is>
      </x:c>
      <x:c r="B1883" s="184" t="inlineStr">
        <x:is>
          <x:t xml:space="preserve">CODO DE 45° EN FRP CLASE 150 PSI DIN 16965 CODIGO 4184725</x:t>
        </x:is>
      </x:c>
      <x:c r="C1883" s="184" t="n">
        <x:v>0</x:v>
      </x:c>
      <x:c r="D1883" s="184" t="n">
        <x:v>0</x:v>
      </x:c>
      <x:c r="E1883" s="184" t="n">
        <x:v>0</x:v>
      </x:c>
      <x:c r="F1883" s="184" t="n">
        <x:v>0</x:v>
      </x:c>
      <x:c r="G1883" s="184" t="n">
        <x:v>0</x:v>
      </x:c>
      <x:c r="H1883" s="193" t="n">
        <x:v>0</x:v>
      </x:c>
      <x:c r="I1883" s="185" t="n">
        <x:v>0</x:v>
      </x:c>
      <x:c r="J1883" s="185" t="n">
        <x:v>0</x:v>
      </x:c>
      <x:c r="K1883" s="289" t="n">
        <x:v>20613</x:v>
      </x:c>
    </x:row>
    <x:row r="1884" s="117" customFormat="1" hidden="1">
      <x:c r="A1884" s="184" t="inlineStr">
        <x:is>
          <x:t xml:space="preserve">PDTFRP001098</x:t>
        </x:is>
      </x:c>
      <x:c r="B1884" s="184" t="inlineStr">
        <x:is>
          <x:t xml:space="preserve">DUCTO INVENIO PPTPPFTUB006 DUAL LAMINATE 6 PLG ANSI 16965 PARA 150 PSI TIRAS 5 MTS CODIGO 1518958</x:t>
        </x:is>
      </x:c>
      <x:c r="C1884" s="184" t="n">
        <x:v>0</x:v>
      </x:c>
      <x:c r="D1884" s="184" t="n">
        <x:v>0</x:v>
      </x:c>
      <x:c r="E1884" s="184" t="n">
        <x:v>0</x:v>
      </x:c>
      <x:c r="F1884" s="184" t="n">
        <x:v>0</x:v>
      </x:c>
      <x:c r="G1884" s="184" t="n">
        <x:v>0</x:v>
      </x:c>
      <x:c r="H1884" s="193" t="n">
        <x:v>0</x:v>
      </x:c>
      <x:c r="I1884" s="185" t="n">
        <x:v>0</x:v>
      </x:c>
      <x:c r="J1884" s="185" t="n">
        <x:v>0</x:v>
      </x:c>
      <x:c r="K1884" s="289" t="n">
        <x:v>355596</x:v>
      </x:c>
    </x:row>
    <x:row r="1885" s="117" customFormat="1" hidden="1">
      <x:c r="A1885" s="184" t="inlineStr">
        <x:is>
          <x:t xml:space="preserve">PDTFRP001099</x:t>
        </x:is>
      </x:c>
      <x:c r="B1885" s="184" t="inlineStr">
        <x:is>
          <x:t xml:space="preserve">DUCTO DOBLE LAMINA DIAMETRO 2 PLG MATERIAL FRP-PP TIRA 5 MTS CODIGO 1518955</x:t>
        </x:is>
      </x:c>
      <x:c r="C1885" s="184" t="n">
        <x:v>0</x:v>
      </x:c>
      <x:c r="D1885" s="184" t="n">
        <x:v>0</x:v>
      </x:c>
      <x:c r="E1885" s="184" t="n">
        <x:v>0</x:v>
      </x:c>
      <x:c r="F1885" s="184" t="n">
        <x:v>0</x:v>
      </x:c>
      <x:c r="G1885" s="184" t="n">
        <x:v>0</x:v>
      </x:c>
      <x:c r="H1885" s="193" t="n">
        <x:v>0</x:v>
      </x:c>
      <x:c r="I1885" s="185" t="n">
        <x:v>0</x:v>
      </x:c>
      <x:c r="J1885" s="185" t="n">
        <x:v>0</x:v>
      </x:c>
      <x:c r="K1885" s="289" t="n">
        <x:v>160060</x:v>
      </x:c>
    </x:row>
    <x:row r="1886" s="117" customFormat="1" hidden="1">
      <x:c r="A1886" s="184" t="inlineStr">
        <x:is>
          <x:t xml:space="preserve">PDTFRP001100</x:t>
        </x:is>
      </x:c>
      <x:c r="B1886" s="184" t="inlineStr">
        <x:is>
          <x:t xml:space="preserve">DUCTO DOBLE LAMINA DIAMETRO 3 PLG MATERIAL FRP-PP VINILESTER TIRA 5 MTS CODIGO 1518956</x:t>
        </x:is>
      </x:c>
      <x:c r="C1886" s="184" t="n">
        <x:v>0</x:v>
      </x:c>
      <x:c r="D1886" s="184" t="n">
        <x:v>0</x:v>
      </x:c>
      <x:c r="E1886" s="184" t="n">
        <x:v>0</x:v>
      </x:c>
      <x:c r="F1886" s="184" t="n">
        <x:v>0</x:v>
      </x:c>
      <x:c r="G1886" s="184" t="n">
        <x:v>0</x:v>
      </x:c>
      <x:c r="H1886" s="193" t="n">
        <x:v>0</x:v>
      </x:c>
      <x:c r="I1886" s="185" t="n">
        <x:v>0</x:v>
      </x:c>
      <x:c r="J1886" s="185" t="n">
        <x:v>0</x:v>
      </x:c>
      <x:c r="K1886" s="289" t="n">
        <x:v>193095</x:v>
      </x:c>
    </x:row>
    <x:row r="1887" s="117" customFormat="1" hidden="1">
      <x:c r="A1887" s="184" t="inlineStr">
        <x:is>
          <x:t xml:space="preserve">PDTFRP001101</x:t>
        </x:is>
      </x:c>
      <x:c r="B1887" s="184" t="inlineStr">
        <x:is>
          <x:t xml:space="preserve">DUCTO DOBLE LAMINA DIAMETRO 4 PLG MATERIAL FRP-PP VINILESTER TIRA 5 MTS CODIGO 1518957</x:t>
        </x:is>
      </x:c>
      <x:c r="C1887" s="184" t="n">
        <x:v>0</x:v>
      </x:c>
      <x:c r="D1887" s="184" t="n">
        <x:v>0</x:v>
      </x:c>
      <x:c r="E1887" s="184" t="n">
        <x:v>0</x:v>
      </x:c>
      <x:c r="F1887" s="184" t="n">
        <x:v>0</x:v>
      </x:c>
      <x:c r="G1887" s="184" t="n">
        <x:v>0</x:v>
      </x:c>
      <x:c r="H1887" s="193" t="n">
        <x:v>0</x:v>
      </x:c>
      <x:c r="I1887" s="185" t="n">
        <x:v>0</x:v>
      </x:c>
      <x:c r="J1887" s="185" t="n">
        <x:v>0</x:v>
      </x:c>
      <x:c r="K1887" s="289" t="n">
        <x:v>206570</x:v>
      </x:c>
    </x:row>
    <x:row r="1888" s="117" customFormat="1" hidden="1">
      <x:c r="A1888" s="184" t="inlineStr">
        <x:is>
          <x:t xml:space="preserve">PDTFRP001102</x:t>
        </x:is>
      </x:c>
      <x:c r="B1888" s="184" t="inlineStr">
        <x:is>
          <x:t xml:space="preserve">DUCTO DOBLE LAMINA DIAMETRO 10 PLG MATERIAL FRP-PP VINILESTER TIRA 5 MTS CODIGO 1518960</x:t>
        </x:is>
      </x:c>
      <x:c r="C1888" s="184" t="n">
        <x:v>0</x:v>
      </x:c>
      <x:c r="D1888" s="184" t="n">
        <x:v>0</x:v>
      </x:c>
      <x:c r="E1888" s="184" t="n">
        <x:v>0</x:v>
      </x:c>
      <x:c r="F1888" s="184" t="n">
        <x:v>0</x:v>
      </x:c>
      <x:c r="G1888" s="184" t="n">
        <x:v>0</x:v>
      </x:c>
      <x:c r="H1888" s="193" t="n">
        <x:v>0</x:v>
      </x:c>
      <x:c r="I1888" s="185" t="n">
        <x:v>0</x:v>
      </x:c>
      <x:c r="J1888" s="185" t="n">
        <x:v>0</x:v>
      </x:c>
      <x:c r="K1888" s="289" t="n">
        <x:v>574328</x:v>
      </x:c>
    </x:row>
    <x:row r="1889" s="117" customFormat="1" hidden="1">
      <x:c r="A1889" s="184" t="inlineStr">
        <x:is>
          <x:t xml:space="preserve">PDTFRP001103</x:t>
        </x:is>
      </x:c>
      <x:c r="B1889" s="184" t="inlineStr">
        <x:is>
          <x:t xml:space="preserve">ESPARRAGO (STUB END) DOBLE LAMINA DIAMETRO 2 PLG MATERIAL PP-FRP (1519204)</x:t>
        </x:is>
      </x:c>
      <x:c r="C1889" s="184" t="n">
        <x:v>0</x:v>
      </x:c>
      <x:c r="D1889" s="184" t="n">
        <x:v>0</x:v>
      </x:c>
      <x:c r="E1889" s="184" t="n">
        <x:v>0</x:v>
      </x:c>
      <x:c r="F1889" s="184" t="n">
        <x:v>0</x:v>
      </x:c>
      <x:c r="G1889" s="184" t="n">
        <x:v>0</x:v>
      </x:c>
      <x:c r="H1889" s="193" t="n">
        <x:v>0</x:v>
      </x:c>
      <x:c r="I1889" s="185" t="n">
        <x:v>0</x:v>
      </x:c>
      <x:c r="J1889" s="185" t="n">
        <x:v>0</x:v>
      </x:c>
      <x:c r="K1889" s="289" t="n">
        <x:v>48148</x:v>
      </x:c>
    </x:row>
    <x:row r="1890" s="117" customFormat="1" hidden="1">
      <x:c r="A1890" s="184" t="inlineStr">
        <x:is>
          <x:t xml:space="preserve">PDTFRP001104</x:t>
        </x:is>
      </x:c>
      <x:c r="B1890" s="184" t="inlineStr">
        <x:is>
          <x:t xml:space="preserve">ESPARRAGO (STUB END) DOBLE LAMINA DIAMETRO 6 PLG MATERIAL PP-FRP (1519207)</x:t>
        </x:is>
      </x:c>
      <x:c r="C1890" s="184" t="n">
        <x:v>0</x:v>
      </x:c>
      <x:c r="D1890" s="184" t="n">
        <x:v>0</x:v>
      </x:c>
      <x:c r="E1890" s="184" t="n">
        <x:v>0</x:v>
      </x:c>
      <x:c r="F1890" s="184" t="n">
        <x:v>0</x:v>
      </x:c>
      <x:c r="G1890" s="184" t="n">
        <x:v>0</x:v>
      </x:c>
      <x:c r="H1890" s="193" t="n">
        <x:v>0</x:v>
      </x:c>
      <x:c r="I1890" s="185" t="n">
        <x:v>0</x:v>
      </x:c>
      <x:c r="J1890" s="185" t="n">
        <x:v>0</x:v>
      </x:c>
      <x:c r="K1890" s="289" t="n">
        <x:v>67800</x:v>
      </x:c>
    </x:row>
    <x:row r="1891" s="117" customFormat="1" hidden="1">
      <x:c r="A1891" s="184" t="inlineStr">
        <x:is>
          <x:t xml:space="preserve">PDTFRP001105</x:t>
        </x:is>
      </x:c>
      <x:c r="B1891" s="184" t="inlineStr">
        <x:is>
          <x:t xml:space="preserve">ESPARRAGO (STUB END) DOBLE LAMINA DIAMETRO 10 PLG MATERIAL PP-FRP (1519209)</x:t>
        </x:is>
      </x:c>
      <x:c r="C1891" s="184" t="n">
        <x:v>0</x:v>
      </x:c>
      <x:c r="D1891" s="184" t="n">
        <x:v>0</x:v>
      </x:c>
      <x:c r="E1891" s="184" t="n">
        <x:v>0</x:v>
      </x:c>
      <x:c r="F1891" s="184" t="n">
        <x:v>0</x:v>
      </x:c>
      <x:c r="G1891" s="184" t="n">
        <x:v>0</x:v>
      </x:c>
      <x:c r="H1891" s="193" t="n">
        <x:v>0</x:v>
      </x:c>
      <x:c r="I1891" s="185" t="n">
        <x:v>0</x:v>
      </x:c>
      <x:c r="J1891" s="185" t="n">
        <x:v>0</x:v>
      </x:c>
      <x:c r="K1891" s="289" t="n">
        <x:v>95543</x:v>
      </x:c>
    </x:row>
    <x:row r="1892" s="117" customFormat="1" hidden="1">
      <x:c r="A1892" s="184" t="inlineStr">
        <x:is>
          <x:t xml:space="preserve">PDTFRP001106</x:t>
        </x:is>
      </x:c>
      <x:c r="B1892" s="184" t="inlineStr">
        <x:is>
          <x:t xml:space="preserve">ESPARRAGO (STUB END) DOBLE LAMINA DIAMETRO 12 PLG MATERIAL PP-FRP (1519210)</x:t>
        </x:is>
      </x:c>
      <x:c r="C1892" s="184" t="n">
        <x:v>0</x:v>
      </x:c>
      <x:c r="D1892" s="184" t="n">
        <x:v>0</x:v>
      </x:c>
      <x:c r="E1892" s="184" t="n">
        <x:v>0</x:v>
      </x:c>
      <x:c r="F1892" s="184" t="n">
        <x:v>0</x:v>
      </x:c>
      <x:c r="G1892" s="184" t="n">
        <x:v>0</x:v>
      </x:c>
      <x:c r="H1892" s="193" t="n">
        <x:v>0</x:v>
      </x:c>
      <x:c r="I1892" s="185" t="n">
        <x:v>0</x:v>
      </x:c>
      <x:c r="J1892" s="185" t="n">
        <x:v>0</x:v>
      </x:c>
      <x:c r="K1892" s="289" t="n">
        <x:v>123160</x:v>
      </x:c>
    </x:row>
    <x:row r="1893" s="117" customFormat="1" hidden="1">
      <x:c r="A1893" s="184" t="inlineStr">
        <x:is>
          <x:t xml:space="preserve">PDTFRP001107</x:t>
        </x:is>
      </x:c>
      <x:c r="B1893" s="184" t="inlineStr">
        <x:is>
          <x:t xml:space="preserve">CODO 90° DOBLE LAMINA DIAM 3 PLG MATERIAL FRP-PP VINILESTER CODIGO 1519214</x:t>
        </x:is>
      </x:c>
      <x:c r="C1893" s="184" t="n">
        <x:v>0</x:v>
      </x:c>
      <x:c r="D1893" s="184" t="n">
        <x:v>0</x:v>
      </x:c>
      <x:c r="E1893" s="184" t="n">
        <x:v>0</x:v>
      </x:c>
      <x:c r="F1893" s="184" t="n">
        <x:v>0</x:v>
      </x:c>
      <x:c r="G1893" s="184" t="n">
        <x:v>0</x:v>
      </x:c>
      <x:c r="H1893" s="193" t="n">
        <x:v>0</x:v>
      </x:c>
      <x:c r="I1893" s="185" t="n">
        <x:v>0</x:v>
      </x:c>
      <x:c r="J1893" s="185" t="n">
        <x:v>0</x:v>
      </x:c>
      <x:c r="K1893" s="289" t="n">
        <x:v>36017</x:v>
      </x:c>
    </x:row>
    <x:row r="1894" s="117" customFormat="1" hidden="1">
      <x:c r="A1894" s="184" t="inlineStr">
        <x:is>
          <x:t xml:space="preserve">PDTFRP001108</x:t>
        </x:is>
      </x:c>
      <x:c r="B1894" s="184" t="inlineStr">
        <x:is>
          <x:t xml:space="preserve">CODO 90° DOBLE LAMINA DIAM 6 PLG MATERIAL FRP-PP VINILESTER CODIGO 1519216</x:t>
        </x:is>
      </x:c>
      <x:c r="C1894" s="184" t="n">
        <x:v>0</x:v>
      </x:c>
      <x:c r="D1894" s="184" t="n">
        <x:v>0</x:v>
      </x:c>
      <x:c r="E1894" s="184" t="n">
        <x:v>0</x:v>
      </x:c>
      <x:c r="F1894" s="184" t="n">
        <x:v>0</x:v>
      </x:c>
      <x:c r="G1894" s="184" t="n">
        <x:v>0</x:v>
      </x:c>
      <x:c r="H1894" s="193" t="n">
        <x:v>0</x:v>
      </x:c>
      <x:c r="I1894" s="185" t="n">
        <x:v>0</x:v>
      </x:c>
      <x:c r="J1894" s="185" t="n">
        <x:v>0</x:v>
      </x:c>
      <x:c r="K1894" s="289" t="n">
        <x:v>53608</x:v>
      </x:c>
    </x:row>
    <x:row r="1895" s="117" customFormat="1" hidden="1">
      <x:c r="A1895" s="184" t="inlineStr">
        <x:is>
          <x:t xml:space="preserve">PDTFRP001109</x:t>
        </x:is>
      </x:c>
      <x:c r="B1895" s="184" t="inlineStr">
        <x:is>
          <x:t xml:space="preserve">CODO 90° DOBLE LAMINA DIAM 8 PLG MATERIAL FRP-PP VINILESTER CODIGO 1519217</x:t>
        </x:is>
      </x:c>
      <x:c r="C1895" s="184" t="n">
        <x:v>0</x:v>
      </x:c>
      <x:c r="D1895" s="184" t="n">
        <x:v>0</x:v>
      </x:c>
      <x:c r="E1895" s="184" t="n">
        <x:v>0</x:v>
      </x:c>
      <x:c r="F1895" s="184" t="n">
        <x:v>0</x:v>
      </x:c>
      <x:c r="G1895" s="184" t="n">
        <x:v>0</x:v>
      </x:c>
      <x:c r="H1895" s="193" t="n">
        <x:v>0</x:v>
      </x:c>
      <x:c r="I1895" s="185" t="n">
        <x:v>0</x:v>
      </x:c>
      <x:c r="J1895" s="185" t="n">
        <x:v>0</x:v>
      </x:c>
      <x:c r="K1895" s="289" t="n">
        <x:v>72731</x:v>
      </x:c>
    </x:row>
    <x:row r="1896" s="117" customFormat="1" hidden="1">
      <x:c r="A1896" s="184" t="inlineStr">
        <x:is>
          <x:t xml:space="preserve">PDTFRP001110</x:t>
        </x:is>
      </x:c>
      <x:c r="B1896" s="184" t="inlineStr">
        <x:is>
          <x:t xml:space="preserve">CODO 90° DOBLE LAMINA DIAM 10 PLG MATERIAL FRP-PP VINILESTER CODIGO 1519218</x:t>
        </x:is>
      </x:c>
      <x:c r="C1896" s="184" t="n">
        <x:v>0</x:v>
      </x:c>
      <x:c r="D1896" s="184" t="n">
        <x:v>0</x:v>
      </x:c>
      <x:c r="E1896" s="184" t="n">
        <x:v>0</x:v>
      </x:c>
      <x:c r="F1896" s="184" t="n">
        <x:v>0</x:v>
      </x:c>
      <x:c r="G1896" s="184" t="n">
        <x:v>0</x:v>
      </x:c>
      <x:c r="H1896" s="193" t="n">
        <x:v>0</x:v>
      </x:c>
      <x:c r="I1896" s="185" t="n">
        <x:v>0</x:v>
      </x:c>
      <x:c r="J1896" s="185" t="n">
        <x:v>0</x:v>
      </x:c>
      <x:c r="K1896" s="289" t="n">
        <x:v>100211</x:v>
      </x:c>
    </x:row>
    <x:row r="1897" s="117" customFormat="1" hidden="1">
      <x:c r="A1897" s="184" t="inlineStr">
        <x:is>
          <x:t xml:space="preserve">PDTFRP001111</x:t>
        </x:is>
      </x:c>
      <x:c r="B1897" s="184" t="inlineStr">
        <x:is>
          <x:t xml:space="preserve">CODO 45° DOBLE LAMINA DIAM. 2 PLG FRP-PP VINILESTER CODIGO 1519222</x:t>
        </x:is>
      </x:c>
      <x:c r="C1897" s="184" t="n">
        <x:v>0</x:v>
      </x:c>
      <x:c r="D1897" s="184" t="n">
        <x:v>0</x:v>
      </x:c>
      <x:c r="E1897" s="184" t="n">
        <x:v>0</x:v>
      </x:c>
      <x:c r="F1897" s="184" t="n">
        <x:v>0</x:v>
      </x:c>
      <x:c r="G1897" s="184" t="n">
        <x:v>0</x:v>
      </x:c>
      <x:c r="H1897" s="193" t="n">
        <x:v>0</x:v>
      </x:c>
      <x:c r="I1897" s="185" t="n">
        <x:v>0</x:v>
      </x:c>
      <x:c r="J1897" s="185" t="n">
        <x:v>0</x:v>
      </x:c>
      <x:c r="K1897" s="289" t="n">
        <x:v>29726</x:v>
      </x:c>
    </x:row>
    <x:row r="1898" s="117" customFormat="1" hidden="1">
      <x:c r="A1898" s="184" t="inlineStr">
        <x:is>
          <x:t xml:space="preserve">PDTFRP001112</x:t>
        </x:is>
      </x:c>
      <x:c r="B1898" s="184" t="inlineStr">
        <x:is>
          <x:t xml:space="preserve">PLATAFORMA 1 TORRE MARLEY 2015X660 MM PL N150-0700-43PL-0001/0002 Y 0003 REV.0</x:t>
        </x:is>
      </x:c>
      <x:c r="C1898" s="184" t="n">
        <x:v>0</x:v>
      </x:c>
      <x:c r="D1898" s="184" t="n">
        <x:v>0</x:v>
      </x:c>
      <x:c r="E1898" s="184" t="n">
        <x:v>0</x:v>
      </x:c>
      <x:c r="F1898" s="184" t="n">
        <x:v>0</x:v>
      </x:c>
      <x:c r="G1898" s="184" t="n">
        <x:v>0</x:v>
      </x:c>
      <x:c r="H1898" s="193" t="n">
        <x:v>0</x:v>
      </x:c>
      <x:c r="I1898" s="185" t="n">
        <x:v>0</x:v>
      </x:c>
      <x:c r="J1898" s="185" t="n">
        <x:v>0</x:v>
      </x:c>
      <x:c r="K1898" s="289" t="n">
        <x:v>956479</x:v>
      </x:c>
    </x:row>
    <x:row r="1899" s="117" customFormat="1" hidden="1">
      <x:c r="A1899" s="184" t="inlineStr">
        <x:is>
          <x:t xml:space="preserve">PDTFRP001113</x:t>
        </x:is>
      </x:c>
      <x:c r="B1899" s="184" t="inlineStr">
        <x:is>
          <x:t xml:space="preserve">PLATAFORMA 2 TORRE MARLEY 4020X1000MM PL N150-0700-43PL-0001/0002 Y0003 REV.0</x:t>
        </x:is>
      </x:c>
      <x:c r="C1899" s="184" t="n">
        <x:v>0</x:v>
      </x:c>
      <x:c r="D1899" s="184" t="n">
        <x:v>0</x:v>
      </x:c>
      <x:c r="E1899" s="184" t="n">
        <x:v>0</x:v>
      </x:c>
      <x:c r="F1899" s="184" t="n">
        <x:v>0</x:v>
      </x:c>
      <x:c r="G1899" s="184" t="n">
        <x:v>0</x:v>
      </x:c>
      <x:c r="H1899" s="193" t="n">
        <x:v>0</x:v>
      </x:c>
      <x:c r="I1899" s="185" t="n">
        <x:v>0</x:v>
      </x:c>
      <x:c r="J1899" s="185" t="n">
        <x:v>0</x:v>
      </x:c>
      <x:c r="K1899" s="289" t="n">
        <x:v>3685671</x:v>
      </x:c>
    </x:row>
    <x:row r="1900" s="117" customFormat="1" hidden="1">
      <x:c r="A1900" s="184" t="inlineStr">
        <x:is>
          <x:t xml:space="preserve">PDTFRP001114</x:t>
        </x:is>
      </x:c>
      <x:c r="B1900" s="184" t="inlineStr">
        <x:is>
          <x:t xml:space="preserve">VIGAS SOPORTE PLACA PRECIPITADORES 100X50X4.5 MM X 3300 MM DE LARGO REVESTIDAS N° F30-V44</x:t>
        </x:is>
      </x:c>
      <x:c r="C1900" s="184" t="n">
        <x:v>0</x:v>
      </x:c>
      <x:c r="D1900" s="184" t="n">
        <x:v>0</x:v>
      </x:c>
      <x:c r="E1900" s="184" t="n">
        <x:v>0</x:v>
      </x:c>
      <x:c r="F1900" s="184" t="n">
        <x:v>0</x:v>
      </x:c>
      <x:c r="G1900" s="184" t="n">
        <x:v>0</x:v>
      </x:c>
      <x:c r="H1900" s="193" t="n">
        <x:v>0</x:v>
      </x:c>
      <x:c r="I1900" s="185" t="n">
        <x:v>0</x:v>
      </x:c>
      <x:c r="J1900" s="185" t="n">
        <x:v>0</x:v>
      </x:c>
      <x:c r="K1900" s="289" t="n">
        <x:v>241863</x:v>
      </x:c>
    </x:row>
    <x:row r="1901" s="117" customFormat="1" hidden="1">
      <x:c r="A1901" s="184" t="inlineStr">
        <x:is>
          <x:t xml:space="preserve">PDTFRP001115</x:t>
        </x:is>
      </x:c>
      <x:c r="B1901" s="184" t="inlineStr">
        <x:is>
          <x:t xml:space="preserve">VIGAS SOPORTE PLACA PRECIPITADORES 100X50X4.5 MM X 4350 MM DE LARGO REVESTIDAS N° F30-V51</x:t>
        </x:is>
      </x:c>
      <x:c r="C1901" s="184" t="n">
        <x:v>0</x:v>
      </x:c>
      <x:c r="D1901" s="184" t="n">
        <x:v>0</x:v>
      </x:c>
      <x:c r="E1901" s="184" t="n">
        <x:v>0</x:v>
      </x:c>
      <x:c r="F1901" s="184" t="n">
        <x:v>0</x:v>
      </x:c>
      <x:c r="G1901" s="184" t="n">
        <x:v>0</x:v>
      </x:c>
      <x:c r="H1901" s="193" t="n">
        <x:v>0</x:v>
      </x:c>
      <x:c r="I1901" s="185" t="n">
        <x:v>0</x:v>
      </x:c>
      <x:c r="J1901" s="185" t="n">
        <x:v>0</x:v>
      </x:c>
      <x:c r="K1901" s="289" t="n">
        <x:v>241863</x:v>
      </x:c>
    </x:row>
    <x:row r="1902" s="117" customFormat="1" hidden="1">
      <x:c r="A1902" s="184" t="inlineStr">
        <x:is>
          <x:t xml:space="preserve">PDTFRP001116</x:t>
        </x:is>
      </x:c>
      <x:c r="B1902" s="184" t="inlineStr">
        <x:is>
          <x:t xml:space="preserve">ESTANQUE FRP RESINA VINILESTER 30M2 9700200</x:t>
        </x:is>
      </x:c>
      <x:c r="C1902" s="184" t="n">
        <x:v>0</x:v>
      </x:c>
      <x:c r="D1902" s="184" t="n">
        <x:v>0</x:v>
      </x:c>
      <x:c r="E1902" s="184" t="n">
        <x:v>0</x:v>
      </x:c>
      <x:c r="F1902" s="184" t="n">
        <x:v>0</x:v>
      </x:c>
      <x:c r="G1902" s="184" t="n">
        <x:v>0</x:v>
      </x:c>
      <x:c r="H1902" s="193" t="n">
        <x:v>0</x:v>
      </x:c>
      <x:c r="I1902" s="185" t="n">
        <x:v>0</x:v>
      </x:c>
      <x:c r="J1902" s="185" t="n">
        <x:v>0</x:v>
      </x:c>
      <x:c r="K1902" s="289" t="n">
        <x:v>8749430</x:v>
      </x:c>
    </x:row>
    <x:row r="1903" s="117" customFormat="1" hidden="1">
      <x:c r="A1903" s="184" t="inlineStr">
        <x:is>
          <x:t xml:space="preserve">PDTFRP001117</x:t>
        </x:is>
      </x:c>
      <x:c r="B1903" s="184" t="inlineStr">
        <x:is>
          <x:t xml:space="preserve">CODO 90° RL 4 PLG FRP 150 PSI FABRICACIÓN SEGÚN CRITERIO WOOD PDS-046-1 Y PDS-046-3  RESINA VINILEST</x:t>
        </x:is>
      </x:c>
      <x:c r="C1903" s="184" t="n">
        <x:v>0</x:v>
      </x:c>
      <x:c r="D1903" s="184" t="n">
        <x:v>0</x:v>
      </x:c>
      <x:c r="E1903" s="184" t="n">
        <x:v>0</x:v>
      </x:c>
      <x:c r="F1903" s="184" t="n">
        <x:v>0</x:v>
      </x:c>
      <x:c r="G1903" s="184" t="n">
        <x:v>0</x:v>
      </x:c>
      <x:c r="H1903" s="193" t="n">
        <x:v>0</x:v>
      </x:c>
      <x:c r="I1903" s="185" t="n">
        <x:v>0</x:v>
      </x:c>
      <x:c r="J1903" s="185" t="n">
        <x:v>0</x:v>
      </x:c>
      <x:c r="K1903" s="289" t="n">
        <x:v>27935</x:v>
      </x:c>
    </x:row>
    <x:row r="1904" s="117" customFormat="1" hidden="1">
      <x:c r="A1904" s="184" t="inlineStr">
        <x:is>
          <x:t xml:space="preserve">PDTFRP001118</x:t>
        </x:is>
      </x:c>
      <x:c r="B1904" s="184" t="inlineStr">
        <x:is>
          <x:t xml:space="preserve">CODO 90° RL 2 PLG FRP 150 PSI FABRICACIÓN SEGÚN CRITERIO WOOD PDS-046-1 Y PDS-046-3  RESINA VINILEST</x:t>
        </x:is>
      </x:c>
      <x:c r="C1904" s="184" t="n">
        <x:v>0</x:v>
      </x:c>
      <x:c r="D1904" s="184" t="n">
        <x:v>0</x:v>
      </x:c>
      <x:c r="E1904" s="184" t="n">
        <x:v>0</x:v>
      </x:c>
      <x:c r="F1904" s="184" t="n">
        <x:v>0</x:v>
      </x:c>
      <x:c r="G1904" s="184" t="n">
        <x:v>0</x:v>
      </x:c>
      <x:c r="H1904" s="193" t="n">
        <x:v>0</x:v>
      </x:c>
      <x:c r="I1904" s="185" t="n">
        <x:v>0</x:v>
      </x:c>
      <x:c r="J1904" s="185" t="n">
        <x:v>0</x:v>
      </x:c>
      <x:c r="K1904" s="289" t="n">
        <x:v>20971</x:v>
      </x:c>
    </x:row>
    <x:row r="1905" s="117" customFormat="1" hidden="1">
      <x:c r="A1905" s="184" t="inlineStr">
        <x:is>
          <x:t xml:space="preserve">PDTFRP001119</x:t>
        </x:is>
      </x:c>
      <x:c r="B1905" s="184" t="inlineStr">
        <x:is>
          <x:t xml:space="preserve">CODO 45° RL 8 PLG FRP 150 PSI FABRICACIÓN SEGÚN CRITERIO WOOD PDS-046-1 Y PDS-046-3  RESINA VINILEST</x:t>
        </x:is>
      </x:c>
      <x:c r="C1905" s="184" t="n">
        <x:v>0</x:v>
      </x:c>
      <x:c r="D1905" s="184" t="n">
        <x:v>0</x:v>
      </x:c>
      <x:c r="E1905" s="184" t="n">
        <x:v>0</x:v>
      </x:c>
      <x:c r="F1905" s="184" t="n">
        <x:v>0</x:v>
      </x:c>
      <x:c r="G1905" s="184" t="n">
        <x:v>0</x:v>
      </x:c>
      <x:c r="H1905" s="193" t="n">
        <x:v>0</x:v>
      </x:c>
      <x:c r="I1905" s="185" t="n">
        <x:v>0</x:v>
      </x:c>
      <x:c r="J1905" s="185" t="n">
        <x:v>0</x:v>
      </x:c>
      <x:c r="K1905" s="289" t="n">
        <x:v>61560</x:v>
      </x:c>
    </x:row>
    <x:row r="1906" s="117" customFormat="1" hidden="1">
      <x:c r="A1906" s="184" t="inlineStr">
        <x:is>
          <x:t xml:space="preserve">PDTFRP001120</x:t>
        </x:is>
      </x:c>
      <x:c r="B1906" s="184" t="inlineStr">
        <x:is>
          <x:t xml:space="preserve">CODO 45° RL 6 PLG FRP 150 PSI FABRICACIÓN SEGÚN CRITERIO WOOD PDS-046-1 Y PDS-046-3  RESINA VINILEST</x:t>
        </x:is>
      </x:c>
      <x:c r="C1906" s="184" t="n">
        <x:v>0</x:v>
      </x:c>
      <x:c r="D1906" s="184" t="n">
        <x:v>0</x:v>
      </x:c>
      <x:c r="E1906" s="184" t="n">
        <x:v>0</x:v>
      </x:c>
      <x:c r="F1906" s="184" t="n">
        <x:v>0</x:v>
      </x:c>
      <x:c r="G1906" s="184" t="n">
        <x:v>0</x:v>
      </x:c>
      <x:c r="H1906" s="193" t="n">
        <x:v>0</x:v>
      </x:c>
      <x:c r="I1906" s="185" t="n">
        <x:v>0</x:v>
      </x:c>
      <x:c r="J1906" s="185" t="n">
        <x:v>0</x:v>
      </x:c>
      <x:c r="K1906" s="289" t="n">
        <x:v>34833</x:v>
      </x:c>
    </x:row>
    <x:row r="1907" s="117" customFormat="1" hidden="1">
      <x:c r="A1907" s="184" t="inlineStr">
        <x:is>
          <x:t xml:space="preserve">PDTFRP001121</x:t>
        </x:is>
      </x:c>
      <x:c r="B1907" s="184" t="inlineStr">
        <x:is>
          <x:t xml:space="preserve">REDUCCION CONCENTRICA 8PLG A 6PLG CRITERIO WOOD PDS-046-1 Y PSD-046-3 RESINA VINILESTER</x:t>
        </x:is>
      </x:c>
      <x:c r="C1907" s="184" t="n">
        <x:v>0</x:v>
      </x:c>
      <x:c r="D1907" s="184" t="n">
        <x:v>0</x:v>
      </x:c>
      <x:c r="E1907" s="184" t="n">
        <x:v>0</x:v>
      </x:c>
      <x:c r="F1907" s="184" t="n">
        <x:v>0</x:v>
      </x:c>
      <x:c r="G1907" s="184" t="n">
        <x:v>0</x:v>
      </x:c>
      <x:c r="H1907" s="193" t="n">
        <x:v>0</x:v>
      </x:c>
      <x:c r="I1907" s="185" t="n">
        <x:v>0</x:v>
      </x:c>
      <x:c r="J1907" s="185" t="n">
        <x:v>0</x:v>
      </x:c>
      <x:c r="K1907" s="289" t="n">
        <x:v>74100</x:v>
      </x:c>
    </x:row>
    <x:row r="1908" s="117" customFormat="1" hidden="1">
      <x:c r="A1908" s="184" t="inlineStr">
        <x:is>
          <x:t xml:space="preserve">PDTFRP001122</x:t>
        </x:is>
      </x:c>
      <x:c r="B1908" s="184" t="inlineStr">
        <x:is>
          <x:t xml:space="preserve">KIT VENDAJE 8 PLG FRP 150 PSI MATERIAS PRIMAS PARA UNION TERRENO CRITERIO WOOD PDS-046-2 TABLA D Y E</x:t>
        </x:is>
      </x:c>
      <x:c r="C1908" s="184" t="n">
        <x:v>0</x:v>
      </x:c>
      <x:c r="D1908" s="184" t="n">
        <x:v>0</x:v>
      </x:c>
      <x:c r="E1908" s="184" t="n">
        <x:v>0</x:v>
      </x:c>
      <x:c r="F1908" s="184" t="n">
        <x:v>0</x:v>
      </x:c>
      <x:c r="G1908" s="184" t="n">
        <x:v>0</x:v>
      </x:c>
      <x:c r="H1908" s="193" t="n">
        <x:v>0</x:v>
      </x:c>
      <x:c r="I1908" s="185" t="n">
        <x:v>0</x:v>
      </x:c>
      <x:c r="J1908" s="185" t="n">
        <x:v>0</x:v>
      </x:c>
      <x:c r="K1908" s="289" t="n">
        <x:v>47884</x:v>
      </x:c>
    </x:row>
    <x:row r="1909" s="117" customFormat="1" hidden="1">
      <x:c r="A1909" s="184" t="inlineStr">
        <x:is>
          <x:t xml:space="preserve">PDTFRP001123</x:t>
        </x:is>
      </x:c>
      <x:c r="B1909" s="184" t="inlineStr">
        <x:is>
          <x:t xml:space="preserve">KIT VENDAJE 6 PLG FRP 150 PSI MATERIAS PRIMAS PARA UNION TERRENO CRITERIO WOOD PDS-046-2 TABLA D Y E</x:t>
        </x:is>
      </x:c>
      <x:c r="C1909" s="184" t="n">
        <x:v>0</x:v>
      </x:c>
      <x:c r="D1909" s="184" t="n">
        <x:v>0</x:v>
      </x:c>
      <x:c r="E1909" s="184" t="n">
        <x:v>0</x:v>
      </x:c>
      <x:c r="F1909" s="184" t="n">
        <x:v>0</x:v>
      </x:c>
      <x:c r="G1909" s="184" t="n">
        <x:v>0</x:v>
      </x:c>
      <x:c r="H1909" s="193" t="n">
        <x:v>0</x:v>
      </x:c>
      <x:c r="I1909" s="185" t="n">
        <x:v>0</x:v>
      </x:c>
      <x:c r="J1909" s="185" t="n">
        <x:v>0</x:v>
      </x:c>
      <x:c r="K1909" s="289" t="n">
        <x:v>37363</x:v>
      </x:c>
    </x:row>
    <x:row r="1910" s="117" customFormat="1" hidden="1">
      <x:c r="A1910" s="184" t="inlineStr">
        <x:is>
          <x:t xml:space="preserve">PDTFRP001124</x:t>
        </x:is>
      </x:c>
      <x:c r="B1910" s="184" t="inlineStr">
        <x:is>
          <x:t xml:space="preserve">KIT VENDAJE 4 PLG FRP 150 PSI MATERIAS PRIMAS PARA UNION TERRENO CRITERIO WOOD PDS-046-2 TABLA D Y E</x:t>
        </x:is>
      </x:c>
      <x:c r="C1910" s="184" t="n">
        <x:v>0</x:v>
      </x:c>
      <x:c r="D1910" s="184" t="n">
        <x:v>0</x:v>
      </x:c>
      <x:c r="E1910" s="184" t="n">
        <x:v>0</x:v>
      </x:c>
      <x:c r="F1910" s="184" t="n">
        <x:v>0</x:v>
      </x:c>
      <x:c r="G1910" s="184" t="n">
        <x:v>0</x:v>
      </x:c>
      <x:c r="H1910" s="193" t="n">
        <x:v>0</x:v>
      </x:c>
      <x:c r="I1910" s="185" t="n">
        <x:v>0</x:v>
      </x:c>
      <x:c r="J1910" s="185" t="n">
        <x:v>0</x:v>
      </x:c>
      <x:c r="K1910" s="289" t="n">
        <x:v>19729</x:v>
      </x:c>
    </x:row>
    <x:row r="1911" s="117" customFormat="1" hidden="1">
      <x:c r="A1911" s="184" t="inlineStr">
        <x:is>
          <x:t xml:space="preserve">PDTFRP001125</x:t>
        </x:is>
      </x:c>
      <x:c r="B1911" s="184" t="inlineStr">
        <x:is>
          <x:t xml:space="preserve">KIT VENDAJE 2 PLG FRP 150 PSI MATERIAS PRIMAS PARA UNION TERRENO CRITERIO WOOD PDS-046-2 TABLA D Y E</x:t>
        </x:is>
      </x:c>
      <x:c r="C1911" s="184" t="n">
        <x:v>0</x:v>
      </x:c>
      <x:c r="D1911" s="184" t="n">
        <x:v>0</x:v>
      </x:c>
      <x:c r="E1911" s="184" t="n">
        <x:v>0</x:v>
      </x:c>
      <x:c r="F1911" s="184" t="n">
        <x:v>0</x:v>
      </x:c>
      <x:c r="G1911" s="184" t="n">
        <x:v>0</x:v>
      </x:c>
      <x:c r="H1911" s="193" t="n">
        <x:v>0</x:v>
      </x:c>
      <x:c r="I1911" s="185" t="n">
        <x:v>0</x:v>
      </x:c>
      <x:c r="J1911" s="185" t="n">
        <x:v>0</x:v>
      </x:c>
      <x:c r="K1911" s="289" t="n">
        <x:v>12464</x:v>
      </x:c>
    </x:row>
    <x:row r="1912" s="117" customFormat="1" hidden="1">
      <x:c r="A1912" s="184" t="inlineStr">
        <x:is>
          <x:t xml:space="preserve">PDTFRP001126</x:t>
        </x:is>
      </x:c>
      <x:c r="B1912" s="184" t="inlineStr">
        <x:is>
          <x:t xml:space="preserve">ESTACION DE ACIDULADO MOVIL COMPUESTAD DE CARRO.SISTEMA DE INJECCION ACIDO.SISTEMA BOMBEO,PANELES DE</x:t>
        </x:is>
      </x:c>
      <x:c r="C1912" s="184" t="n">
        <x:v>0</x:v>
      </x:c>
      <x:c r="D1912" s="184" t="n">
        <x:v>0</x:v>
      </x:c>
      <x:c r="E1912" s="184" t="n">
        <x:v>0</x:v>
      </x:c>
      <x:c r="F1912" s="184" t="n">
        <x:v>0</x:v>
      </x:c>
      <x:c r="G1912" s="184" t="n">
        <x:v>0</x:v>
      </x:c>
      <x:c r="H1912" s="193" t="n">
        <x:v>0</x:v>
      </x:c>
      <x:c r="I1912" s="185" t="n">
        <x:v>0</x:v>
      </x:c>
      <x:c r="J1912" s="185" t="n">
        <x:v>0</x:v>
      </x:c>
      <x:c r="K1912" s="289" t="n">
        <x:v>26693351</x:v>
      </x:c>
    </x:row>
    <x:row r="1913" s="117" customFormat="1" hidden="1">
      <x:c r="A1913" s="184" t="inlineStr">
        <x:is>
          <x:t xml:space="preserve">PDTFRP001127</x:t>
        </x:is>
      </x:c>
      <x:c r="B1913" s="184" t="inlineStr">
        <x:is>
          <x:t xml:space="preserve">TUBERIA DE ALIMENTACION PARA TOBERA CENTRAL TORRE RFS PP/FRP PLANO 0700-07-46PL-00039 REV.2</x:t>
        </x:is>
      </x:c>
      <x:c r="C1913" s="184" t="n">
        <x:v>0</x:v>
      </x:c>
      <x:c r="D1913" s="184" t="n">
        <x:v>0</x:v>
      </x:c>
      <x:c r="E1913" s="184" t="n">
        <x:v>0</x:v>
      </x:c>
      <x:c r="F1913" s="184" t="n">
        <x:v>0</x:v>
      </x:c>
      <x:c r="G1913" s="184" t="n">
        <x:v>0</x:v>
      </x:c>
      <x:c r="H1913" s="193" t="n">
        <x:v>0</x:v>
      </x:c>
      <x:c r="I1913" s="185" t="n">
        <x:v>0</x:v>
      </x:c>
      <x:c r="J1913" s="185" t="n">
        <x:v>0</x:v>
      </x:c>
      <x:c r="K1913" s="289" t="n">
        <x:v>1920586</x:v>
      </x:c>
    </x:row>
    <x:row r="1914" s="117" customFormat="1" hidden="1">
      <x:c r="A1914" s="184" t="inlineStr">
        <x:is>
          <x:t xml:space="preserve">PDTFRP001128</x:t>
        </x:is>
      </x:c>
      <x:c r="B1914" s="184" t="inlineStr">
        <x:is>
          <x:t xml:space="preserve">SERVICIO DE REPARACION ESTRUCTURAL DE PLACAS  DE VENTILADOR EN FRP RESINA VINILESTER SMA</x:t>
        </x:is>
      </x:c>
      <x:c r="C1914" s="184" t="n">
        <x:v>0</x:v>
      </x:c>
      <x:c r="D1914" s="184" t="n">
        <x:v>0</x:v>
      </x:c>
      <x:c r="E1914" s="184" t="n">
        <x:v>0</x:v>
      </x:c>
      <x:c r="F1914" s="184" t="n">
        <x:v>0</x:v>
      </x:c>
      <x:c r="G1914" s="184" t="n">
        <x:v>0</x:v>
      </x:c>
      <x:c r="H1914" s="193" t="n">
        <x:v>0</x:v>
      </x:c>
      <x:c r="I1914" s="185" t="n">
        <x:v>0</x:v>
      </x:c>
      <x:c r="J1914" s="185" t="n">
        <x:v>0</x:v>
      </x:c>
      <x:c r="K1914" s="289" t="n">
        <x:v>595440</x:v>
      </x:c>
    </x:row>
    <x:row r="1915" s="117" customFormat="1" hidden="1">
      <x:c r="A1915" s="184" t="inlineStr">
        <x:is>
          <x:t xml:space="preserve">PDTFRP001129</x:t>
        </x:is>
      </x:c>
      <x:c r="B1915" s="184" t="inlineStr">
        <x:is>
          <x:t xml:space="preserve">STUD END DOBLE LAMINA PP/FRP 20 PLG DIAM. RESINA VINILESTER CODIGO 1519212</x:t>
        </x:is>
      </x:c>
      <x:c r="C1915" s="184" t="n">
        <x:v>0</x:v>
      </x:c>
      <x:c r="D1915" s="184" t="n">
        <x:v>0</x:v>
      </x:c>
      <x:c r="E1915" s="184" t="n">
        <x:v>0</x:v>
      </x:c>
      <x:c r="F1915" s="184" t="n">
        <x:v>0</x:v>
      </x:c>
      <x:c r="G1915" s="184" t="n">
        <x:v>0</x:v>
      </x:c>
      <x:c r="H1915" s="193" t="n">
        <x:v>0</x:v>
      </x:c>
      <x:c r="I1915" s="185" t="n">
        <x:v>0</x:v>
      </x:c>
      <x:c r="J1915" s="185" t="n">
        <x:v>0</x:v>
      </x:c>
      <x:c r="K1915" s="289" t="n">
        <x:v>250761</x:v>
      </x:c>
    </x:row>
    <x:row r="1916" s="117" customFormat="1" hidden="1">
      <x:c r="A1916" s="184" t="inlineStr">
        <x:is>
          <x:t xml:space="preserve">PDTFRP001130</x:t>
        </x:is>
      </x:c>
      <x:c r="B1916" s="184" t="inlineStr">
        <x:is>
          <x:t xml:space="preserve">CODO  90 GRD DOBLE LAMINA DIAM.20 PLG RESINA VINILESTER CÓDIGO 1519212</x:t>
        </x:is>
      </x:c>
      <x:c r="C1916" s="184" t="n">
        <x:v>0</x:v>
      </x:c>
      <x:c r="D1916" s="184" t="n">
        <x:v>0</x:v>
      </x:c>
      <x:c r="E1916" s="184" t="n">
        <x:v>0</x:v>
      </x:c>
      <x:c r="F1916" s="184" t="n">
        <x:v>0</x:v>
      </x:c>
      <x:c r="G1916" s="184" t="n">
        <x:v>0</x:v>
      </x:c>
      <x:c r="H1916" s="193" t="n">
        <x:v>0</x:v>
      </x:c>
      <x:c r="I1916" s="185" t="n">
        <x:v>0</x:v>
      </x:c>
      <x:c r="J1916" s="185" t="n">
        <x:v>0</x:v>
      </x:c>
      <x:c r="K1916" s="289" t="n">
        <x:v>491323</x:v>
      </x:c>
    </x:row>
    <x:row r="1917" s="117" customFormat="1" hidden="1">
      <x:c r="A1917" s="184" t="inlineStr">
        <x:is>
          <x:t xml:space="preserve">PDTFRP001131</x:t>
        </x:is>
      </x:c>
      <x:c r="B1917" s="184" t="inlineStr">
        <x:is>
          <x:t xml:space="preserve">CODO  45 GRD DOBLE LAMINA DIAM.16 PLG RESINA VINILESTER CÓDIGO 1519229</x:t>
        </x:is>
      </x:c>
      <x:c r="C1917" s="184" t="n">
        <x:v>0</x:v>
      </x:c>
      <x:c r="D1917" s="184" t="n">
        <x:v>0</x:v>
      </x:c>
      <x:c r="E1917" s="184" t="n">
        <x:v>0</x:v>
      </x:c>
      <x:c r="F1917" s="184" t="n">
        <x:v>0</x:v>
      </x:c>
      <x:c r="G1917" s="184" t="n">
        <x:v>0</x:v>
      </x:c>
      <x:c r="H1917" s="193" t="n">
        <x:v>0</x:v>
      </x:c>
      <x:c r="I1917" s="185" t="n">
        <x:v>0</x:v>
      </x:c>
      <x:c r="J1917" s="185" t="n">
        <x:v>0</x:v>
      </x:c>
      <x:c r="K1917" s="289" t="n">
        <x:v>468385</x:v>
      </x:c>
    </x:row>
    <x:row r="1918" s="117" customFormat="1" hidden="1">
      <x:c r="A1918" s="184" t="inlineStr">
        <x:is>
          <x:t xml:space="preserve">PDTFRP001132</x:t>
        </x:is>
      </x:c>
      <x:c r="B1918" s="184" t="inlineStr">
        <x:is>
          <x:t xml:space="preserve">CODO  45 GRD DOBLE LAMINA DIAM.20 PLG RESINA VINILESTER CÓDIGO 1519230</x:t>
        </x:is>
      </x:c>
      <x:c r="C1918" s="184" t="n">
        <x:v>0</x:v>
      </x:c>
      <x:c r="D1918" s="184" t="n">
        <x:v>0</x:v>
      </x:c>
      <x:c r="E1918" s="184" t="n">
        <x:v>0</x:v>
      </x:c>
      <x:c r="F1918" s="184" t="n">
        <x:v>0</x:v>
      </x:c>
      <x:c r="G1918" s="184" t="n">
        <x:v>0</x:v>
      </x:c>
      <x:c r="H1918" s="193" t="n">
        <x:v>0</x:v>
      </x:c>
      <x:c r="I1918" s="185" t="n">
        <x:v>0</x:v>
      </x:c>
      <x:c r="J1918" s="185" t="n">
        <x:v>0</x:v>
      </x:c>
      <x:c r="K1918" s="289" t="n">
        <x:v>491323</x:v>
      </x:c>
    </x:row>
    <x:row r="1919" s="117" customFormat="1" hidden="1">
      <x:c r="A1919" s="184" t="inlineStr">
        <x:is>
          <x:t xml:space="preserve">PDTFRP001133</x:t>
        </x:is>
      </x:c>
      <x:c r="B1919" s="184" t="inlineStr">
        <x:is>
          <x:t xml:space="preserve">DUCTO DOBLE LAMINA DIAMETRO 16 PLG PP/FRP RESINA VINILESTER TIRA 5 MTRS CODIGO 1519202</x:t>
        </x:is>
      </x:c>
      <x:c r="C1919" s="184" t="n">
        <x:v>0</x:v>
      </x:c>
      <x:c r="D1919" s="184" t="n">
        <x:v>0</x:v>
      </x:c>
      <x:c r="E1919" s="184" t="n">
        <x:v>0</x:v>
      </x:c>
      <x:c r="F1919" s="184" t="n">
        <x:v>0</x:v>
      </x:c>
      <x:c r="G1919" s="184" t="n">
        <x:v>0</x:v>
      </x:c>
      <x:c r="H1919" s="193" t="n">
        <x:v>0</x:v>
      </x:c>
      <x:c r="I1919" s="185" t="n">
        <x:v>0</x:v>
      </x:c>
      <x:c r="J1919" s="185" t="n">
        <x:v>0</x:v>
      </x:c>
      <x:c r="K1919" s="289" t="n">
        <x:v>721527</x:v>
      </x:c>
    </x:row>
    <x:row r="1920" s="117" customFormat="1" hidden="1">
      <x:c r="A1920" s="184" t="inlineStr">
        <x:is>
          <x:t xml:space="preserve">PDTFRP001134</x:t>
        </x:is>
      </x:c>
      <x:c r="B1920" s="184" t="inlineStr">
        <x:is>
          <x:t xml:space="preserve">DUCTO DE DOBLE LAMINA DIAMETRO 20 PLG FRP-PP RESINA VINILESTER TIRA 5 MTS COD.1519203</x:t>
        </x:is>
      </x:c>
      <x:c r="C1920" s="184" t="n">
        <x:v>0</x:v>
      </x:c>
      <x:c r="D1920" s="184" t="n">
        <x:v>0</x:v>
      </x:c>
      <x:c r="E1920" s="184" t="n">
        <x:v>0</x:v>
      </x:c>
      <x:c r="F1920" s="184" t="n">
        <x:v>0</x:v>
      </x:c>
      <x:c r="G1920" s="184" t="n">
        <x:v>0</x:v>
      </x:c>
      <x:c r="H1920" s="193" t="n">
        <x:v>0</x:v>
      </x:c>
      <x:c r="I1920" s="185" t="n">
        <x:v>0</x:v>
      </x:c>
      <x:c r="J1920" s="185" t="n">
        <x:v>0</x:v>
      </x:c>
      <x:c r="K1920" s="289" t="n">
        <x:v>1051495</x:v>
      </x:c>
    </x:row>
    <x:row r="1921" s="117" customFormat="1" hidden="1">
      <x:c r="A1921" s="184" t="inlineStr">
        <x:is>
          <x:t xml:space="preserve">PDTFRP001135</x:t>
        </x:is>
      </x:c>
      <x:c r="B1921" s="184" t="inlineStr">
        <x:is>
          <x:t xml:space="preserve">BRAZO SIMPLE 0.5 MTS PRFV 72MM X 50.8MM X 500MM CARGA 100 KGF GRIS</x:t>
        </x:is>
      </x:c>
      <x:c r="C1921" s="184" t="n">
        <x:v>0</x:v>
      </x:c>
      <x:c r="D1921" s="184" t="n">
        <x:v>0</x:v>
      </x:c>
      <x:c r="E1921" s="184" t="n">
        <x:v>0</x:v>
      </x:c>
      <x:c r="F1921" s="184" t="n">
        <x:v>0</x:v>
      </x:c>
      <x:c r="G1921" s="184" t="n">
        <x:v>0</x:v>
      </x:c>
      <x:c r="H1921" s="193" t="n">
        <x:v>0</x:v>
      </x:c>
      <x:c r="I1921" s="185" t="n">
        <x:v>0</x:v>
      </x:c>
      <x:c r="J1921" s="185" t="n">
        <x:v>0</x:v>
      </x:c>
      <x:c r="K1921" s="289" t="n">
        <x:v>33399</x:v>
      </x:c>
    </x:row>
    <x:row r="1922" s="117" customFormat="1" hidden="1">
      <x:c r="A1922" s="184" t="inlineStr">
        <x:is>
          <x:t xml:space="preserve">PDTFRP001136</x:t>
        </x:is>
      </x:c>
      <x:c r="B1922" s="184" t="inlineStr">
        <x:is>
          <x:t xml:space="preserve">DECANTADOR FRP LARGO 12.5 MTS X ANCHO 3.5 MTS X ALTO 2.43 MTS + FLANGES Y CONECCIONES SQM</x:t>
        </x:is>
      </x:c>
      <x:c r="C1922" s="184" t="n">
        <x:v>0</x:v>
      </x:c>
      <x:c r="D1922" s="184" t="n">
        <x:v>0</x:v>
      </x:c>
      <x:c r="E1922" s="184" t="n">
        <x:v>0</x:v>
      </x:c>
      <x:c r="F1922" s="184" t="n">
        <x:v>0</x:v>
      </x:c>
      <x:c r="G1922" s="184" t="n">
        <x:v>0</x:v>
      </x:c>
      <x:c r="H1922" s="193" t="n">
        <x:v>0</x:v>
      </x:c>
      <x:c r="I1922" s="185" t="n">
        <x:v>0</x:v>
      </x:c>
      <x:c r="J1922" s="185" t="n">
        <x:v>0</x:v>
      </x:c>
      <x:c r="K1922" s="289" t="n">
        <x:v>61550619</x:v>
      </x:c>
    </x:row>
    <x:row r="1923" s="117" customFormat="1" hidden="1">
      <x:c r="A1923" s="184" t="inlineStr">
        <x:is>
          <x:t xml:space="preserve">PDTFRP001137</x:t>
        </x:is>
      </x:c>
      <x:c r="B1923" s="184" t="inlineStr">
        <x:is>
          <x:t xml:space="preserve">PIEZA ESPECIAL FRP-PP DN 300 COMPUESTA DE TRAMO 2650MM + CODO 90° C/AVANCE 550 MM</x:t>
        </x:is>
      </x:c>
      <x:c r="C1923" s="184" t="n">
        <x:v>0</x:v>
      </x:c>
      <x:c r="D1923" s="184" t="n">
        <x:v>0</x:v>
      </x:c>
      <x:c r="E1923" s="184" t="n">
        <x:v>0</x:v>
      </x:c>
      <x:c r="F1923" s="184" t="n">
        <x:v>0</x:v>
      </x:c>
      <x:c r="G1923" s="184" t="n">
        <x:v>0</x:v>
      </x:c>
      <x:c r="H1923" s="193" t="n">
        <x:v>0</x:v>
      </x:c>
      <x:c r="I1923" s="185" t="n">
        <x:v>0</x:v>
      </x:c>
      <x:c r="J1923" s="185" t="n">
        <x:v>0</x:v>
      </x:c>
      <x:c r="K1923" s="289" t="n">
        <x:v>1714880</x:v>
      </x:c>
    </x:row>
    <x:row r="1924" s="117" customFormat="1" hidden="1">
      <x:c r="A1924" s="184" t="inlineStr">
        <x:is>
          <x:t xml:space="preserve">PDTFRP001138</x:t>
        </x:is>
      </x:c>
      <x:c r="B1924" s="184" t="inlineStr">
        <x:is>
          <x:t xml:space="preserve">MANIFOLD DE DESCARGA /SPOOL N° 3 DESCARGA DE BOMBAS TORRE QUENCH HORNO REFINO PP/FRP</x:t>
        </x:is>
      </x:c>
      <x:c r="C1924" s="184" t="n">
        <x:v>0</x:v>
      </x:c>
      <x:c r="D1924" s="184" t="n">
        <x:v>0</x:v>
      </x:c>
      <x:c r="E1924" s="184" t="n">
        <x:v>0</x:v>
      </x:c>
      <x:c r="F1924" s="184" t="n">
        <x:v>0</x:v>
      </x:c>
      <x:c r="G1924" s="184" t="n">
        <x:v>0</x:v>
      </x:c>
      <x:c r="H1924" s="193" t="n">
        <x:v>0</x:v>
      </x:c>
      <x:c r="I1924" s="185" t="n">
        <x:v>0</x:v>
      </x:c>
      <x:c r="J1924" s="185" t="n">
        <x:v>0</x:v>
      </x:c>
      <x:c r="K1924" s="289" t="n">
        <x:v>2029446</x:v>
      </x:c>
    </x:row>
    <x:row r="1925" s="117" customFormat="1" hidden="1">
      <x:c r="A1925" s="184" t="inlineStr">
        <x:is>
          <x:t xml:space="preserve">PDTFRP001139</x:t>
        </x:is>
      </x:c>
      <x:c r="B1925" s="184" t="inlineStr">
        <x:is>
          <x:t xml:space="preserve">CAÑERIA 2 PLG (63MM) PVDF C/BAKING TIRA DE 3 MTS CODIGO 1119820</x:t>
        </x:is>
      </x:c>
      <x:c r="C1925" s="184" t="n">
        <x:v>7</x:v>
      </x:c>
      <x:c r="D1925" s="184" t="n">
        <x:v>0</x:v>
      </x:c>
      <x:c r="E1925" s="184" t="n">
        <x:v>0</x:v>
      </x:c>
      <x:c r="F1925" s="184" t="n">
        <x:v>7</x:v>
      </x:c>
      <x:c r="G1925" s="184" t="n">
        <x:v>555394</x:v>
      </x:c>
      <x:c r="H1925" s="193" t="n">
        <x:v>0</x:v>
      </x:c>
      <x:c r="I1925" s="185" t="n">
        <x:v>0</x:v>
      </x:c>
      <x:c r="J1925" s="185" t="n">
        <x:v>555394</x:v>
      </x:c>
      <x:c r="K1925" s="289" t="n">
        <x:v>79342</x:v>
      </x:c>
    </x:row>
    <x:row r="1926" s="117" customFormat="1" hidden="1">
      <x:c r="A1926" s="184" t="inlineStr">
        <x:is>
          <x:t xml:space="preserve">PDTFRP001140</x:t>
        </x:is>
      </x:c>
      <x:c r="B1926" s="184" t="inlineStr">
        <x:is>
          <x:t xml:space="preserve">CAÑERIA 3 PLG (90MM) PVDF C/BAKING TIRA DE 3 MTS CODIGO 1119822</x:t>
        </x:is>
      </x:c>
      <x:c r="C1926" s="184" t="n">
        <x:v>8</x:v>
      </x:c>
      <x:c r="D1926" s="184" t="n">
        <x:v>0</x:v>
      </x:c>
      <x:c r="E1926" s="184" t="n">
        <x:v>0</x:v>
      </x:c>
      <x:c r="F1926" s="184" t="n">
        <x:v>8</x:v>
      </x:c>
      <x:c r="G1926" s="184" t="n">
        <x:v>2329896</x:v>
      </x:c>
      <x:c r="H1926" s="193" t="n">
        <x:v>0</x:v>
      </x:c>
      <x:c r="I1926" s="185" t="n">
        <x:v>0</x:v>
      </x:c>
      <x:c r="J1926" s="185" t="n">
        <x:v>2329896</x:v>
      </x:c>
      <x:c r="K1926" s="289" t="n">
        <x:v>291237</x:v>
      </x:c>
    </x:row>
    <x:row r="1927" s="117" customFormat="1" hidden="1">
      <x:c r="A1927" s="184" t="inlineStr">
        <x:is>
          <x:t xml:space="preserve">PDTFRP001141</x:t>
        </x:is>
      </x:c>
      <x:c r="B1927" s="184" t="inlineStr">
        <x:is>
          <x:t xml:space="preserve">REDUCCION NOM 2X3 PLG (63X90) PVDF C/BAKING CODIGO 1119817</x:t>
        </x:is>
      </x:c>
      <x:c r="C1927" s="184" t="n">
        <x:v>0</x:v>
      </x:c>
      <x:c r="D1927" s="184" t="n">
        <x:v>0</x:v>
      </x:c>
      <x:c r="E1927" s="184" t="n">
        <x:v>0</x:v>
      </x:c>
      <x:c r="F1927" s="184" t="n">
        <x:v>0</x:v>
      </x:c>
      <x:c r="G1927" s="184" t="n">
        <x:v>0</x:v>
      </x:c>
      <x:c r="H1927" s="193" t="n">
        <x:v>0</x:v>
      </x:c>
      <x:c r="I1927" s="185" t="n">
        <x:v>0</x:v>
      </x:c>
      <x:c r="J1927" s="185" t="n">
        <x:v>0</x:v>
      </x:c>
      <x:c r="K1927" s="289" t="n">
        <x:v>37078</x:v>
      </x:c>
    </x:row>
    <x:row r="1928" s="117" customFormat="1" hidden="1">
      <x:c r="A1928" s="184" t="inlineStr">
        <x:is>
          <x:t xml:space="preserve">PDTFRP001142</x:t>
        </x:is>
      </x:c>
      <x:c r="B1928" s="184" t="inlineStr">
        <x:is>
          <x:t xml:space="preserve">STUB END DE 2 PLG (63) PVDF C/BACKING CODIGO 1119809</x:t>
        </x:is>
      </x:c>
      <x:c r="C1928" s="184" t="n">
        <x:v>0</x:v>
      </x:c>
      <x:c r="D1928" s="184" t="n">
        <x:v>0</x:v>
      </x:c>
      <x:c r="E1928" s="184" t="n">
        <x:v>0</x:v>
      </x:c>
      <x:c r="F1928" s="184" t="n">
        <x:v>0</x:v>
      </x:c>
      <x:c r="G1928" s="184" t="n">
        <x:v>0</x:v>
      </x:c>
      <x:c r="H1928" s="193" t="n">
        <x:v>0</x:v>
      </x:c>
      <x:c r="I1928" s="185" t="n">
        <x:v>0</x:v>
      </x:c>
      <x:c r="J1928" s="185" t="n">
        <x:v>0</x:v>
      </x:c>
      <x:c r="K1928" s="289" t="n">
        <x:v>18067</x:v>
      </x:c>
    </x:row>
    <x:row r="1929" s="117" customFormat="1" hidden="1">
      <x:c r="A1929" s="184" t="inlineStr">
        <x:is>
          <x:t xml:space="preserve">PDTFRP001143</x:t>
        </x:is>
      </x:c>
      <x:c r="B1929" s="184" t="inlineStr">
        <x:is>
          <x:t xml:space="preserve">STUB END DE 3 PLG (90) PVDF C/BACKING CODIGO 1119810</x:t>
        </x:is>
      </x:c>
      <x:c r="C1929" s="184" t="n">
        <x:v>0</x:v>
      </x:c>
      <x:c r="D1929" s="184" t="n">
        <x:v>0</x:v>
      </x:c>
      <x:c r="E1929" s="184" t="n">
        <x:v>0</x:v>
      </x:c>
      <x:c r="F1929" s="184" t="n">
        <x:v>0</x:v>
      </x:c>
      <x:c r="G1929" s="184" t="n">
        <x:v>0</x:v>
      </x:c>
      <x:c r="H1929" s="193" t="n">
        <x:v>0</x:v>
      </x:c>
      <x:c r="I1929" s="185" t="n">
        <x:v>0</x:v>
      </x:c>
      <x:c r="J1929" s="185" t="n">
        <x:v>0</x:v>
      </x:c>
      <x:c r="K1929" s="289" t="n">
        <x:v>39829</x:v>
      </x:c>
    </x:row>
    <x:row r="1930" s="117" customFormat="1" hidden="1">
      <x:c r="A1930" s="184" t="inlineStr">
        <x:is>
          <x:t xml:space="preserve">PDTFRP001144</x:t>
        </x:is>
      </x:c>
      <x:c r="B1930" s="184" t="inlineStr">
        <x:is>
          <x:t xml:space="preserve">CONJUNTO TOBERAS DE INYECCION SIMONA 100409PP02 CODIGO 4115880</x:t>
        </x:is>
      </x:c>
      <x:c r="C1930" s="184" t="n">
        <x:v>0</x:v>
      </x:c>
      <x:c r="D1930" s="184" t="n">
        <x:v>0</x:v>
      </x:c>
      <x:c r="E1930" s="184" t="n">
        <x:v>0</x:v>
      </x:c>
      <x:c r="F1930" s="184" t="n">
        <x:v>0</x:v>
      </x:c>
      <x:c r="G1930" s="184" t="n">
        <x:v>0</x:v>
      </x:c>
      <x:c r="H1930" s="193" t="n">
        <x:v>0</x:v>
      </x:c>
      <x:c r="I1930" s="185" t="n">
        <x:v>0</x:v>
      </x:c>
      <x:c r="J1930" s="185" t="n">
        <x:v>0</x:v>
      </x:c>
      <x:c r="K1930" s="289" t="n">
        <x:v>780999</x:v>
      </x:c>
    </x:row>
    <x:row r="1931" s="117" customFormat="1" hidden="1">
      <x:c r="A1931" s="184" t="inlineStr">
        <x:is>
          <x:t xml:space="preserve">PDTFRP001145</x:t>
        </x:is>
      </x:c>
      <x:c r="B1931" s="184" t="inlineStr">
        <x:is>
          <x:t xml:space="preserve">BOQUILLA DE ASPERSION PRINCIPAL OTO-VENT</x:t>
        </x:is>
      </x:c>
      <x:c r="C1931" s="184" t="n">
        <x:v>0</x:v>
      </x:c>
      <x:c r="D1931" s="184" t="n">
        <x:v>0</x:v>
      </x:c>
      <x:c r="E1931" s="184" t="n">
        <x:v>0</x:v>
      </x:c>
      <x:c r="F1931" s="184" t="n">
        <x:v>0</x:v>
      </x:c>
      <x:c r="G1931" s="184" t="n">
        <x:v>0</x:v>
      </x:c>
      <x:c r="H1931" s="193" t="n">
        <x:v>0</x:v>
      </x:c>
      <x:c r="I1931" s="185" t="n">
        <x:v>0</x:v>
      </x:c>
      <x:c r="J1931" s="185" t="n">
        <x:v>0</x:v>
      </x:c>
      <x:c r="K1931" s="289" t="n">
        <x:v>414314</x:v>
      </x:c>
    </x:row>
    <x:row r="1932" s="117" customFormat="1" hidden="1">
      <x:c r="A1932" s="184" t="inlineStr">
        <x:is>
          <x:t xml:space="preserve">PDTFRP001146</x:t>
        </x:is>
      </x:c>
      <x:c r="B1932" s="184" t="inlineStr">
        <x:is>
          <x:t xml:space="preserve">4184698 CODO 5 PLG DE 90° FRP-PP DIN 16965 RESINA VINILESTER</x:t>
        </x:is>
      </x:c>
      <x:c r="C1932" s="184" t="n">
        <x:v>0</x:v>
      </x:c>
      <x:c r="D1932" s="184" t="n">
        <x:v>0</x:v>
      </x:c>
      <x:c r="E1932" s="184" t="n">
        <x:v>0</x:v>
      </x:c>
      <x:c r="F1932" s="184" t="n">
        <x:v>0</x:v>
      </x:c>
      <x:c r="G1932" s="184" t="n">
        <x:v>0</x:v>
      </x:c>
      <x:c r="H1932" s="193" t="n">
        <x:v>0</x:v>
      </x:c>
      <x:c r="I1932" s="185" t="n">
        <x:v>0</x:v>
      </x:c>
      <x:c r="J1932" s="185" t="n">
        <x:v>0</x:v>
      </x:c>
      <x:c r="K1932" s="289" t="n">
        <x:v>39161</x:v>
      </x:c>
    </x:row>
    <x:row r="1933" s="117" customFormat="1" hidden="1">
      <x:c r="A1933" s="184" t="inlineStr">
        <x:is>
          <x:t xml:space="preserve">PDTFRP001147</x:t>
        </x:is>
      </x:c>
      <x:c r="B1933" s="184" t="inlineStr">
        <x:is>
          <x:t xml:space="preserve">1296231 TEE DE 2 PLG (DN 63 MM )DOBLA LAMINA PVDF/FRP RESINA VINILESTER</x:t>
        </x:is>
      </x:c>
      <x:c r="C1933" s="184" t="n">
        <x:v>0</x:v>
      </x:c>
      <x:c r="D1933" s="184" t="n">
        <x:v>0</x:v>
      </x:c>
      <x:c r="E1933" s="184" t="n">
        <x:v>0</x:v>
      </x:c>
      <x:c r="F1933" s="184" t="n">
        <x:v>0</x:v>
      </x:c>
      <x:c r="G1933" s="184" t="n">
        <x:v>0</x:v>
      </x:c>
      <x:c r="H1933" s="193" t="n">
        <x:v>0</x:v>
      </x:c>
      <x:c r="I1933" s="185" t="n">
        <x:v>0</x:v>
      </x:c>
      <x:c r="J1933" s="185" t="n">
        <x:v>0</x:v>
      </x:c>
      <x:c r="K1933" s="289" t="n">
        <x:v>36871</x:v>
      </x:c>
    </x:row>
    <x:row r="1934" s="117" customFormat="1" hidden="1">
      <x:c r="A1934" s="184" t="inlineStr">
        <x:is>
          <x:t xml:space="preserve">PDTFRP001148</x:t>
        </x:is>
      </x:c>
      <x:c r="B1934" s="184" t="inlineStr">
        <x:is>
          <x:t xml:space="preserve">1296232 CODO DE 90° DE 2 PLG (DN 63 MM ) DOBLE LAMINA PVDF/FRP RESINA VINILESTER</x:t>
        </x:is>
      </x:c>
      <x:c r="C1934" s="184" t="n">
        <x:v>0</x:v>
      </x:c>
      <x:c r="D1934" s="184" t="n">
        <x:v>0</x:v>
      </x:c>
      <x:c r="E1934" s="184" t="n">
        <x:v>0</x:v>
      </x:c>
      <x:c r="F1934" s="184" t="n">
        <x:v>0</x:v>
      </x:c>
      <x:c r="G1934" s="184" t="n">
        <x:v>0</x:v>
      </x:c>
      <x:c r="H1934" s="193" t="n">
        <x:v>0</x:v>
      </x:c>
      <x:c r="I1934" s="185" t="n">
        <x:v>0</x:v>
      </x:c>
      <x:c r="J1934" s="185" t="n">
        <x:v>0</x:v>
      </x:c>
      <x:c r="K1934" s="289" t="n">
        <x:v>29676</x:v>
      </x:c>
    </x:row>
    <x:row r="1935" s="117" customFormat="1" hidden="1">
      <x:c r="A1935" s="184" t="inlineStr">
        <x:is>
          <x:t xml:space="preserve">PDTFRP001149</x:t>
        </x:is>
      </x:c>
      <x:c r="B1935" s="184" t="inlineStr">
        <x:is>
          <x:t xml:space="preserve">EST-1608 TANQUE DE PULPA DE DESCARGA DECANTER TREN A DIAM 3500*4000 EN FRP C%EXTRUCTURA METALICA</x:t>
        </x:is>
      </x:c>
      <x:c r="C1935" s="184" t="n">
        <x:v>0</x:v>
      </x:c>
      <x:c r="D1935" s="184" t="n">
        <x:v>0</x:v>
      </x:c>
      <x:c r="E1935" s="184" t="n">
        <x:v>0</x:v>
      </x:c>
      <x:c r="F1935" s="184" t="n">
        <x:v>0</x:v>
      </x:c>
      <x:c r="G1935" s="184" t="n">
        <x:v>0</x:v>
      </x:c>
      <x:c r="H1935" s="193" t="n">
        <x:v>0</x:v>
      </x:c>
      <x:c r="I1935" s="185" t="n">
        <x:v>0</x:v>
      </x:c>
      <x:c r="J1935" s="185" t="n">
        <x:v>0</x:v>
      </x:c>
      <x:c r="K1935" s="289" t="n">
        <x:v>18367035</x:v>
      </x:c>
    </x:row>
    <x:row r="1936" s="117" customFormat="1" hidden="1">
      <x:c r="A1936" s="184" t="inlineStr">
        <x:is>
          <x:t xml:space="preserve">PDTFRP001150</x:t>
        </x:is>
      </x:c>
      <x:c r="B1936" s="184" t="inlineStr">
        <x:is>
          <x:t xml:space="preserve">O,CENTRIFUGADO DE PRODUCTO DIAM 3500*3500 EN FRP C%EXTRUCTURA</x:t>
        </x:is>
      </x:c>
      <x:c r="C1936" s="184" t="n">
        <x:v>0</x:v>
      </x:c>
      <x:c r="D1936" s="184" t="n">
        <x:v>0</x:v>
      </x:c>
      <x:c r="E1936" s="184" t="n">
        <x:v>0</x:v>
      </x:c>
      <x:c r="F1936" s="184" t="n">
        <x:v>0</x:v>
      </x:c>
      <x:c r="G1936" s="184" t="n">
        <x:v>0</x:v>
      </x:c>
      <x:c r="H1936" s="193" t="n">
        <x:v>0</x:v>
      </x:c>
      <x:c r="I1936" s="185" t="n">
        <x:v>0</x:v>
      </x:c>
      <x:c r="J1936" s="185" t="n">
        <x:v>0</x:v>
      </x:c>
      <x:c r="K1936" s="289" t="n">
        <x:v>16791914</x:v>
      </x:c>
    </x:row>
    <x:row r="1937" s="117" customFormat="1" hidden="1">
      <x:c r="A1937" s="184" t="inlineStr">
        <x:is>
          <x:t xml:space="preserve">PDTFRP001151</x:t>
        </x:is>
      </x:c>
      <x:c r="B1937" s="184" t="inlineStr">
        <x:is>
          <x:t xml:space="preserve">TAPA DE EMZCLADOR ESTATICO DE RESINO EN DUAL LAMINATE FRP-PVDF S/PLANOS</x:t>
        </x:is>
      </x:c>
      <x:c r="C1937" s="184" t="n">
        <x:v>0</x:v>
      </x:c>
      <x:c r="D1937" s="184" t="n">
        <x:v>0</x:v>
      </x:c>
      <x:c r="E1937" s="184" t="n">
        <x:v>0</x:v>
      </x:c>
      <x:c r="F1937" s="184" t="n">
        <x:v>0</x:v>
      </x:c>
      <x:c r="G1937" s="184" t="n">
        <x:v>0</x:v>
      </x:c>
      <x:c r="H1937" s="193" t="n">
        <x:v>0</x:v>
      </x:c>
      <x:c r="I1937" s="185" t="n">
        <x:v>0</x:v>
      </x:c>
      <x:c r="J1937" s="185" t="n">
        <x:v>0</x:v>
      </x:c>
      <x:c r="K1937" s="289" t="n">
        <x:v>982450</x:v>
      </x:c>
    </x:row>
    <x:row r="1938" s="117" customFormat="1" hidden="1">
      <x:c r="A1938" s="184" t="inlineStr">
        <x:is>
          <x:t xml:space="preserve">PDTFRP001152</x:t>
        </x:is>
      </x:c>
      <x:c r="B1938" s="184" t="inlineStr">
        <x:is>
          <x:t xml:space="preserve">CAJA MUESTRA  400 X 400 MM S/PLANO CMTM1400400-DWG-000</x:t>
        </x:is>
      </x:c>
      <x:c r="C1938" s="184" t="n">
        <x:v>0</x:v>
      </x:c>
      <x:c r="D1938" s="184" t="n">
        <x:v>0</x:v>
      </x:c>
      <x:c r="E1938" s="184" t="n">
        <x:v>0</x:v>
      </x:c>
      <x:c r="F1938" s="184" t="n">
        <x:v>0</x:v>
      </x:c>
      <x:c r="G1938" s="184" t="n">
        <x:v>0</x:v>
      </x:c>
      <x:c r="H1938" s="193" t="n">
        <x:v>0</x:v>
      </x:c>
      <x:c r="I1938" s="185" t="n">
        <x:v>0</x:v>
      </x:c>
      <x:c r="J1938" s="185" t="n">
        <x:v>0</x:v>
      </x:c>
      <x:c r="K1938" s="289" t="n">
        <x:v>90107</x:v>
      </x:c>
    </x:row>
    <x:row r="1939" s="117" customFormat="1" hidden="1">
      <x:c r="A1939" s="184" t="inlineStr">
        <x:is>
          <x:t xml:space="preserve">PDTFRP001153</x:t>
        </x:is>
      </x:c>
      <x:c r="B1939" s="184" t="inlineStr">
        <x:is>
          <x:t xml:space="preserve">CAJA MUESTRA  350 X 350 MM S/PLANO CMTM1350350-DWG-000</x:t>
        </x:is>
      </x:c>
      <x:c r="C1939" s="184" t="n">
        <x:v>0</x:v>
      </x:c>
      <x:c r="D1939" s="184" t="n">
        <x:v>0</x:v>
      </x:c>
      <x:c r="E1939" s="184" t="n">
        <x:v>0</x:v>
      </x:c>
      <x:c r="F1939" s="184" t="n">
        <x:v>0</x:v>
      </x:c>
      <x:c r="G1939" s="184" t="n">
        <x:v>0</x:v>
      </x:c>
      <x:c r="H1939" s="193" t="n">
        <x:v>0</x:v>
      </x:c>
      <x:c r="I1939" s="185" t="n">
        <x:v>0</x:v>
      </x:c>
      <x:c r="J1939" s="185" t="n">
        <x:v>0</x:v>
      </x:c>
      <x:c r="K1939" s="289" t="n">
        <x:v>90107</x:v>
      </x:c>
    </x:row>
    <x:row r="1940" s="117" customFormat="1" hidden="1">
      <x:c r="A1940" s="184" t="inlineStr">
        <x:is>
          <x:t xml:space="preserve">PDTFRP001154</x:t>
        </x:is>
      </x:c>
      <x:c r="B1940" s="184" t="inlineStr">
        <x:is>
          <x:t xml:space="preserve">1230626 STUB END 6 PLG FRP RESINA VINILESTER CUELLO LARGOC/FLANGE PP ANSI CLASE 150</x:t>
        </x:is>
      </x:c>
      <x:c r="C1940" s="184" t="n">
        <x:v>0</x:v>
      </x:c>
      <x:c r="D1940" s="184" t="n">
        <x:v>0</x:v>
      </x:c>
      <x:c r="E1940" s="184" t="n">
        <x:v>0</x:v>
      </x:c>
      <x:c r="F1940" s="184" t="n">
        <x:v>0</x:v>
      </x:c>
      <x:c r="G1940" s="184" t="n">
        <x:v>0</x:v>
      </x:c>
      <x:c r="H1940" s="193" t="n">
        <x:v>0</x:v>
      </x:c>
      <x:c r="I1940" s="185" t="n">
        <x:v>0</x:v>
      </x:c>
      <x:c r="J1940" s="185" t="n">
        <x:v>0</x:v>
      </x:c>
      <x:c r="K1940" s="289" t="n">
        <x:v>118995</x:v>
      </x:c>
    </x:row>
    <x:row r="1941" s="117" customFormat="1" hidden="1">
      <x:c r="A1941" s="184" t="inlineStr">
        <x:is>
          <x:t xml:space="preserve">PDTFRP001155</x:t>
        </x:is>
      </x:c>
      <x:c r="B1941" s="184" t="inlineStr">
        <x:is>
          <x:t xml:space="preserve">4059830 MEZCLADOR ESTATICO FRP-PVDF DN 350 X 650 MM ELEMENTOS INTERNOS PVDF</x:t>
        </x:is>
      </x:c>
      <x:c r="C1941" s="184" t="n">
        <x:v>0</x:v>
      </x:c>
      <x:c r="D1941" s="184" t="n">
        <x:v>0</x:v>
      </x:c>
      <x:c r="E1941" s="184" t="n">
        <x:v>0</x:v>
      </x:c>
      <x:c r="F1941" s="184" t="n">
        <x:v>0</x:v>
      </x:c>
      <x:c r="G1941" s="184" t="n">
        <x:v>0</x:v>
      </x:c>
      <x:c r="H1941" s="193" t="n">
        <x:v>0</x:v>
      </x:c>
      <x:c r="I1941" s="185" t="n">
        <x:v>0</x:v>
      </x:c>
      <x:c r="J1941" s="185" t="n">
        <x:v>0</x:v>
      </x:c>
      <x:c r="K1941" s="289" t="n">
        <x:v>2925339</x:v>
      </x:c>
    </x:row>
    <x:row r="1942" s="117" customFormat="1" hidden="1">
      <x:c r="A1942" s="184" t="inlineStr">
        <x:is>
          <x:t xml:space="preserve">PDTFRP001156</x:t>
        </x:is>
      </x:c>
      <x:c r="B1942" s="184" t="inlineStr">
        <x:is>
          <x:t xml:space="preserve">CAÑERIA FIBRA DE VIDRIO DIAM. 6 PLG RESINA VINILESTER CLASE 150</x:t>
        </x:is>
      </x:c>
      <x:c r="C1942" s="184" t="n">
        <x:v>0</x:v>
      </x:c>
      <x:c r="D1942" s="184" t="n">
        <x:v>0</x:v>
      </x:c>
      <x:c r="E1942" s="184" t="n">
        <x:v>0</x:v>
      </x:c>
      <x:c r="F1942" s="184" t="n">
        <x:v>0</x:v>
      </x:c>
      <x:c r="G1942" s="184" t="n">
        <x:v>0</x:v>
      </x:c>
      <x:c r="H1942" s="193" t="n">
        <x:v>0</x:v>
      </x:c>
      <x:c r="I1942" s="185" t="n">
        <x:v>0</x:v>
      </x:c>
      <x:c r="J1942" s="185" t="n">
        <x:v>0</x:v>
      </x:c>
      <x:c r="K1942" s="289" t="n">
        <x:v>36811</x:v>
      </x:c>
    </x:row>
    <x:row r="1943" s="117" customFormat="1" hidden="1">
      <x:c r="A1943" s="184" t="inlineStr">
        <x:is>
          <x:t xml:space="preserve">PDTFRP001157</x:t>
        </x:is>
      </x:c>
      <x:c r="B1943" s="184" t="inlineStr">
        <x:is>
          <x:t xml:space="preserve">EST-1608 TANQUE PULPA DE DESCARGA DECANTER TREN A DIAM 3500X4000 EN FRP CON RESINA EPOXI STD</x:t>
        </x:is>
      </x:c>
      <x:c r="C1943" s="184" t="n">
        <x:v>0</x:v>
      </x:c>
      <x:c r="D1943" s="184" t="n">
        <x:v>0</x:v>
      </x:c>
      <x:c r="E1943" s="184" t="n">
        <x:v>0</x:v>
      </x:c>
      <x:c r="F1943" s="184" t="n">
        <x:v>0</x:v>
      </x:c>
      <x:c r="G1943" s="184" t="n">
        <x:v>0</x:v>
      </x:c>
      <x:c r="H1943" s="193" t="n">
        <x:v>0</x:v>
      </x:c>
      <x:c r="I1943" s="185" t="n">
        <x:v>0</x:v>
      </x:c>
      <x:c r="J1943" s="185" t="n">
        <x:v>0</x:v>
      </x:c>
      <x:c r="K1943" s="289" t="n">
        <x:v>18367035</x:v>
      </x:c>
    </x:row>
    <x:row r="1944" s="117" customFormat="1" hidden="1">
      <x:c r="A1944" s="184" t="inlineStr">
        <x:is>
          <x:t xml:space="preserve">PDTFRP001158</x:t>
        </x:is>
      </x:c>
      <x:c r="B1944" s="184" t="inlineStr">
        <x:is>
          <x:t xml:space="preserve">EST- 1300 TANQUE DE ALMACENAMIENTO AGUA DE LAVADO,CENTRIFUGADO DE PRODUCTO DIAM 3500*3500 EN FRP</x:t>
        </x:is>
      </x:c>
      <x:c r="C1944" s="184" t="n">
        <x:v>0</x:v>
      </x:c>
      <x:c r="D1944" s="184" t="n">
        <x:v>0</x:v>
      </x:c>
      <x:c r="E1944" s="184" t="n">
        <x:v>0</x:v>
      </x:c>
      <x:c r="F1944" s="184" t="n">
        <x:v>0</x:v>
      </x:c>
      <x:c r="G1944" s="184" t="n">
        <x:v>0</x:v>
      </x:c>
      <x:c r="H1944" s="193" t="n">
        <x:v>0</x:v>
      </x:c>
      <x:c r="I1944" s="185" t="n">
        <x:v>0</x:v>
      </x:c>
      <x:c r="J1944" s="185" t="n">
        <x:v>0</x:v>
      </x:c>
      <x:c r="K1944" s="289" t="n">
        <x:v>16791914</x:v>
      </x:c>
    </x:row>
    <x:row r="1945" s="117" customFormat="1" hidden="1">
      <x:c r="A1945" s="184" t="inlineStr">
        <x:is>
          <x:t xml:space="preserve">PDTFRP001159</x:t>
        </x:is>
      </x:c>
      <x:c r="B1945" s="184" t="inlineStr">
        <x:is>
          <x:t xml:space="preserve">SOPORTES POLTRUIDOS FRP PERFIL SPOOL HDPE VALVLA BOLA  Y FITING ELECTROFUSION</x:t>
        </x:is>
      </x:c>
      <x:c r="C1945" s="184" t="n">
        <x:v>0</x:v>
      </x:c>
      <x:c r="D1945" s="184" t="n">
        <x:v>0</x:v>
      </x:c>
      <x:c r="E1945" s="184" t="n">
        <x:v>0</x:v>
      </x:c>
      <x:c r="F1945" s="184" t="n">
        <x:v>0</x:v>
      </x:c>
      <x:c r="G1945" s="184" t="n">
        <x:v>0</x:v>
      </x:c>
      <x:c r="H1945" s="193" t="n">
        <x:v>0</x:v>
      </x:c>
      <x:c r="I1945" s="185" t="n">
        <x:v>0</x:v>
      </x:c>
      <x:c r="J1945" s="185" t="n">
        <x:v>0</x:v>
      </x:c>
      <x:c r="K1945" s="289" t="n">
        <x:v>125988</x:v>
      </x:c>
    </x:row>
    <x:row r="1946" s="117" customFormat="1" hidden="1">
      <x:c r="A1946" s="184" t="inlineStr">
        <x:is>
          <x:t xml:space="preserve">PDTFRP001160</x:t>
        </x:is>
      </x:c>
      <x:c r="B1946" s="184" t="inlineStr">
        <x:is>
          <x:t xml:space="preserve">TEE 90° DIAM 6 PLG FRP RESINA VINILESTER C&amp;FLG</x:t>
        </x:is>
      </x:c>
      <x:c r="C1946" s="184" t="n">
        <x:v>0</x:v>
      </x:c>
      <x:c r="D1946" s="184" t="n">
        <x:v>0</x:v>
      </x:c>
      <x:c r="E1946" s="184" t="n">
        <x:v>0</x:v>
      </x:c>
      <x:c r="F1946" s="184" t="n">
        <x:v>0</x:v>
      </x:c>
      <x:c r="G1946" s="184" t="n">
        <x:v>0</x:v>
      </x:c>
      <x:c r="H1946" s="193" t="n">
        <x:v>0</x:v>
      </x:c>
      <x:c r="I1946" s="185" t="n">
        <x:v>0</x:v>
      </x:c>
      <x:c r="J1946" s="185" t="n">
        <x:v>0</x:v>
      </x:c>
      <x:c r="K1946" s="289" t="n">
        <x:v>378056</x:v>
      </x:c>
    </x:row>
    <x:row r="1947" s="117" customFormat="1" hidden="1">
      <x:c r="A1947" s="184" t="inlineStr">
        <x:is>
          <x:t xml:space="preserve">PDTFRP001161</x:t>
        </x:is>
      </x:c>
      <x:c r="B1947" s="184" t="inlineStr">
        <x:is>
          <x:t xml:space="preserve">FLANGE DIAM 6 PLG SLIP ON 316 L</x:t>
        </x:is>
      </x:c>
      <x:c r="C1947" s="184" t="n">
        <x:v>0</x:v>
      </x:c>
      <x:c r="D1947" s="184" t="n">
        <x:v>0</x:v>
      </x:c>
      <x:c r="E1947" s="184" t="n">
        <x:v>0</x:v>
      </x:c>
      <x:c r="F1947" s="184" t="n">
        <x:v>0</x:v>
      </x:c>
      <x:c r="G1947" s="184" t="n">
        <x:v>0</x:v>
      </x:c>
      <x:c r="H1947" s="193" t="n">
        <x:v>0</x:v>
      </x:c>
      <x:c r="I1947" s="185" t="n">
        <x:v>0</x:v>
      </x:c>
      <x:c r="J1947" s="185" t="n">
        <x:v>0</x:v>
      </x:c>
      <x:c r="K1947" s="289" t="n">
        <x:v>37806</x:v>
      </x:c>
    </x:row>
    <x:row r="1948" s="117" customFormat="1" hidden="1">
      <x:c r="A1948" s="184" t="inlineStr">
        <x:is>
          <x:t xml:space="preserve">PDTFRP001162</x:t>
        </x:is>
      </x:c>
      <x:c r="B1948" s="184" t="inlineStr">
        <x:is>
          <x:t xml:space="preserve">CODO (200X200MM) PARA ANILLO DE IRRIGACION TORRE HUMIDIFICACION PLTA ACIDOS CHAGRES</x:t>
        </x:is>
      </x:c>
      <x:c r="C1948" s="184" t="n">
        <x:v>0</x:v>
      </x:c>
      <x:c r="D1948" s="184" t="n">
        <x:v>0</x:v>
      </x:c>
      <x:c r="E1948" s="184" t="n">
        <x:v>0</x:v>
      </x:c>
      <x:c r="F1948" s="184" t="n">
        <x:v>0</x:v>
      </x:c>
      <x:c r="G1948" s="184" t="n">
        <x:v>0</x:v>
      </x:c>
      <x:c r="H1948" s="193" t="n">
        <x:v>0</x:v>
      </x:c>
      <x:c r="I1948" s="185" t="n">
        <x:v>0</x:v>
      </x:c>
      <x:c r="J1948" s="185" t="n">
        <x:v>0</x:v>
      </x:c>
      <x:c r="K1948" s="289" t="n">
        <x:v>309976</x:v>
      </x:c>
    </x:row>
    <x:row r="1949" s="117" customFormat="1" hidden="1">
      <x:c r="A1949" s="184" t="inlineStr">
        <x:is>
          <x:t xml:space="preserve">PDTFRP001163</x:t>
        </x:is>
      </x:c>
      <x:c r="B1949" s="184" t="inlineStr">
        <x:is>
          <x:t xml:space="preserve">CONJUNTO INSERTOS FRP MK-711-10 SIGDO KOPPERS FUL0620-NV0003  (6 PIEZAS)</x:t>
        </x:is>
      </x:c>
      <x:c r="C1949" s="184" t="n">
        <x:v>0</x:v>
      </x:c>
      <x:c r="D1949" s="184" t="n">
        <x:v>0</x:v>
      </x:c>
      <x:c r="E1949" s="184" t="n">
        <x:v>0</x:v>
      </x:c>
      <x:c r="F1949" s="184" t="n">
        <x:v>0</x:v>
      </x:c>
      <x:c r="G1949" s="184" t="n">
        <x:v>0</x:v>
      </x:c>
      <x:c r="H1949" s="193" t="n">
        <x:v>0</x:v>
      </x:c>
      <x:c r="I1949" s="185" t="n">
        <x:v>0</x:v>
      </x:c>
      <x:c r="J1949" s="185" t="n">
        <x:v>0</x:v>
      </x:c>
      <x:c r="K1949" s="289" t="n">
        <x:v>6777548</x:v>
      </x:c>
    </x:row>
    <x:row r="1950" s="117" customFormat="1" hidden="1">
      <x:c r="A1950" s="184" t="inlineStr">
        <x:is>
          <x:t xml:space="preserve">PDTFRP001164</x:t>
        </x:is>
      </x:c>
      <x:c r="B1950" s="184" t="inlineStr">
        <x:is>
          <x:t xml:space="preserve">MEZCLADOR ESTATICO PARA ETAPA DE REEXTRACCION DE SX CENTINELA</x:t>
        </x:is>
      </x:c>
      <x:c r="C1950" s="184" t="n">
        <x:v>0</x:v>
      </x:c>
      <x:c r="D1950" s="184" t="n">
        <x:v>0</x:v>
      </x:c>
      <x:c r="E1950" s="184" t="n">
        <x:v>0</x:v>
      </x:c>
      <x:c r="F1950" s="184" t="n">
        <x:v>0</x:v>
      </x:c>
      <x:c r="G1950" s="184" t="n">
        <x:v>0</x:v>
      </x:c>
      <x:c r="H1950" s="193" t="n">
        <x:v>0</x:v>
      </x:c>
      <x:c r="I1950" s="185" t="n">
        <x:v>0</x:v>
      </x:c>
      <x:c r="J1950" s="185" t="n">
        <x:v>0</x:v>
      </x:c>
      <x:c r="K1950" s="289" t="n">
        <x:v>4570169</x:v>
      </x:c>
    </x:row>
    <x:row r="1951" s="117" customFormat="1" hidden="1">
      <x:c r="A1951" s="184" t="inlineStr">
        <x:is>
          <x:t xml:space="preserve">PDTFRP001165</x:t>
        </x:is>
      </x:c>
      <x:c r="B1951" s="184" t="inlineStr">
        <x:is>
          <x:t xml:space="preserve">A28 FABRICACION DE END CUP DIAM 18 PLG X 600 MM EN FRP RES.VINILESTER S/N AWWA C950</x:t>
        </x:is>
      </x:c>
      <x:c r="C1951" s="184" t="n">
        <x:v>0</x:v>
      </x:c>
      <x:c r="D1951" s="184" t="n">
        <x:v>0</x:v>
      </x:c>
      <x:c r="E1951" s="184" t="n">
        <x:v>0</x:v>
      </x:c>
      <x:c r="F1951" s="184" t="n">
        <x:v>0</x:v>
      </x:c>
      <x:c r="G1951" s="184" t="n">
        <x:v>0</x:v>
      </x:c>
      <x:c r="H1951" s="193" t="n">
        <x:v>0</x:v>
      </x:c>
      <x:c r="I1951" s="185" t="n">
        <x:v>0</x:v>
      </x:c>
      <x:c r="J1951" s="185" t="n">
        <x:v>0</x:v>
      </x:c>
      <x:c r="K1951" s="289" t="n">
        <x:v>997272</x:v>
      </x:c>
    </x:row>
    <x:row r="1952" s="117" customFormat="1" hidden="1">
      <x:c r="A1952" s="184" t="inlineStr">
        <x:is>
          <x:t xml:space="preserve">PDTFRP001166</x:t>
        </x:is>
      </x:c>
      <x:c r="B1952" s="184" t="inlineStr">
        <x:is>
          <x:t xml:space="preserve">4195382 CODO FEP 90°  700 MM PLN104207FV36REVA INCLUYE FLANGE AC.INOX</x:t>
        </x:is>
      </x:c>
      <x:c r="C1952" s="184" t="n">
        <x:v>0</x:v>
      </x:c>
      <x:c r="D1952" s="184" t="n">
        <x:v>0</x:v>
      </x:c>
      <x:c r="E1952" s="184" t="n">
        <x:v>0</x:v>
      </x:c>
      <x:c r="F1952" s="184" t="n">
        <x:v>0</x:v>
      </x:c>
      <x:c r="G1952" s="184" t="n">
        <x:v>0</x:v>
      </x:c>
      <x:c r="H1952" s="193" t="n">
        <x:v>0</x:v>
      </x:c>
      <x:c r="I1952" s="185" t="n">
        <x:v>0</x:v>
      </x:c>
      <x:c r="J1952" s="185" t="n">
        <x:v>0</x:v>
      </x:c>
      <x:c r="K1952" s="289" t="n">
        <x:v>11516005</x:v>
      </x:c>
    </x:row>
    <x:row r="1953" s="117" customFormat="1" hidden="1">
      <x:c r="A1953" s="184" t="inlineStr">
        <x:is>
          <x:t xml:space="preserve">PDTFRP001167</x:t>
        </x:is>
      </x:c>
      <x:c r="B1953" s="184" t="inlineStr">
        <x:is>
          <x:t xml:space="preserve">EST-1320 TANQUE LICOR DEBIL CENTRIFUGADO DIAM 4000X4800MM FRP RESINA EPOXI VINILESTER STD</x:t>
        </x:is>
      </x:c>
      <x:c r="C1953" s="184" t="n">
        <x:v>0</x:v>
      </x:c>
      <x:c r="D1953" s="184" t="n">
        <x:v>0</x:v>
      </x:c>
      <x:c r="E1953" s="184" t="n">
        <x:v>0</x:v>
      </x:c>
      <x:c r="F1953" s="184" t="n">
        <x:v>0</x:v>
      </x:c>
      <x:c r="G1953" s="184" t="n">
        <x:v>0</x:v>
      </x:c>
      <x:c r="H1953" s="193" t="n">
        <x:v>0</x:v>
      </x:c>
      <x:c r="I1953" s="185" t="n">
        <x:v>0</x:v>
      </x:c>
      <x:c r="J1953" s="185" t="n">
        <x:v>0</x:v>
      </x:c>
      <x:c r="K1953" s="289" t="n">
        <x:v>31558596</x:v>
      </x:c>
    </x:row>
    <x:row r="1954" s="117" customFormat="1" hidden="1">
      <x:c r="A1954" s="184" t="inlineStr">
        <x:is>
          <x:t xml:space="preserve">PDTFRP001168</x:t>
        </x:is>
      </x:c>
      <x:c r="B1954" s="184" t="inlineStr">
        <x:is>
          <x:t xml:space="preserve">EST-1600 TANQUE DE LICOR MADRE TREN A DIAM 4000X4500 MM FRP RESINA EPOXI VINILESTER STD</x:t>
        </x:is>
      </x:c>
      <x:c r="C1954" s="184" t="n">
        <x:v>0</x:v>
      </x:c>
      <x:c r="D1954" s="184" t="n">
        <x:v>0</x:v>
      </x:c>
      <x:c r="E1954" s="184" t="n">
        <x:v>0</x:v>
      </x:c>
      <x:c r="F1954" s="184" t="n">
        <x:v>0</x:v>
      </x:c>
      <x:c r="G1954" s="184" t="n">
        <x:v>0</x:v>
      </x:c>
      <x:c r="H1954" s="193" t="n">
        <x:v>0</x:v>
      </x:c>
      <x:c r="I1954" s="185" t="n">
        <x:v>0</x:v>
      </x:c>
      <x:c r="J1954" s="185" t="n">
        <x:v>0</x:v>
      </x:c>
      <x:c r="K1954" s="289" t="n">
        <x:v>31392170</x:v>
      </x:c>
    </x:row>
    <x:row r="1955" s="117" customFormat="1" hidden="1">
      <x:c r="A1955" s="184" t="inlineStr">
        <x:is>
          <x:t xml:space="preserve">PDTFRP001169</x:t>
        </x:is>
      </x:c>
      <x:c r="B1955" s="184" t="inlineStr">
        <x:is>
          <x:t xml:space="preserve">EST-1606 TANQUE DE ALIMENTACION DECANTER TREN A DIAM 4000 X 4000 MM FRP RESINA EPOXI VINILESTER STD</x:t>
        </x:is>
      </x:c>
      <x:c r="C1955" s="184" t="n">
        <x:v>0</x:v>
      </x:c>
      <x:c r="D1955" s="184" t="n">
        <x:v>0</x:v>
      </x:c>
      <x:c r="E1955" s="184" t="n">
        <x:v>0</x:v>
      </x:c>
      <x:c r="F1955" s="184" t="n">
        <x:v>0</x:v>
      </x:c>
      <x:c r="G1955" s="184" t="n">
        <x:v>0</x:v>
      </x:c>
      <x:c r="H1955" s="193" t="n">
        <x:v>0</x:v>
      </x:c>
      <x:c r="I1955" s="185" t="n">
        <x:v>0</x:v>
      </x:c>
      <x:c r="J1955" s="185" t="n">
        <x:v>0</x:v>
      </x:c>
      <x:c r="K1955" s="289" t="n">
        <x:v>29187021</x:v>
      </x:c>
    </x:row>
    <x:row r="1956" s="117" customFormat="1" hidden="1">
      <x:c r="A1956" s="184" t="inlineStr">
        <x:is>
          <x:t xml:space="preserve">PDTFRP001170</x:t>
        </x:is>
      </x:c>
      <x:c r="B1956" s="184" t="inlineStr">
        <x:is>
          <x:t xml:space="preserve">EST-1614 TANQUE DE ALMACENAMIENTO LICOR MADRE DIAM 2700 X 2700 MM FRP RESINA EPOXI VINILESTER STD</x:t>
        </x:is>
      </x:c>
      <x:c r="C1956" s="184" t="n">
        <x:v>0</x:v>
      </x:c>
      <x:c r="D1956" s="184" t="n">
        <x:v>0</x:v>
      </x:c>
      <x:c r="E1956" s="184" t="n">
        <x:v>0</x:v>
      </x:c>
      <x:c r="F1956" s="184" t="n">
        <x:v>0</x:v>
      </x:c>
      <x:c r="G1956" s="184" t="n">
        <x:v>0</x:v>
      </x:c>
      <x:c r="H1956" s="193" t="n">
        <x:v>0</x:v>
      </x:c>
      <x:c r="I1956" s="185" t="n">
        <x:v>0</x:v>
      </x:c>
      <x:c r="J1956" s="185" t="n">
        <x:v>0</x:v>
      </x:c>
      <x:c r="K1956" s="289" t="n">
        <x:v>11878680</x:v>
      </x:c>
    </x:row>
    <x:row r="1957" s="117" customFormat="1" hidden="1">
      <x:c r="A1957" s="184" t="inlineStr">
        <x:is>
          <x:t xml:space="preserve">PDTFRP001171</x:t>
        </x:is>
      </x:c>
      <x:c r="B1957" s="184" t="inlineStr">
        <x:is>
          <x:t xml:space="preserve">ESTANQUE ALJIBE FRP RESINA VINIÑESTER OFI0221-NV0000</x:t>
        </x:is>
      </x:c>
      <x:c r="C1957" s="184" t="n">
        <x:v>0</x:v>
      </x:c>
      <x:c r="D1957" s="184" t="n">
        <x:v>0</x:v>
      </x:c>
      <x:c r="E1957" s="184" t="n">
        <x:v>0</x:v>
      </x:c>
      <x:c r="F1957" s="184" t="n">
        <x:v>0</x:v>
      </x:c>
      <x:c r="G1957" s="184" t="n">
        <x:v>0</x:v>
      </x:c>
      <x:c r="H1957" s="193" t="n">
        <x:v>0</x:v>
      </x:c>
      <x:c r="I1957" s="185" t="n">
        <x:v>0</x:v>
      </x:c>
      <x:c r="J1957" s="185" t="n">
        <x:v>0</x:v>
      </x:c>
      <x:c r="K1957" s="289" t="n">
        <x:v>4726455</x:v>
      </x:c>
    </x:row>
    <x:row r="1958" s="117" customFormat="1" hidden="1">
      <x:c r="A1958" s="184" t="inlineStr">
        <x:is>
          <x:t xml:space="preserve">PDTFRP001172</x:t>
        </x:is>
      </x:c>
      <x:c r="B1958" s="184" t="inlineStr">
        <x:is>
          <x:t xml:space="preserve">DISCO PROTECTOR PARA PLATO DUAL LAMINATE  PP/FRPALTO NORTE</x:t>
        </x:is>
      </x:c>
      <x:c r="C1958" s="184" t="n">
        <x:v>0</x:v>
      </x:c>
      <x:c r="D1958" s="184" t="n">
        <x:v>0</x:v>
      </x:c>
      <x:c r="E1958" s="184" t="n">
        <x:v>0</x:v>
      </x:c>
      <x:c r="F1958" s="184" t="n">
        <x:v>0</x:v>
      </x:c>
      <x:c r="G1958" s="184" t="n">
        <x:v>0</x:v>
      </x:c>
      <x:c r="H1958" s="193" t="n">
        <x:v>0</x:v>
      </x:c>
      <x:c r="I1958" s="185" t="n">
        <x:v>0</x:v>
      </x:c>
      <x:c r="J1958" s="185" t="n">
        <x:v>0</x:v>
      </x:c>
      <x:c r="K1958" s="289" t="n">
        <x:v>1043160</x:v>
      </x:c>
    </x:row>
    <x:row r="1959" s="117" customFormat="1" hidden="1">
      <x:c r="A1959" s="184" t="inlineStr">
        <x:is>
          <x:t xml:space="preserve">PDTFRP001173</x:t>
        </x:is>
      </x:c>
      <x:c r="B1959" s="184" t="inlineStr">
        <x:is>
          <x:t xml:space="preserve">TAPA FRP C/OREJAS ISAJE ALTO NORTE</x:t>
        </x:is>
      </x:c>
      <x:c r="C1959" s="184" t="n">
        <x:v>0</x:v>
      </x:c>
      <x:c r="D1959" s="184" t="n">
        <x:v>0</x:v>
      </x:c>
      <x:c r="E1959" s="184" t="n">
        <x:v>0</x:v>
      </x:c>
      <x:c r="F1959" s="184" t="n">
        <x:v>0</x:v>
      </x:c>
      <x:c r="G1959" s="184" t="n">
        <x:v>0</x:v>
      </x:c>
      <x:c r="H1959" s="193" t="n">
        <x:v>0</x:v>
      </x:c>
      <x:c r="I1959" s="185" t="n">
        <x:v>0</x:v>
      </x:c>
      <x:c r="J1959" s="185" t="n">
        <x:v>0</x:v>
      </x:c>
      <x:c r="K1959" s="289" t="n">
        <x:v>186423</x:v>
      </x:c>
    </x:row>
    <x:row r="1960" s="117" customFormat="1" hidden="1">
      <x:c r="A1960" s="184" t="inlineStr">
        <x:is>
          <x:t xml:space="preserve">PDTFRP001174</x:t>
        </x:is>
      </x:c>
      <x:c r="B1960" s="184" t="inlineStr">
        <x:is>
          <x:t xml:space="preserve">DUCTO DE GASES FRP ENTRADA A TORRE DE SECADO N° 1 1530 X 12940 AAS</x:t>
        </x:is>
      </x:c>
      <x:c r="C1960" s="184" t="n">
        <x:v>0</x:v>
      </x:c>
      <x:c r="D1960" s="184" t="n">
        <x:v>0</x:v>
      </x:c>
      <x:c r="E1960" s="184" t="n">
        <x:v>0</x:v>
      </x:c>
      <x:c r="F1960" s="184" t="n">
        <x:v>0</x:v>
      </x:c>
      <x:c r="G1960" s="184" t="n">
        <x:v>0</x:v>
      </x:c>
      <x:c r="H1960" s="193" t="n">
        <x:v>0</x:v>
      </x:c>
      <x:c r="I1960" s="185" t="n">
        <x:v>0</x:v>
      </x:c>
      <x:c r="J1960" s="185" t="n">
        <x:v>0</x:v>
      </x:c>
      <x:c r="K1960" s="289" t="n">
        <x:v>14813431</x:v>
      </x:c>
    </x:row>
    <x:row r="1961" s="117" customFormat="1" hidden="1">
      <x:c r="A1961" s="184" t="inlineStr">
        <x:is>
          <x:t xml:space="preserve">PDTFRP001175</x:t>
        </x:is>
      </x:c>
      <x:c r="B1961" s="184" t="inlineStr">
        <x:is>
          <x:t xml:space="preserve">CUPULA DE VENTILADORES EN FRP RESINA VINILESTER PARA TORRES ENFRIAMIENTO PTA OXIG.AAS</x:t>
        </x:is>
      </x:c>
      <x:c r="C1961" s="184" t="n">
        <x:v>0</x:v>
      </x:c>
      <x:c r="D1961" s="184" t="n">
        <x:v>0</x:v>
      </x:c>
      <x:c r="E1961" s="184" t="n">
        <x:v>0</x:v>
      </x:c>
      <x:c r="F1961" s="184" t="n">
        <x:v>0</x:v>
      </x:c>
      <x:c r="G1961" s="184" t="n">
        <x:v>0</x:v>
      </x:c>
      <x:c r="H1961" s="193" t="n">
        <x:v>0</x:v>
      </x:c>
      <x:c r="I1961" s="185" t="n">
        <x:v>0</x:v>
      </x:c>
      <x:c r="J1961" s="185" t="n">
        <x:v>0</x:v>
      </x:c>
      <x:c r="K1961" s="289" t="n">
        <x:v>2880546</x:v>
      </x:c>
    </x:row>
    <x:row r="1962" s="117" customFormat="1" hidden="1">
      <x:c r="A1962" s="184" t="inlineStr">
        <x:is>
          <x:t xml:space="preserve">PDTFRP001176</x:t>
        </x:is>
      </x:c>
      <x:c r="B1962" s="184" t="inlineStr">
        <x:is>
          <x:t xml:space="preserve">CONJUNTO FLANGE CIEGO Y GUILLOTINA FRP RESINA VINILESTER ENTRADA DE GASES A PRESIPITADORES  DE GASES</x:t>
        </x:is>
      </x:c>
      <x:c r="C1962" s="184" t="n">
        <x:v>0</x:v>
      </x:c>
      <x:c r="D1962" s="184" t="n">
        <x:v>0</x:v>
      </x:c>
      <x:c r="E1962" s="184" t="n">
        <x:v>0</x:v>
      </x:c>
      <x:c r="F1962" s="184" t="n">
        <x:v>0</x:v>
      </x:c>
      <x:c r="G1962" s="184" t="n">
        <x:v>0</x:v>
      </x:c>
      <x:c r="H1962" s="193" t="n">
        <x:v>0</x:v>
      </x:c>
      <x:c r="I1962" s="185" t="n">
        <x:v>0</x:v>
      </x:c>
      <x:c r="J1962" s="185" t="n">
        <x:v>0</x:v>
      </x:c>
      <x:c r="K1962" s="289" t="n">
        <x:v>1117848</x:v>
      </x:c>
    </x:row>
    <x:row r="1963" s="117" customFormat="1" hidden="1">
      <x:c r="A1963" s="184" t="inlineStr">
        <x:is>
          <x:t xml:space="preserve">PDTFRP001177</x:t>
        </x:is>
      </x:c>
      <x:c r="B1963" s="184" t="inlineStr">
        <x:is>
          <x:t xml:space="preserve">4101768 CAÑERIA FRP DIAM 16 PLG NORMA SIMONS 4S 1002 ( TRAMOS DE 6 MTS)</x:t>
        </x:is>
      </x:c>
      <x:c r="C1963" s="184" t="n">
        <x:v>0</x:v>
      </x:c>
      <x:c r="D1963" s="184" t="n">
        <x:v>0</x:v>
      </x:c>
      <x:c r="E1963" s="184" t="n">
        <x:v>0</x:v>
      </x:c>
      <x:c r="F1963" s="184" t="n">
        <x:v>0</x:v>
      </x:c>
      <x:c r="G1963" s="184" t="n">
        <x:v>0</x:v>
      </x:c>
      <x:c r="H1963" s="193" t="n">
        <x:v>0</x:v>
      </x:c>
      <x:c r="I1963" s="185" t="n">
        <x:v>0</x:v>
      </x:c>
      <x:c r="J1963" s="185" t="n">
        <x:v>0</x:v>
      </x:c>
      <x:c r="K1963" s="289" t="n">
        <x:v>100070</x:v>
      </x:c>
    </x:row>
    <x:row r="1964" s="117" customFormat="1" hidden="1">
      <x:c r="A1964" s="184" t="inlineStr">
        <x:is>
          <x:t xml:space="preserve">PDTFRP001178</x:t>
        </x:is>
      </x:c>
      <x:c r="B1964" s="184" t="inlineStr">
        <x:is>
          <x:t xml:space="preserve">CAÑERIA FRP 6 BPLG X 6 MTS 150 PSI CODIGO 4101769</x:t>
        </x:is>
      </x:c>
      <x:c r="C1964" s="184" t="n">
        <x:v>24</x:v>
      </x:c>
      <x:c r="D1964" s="184" t="n">
        <x:v>0</x:v>
      </x:c>
      <x:c r="E1964" s="184" t="n">
        <x:v>0</x:v>
      </x:c>
      <x:c r="F1964" s="184" t="n">
        <x:v>24</x:v>
      </x:c>
      <x:c r="G1964" s="184" t="n">
        <x:v>1272336</x:v>
      </x:c>
      <x:c r="H1964" s="193" t="n">
        <x:v>0</x:v>
      </x:c>
      <x:c r="I1964" s="185" t="n">
        <x:v>0</x:v>
      </x:c>
      <x:c r="J1964" s="185" t="n">
        <x:v>1272336</x:v>
      </x:c>
      <x:c r="K1964" s="289" t="n">
        <x:v>53014</x:v>
      </x:c>
    </x:row>
    <x:row r="1965" s="117" customFormat="1" hidden="1">
      <x:c r="A1965" s="184" t="inlineStr">
        <x:is>
          <x:t xml:space="preserve">PDTFRP001179</x:t>
        </x:is>
      </x:c>
      <x:c r="B1965" s="184" t="inlineStr">
        <x:is>
          <x:t xml:space="preserve">PIPING CONEXION CON TOBERA OTOVENT DUAL LAMINATE FRP-PP JCC0221-NV0007</x:t>
        </x:is>
      </x:c>
      <x:c r="C1965" s="184" t="n">
        <x:v>0</x:v>
      </x:c>
      <x:c r="D1965" s="184" t="n">
        <x:v>0</x:v>
      </x:c>
      <x:c r="E1965" s="184" t="n">
        <x:v>0</x:v>
      </x:c>
      <x:c r="F1965" s="184" t="n">
        <x:v>0</x:v>
      </x:c>
      <x:c r="G1965" s="184" t="n">
        <x:v>0</x:v>
      </x:c>
      <x:c r="H1965" s="193" t="n">
        <x:v>0</x:v>
      </x:c>
      <x:c r="I1965" s="185" t="n">
        <x:v>0</x:v>
      </x:c>
      <x:c r="J1965" s="185" t="n">
        <x:v>0</x:v>
      </x:c>
      <x:c r="K1965" s="289" t="n">
        <x:v>166376</x:v>
      </x:c>
    </x:row>
    <x:row r="1966" s="117" customFormat="1" hidden="1">
      <x:c r="A1966" s="184" t="inlineStr">
        <x:is>
          <x:t xml:space="preserve">PDTFRP001180</x:t>
        </x:is>
      </x:c>
      <x:c r="B1966" s="184" t="inlineStr">
        <x:is>
          <x:t xml:space="preserve">4101318 BRIDA 16 PLG 150 PSI CLASE 150 RESINA VINILESTER NORMAS STNDAR ANSI B 16,5</x:t>
        </x:is>
      </x:c>
      <x:c r="C1966" s="184" t="n">
        <x:v>0</x:v>
      </x:c>
      <x:c r="D1966" s="184" t="n">
        <x:v>0</x:v>
      </x:c>
      <x:c r="E1966" s="184" t="n">
        <x:v>0</x:v>
      </x:c>
      <x:c r="F1966" s="184" t="n">
        <x:v>0</x:v>
      </x:c>
      <x:c r="G1966" s="184" t="n">
        <x:v>0</x:v>
      </x:c>
      <x:c r="H1966" s="193" t="n">
        <x:v>0</x:v>
      </x:c>
      <x:c r="I1966" s="185" t="n">
        <x:v>0</x:v>
      </x:c>
      <x:c r="J1966" s="185" t="n">
        <x:v>0</x:v>
      </x:c>
      <x:c r="K1966" s="289" t="n">
        <x:v>157752</x:v>
      </x:c>
    </x:row>
    <x:row r="1967" s="117" customFormat="1" hidden="1">
      <x:c r="A1967" s="184" t="inlineStr">
        <x:is>
          <x:t xml:space="preserve">PDTFRP001181</x:t>
        </x:is>
      </x:c>
      <x:c r="B1967" s="184" t="inlineStr">
        <x:is>
          <x:t xml:space="preserve">FABRICACION SPOOL EN DOBLE LAMINA PP-FRP LINEA 2  EW-1907309-1F01-NI ENAP</x:t>
        </x:is>
      </x:c>
      <x:c r="C1967" s="184" t="n">
        <x:v>0</x:v>
      </x:c>
      <x:c r="D1967" s="184" t="n">
        <x:v>0</x:v>
      </x:c>
      <x:c r="E1967" s="184" t="n">
        <x:v>0</x:v>
      </x:c>
      <x:c r="F1967" s="184" t="n">
        <x:v>0</x:v>
      </x:c>
      <x:c r="G1967" s="184" t="n">
        <x:v>0</x:v>
      </x:c>
      <x:c r="H1967" s="193" t="n">
        <x:v>0</x:v>
      </x:c>
      <x:c r="I1967" s="185" t="n">
        <x:v>0</x:v>
      </x:c>
      <x:c r="J1967" s="185" t="n">
        <x:v>0</x:v>
      </x:c>
      <x:c r="K1967" s="289" t="n">
        <x:v>1364365</x:v>
      </x:c>
    </x:row>
    <x:row r="1968" s="117" customFormat="1" hidden="1">
      <x:c r="A1968" s="184" t="inlineStr">
        <x:is>
          <x:t xml:space="preserve">PDTFRP001182</x:t>
        </x:is>
      </x:c>
      <x:c r="B1968" s="184" t="inlineStr">
        <x:is>
          <x:t xml:space="preserve">1519228 CODO 45 GDR DIAM 12 PLG DUAL LAMINATE PP-FRP INVENIO PPTPPFCD4012</x:t>
        </x:is>
      </x:c>
      <x:c r="C1968" s="184" t="n">
        <x:v>0</x:v>
      </x:c>
      <x:c r="D1968" s="184" t="n">
        <x:v>0</x:v>
      </x:c>
      <x:c r="E1968" s="184" t="n">
        <x:v>0</x:v>
      </x:c>
      <x:c r="F1968" s="184" t="n">
        <x:v>0</x:v>
      </x:c>
      <x:c r="G1968" s="184" t="n">
        <x:v>0</x:v>
      </x:c>
      <x:c r="H1968" s="193" t="n">
        <x:v>0</x:v>
      </x:c>
      <x:c r="I1968" s="185" t="n">
        <x:v>0</x:v>
      </x:c>
      <x:c r="J1968" s="185" t="n">
        <x:v>0</x:v>
      </x:c>
      <x:c r="K1968" s="289" t="n">
        <x:v>70525</x:v>
      </x:c>
    </x:row>
    <x:row r="1969" s="117" customFormat="1" hidden="1">
      <x:c r="A1969" s="184" t="inlineStr">
        <x:is>
          <x:t xml:space="preserve">PDTFRP001183</x:t>
        </x:is>
      </x:c>
      <x:c r="B1969" s="184" t="inlineStr">
        <x:is>
          <x:t xml:space="preserve">4187937 STUB END DUAL LAMINATE PP-FRP 6 PLG X 2500MM</x:t>
        </x:is>
      </x:c>
      <x:c r="C1969" s="184" t="n">
        <x:v>0</x:v>
      </x:c>
      <x:c r="D1969" s="184" t="n">
        <x:v>0</x:v>
      </x:c>
      <x:c r="E1969" s="184" t="n">
        <x:v>0</x:v>
      </x:c>
      <x:c r="F1969" s="184" t="n">
        <x:v>0</x:v>
      </x:c>
      <x:c r="G1969" s="184" t="n">
        <x:v>0</x:v>
      </x:c>
      <x:c r="H1969" s="193" t="n">
        <x:v>0</x:v>
      </x:c>
      <x:c r="I1969" s="185" t="n">
        <x:v>0</x:v>
      </x:c>
      <x:c r="J1969" s="185" t="n">
        <x:v>0</x:v>
      </x:c>
      <x:c r="K1969" s="289" t="n">
        <x:v>50061</x:v>
      </x:c>
    </x:row>
    <x:row r="1970" s="117" customFormat="1" hidden="1">
      <x:c r="A1970" s="184" t="inlineStr">
        <x:is>
          <x:t xml:space="preserve">PDTFRP001184</x:t>
        </x:is>
      </x:c>
      <x:c r="B1970" s="184" t="inlineStr">
        <x:is>
          <x:t xml:space="preserve">MANIFOLD SECCION DESCARGA T111 DUAL LAMINATE FRP-PP CUERPO PRINCIPAL 12 PLG</x:t>
        </x:is>
      </x:c>
      <x:c r="C1970" s="184" t="n">
        <x:v>0</x:v>
      </x:c>
      <x:c r="D1970" s="184" t="n">
        <x:v>0</x:v>
      </x:c>
      <x:c r="E1970" s="184" t="n">
        <x:v>0</x:v>
      </x:c>
      <x:c r="F1970" s="184" t="n">
        <x:v>0</x:v>
      </x:c>
      <x:c r="G1970" s="184" t="n">
        <x:v>0</x:v>
      </x:c>
      <x:c r="H1970" s="193" t="n">
        <x:v>0</x:v>
      </x:c>
      <x:c r="I1970" s="185" t="n">
        <x:v>0</x:v>
      </x:c>
      <x:c r="J1970" s="185" t="n">
        <x:v>0</x:v>
      </x:c>
      <x:c r="K1970" s="289" t="n">
        <x:v>1520142</x:v>
      </x:c>
    </x:row>
    <x:row r="1971" s="117" customFormat="1" hidden="1">
      <x:c r="A1971" s="184" t="inlineStr">
        <x:is>
          <x:t xml:space="preserve">PDTFRP001185</x:t>
        </x:is>
      </x:c>
      <x:c r="B1971" s="184" t="inlineStr">
        <x:is>
          <x:t xml:space="preserve">1519201 DUCTO DUAL LAMINATE PP-FRP DIAN 12 PLG PPTPPFTUN12</x:t>
        </x:is>
      </x:c>
      <x:c r="C1971" s="184" t="n">
        <x:v>0</x:v>
      </x:c>
      <x:c r="D1971" s="184" t="n">
        <x:v>0</x:v>
      </x:c>
      <x:c r="E1971" s="184" t="n">
        <x:v>0</x:v>
      </x:c>
      <x:c r="F1971" s="184" t="n">
        <x:v>0</x:v>
      </x:c>
      <x:c r="G1971" s="184" t="n">
        <x:v>0</x:v>
      </x:c>
      <x:c r="H1971" s="193" t="n">
        <x:v>0</x:v>
      </x:c>
      <x:c r="I1971" s="185" t="n">
        <x:v>0</x:v>
      </x:c>
      <x:c r="J1971" s="185" t="n">
        <x:v>0</x:v>
      </x:c>
      <x:c r="K1971" s="289" t="n">
        <x:v>547514</x:v>
      </x:c>
    </x:row>
    <x:row r="1972" s="117" customFormat="1" hidden="1">
      <x:c r="A1972" s="184" t="inlineStr">
        <x:is>
          <x:t xml:space="preserve">PDTFRP001186</x:t>
        </x:is>
      </x:c>
      <x:c r="B1972" s="184" t="inlineStr">
        <x:is>
          <x:t xml:space="preserve">FILTRO CANASTO DIAM 455 MM X 703  MM C/SALIDA 200 MM COD 1285785</x:t>
        </x:is>
      </x:c>
      <x:c r="C1972" s="184" t="n">
        <x:v>0</x:v>
      </x:c>
      <x:c r="D1972" s="184" t="n">
        <x:v>0</x:v>
      </x:c>
      <x:c r="E1972" s="184" t="n">
        <x:v>0</x:v>
      </x:c>
      <x:c r="F1972" s="184" t="n">
        <x:v>0</x:v>
      </x:c>
      <x:c r="G1972" s="184" t="n">
        <x:v>0</x:v>
      </x:c>
      <x:c r="H1972" s="193" t="n">
        <x:v>0</x:v>
      </x:c>
      <x:c r="I1972" s="185" t="n">
        <x:v>0</x:v>
      </x:c>
      <x:c r="J1972" s="185" t="n">
        <x:v>0</x:v>
      </x:c>
      <x:c r="K1972" s="289" t="n">
        <x:v>2063100</x:v>
      </x:c>
    </x:row>
    <x:row r="1973" s="117" customFormat="1" hidden="1">
      <x:c r="A1973" s="184" t="inlineStr">
        <x:is>
          <x:t xml:space="preserve">PDTFRP001187</x:t>
        </x:is>
      </x:c>
      <x:c r="B1973" s="184" t="inlineStr">
        <x:is>
          <x:t xml:space="preserve">REPARACION ESTACION DE ACIDULADO MOVIL OC-4510325939</x:t>
        </x:is>
      </x:c>
      <x:c r="C1973" s="184" t="n">
        <x:v>0</x:v>
      </x:c>
      <x:c r="D1973" s="184" t="n">
        <x:v>0</x:v>
      </x:c>
      <x:c r="E1973" s="184" t="n">
        <x:v>0</x:v>
      </x:c>
      <x:c r="F1973" s="184" t="n">
        <x:v>0</x:v>
      </x:c>
      <x:c r="G1973" s="184" t="n">
        <x:v>0</x:v>
      </x:c>
      <x:c r="H1973" s="193" t="n">
        <x:v>0</x:v>
      </x:c>
      <x:c r="I1973" s="185" t="n">
        <x:v>0</x:v>
      </x:c>
      <x:c r="J1973" s="185" t="n">
        <x:v>0</x:v>
      </x:c>
      <x:c r="K1973" s="289" t="n">
        <x:v>25640327</x:v>
      </x:c>
    </x:row>
    <x:row r="1974" s="117" customFormat="1" hidden="1">
      <x:c r="A1974" s="184" t="inlineStr">
        <x:is>
          <x:t xml:space="preserve">PDTFRP001188</x:t>
        </x:is>
      </x:c>
      <x:c r="B1974" s="184" t="inlineStr">
        <x:is>
          <x:t xml:space="preserve">CONJUNTO PIPPING PP-FRP DE 1 -2 Y 4 PLG ENAP CON-CON FUL0121-NV0002</x:t>
        </x:is>
      </x:c>
      <x:c r="C1974" s="184" t="n">
        <x:v>0</x:v>
      </x:c>
      <x:c r="D1974" s="184" t="n">
        <x:v>0</x:v>
      </x:c>
      <x:c r="E1974" s="184" t="n">
        <x:v>0</x:v>
      </x:c>
      <x:c r="F1974" s="184" t="n">
        <x:v>0</x:v>
      </x:c>
      <x:c r="G1974" s="184" t="n">
        <x:v>0</x:v>
      </x:c>
      <x:c r="H1974" s="193" t="n">
        <x:v>0</x:v>
      </x:c>
      <x:c r="I1974" s="185" t="n">
        <x:v>0</x:v>
      </x:c>
      <x:c r="J1974" s="185" t="n">
        <x:v>0</x:v>
      </x:c>
      <x:c r="K1974" s="289" t="n">
        <x:v>1456314</x:v>
      </x:c>
    </x:row>
    <x:row r="1975" s="117" customFormat="1" hidden="1">
      <x:c r="A1975" s="184" t="inlineStr">
        <x:is>
          <x:t xml:space="preserve">PDTFRP001189</x:t>
        </x:is>
      </x:c>
      <x:c r="B1975" s="184" t="inlineStr">
        <x:is>
          <x:t xml:space="preserve">FLANGE CIEGO DN 10 PLG EN FRP RESINA VINILESTER ANSI CLASE 150 IMCLUYE MANILLAS</x:t>
        </x:is>
      </x:c>
      <x:c r="C1975" s="184" t="n">
        <x:v>0</x:v>
      </x:c>
      <x:c r="D1975" s="184" t="n">
        <x:v>0</x:v>
      </x:c>
      <x:c r="E1975" s="184" t="n">
        <x:v>0</x:v>
      </x:c>
      <x:c r="F1975" s="184" t="n">
        <x:v>0</x:v>
      </x:c>
      <x:c r="G1975" s="184" t="n">
        <x:v>0</x:v>
      </x:c>
      <x:c r="H1975" s="193" t="n">
        <x:v>0</x:v>
      </x:c>
      <x:c r="I1975" s="185" t="n">
        <x:v>0</x:v>
      </x:c>
      <x:c r="J1975" s="185" t="n">
        <x:v>0</x:v>
      </x:c>
      <x:c r="K1975" s="289" t="n">
        <x:v>106000</x:v>
      </x:c>
    </x:row>
    <x:row r="1976" s="117" customFormat="1" hidden="1">
      <x:c r="A1976" s="184" t="inlineStr">
        <x:is>
          <x:t xml:space="preserve">PDTFRP001190</x:t>
        </x:is>
      </x:c>
      <x:c r="B1976" s="184" t="inlineStr">
        <x:is>
          <x:t xml:space="preserve">PLANCHA LISA 1000 X 1000 X 6 MM EN FRP RESINA VINILESTER</x:t>
        </x:is>
      </x:c>
      <x:c r="C1976" s="184" t="n">
        <x:v>0</x:v>
      </x:c>
      <x:c r="D1976" s="184" t="n">
        <x:v>0</x:v>
      </x:c>
      <x:c r="E1976" s="184" t="n">
        <x:v>0</x:v>
      </x:c>
      <x:c r="F1976" s="184" t="n">
        <x:v>0</x:v>
      </x:c>
      <x:c r="G1976" s="184" t="n">
        <x:v>0</x:v>
      </x:c>
      <x:c r="H1976" s="193" t="n">
        <x:v>0</x:v>
      </x:c>
      <x:c r="I1976" s="185" t="n">
        <x:v>0</x:v>
      </x:c>
      <x:c r="J1976" s="185" t="n">
        <x:v>0</x:v>
      </x:c>
      <x:c r="K1976" s="289" t="n">
        <x:v>62354</x:v>
      </x:c>
    </x:row>
    <x:row r="1977" s="117" customFormat="1" hidden="1">
      <x:c r="A1977" s="184" t="inlineStr">
        <x:is>
          <x:t xml:space="preserve">PDTFRP001191</x:t>
        </x:is>
      </x:c>
      <x:c r="B1977" s="184" t="inlineStr">
        <x:is>
          <x:t xml:space="preserve">CONJUNTO DUCTOS SALIDA DE GASES TORRE ENFRIAMIENTO Y HUMIDIFICACION OC-4501491343</x:t>
        </x:is>
      </x:c>
      <x:c r="C1977" s="184" t="n">
        <x:v>0</x:v>
      </x:c>
      <x:c r="D1977" s="184" t="n">
        <x:v>0</x:v>
      </x:c>
      <x:c r="E1977" s="184" t="n">
        <x:v>0</x:v>
      </x:c>
      <x:c r="F1977" s="184" t="n">
        <x:v>0</x:v>
      </x:c>
      <x:c r="G1977" s="184" t="n">
        <x:v>0</x:v>
      </x:c>
      <x:c r="H1977" s="193" t="n">
        <x:v>0</x:v>
      </x:c>
      <x:c r="I1977" s="185" t="n">
        <x:v>0</x:v>
      </x:c>
      <x:c r="J1977" s="185" t="n">
        <x:v>0</x:v>
      </x:c>
      <x:c r="K1977" s="289" t="n">
        <x:v>62877904</x:v>
      </x:c>
    </x:row>
    <x:row r="1978" s="117" customFormat="1" hidden="1">
      <x:c r="A1978" s="184" t="inlineStr">
        <x:is>
          <x:t xml:space="preserve">PDTFRP001192</x:t>
        </x:is>
      </x:c>
      <x:c r="B1978" s="184" t="inlineStr">
        <x:is>
          <x:t xml:space="preserve">113220014 FLANGE FUL FACE 1.1/2 PLG ANSI CLASE 150 LGO 230 RESINA VINILESTER</x:t>
        </x:is>
      </x:c>
      <x:c r="C1978" s="184" t="n">
        <x:v>0</x:v>
      </x:c>
      <x:c r="D1978" s="184" t="n">
        <x:v>0</x:v>
      </x:c>
      <x:c r="E1978" s="184" t="n">
        <x:v>0</x:v>
      </x:c>
      <x:c r="F1978" s="184" t="n">
        <x:v>0</x:v>
      </x:c>
      <x:c r="G1978" s="184" t="n">
        <x:v>0</x:v>
      </x:c>
      <x:c r="H1978" s="193" t="n">
        <x:v>0</x:v>
      </x:c>
      <x:c r="I1978" s="185" t="n">
        <x:v>0</x:v>
      </x:c>
      <x:c r="J1978" s="185" t="n">
        <x:v>0</x:v>
      </x:c>
      <x:c r="K1978" s="289" t="n">
        <x:v>27790</x:v>
      </x:c>
    </x:row>
    <x:row r="1979" s="117" customFormat="1" hidden="1">
      <x:c r="A1979" s="184" t="inlineStr">
        <x:is>
          <x:t xml:space="preserve">PDTFRP001193</x:t>
        </x:is>
      </x:c>
      <x:c r="B1979" s="184" t="inlineStr">
        <x:is>
          <x:t xml:space="preserve">1383635 ANILLO SUPERIOR TORRE HUMIDIFICACION T111/T121  PPT073PPF191</x:t>
        </x:is>
      </x:c>
      <x:c r="C1979" s="184" t="n">
        <x:v>0</x:v>
      </x:c>
      <x:c r="D1979" s="184" t="n">
        <x:v>0</x:v>
      </x:c>
      <x:c r="E1979" s="184" t="n">
        <x:v>0</x:v>
      </x:c>
      <x:c r="F1979" s="184" t="n">
        <x:v>0</x:v>
      </x:c>
      <x:c r="G1979" s="184" t="n">
        <x:v>0</x:v>
      </x:c>
      <x:c r="H1979" s="193" t="n">
        <x:v>0</x:v>
      </x:c>
      <x:c r="I1979" s="185" t="n">
        <x:v>0</x:v>
      </x:c>
      <x:c r="J1979" s="185" t="n">
        <x:v>0</x:v>
      </x:c>
      <x:c r="K1979" s="289" t="n">
        <x:v>6060479</x:v>
      </x:c>
    </x:row>
    <x:row r="1980" s="117" customFormat="1" hidden="1">
      <x:c r="A1980" s="184" t="inlineStr">
        <x:is>
          <x:t xml:space="preserve">PDTFRP001194</x:t>
        </x:is>
      </x:c>
      <x:c r="B1980" s="184" t="inlineStr">
        <x:is>
          <x:t xml:space="preserve">1383636 ANILLO INFERIOR TORRE HUMIDIFICACION T111/T121  PPT073PPF1921</x:t>
        </x:is>
      </x:c>
      <x:c r="C1980" s="184" t="n">
        <x:v>0</x:v>
      </x:c>
      <x:c r="D1980" s="184" t="n">
        <x:v>0</x:v>
      </x:c>
      <x:c r="E1980" s="184" t="n">
        <x:v>0</x:v>
      </x:c>
      <x:c r="F1980" s="184" t="n">
        <x:v>0</x:v>
      </x:c>
      <x:c r="G1980" s="184" t="n">
        <x:v>0</x:v>
      </x:c>
      <x:c r="H1980" s="193" t="n">
        <x:v>0</x:v>
      </x:c>
      <x:c r="I1980" s="185" t="n">
        <x:v>0</x:v>
      </x:c>
      <x:c r="J1980" s="185" t="n">
        <x:v>0</x:v>
      </x:c>
      <x:c r="K1980" s="289" t="n">
        <x:v>6123839</x:v>
      </x:c>
    </x:row>
    <x:row r="1981" s="117" customFormat="1" hidden="1">
      <x:c r="A1981" s="184" t="inlineStr">
        <x:is>
          <x:t xml:space="preserve">PDTFRP001195</x:t>
        </x:is>
      </x:c>
      <x:c r="B1981" s="184" t="inlineStr">
        <x:is>
          <x:t xml:space="preserve">CARRETEDN 300 DUAL LAMINATE FRP-PP LGO 470 MM C/FLANGE RESPALDO ANSI CLASE 150 PP/AC</x:t>
        </x:is>
      </x:c>
      <x:c r="C1981" s="184" t="n">
        <x:v>0</x:v>
      </x:c>
      <x:c r="D1981" s="184" t="n">
        <x:v>0</x:v>
      </x:c>
      <x:c r="E1981" s="184" t="n">
        <x:v>0</x:v>
      </x:c>
      <x:c r="F1981" s="184" t="n">
        <x:v>0</x:v>
      </x:c>
      <x:c r="G1981" s="184" t="n">
        <x:v>0</x:v>
      </x:c>
      <x:c r="H1981" s="193" t="n">
        <x:v>0</x:v>
      </x:c>
      <x:c r="I1981" s="185" t="n">
        <x:v>0</x:v>
      </x:c>
      <x:c r="J1981" s="185" t="n">
        <x:v>0</x:v>
      </x:c>
      <x:c r="K1981" s="289" t="n">
        <x:v>590086</x:v>
      </x:c>
    </x:row>
    <x:row r="1982" s="117" customFormat="1" hidden="1">
      <x:c r="A1982" s="184" t="inlineStr">
        <x:is>
          <x:t xml:space="preserve">PDTFRP001196</x:t>
        </x:is>
      </x:c>
      <x:c r="B1982" s="184" t="inlineStr">
        <x:is>
          <x:t xml:space="preserve">REPARACION CHAPALETA Y CUERPO VALVULA MARIPOSA DN1400 FUL0421-NV0017</x:t>
        </x:is>
      </x:c>
      <x:c r="C1982" s="184" t="n">
        <x:v>0</x:v>
      </x:c>
      <x:c r="D1982" s="184" t="n">
        <x:v>0</x:v>
      </x:c>
      <x:c r="E1982" s="184" t="n">
        <x:v>0</x:v>
      </x:c>
      <x:c r="F1982" s="184" t="n">
        <x:v>0</x:v>
      </x:c>
      <x:c r="G1982" s="184" t="n">
        <x:v>0</x:v>
      </x:c>
      <x:c r="H1982" s="193" t="n">
        <x:v>0</x:v>
      </x:c>
      <x:c r="I1982" s="185" t="n">
        <x:v>0</x:v>
      </x:c>
      <x:c r="J1982" s="185" t="n">
        <x:v>0</x:v>
      </x:c>
      <x:c r="K1982" s="289" t="n">
        <x:v>789849</x:v>
      </x:c>
    </x:row>
    <x:row r="1983" s="117" customFormat="1" hidden="1">
      <x:c r="A1983" s="184" t="inlineStr">
        <x:is>
          <x:t xml:space="preserve">PDTFRP001197</x:t>
        </x:is>
      </x:c>
      <x:c r="B1983" s="184" t="inlineStr">
        <x:is>
          <x:t xml:space="preserve">STUB END 12 PLG PP/FRP ANSI 150 INCLUYE FLANGE ANSI CLASE 150 TTE</x:t>
        </x:is>
      </x:c>
      <x:c r="C1983" s="184" t="n">
        <x:v>0</x:v>
      </x:c>
      <x:c r="D1983" s="184" t="n">
        <x:v>0</x:v>
      </x:c>
      <x:c r="E1983" s="184" t="n">
        <x:v>0</x:v>
      </x:c>
      <x:c r="F1983" s="184" t="n">
        <x:v>0</x:v>
      </x:c>
      <x:c r="G1983" s="184" t="n">
        <x:v>0</x:v>
      </x:c>
      <x:c r="H1983" s="193" t="n">
        <x:v>0</x:v>
      </x:c>
      <x:c r="I1983" s="185" t="n">
        <x:v>0</x:v>
      </x:c>
      <x:c r="J1983" s="185" t="n">
        <x:v>0</x:v>
      </x:c>
      <x:c r="K1983" s="289" t="n">
        <x:v>208177</x:v>
      </x:c>
    </x:row>
    <x:row r="1984" s="117" customFormat="1" hidden="1">
      <x:c r="A1984" s="184" t="inlineStr">
        <x:is>
          <x:t xml:space="preserve">PDTFRP001198</x:t>
        </x:is>
      </x:c>
      <x:c r="B1984" s="184" t="inlineStr">
        <x:is>
          <x:t xml:space="preserve">4061677 MEZCLADOR ESTATICO DN 10 PLG FRP CON INYECCUON ACERO 254</x:t>
        </x:is>
      </x:c>
      <x:c r="C1984" s="184" t="n">
        <x:v>0</x:v>
      </x:c>
      <x:c r="D1984" s="184" t="n">
        <x:v>0</x:v>
      </x:c>
      <x:c r="E1984" s="184" t="n">
        <x:v>0</x:v>
      </x:c>
      <x:c r="F1984" s="184" t="n">
        <x:v>0</x:v>
      </x:c>
      <x:c r="G1984" s="184" t="n">
        <x:v>0</x:v>
      </x:c>
      <x:c r="H1984" s="193" t="n">
        <x:v>0</x:v>
      </x:c>
      <x:c r="I1984" s="185" t="n">
        <x:v>0</x:v>
      </x:c>
      <x:c r="J1984" s="185" t="n">
        <x:v>0</x:v>
      </x:c>
      <x:c r="K1984" s="289" t="n">
        <x:v>4588714</x:v>
      </x:c>
    </x:row>
    <x:row r="1985" s="117" customFormat="1" hidden="1">
      <x:c r="A1985" s="184" t="inlineStr">
        <x:is>
          <x:t xml:space="preserve">PDTFRP001199</x:t>
        </x:is>
      </x:c>
      <x:c r="B1985" s="184" t="inlineStr">
        <x:is>
          <x:t xml:space="preserve">4197049 DISTRUBUIDOR PLNGCPT105N001DWG000 TORRE T-105 LGTUD 5200 MM DUAL LAMINATE</x:t>
        </x:is>
      </x:c>
      <x:c r="C1985" s="184" t="n">
        <x:v>0</x:v>
      </x:c>
      <x:c r="D1985" s="184" t="n">
        <x:v>0</x:v>
      </x:c>
      <x:c r="E1985" s="184" t="n">
        <x:v>0</x:v>
      </x:c>
      <x:c r="F1985" s="184" t="n">
        <x:v>0</x:v>
      </x:c>
      <x:c r="G1985" s="184" t="n">
        <x:v>0</x:v>
      </x:c>
      <x:c r="H1985" s="193" t="n">
        <x:v>0</x:v>
      </x:c>
      <x:c r="I1985" s="185" t="n">
        <x:v>0</x:v>
      </x:c>
      <x:c r="J1985" s="185" t="n">
        <x:v>0</x:v>
      </x:c>
      <x:c r="K1985" s="289" t="n">
        <x:v>7950806</x:v>
      </x:c>
    </x:row>
    <x:row r="1986" s="117" customFormat="1" hidden="1">
      <x:c r="A1986" s="184" t="inlineStr">
        <x:is>
          <x:t xml:space="preserve">PDTFRP001200</x:t>
        </x:is>
      </x:c>
      <x:c r="B1986" s="184" t="inlineStr">
        <x:is>
          <x:t xml:space="preserve">4195711 VALVULA MARIPOSA DAMPER FRP 150 PSI 1800 MM  FRP RESINA VINILESTER</x:t>
        </x:is>
      </x:c>
      <x:c r="C1986" s="184" t="n">
        <x:v>0</x:v>
      </x:c>
      <x:c r="D1986" s="184" t="n">
        <x:v>0</x:v>
      </x:c>
      <x:c r="E1986" s="184" t="n">
        <x:v>0</x:v>
      </x:c>
      <x:c r="F1986" s="184" t="n">
        <x:v>0</x:v>
      </x:c>
      <x:c r="G1986" s="184" t="n">
        <x:v>0</x:v>
      </x:c>
      <x:c r="H1986" s="193" t="n">
        <x:v>0</x:v>
      </x:c>
      <x:c r="I1986" s="185" t="n">
        <x:v>0</x:v>
      </x:c>
      <x:c r="J1986" s="185" t="n">
        <x:v>0</x:v>
      </x:c>
      <x:c r="K1986" s="289" t="n">
        <x:v>6690028</x:v>
      </x:c>
    </x:row>
    <x:row r="1987" s="117" customFormat="1" hidden="1">
      <x:c r="A1987" s="184" t="inlineStr">
        <x:is>
          <x:t xml:space="preserve">PDTFRP001201</x:t>
        </x:is>
      </x:c>
      <x:c r="B1987" s="184" t="inlineStr">
        <x:is>
          <x:t xml:space="preserve">ESTAMQUE CON TAPA DIAM.4000 X 8000 MM FRP ISOFTALICA SERMIJOR</x:t>
        </x:is>
      </x:c>
      <x:c r="C1987" s="184" t="n">
        <x:v>0</x:v>
      </x:c>
      <x:c r="D1987" s="184" t="n">
        <x:v>0</x:v>
      </x:c>
      <x:c r="E1987" s="184" t="n">
        <x:v>0</x:v>
      </x:c>
      <x:c r="F1987" s="184" t="n">
        <x:v>0</x:v>
      </x:c>
      <x:c r="G1987" s="184" t="n">
        <x:v>0</x:v>
      </x:c>
      <x:c r="H1987" s="193" t="n">
        <x:v>0</x:v>
      </x:c>
      <x:c r="I1987" s="185" t="n">
        <x:v>0</x:v>
      </x:c>
      <x:c r="J1987" s="185" t="n">
        <x:v>0</x:v>
      </x:c>
      <x:c r="K1987" s="289" t="n">
        <x:v>22478378</x:v>
      </x:c>
    </x:row>
    <x:row r="1988" s="117" customFormat="1" hidden="1">
      <x:c r="A1988" s="184" t="inlineStr">
        <x:is>
          <x:t xml:space="preserve">PDTFRP001202</x:t>
        </x:is>
      </x:c>
      <x:c r="B1988" s="184" t="inlineStr">
        <x:is>
          <x:t xml:space="preserve">1285785 FILTRO STRAINER DIAM 435 X 1000 MM SALIDAS 200 MM PP/FRP</x:t>
        </x:is>
      </x:c>
      <x:c r="C1988" s="184" t="n">
        <x:v>0</x:v>
      </x:c>
      <x:c r="D1988" s="184" t="n">
        <x:v>0</x:v>
      </x:c>
      <x:c r="E1988" s="184" t="n">
        <x:v>0</x:v>
      </x:c>
      <x:c r="F1988" s="184" t="n">
        <x:v>0</x:v>
      </x:c>
      <x:c r="G1988" s="184" t="n">
        <x:v>0</x:v>
      </x:c>
      <x:c r="H1988" s="193" t="n">
        <x:v>0</x:v>
      </x:c>
      <x:c r="I1988" s="185" t="n">
        <x:v>0</x:v>
      </x:c>
      <x:c r="J1988" s="185" t="n">
        <x:v>0</x:v>
      </x:c>
      <x:c r="K1988" s="289" t="n">
        <x:v>1679568</x:v>
      </x:c>
    </x:row>
    <x:row r="1989" s="117" customFormat="1" hidden="1">
      <x:c r="A1989" s="184" t="inlineStr">
        <x:is>
          <x:t xml:space="preserve">PDTFRP001203</x:t>
        </x:is>
      </x:c>
      <x:c r="B1989" s="184" t="inlineStr">
        <x:is>
          <x:t xml:space="preserve">MANIFOLD FRP-PP PLANTA TRATAMIENTO DE HUMOS</x:t>
        </x:is>
      </x:c>
      <x:c r="C1989" s="184" t="n">
        <x:v>0</x:v>
      </x:c>
      <x:c r="D1989" s="184" t="n">
        <x:v>0</x:v>
      </x:c>
      <x:c r="E1989" s="184" t="n">
        <x:v>0</x:v>
      </x:c>
      <x:c r="F1989" s="184" t="n">
        <x:v>0</x:v>
      </x:c>
      <x:c r="G1989" s="184" t="n">
        <x:v>0</x:v>
      </x:c>
      <x:c r="H1989" s="193" t="n">
        <x:v>0</x:v>
      </x:c>
      <x:c r="I1989" s="185" t="n">
        <x:v>0</x:v>
      </x:c>
      <x:c r="J1989" s="185" t="n">
        <x:v>0</x:v>
      </x:c>
      <x:c r="K1989" s="289" t="n">
        <x:v>2886021</x:v>
      </x:c>
    </x:row>
    <x:row r="1990" s="117" customFormat="1" hidden="1">
      <x:c r="A1990" s="184" t="inlineStr">
        <x:is>
          <x:t xml:space="preserve">PDTFRP001204</x:t>
        </x:is>
      </x:c>
      <x:c r="B1990" s="184" t="inlineStr">
        <x:is>
          <x:t xml:space="preserve">DESCARGA BBA SPEAR P101S GCP2 DOBLE LAM.PP-FRP GC02T101N02A-A</x:t>
        </x:is>
      </x:c>
      <x:c r="C1990" s="184" t="n">
        <x:v>0</x:v>
      </x:c>
      <x:c r="D1990" s="184" t="n">
        <x:v>0</x:v>
      </x:c>
      <x:c r="E1990" s="184" t="n">
        <x:v>0</x:v>
      </x:c>
      <x:c r="F1990" s="184" t="n">
        <x:v>0</x:v>
      </x:c>
      <x:c r="G1990" s="184" t="n">
        <x:v>0</x:v>
      </x:c>
      <x:c r="H1990" s="193" t="n">
        <x:v>0</x:v>
      </x:c>
      <x:c r="I1990" s="185" t="n">
        <x:v>0</x:v>
      </x:c>
      <x:c r="J1990" s="185" t="n">
        <x:v>0</x:v>
      </x:c>
      <x:c r="K1990" s="289" t="n">
        <x:v>216346</x:v>
      </x:c>
    </x:row>
    <x:row r="1991" s="117" customFormat="1" hidden="1">
      <x:c r="A1991" s="184" t="inlineStr">
        <x:is>
          <x:t xml:space="preserve">PDTFRP001205</x:t>
        </x:is>
      </x:c>
      <x:c r="B1991" s="184" t="inlineStr">
        <x:is>
          <x:t xml:space="preserve">SPOOL (TEE) SUCCION BBA SPEAR TRAMO A(P101S) GCP2T101N01B</x:t>
        </x:is>
      </x:c>
      <x:c r="C1991" s="184" t="n">
        <x:v>0</x:v>
      </x:c>
      <x:c r="D1991" s="184" t="n">
        <x:v>0</x:v>
      </x:c>
      <x:c r="E1991" s="184" t="n">
        <x:v>0</x:v>
      </x:c>
      <x:c r="F1991" s="184" t="n">
        <x:v>0</x:v>
      </x:c>
      <x:c r="G1991" s="184" t="n">
        <x:v>0</x:v>
      </x:c>
      <x:c r="H1991" s="193" t="n">
        <x:v>0</x:v>
      </x:c>
      <x:c r="I1991" s="185" t="n">
        <x:v>0</x:v>
      </x:c>
      <x:c r="J1991" s="185" t="n">
        <x:v>0</x:v>
      </x:c>
      <x:c r="K1991" s="289" t="n">
        <x:v>5167920</x:v>
      </x:c>
    </x:row>
    <x:row r="1992" s="117" customFormat="1" hidden="1">
      <x:c r="A1992" s="184" t="inlineStr">
        <x:is>
          <x:t xml:space="preserve">PDTFRP001206</x:t>
        </x:is>
      </x:c>
      <x:c r="B1992" s="184" t="inlineStr">
        <x:is>
          <x:t xml:space="preserve">1230631 TUBO POLSTRUIDO RESINA VINILESTER MASISO DIAM.1 PLG X 1 MTS PPT072FRP081</x:t>
        </x:is>
      </x:c>
      <x:c r="C1992" s="184" t="n">
        <x:v>0</x:v>
      </x:c>
      <x:c r="D1992" s="184" t="n">
        <x:v>0</x:v>
      </x:c>
      <x:c r="E1992" s="184" t="n">
        <x:v>0</x:v>
      </x:c>
      <x:c r="F1992" s="184" t="n">
        <x:v>0</x:v>
      </x:c>
      <x:c r="G1992" s="184" t="n">
        <x:v>0</x:v>
      </x:c>
      <x:c r="H1992" s="193" t="n">
        <x:v>0</x:v>
      </x:c>
      <x:c r="I1992" s="185" t="n">
        <x:v>0</x:v>
      </x:c>
      <x:c r="J1992" s="185" t="n">
        <x:v>0</x:v>
      </x:c>
      <x:c r="K1992" s="289" t="n">
        <x:v>10233</x:v>
      </x:c>
    </x:row>
    <x:row r="1993" s="117" customFormat="1" hidden="1">
      <x:c r="A1993" s="184" t="inlineStr">
        <x:is>
          <x:t xml:space="preserve">PDTFRP001207</x:t>
        </x:is>
      </x:c>
      <x:c r="B1993" s="184" t="inlineStr">
        <x:is>
          <x:t xml:space="preserve">REDUCCION SUCCION BBA SPEAR TRAMO A GCP2T101N01A</x:t>
        </x:is>
      </x:c>
      <x:c r="C1993" s="184" t="n">
        <x:v>0</x:v>
      </x:c>
      <x:c r="D1993" s="184" t="n">
        <x:v>0</x:v>
      </x:c>
      <x:c r="E1993" s="184" t="n">
        <x:v>0</x:v>
      </x:c>
      <x:c r="F1993" s="184" t="n">
        <x:v>0</x:v>
      </x:c>
      <x:c r="G1993" s="184" t="n">
        <x:v>0</x:v>
      </x:c>
      <x:c r="H1993" s="193" t="n">
        <x:v>0</x:v>
      </x:c>
      <x:c r="I1993" s="185" t="n">
        <x:v>0</x:v>
      </x:c>
      <x:c r="J1993" s="185" t="n">
        <x:v>0</x:v>
      </x:c>
      <x:c r="K1993" s="289" t="n">
        <x:v>1326297</x:v>
      </x:c>
    </x:row>
    <x:row r="1994" s="117" customFormat="1" hidden="1">
      <x:c r="A1994" s="184" t="inlineStr">
        <x:is>
          <x:t xml:space="preserve">PDTFRP001208</x:t>
        </x:is>
      </x:c>
      <x:c r="B1994" s="184" t="inlineStr">
        <x:is>
          <x:t xml:space="preserve">DESCARGA BBA P101A-P101B-P101C-P101D GCP2T101N05A</x:t>
        </x:is>
      </x:c>
      <x:c r="C1994" s="184" t="n">
        <x:v>0</x:v>
      </x:c>
      <x:c r="D1994" s="184" t="n">
        <x:v>0</x:v>
      </x:c>
      <x:c r="E1994" s="184" t="n">
        <x:v>0</x:v>
      </x:c>
      <x:c r="F1994" s="184" t="n">
        <x:v>0</x:v>
      </x:c>
      <x:c r="G1994" s="184" t="n">
        <x:v>0</x:v>
      </x:c>
      <x:c r="H1994" s="193" t="n">
        <x:v>0</x:v>
      </x:c>
      <x:c r="I1994" s="185" t="n">
        <x:v>0</x:v>
      </x:c>
      <x:c r="J1994" s="185" t="n">
        <x:v>0</x:v>
      </x:c>
      <x:c r="K1994" s="289" t="n">
        <x:v>1841739</x:v>
      </x:c>
    </x:row>
    <x:row r="1995" s="117" customFormat="1" hidden="1">
      <x:c r="A1995" s="184" t="inlineStr">
        <x:is>
          <x:t xml:space="preserve">PDTFRP001209</x:t>
        </x:is>
      </x:c>
      <x:c r="B1995" s="184" t="inlineStr">
        <x:is>
          <x:t xml:space="preserve">DESCARGA BBA SPEAR P101S GCP2T101N2A</x:t>
        </x:is>
      </x:c>
      <x:c r="C1995" s="184" t="n">
        <x:v>0</x:v>
      </x:c>
      <x:c r="D1995" s="184" t="n">
        <x:v>0</x:v>
      </x:c>
      <x:c r="E1995" s="184" t="n">
        <x:v>0</x:v>
      </x:c>
      <x:c r="F1995" s="184" t="n">
        <x:v>0</x:v>
      </x:c>
      <x:c r="G1995" s="184" t="n">
        <x:v>0</x:v>
      </x:c>
      <x:c r="H1995" s="193" t="n">
        <x:v>0</x:v>
      </x:c>
      <x:c r="I1995" s="185" t="n">
        <x:v>0</x:v>
      </x:c>
      <x:c r="J1995" s="185" t="n">
        <x:v>0</x:v>
      </x:c>
      <x:c r="K1995" s="289" t="n">
        <x:v>2158467</x:v>
      </x:c>
    </x:row>
    <x:row r="1996" s="117" customFormat="1" hidden="1">
      <x:c r="A1996" s="184" t="inlineStr">
        <x:is>
          <x:t xml:space="preserve">PDTFRP001210</x:t>
        </x:is>
      </x:c>
      <x:c r="B1996" s="184" t="inlineStr">
        <x:is>
          <x:t xml:space="preserve">4197285 ESTAMQUW 16 MT3 LLDPE 5000-EST-002 POLIETILENO</x:t>
        </x:is>
      </x:c>
      <x:c r="C1996" s="184" t="n">
        <x:v>0</x:v>
      </x:c>
      <x:c r="D1996" s="184" t="n">
        <x:v>0</x:v>
      </x:c>
      <x:c r="E1996" s="184" t="n">
        <x:v>0</x:v>
      </x:c>
      <x:c r="F1996" s="184" t="n">
        <x:v>0</x:v>
      </x:c>
      <x:c r="G1996" s="184" t="n">
        <x:v>0</x:v>
      </x:c>
      <x:c r="H1996" s="193" t="n">
        <x:v>0</x:v>
      </x:c>
      <x:c r="I1996" s="185" t="n">
        <x:v>0</x:v>
      </x:c>
      <x:c r="J1996" s="185" t="n">
        <x:v>0</x:v>
      </x:c>
      <x:c r="K1996" s="289" t="n">
        <x:v>2382610</x:v>
      </x:c>
    </x:row>
    <x:row r="1997" s="117" customFormat="1" hidden="1">
      <x:c r="A1997" s="184" t="inlineStr">
        <x:is>
          <x:t xml:space="preserve">PDTFRP001211</x:t>
        </x:is>
      </x:c>
      <x:c r="B1997" s="184" t="inlineStr">
        <x:is>
          <x:t xml:space="preserve">4197281 ESTANQUE 24 MT3 FRP 6000-EST-006 MATERIAL FRP</x:t>
        </x:is>
      </x:c>
      <x:c r="C1997" s="184" t="n">
        <x:v>0</x:v>
      </x:c>
      <x:c r="D1997" s="184" t="n">
        <x:v>0</x:v>
      </x:c>
      <x:c r="E1997" s="184" t="n">
        <x:v>0</x:v>
      </x:c>
      <x:c r="F1997" s="184" t="n">
        <x:v>0</x:v>
      </x:c>
      <x:c r="G1997" s="184" t="n">
        <x:v>0</x:v>
      </x:c>
      <x:c r="H1997" s="193" t="n">
        <x:v>0</x:v>
      </x:c>
      <x:c r="I1997" s="185" t="n">
        <x:v>0</x:v>
      </x:c>
      <x:c r="J1997" s="185" t="n">
        <x:v>0</x:v>
      </x:c>
      <x:c r="K1997" s="289" t="n">
        <x:v>12194483</x:v>
      </x:c>
    </x:row>
    <x:row r="1998" s="117" customFormat="1" hidden="1">
      <x:c r="A1998" s="184" t="inlineStr">
        <x:is>
          <x:t xml:space="preserve">PDTFRP001212</x:t>
        </x:is>
      </x:c>
      <x:c r="B1998" s="184" t="inlineStr">
        <x:is>
          <x:t xml:space="preserve">4197280 ESTANQUE 24 MT3 FRP 6000-EST-005 MATERIAL FRP</x:t>
        </x:is>
      </x:c>
      <x:c r="C1998" s="184" t="n">
        <x:v>0</x:v>
      </x:c>
      <x:c r="D1998" s="184" t="n">
        <x:v>0</x:v>
      </x:c>
      <x:c r="E1998" s="184" t="n">
        <x:v>0</x:v>
      </x:c>
      <x:c r="F1998" s="184" t="n">
        <x:v>0</x:v>
      </x:c>
      <x:c r="G1998" s="184" t="n">
        <x:v>0</x:v>
      </x:c>
      <x:c r="H1998" s="193" t="n">
        <x:v>0</x:v>
      </x:c>
      <x:c r="I1998" s="185" t="n">
        <x:v>0</x:v>
      </x:c>
      <x:c r="J1998" s="185" t="n">
        <x:v>0</x:v>
      </x:c>
      <x:c r="K1998" s="289" t="n">
        <x:v>12194483</x:v>
      </x:c>
    </x:row>
    <x:row r="1999" s="117" customFormat="1" hidden="1">
      <x:c r="A1999" s="184" t="inlineStr">
        <x:is>
          <x:t xml:space="preserve">PDTFRP001213</x:t>
        </x:is>
      </x:c>
      <x:c r="B1999" s="184" t="inlineStr">
        <x:is>
          <x:t xml:space="preserve">STUB END 4 PLG FRP RESINA VINILESTER C/FLANGE DIN AC/PP DN 110 NORMA DIN CLASE 150</x:t>
        </x:is>
      </x:c>
      <x:c r="C1999" s="184" t="n">
        <x:v>0</x:v>
      </x:c>
      <x:c r="D1999" s="184" t="n">
        <x:v>0</x:v>
      </x:c>
      <x:c r="E1999" s="184" t="n">
        <x:v>0</x:v>
      </x:c>
      <x:c r="F1999" s="184" t="n">
        <x:v>0</x:v>
      </x:c>
      <x:c r="G1999" s="184" t="n">
        <x:v>0</x:v>
      </x:c>
      <x:c r="H1999" s="193" t="n">
        <x:v>0</x:v>
      </x:c>
      <x:c r="I1999" s="185" t="n">
        <x:v>0</x:v>
      </x:c>
      <x:c r="J1999" s="185" t="n">
        <x:v>0</x:v>
      </x:c>
      <x:c r="K1999" s="289" t="n">
        <x:v>64111</x:v>
      </x:c>
    </x:row>
    <x:row r="2000" s="117" customFormat="1" hidden="1">
      <x:c r="A2000" s="184" t="inlineStr">
        <x:is>
          <x:t xml:space="preserve">PDTFRP001214</x:t>
        </x:is>
      </x:c>
      <x:c r="B2000" s="184" t="inlineStr">
        <x:is>
          <x:t xml:space="preserve">GCP2 T102 MANIFOLD SUCCION DE BBAS T 102A DUAL LAMINATE PP-FRP GCP2T102AN02</x:t>
        </x:is>
      </x:c>
      <x:c r="C2000" s="184" t="n">
        <x:v>0</x:v>
      </x:c>
      <x:c r="D2000" s="184" t="n">
        <x:v>0</x:v>
      </x:c>
      <x:c r="E2000" s="184" t="n">
        <x:v>0</x:v>
      </x:c>
      <x:c r="F2000" s="184" t="n">
        <x:v>0</x:v>
      </x:c>
      <x:c r="G2000" s="184" t="n">
        <x:v>0</x:v>
      </x:c>
      <x:c r="H2000" s="193" t="n">
        <x:v>0</x:v>
      </x:c>
      <x:c r="I2000" s="185" t="n">
        <x:v>0</x:v>
      </x:c>
      <x:c r="J2000" s="185" t="n">
        <x:v>0</x:v>
      </x:c>
      <x:c r="K2000" s="289" t="n">
        <x:v>4471150</x:v>
      </x:c>
    </x:row>
    <x:row r="2001" s="117" customFormat="1" hidden="1">
      <x:c r="A2001" s="184" t="inlineStr">
        <x:is>
          <x:t xml:space="preserve">PDTFRP001215</x:t>
        </x:is>
      </x:c>
      <x:c r="B2001" s="184" t="inlineStr">
        <x:is>
          <x:t xml:space="preserve">11345577 SPOOL 2 TAMBOR 4D-AD-001 HACIA SCRUBBER PL.SCKTCH-DWG-00065 REV0</x:t>
        </x:is>
      </x:c>
      <x:c r="C2001" s="184" t="n">
        <x:v>0</x:v>
      </x:c>
      <x:c r="D2001" s="184" t="n">
        <x:v>0</x:v>
      </x:c>
      <x:c r="E2001" s="184" t="n">
        <x:v>0</x:v>
      </x:c>
      <x:c r="F2001" s="184" t="n">
        <x:v>0</x:v>
      </x:c>
      <x:c r="G2001" s="184" t="n">
        <x:v>0</x:v>
      </x:c>
      <x:c r="H2001" s="193" t="n">
        <x:v>0</x:v>
      </x:c>
      <x:c r="I2001" s="185" t="n">
        <x:v>0</x:v>
      </x:c>
      <x:c r="J2001" s="185" t="n">
        <x:v>0</x:v>
      </x:c>
      <x:c r="K2001" s="289" t="n">
        <x:v>6524800</x:v>
      </x:c>
    </x:row>
    <x:row r="2002" s="117" customFormat="1" hidden="1">
      <x:c r="A2002" s="184" t="inlineStr">
        <x:is>
          <x:t xml:space="preserve">PDTFRP001216</x:t>
        </x:is>
      </x:c>
      <x:c r="B2002" s="184" t="inlineStr">
        <x:is>
          <x:t xml:space="preserve">11345603 SPOOL-001-C ALIMENTACION T1 40-AD-001 HACIA SCRUBBER PL SCKETCH-DWG-00059 REV0</x:t>
        </x:is>
      </x:c>
      <x:c r="C2002" s="184" t="n">
        <x:v>0</x:v>
      </x:c>
      <x:c r="D2002" s="184" t="n">
        <x:v>0</x:v>
      </x:c>
      <x:c r="E2002" s="184" t="n">
        <x:v>0</x:v>
      </x:c>
      <x:c r="F2002" s="184" t="n">
        <x:v>0</x:v>
      </x:c>
      <x:c r="G2002" s="184" t="n">
        <x:v>0</x:v>
      </x:c>
      <x:c r="H2002" s="193" t="n">
        <x:v>0</x:v>
      </x:c>
      <x:c r="I2002" s="185" t="n">
        <x:v>0</x:v>
      </x:c>
      <x:c r="J2002" s="185" t="n">
        <x:v>0</x:v>
      </x:c>
      <x:c r="K2002" s="289" t="n">
        <x:v>2586293</x:v>
      </x:c>
    </x:row>
    <x:row r="2003" s="117" customFormat="1" hidden="1">
      <x:c r="A2003" s="184" t="inlineStr">
        <x:is>
          <x:t xml:space="preserve">PDTFRP001217</x:t>
        </x:is>
      </x:c>
      <x:c r="B2003" s="184" t="inlineStr">
        <x:is>
          <x:t xml:space="preserve">1230630 STUB END 16 PLG RESINA VINILESTER INCLUYE FLANGE ANSI B16,5 CLASE 150 LARGO CUELLO 500 MM</x:t>
        </x:is>
      </x:c>
      <x:c r="C2003" s="184" t="n">
        <x:v>0</x:v>
      </x:c>
      <x:c r="D2003" s="184" t="n">
        <x:v>0</x:v>
      </x:c>
      <x:c r="E2003" s="184" t="n">
        <x:v>0</x:v>
      </x:c>
      <x:c r="F2003" s="184" t="n">
        <x:v>0</x:v>
      </x:c>
      <x:c r="G2003" s="184" t="n">
        <x:v>0</x:v>
      </x:c>
      <x:c r="H2003" s="193" t="n">
        <x:v>0</x:v>
      </x:c>
      <x:c r="I2003" s="185" t="n">
        <x:v>0</x:v>
      </x:c>
      <x:c r="J2003" s="185" t="n">
        <x:v>0</x:v>
      </x:c>
      <x:c r="K2003" s="289" t="n">
        <x:v>644222</x:v>
      </x:c>
    </x:row>
    <x:row r="2004" s="117" customFormat="1" hidden="1">
      <x:c r="A2004" s="184" t="inlineStr">
        <x:is>
          <x:t xml:space="preserve">PDTFRP001218</x:t>
        </x:is>
      </x:c>
      <x:c r="B2004" s="184" t="inlineStr">
        <x:is>
          <x:t xml:space="preserve">REPARACION INYECTOR DE FLUIDO SECUNDARIO PVDF-FRP CMMC</x:t>
        </x:is>
      </x:c>
      <x:c r="C2004" s="184" t="n">
        <x:v>0</x:v>
      </x:c>
      <x:c r="D2004" s="184" t="n">
        <x:v>0</x:v>
      </x:c>
      <x:c r="E2004" s="184" t="n">
        <x:v>0</x:v>
      </x:c>
      <x:c r="F2004" s="184" t="n">
        <x:v>0</x:v>
      </x:c>
      <x:c r="G2004" s="184" t="n">
        <x:v>0</x:v>
      </x:c>
      <x:c r="H2004" s="193" t="n">
        <x:v>0</x:v>
      </x:c>
      <x:c r="I2004" s="185" t="n">
        <x:v>0</x:v>
      </x:c>
      <x:c r="J2004" s="185" t="n">
        <x:v>0</x:v>
      </x:c>
      <x:c r="K2004" s="289" t="n">
        <x:v>2137778</x:v>
      </x:c>
    </x:row>
    <x:row r="2005" s="117" customFormat="1" hidden="1">
      <x:c r="A2005" s="184" t="inlineStr">
        <x:is>
          <x:t xml:space="preserve">PDTFRP001219</x:t>
        </x:is>
      </x:c>
      <x:c r="B2005" s="184" t="inlineStr">
        <x:is>
          <x:t xml:space="preserve">4061677 MEZCLADOR ESTATICO DN 10 FRP-PVDF INYECCION ECERO 254 SOM PLANO P1703-365-M-004</x:t>
        </x:is>
      </x:c>
      <x:c r="C2005" s="184" t="n">
        <x:v>0</x:v>
      </x:c>
      <x:c r="D2005" s="184" t="n">
        <x:v>0</x:v>
      </x:c>
      <x:c r="E2005" s="184" t="n">
        <x:v>0</x:v>
      </x:c>
      <x:c r="F2005" s="184" t="n">
        <x:v>0</x:v>
      </x:c>
      <x:c r="G2005" s="184" t="n">
        <x:v>0</x:v>
      </x:c>
      <x:c r="H2005" s="193" t="n">
        <x:v>0</x:v>
      </x:c>
      <x:c r="I2005" s="185" t="n">
        <x:v>0</x:v>
      </x:c>
      <x:c r="J2005" s="185" t="n">
        <x:v>0</x:v>
      </x:c>
      <x:c r="K2005" s="289" t="n">
        <x:v>4178878</x:v>
      </x:c>
    </x:row>
    <x:row r="2006" s="117" customFormat="1" hidden="1">
      <x:c r="A2006" s="184" t="inlineStr">
        <x:is>
          <x:t xml:space="preserve">PDTFRP001220</x:t>
        </x:is>
      </x:c>
      <x:c r="B2006" s="184" t="inlineStr">
        <x:is>
          <x:t xml:space="preserve">4203246 CODO TORRE 3 FRP-PVDF RESINA VINILESTER PLNPP073PVF20DWG000</x:t>
        </x:is>
      </x:c>
      <x:c r="C2006" s="184" t="n">
        <x:v>0</x:v>
      </x:c>
      <x:c r="D2006" s="184" t="n">
        <x:v>0</x:v>
      </x:c>
      <x:c r="E2006" s="184" t="n">
        <x:v>0</x:v>
      </x:c>
      <x:c r="F2006" s="184" t="n">
        <x:v>0</x:v>
      </x:c>
      <x:c r="G2006" s="184" t="n">
        <x:v>0</x:v>
      </x:c>
      <x:c r="H2006" s="193" t="n">
        <x:v>0</x:v>
      </x:c>
      <x:c r="I2006" s="185" t="n">
        <x:v>0</x:v>
      </x:c>
      <x:c r="J2006" s="185" t="n">
        <x:v>0</x:v>
      </x:c>
      <x:c r="K2006" s="289" t="n">
        <x:v>10510786</x:v>
      </x:c>
    </x:row>
    <x:row r="2007" s="117" customFormat="1" hidden="1">
      <x:c r="A2007" s="184" t="inlineStr">
        <x:is>
          <x:t xml:space="preserve">PDTFRP001221</x:t>
        </x:is>
      </x:c>
      <x:c r="B2007" s="184" t="inlineStr">
        <x:is>
          <x:t xml:space="preserve">BOQUILLA DE 8N PLG FRP INSTALADA EN TK</x:t>
        </x:is>
      </x:c>
      <x:c r="C2007" s="184" t="n">
        <x:v>0</x:v>
      </x:c>
      <x:c r="D2007" s="184" t="n">
        <x:v>0</x:v>
      </x:c>
      <x:c r="E2007" s="184" t="n">
        <x:v>0</x:v>
      </x:c>
      <x:c r="F2007" s="184" t="n">
        <x:v>0</x:v>
      </x:c>
      <x:c r="G2007" s="184" t="n">
        <x:v>0</x:v>
      </x:c>
      <x:c r="H2007" s="193" t="n">
        <x:v>0</x:v>
      </x:c>
      <x:c r="I2007" s="185" t="n">
        <x:v>0</x:v>
      </x:c>
      <x:c r="J2007" s="185" t="n">
        <x:v>0</x:v>
      </x:c>
      <x:c r="K2007" s="289" t="n">
        <x:v>144585</x:v>
      </x:c>
    </x:row>
    <x:row r="2008" s="117" customFormat="1" hidden="1">
      <x:c r="A2008" s="184" t="inlineStr">
        <x:is>
          <x:t xml:space="preserve">PDTFRP001222</x:t>
        </x:is>
      </x:c>
      <x:c r="B2008" s="184" t="inlineStr">
        <x:is>
          <x:t xml:space="preserve">ESTANQUE FRP 32M3 350-TK-114</x:t>
        </x:is>
      </x:c>
      <x:c r="C2008" s="184" t="n">
        <x:v>0</x:v>
      </x:c>
      <x:c r="D2008" s="184" t="n">
        <x:v>0</x:v>
      </x:c>
      <x:c r="E2008" s="184" t="n">
        <x:v>0</x:v>
      </x:c>
      <x:c r="F2008" s="184" t="n">
        <x:v>0</x:v>
      </x:c>
      <x:c r="G2008" s="184" t="n">
        <x:v>0</x:v>
      </x:c>
      <x:c r="H2008" s="193" t="n">
        <x:v>0</x:v>
      </x:c>
      <x:c r="I2008" s="185" t="n">
        <x:v>0</x:v>
      </x:c>
      <x:c r="J2008" s="185" t="n">
        <x:v>0</x:v>
      </x:c>
      <x:c r="K2008" s="289" t="n">
        <x:v>12767639</x:v>
      </x:c>
    </x:row>
    <x:row r="2009" s="117" customFormat="1" hidden="1">
      <x:c r="A2009" s="184" t="inlineStr">
        <x:is>
          <x:t xml:space="preserve">PDTFRP001223</x:t>
        </x:is>
      </x:c>
      <x:c r="B2009" s="184" t="inlineStr">
        <x:is>
          <x:t xml:space="preserve">SOPORTES DE ACERO INSTALADO EN TK</x:t>
        </x:is>
      </x:c>
      <x:c r="C2009" s="184" t="n">
        <x:v>0</x:v>
      </x:c>
      <x:c r="D2009" s="184" t="n">
        <x:v>0</x:v>
      </x:c>
      <x:c r="E2009" s="184" t="n">
        <x:v>0</x:v>
      </x:c>
      <x:c r="F2009" s="184" t="n">
        <x:v>0</x:v>
      </x:c>
      <x:c r="G2009" s="184" t="n">
        <x:v>0</x:v>
      </x:c>
      <x:c r="H2009" s="193" t="n">
        <x:v>0</x:v>
      </x:c>
      <x:c r="I2009" s="185" t="n">
        <x:v>0</x:v>
      </x:c>
      <x:c r="J2009" s="185" t="n">
        <x:v>0</x:v>
      </x:c>
      <x:c r="K2009" s="289" t="n">
        <x:v>174025</x:v>
      </x:c>
    </x:row>
    <x:row r="2010" s="117" customFormat="1" hidden="1">
      <x:c r="A2010" s="184" t="inlineStr">
        <x:is>
          <x:t xml:space="preserve">PDTFRP001224</x:t>
        </x:is>
      </x:c>
      <x:c r="B2010" s="184" t="inlineStr">
        <x:is>
          <x:t xml:space="preserve">ESTANQUE FRP 32M3 350-TK-115</x:t>
        </x:is>
      </x:c>
      <x:c r="C2010" s="184" t="n">
        <x:v>0</x:v>
      </x:c>
      <x:c r="D2010" s="184" t="n">
        <x:v>0</x:v>
      </x:c>
      <x:c r="E2010" s="184" t="n">
        <x:v>0</x:v>
      </x:c>
      <x:c r="F2010" s="184" t="n">
        <x:v>0</x:v>
      </x:c>
      <x:c r="G2010" s="184" t="n">
        <x:v>0</x:v>
      </x:c>
      <x:c r="H2010" s="193" t="n">
        <x:v>0</x:v>
      </x:c>
      <x:c r="I2010" s="185" t="n">
        <x:v>0</x:v>
      </x:c>
      <x:c r="J2010" s="185" t="n">
        <x:v>0</x:v>
      </x:c>
      <x:c r="K2010" s="289" t="n">
        <x:v>12767639</x:v>
      </x:c>
    </x:row>
    <x:row r="2011" s="117" customFormat="1" hidden="1">
      <x:c r="A2011" s="184" t="inlineStr">
        <x:is>
          <x:t xml:space="preserve">PDTFRP001225</x:t>
        </x:is>
      </x:c>
      <x:c r="B2011" s="184" t="inlineStr">
        <x:is>
          <x:t xml:space="preserve">CONJUNTO PIPING PP-FRP JCC0521-NV0004 CONTRATO 4500003401 ENAMI</x:t>
        </x:is>
      </x:c>
      <x:c r="C2011" s="184" t="n">
        <x:v>0</x:v>
      </x:c>
      <x:c r="D2011" s="184" t="n">
        <x:v>0</x:v>
      </x:c>
      <x:c r="E2011" s="184" t="n">
        <x:v>0</x:v>
      </x:c>
      <x:c r="F2011" s="184" t="n">
        <x:v>0</x:v>
      </x:c>
      <x:c r="G2011" s="184" t="n">
        <x:v>0</x:v>
      </x:c>
      <x:c r="H2011" s="193" t="n">
        <x:v>0</x:v>
      </x:c>
      <x:c r="I2011" s="185" t="n">
        <x:v>0</x:v>
      </x:c>
      <x:c r="J2011" s="185" t="n">
        <x:v>0</x:v>
      </x:c>
      <x:c r="K2011" s="289" t="n">
        <x:v>79030272</x:v>
      </x:c>
    </x:row>
    <x:row r="2012" s="117" customFormat="1" hidden="1">
      <x:c r="A2012" s="184" t="inlineStr">
        <x:is>
          <x:t xml:space="preserve">PDTFRP001226</x:t>
        </x:is>
      </x:c>
      <x:c r="B2012" s="184" t="inlineStr">
        <x:is>
          <x:t xml:space="preserve">4169651 TEE 4 PLG RESINA VINIÑESTER EXTREMOS PARA VENDAR DIN 16965 CLASE 150</x:t>
        </x:is>
      </x:c>
      <x:c r="C2012" s="184" t="n">
        <x:v>0</x:v>
      </x:c>
      <x:c r="D2012" s="184" t="n">
        <x:v>0</x:v>
      </x:c>
      <x:c r="E2012" s="184" t="n">
        <x:v>0</x:v>
      </x:c>
      <x:c r="F2012" s="184" t="n">
        <x:v>0</x:v>
      </x:c>
      <x:c r="G2012" s="184" t="n">
        <x:v>0</x:v>
      </x:c>
      <x:c r="H2012" s="193" t="n">
        <x:v>0</x:v>
      </x:c>
      <x:c r="I2012" s="185" t="n">
        <x:v>0</x:v>
      </x:c>
      <x:c r="J2012" s="185" t="n">
        <x:v>0</x:v>
      </x:c>
      <x:c r="K2012" s="289" t="n">
        <x:v>119223</x:v>
      </x:c>
    </x:row>
    <x:row r="2013" s="117" customFormat="1" hidden="1">
      <x:c r="A2013" s="184" t="inlineStr">
        <x:is>
          <x:t xml:space="preserve">PDTFRP001227</x:t>
        </x:is>
      </x:c>
      <x:c r="B2013" s="184" t="inlineStr">
        <x:is>
          <x:t xml:space="preserve">ESTANQUE 350-TK-086 FRP 31m3  OC-4510147612 IT-70</x:t>
        </x:is>
      </x:c>
      <x:c r="C2013" s="184" t="n">
        <x:v>0</x:v>
      </x:c>
      <x:c r="D2013" s="184" t="n">
        <x:v>0</x:v>
      </x:c>
      <x:c r="E2013" s="184" t="n">
        <x:v>0</x:v>
      </x:c>
      <x:c r="F2013" s="184" t="n">
        <x:v>0</x:v>
      </x:c>
      <x:c r="G2013" s="184" t="n">
        <x:v>0</x:v>
      </x:c>
      <x:c r="H2013" s="193" t="n">
        <x:v>0</x:v>
      </x:c>
      <x:c r="I2013" s="185" t="n">
        <x:v>0</x:v>
      </x:c>
      <x:c r="J2013" s="185" t="n">
        <x:v>0</x:v>
      </x:c>
      <x:c r="K2013" s="289" t="n">
        <x:v>15317282</x:v>
      </x:c>
    </x:row>
    <x:row r="2014" s="117" customFormat="1" hidden="1">
      <x:c r="A2014" s="184" t="inlineStr">
        <x:is>
          <x:t xml:space="preserve">PDTFRP001228</x:t>
        </x:is>
      </x:c>
      <x:c r="B2014" s="184" t="inlineStr">
        <x:is>
          <x:t xml:space="preserve">ESTANQUE 350-TK-086-01  FRP 16m3  OC-4510147612 IT-80</x:t>
        </x:is>
      </x:c>
      <x:c r="C2014" s="184" t="n">
        <x:v>0</x:v>
      </x:c>
      <x:c r="D2014" s="184" t="n">
        <x:v>0</x:v>
      </x:c>
      <x:c r="E2014" s="184" t="n">
        <x:v>0</x:v>
      </x:c>
      <x:c r="F2014" s="184" t="n">
        <x:v>0</x:v>
      </x:c>
      <x:c r="G2014" s="184" t="n">
        <x:v>0</x:v>
      </x:c>
      <x:c r="H2014" s="193" t="n">
        <x:v>0</x:v>
      </x:c>
      <x:c r="I2014" s="185" t="n">
        <x:v>0</x:v>
      </x:c>
      <x:c r="J2014" s="185" t="n">
        <x:v>0</x:v>
      </x:c>
      <x:c r="K2014" s="289" t="n">
        <x:v>11455549</x:v>
      </x:c>
    </x:row>
    <x:row r="2015" s="117" customFormat="1" hidden="1">
      <x:c r="A2015" s="184" t="inlineStr">
        <x:is>
          <x:t xml:space="preserve">PDTFRP001229</x:t>
        </x:is>
      </x:c>
      <x:c r="B2015" s="184" t="inlineStr">
        <x:is>
          <x:t xml:space="preserve">ESTANQUE 350-TK-758 FRP 35m3  OC-4510147612 IT-10</x:t>
        </x:is>
      </x:c>
      <x:c r="C2015" s="184" t="n">
        <x:v>0</x:v>
      </x:c>
      <x:c r="D2015" s="184" t="n">
        <x:v>0</x:v>
      </x:c>
      <x:c r="E2015" s="184" t="n">
        <x:v>0</x:v>
      </x:c>
      <x:c r="F2015" s="184" t="n">
        <x:v>0</x:v>
      </x:c>
      <x:c r="G2015" s="184" t="n">
        <x:v>0</x:v>
      </x:c>
      <x:c r="H2015" s="193" t="n">
        <x:v>0</x:v>
      </x:c>
      <x:c r="I2015" s="185" t="n">
        <x:v>0</x:v>
      </x:c>
      <x:c r="J2015" s="185" t="n">
        <x:v>0</x:v>
      </x:c>
      <x:c r="K2015" s="289" t="n">
        <x:v>15601021</x:v>
      </x:c>
    </x:row>
    <x:row r="2016" s="117" customFormat="1" hidden="1">
      <x:c r="A2016" s="184" t="inlineStr">
        <x:is>
          <x:t xml:space="preserve">PDTFRP001230</x:t>
        </x:is>
      </x:c>
      <x:c r="B2016" s="184" t="inlineStr">
        <x:is>
          <x:t xml:space="preserve">ESTANQUE 350-TK-757 FRP 35m3  OC-4510147612 IT-20</x:t>
        </x:is>
      </x:c>
      <x:c r="C2016" s="184" t="n">
        <x:v>0</x:v>
      </x:c>
      <x:c r="D2016" s="184" t="n">
        <x:v>0</x:v>
      </x:c>
      <x:c r="E2016" s="184" t="n">
        <x:v>0</x:v>
      </x:c>
      <x:c r="F2016" s="184" t="n">
        <x:v>0</x:v>
      </x:c>
      <x:c r="G2016" s="184" t="n">
        <x:v>0</x:v>
      </x:c>
      <x:c r="H2016" s="193" t="n">
        <x:v>0</x:v>
      </x:c>
      <x:c r="I2016" s="185" t="n">
        <x:v>0</x:v>
      </x:c>
      <x:c r="J2016" s="185" t="n">
        <x:v>0</x:v>
      </x:c>
      <x:c r="K2016" s="289" t="n">
        <x:v>16507533</x:v>
      </x:c>
    </x:row>
    <x:row r="2017" s="117" customFormat="1" hidden="1">
      <x:c r="A2017" s="184" t="inlineStr">
        <x:is>
          <x:t xml:space="preserve">PDTFRP001231</x:t>
        </x:is>
      </x:c>
      <x:c r="B2017" s="184" t="inlineStr">
        <x:is>
          <x:t xml:space="preserve">SET DE VIGAS CUADRADAS AC.REVESTIDO EN FRP PL- 6822500-1L00076-1</x:t>
        </x:is>
      </x:c>
      <x:c r="C2017" s="184" t="n">
        <x:v>0</x:v>
      </x:c>
      <x:c r="D2017" s="184" t="n">
        <x:v>0</x:v>
      </x:c>
      <x:c r="E2017" s="184" t="n">
        <x:v>0</x:v>
      </x:c>
      <x:c r="F2017" s="184" t="n">
        <x:v>0</x:v>
      </x:c>
      <x:c r="G2017" s="184" t="n">
        <x:v>0</x:v>
      </x:c>
      <x:c r="H2017" s="193" t="n">
        <x:v>0</x:v>
      </x:c>
      <x:c r="I2017" s="185" t="n">
        <x:v>0</x:v>
      </x:c>
      <x:c r="J2017" s="185" t="n">
        <x:v>0</x:v>
      </x:c>
      <x:c r="K2017" s="289" t="n">
        <x:v>1790626</x:v>
      </x:c>
    </x:row>
    <x:row r="2018" s="117" customFormat="1" hidden="1">
      <x:c r="A2018" s="184" t="inlineStr">
        <x:is>
          <x:t xml:space="preserve">PDTFRP001232</x:t>
        </x:is>
      </x:c>
      <x:c r="B2018" s="184" t="inlineStr">
        <x:is>
          <x:t xml:space="preserve">SET DE VIGAS CUADRADAS AC.REVESTIDO EN FRP PL-4500SC00016_2-CER-4000-2201-01/02-240</x:t>
        </x:is>
      </x:c>
      <x:c r="C2018" s="184" t="n">
        <x:v>0</x:v>
      </x:c>
      <x:c r="D2018" s="184" t="n">
        <x:v>0</x:v>
      </x:c>
      <x:c r="E2018" s="184" t="n">
        <x:v>0</x:v>
      </x:c>
      <x:c r="F2018" s="184" t="n">
        <x:v>0</x:v>
      </x:c>
      <x:c r="G2018" s="184" t="n">
        <x:v>0</x:v>
      </x:c>
      <x:c r="H2018" s="193" t="n">
        <x:v>0</x:v>
      </x:c>
      <x:c r="I2018" s="185" t="n">
        <x:v>0</x:v>
      </x:c>
      <x:c r="J2018" s="185" t="n">
        <x:v>0</x:v>
      </x:c>
      <x:c r="K2018" s="289" t="n">
        <x:v>1732469</x:v>
      </x:c>
    </x:row>
    <x:row r="2019" s="117" customFormat="1" hidden="1">
      <x:c r="A2019" s="184" t="inlineStr">
        <x:is>
          <x:t xml:space="preserve">PDTFRP001233</x:t>
        </x:is>
      </x:c>
      <x:c r="B2019" s="184" t="inlineStr">
        <x:is>
          <x:t xml:space="preserve">SET DE VIGAS CUADRADAS AC.REVESTIDO EN FRP PL-4500SC00013-CER-4000-2201-01/02-232</x:t>
        </x:is>
      </x:c>
      <x:c r="C2019" s="184" t="n">
        <x:v>0</x:v>
      </x:c>
      <x:c r="D2019" s="184" t="n">
        <x:v>0</x:v>
      </x:c>
      <x:c r="E2019" s="184" t="n">
        <x:v>0</x:v>
      </x:c>
      <x:c r="F2019" s="184" t="n">
        <x:v>0</x:v>
      </x:c>
      <x:c r="G2019" s="184" t="n">
        <x:v>0</x:v>
      </x:c>
      <x:c r="H2019" s="193" t="n">
        <x:v>0</x:v>
      </x:c>
      <x:c r="I2019" s="185" t="n">
        <x:v>0</x:v>
      </x:c>
      <x:c r="J2019" s="185" t="n">
        <x:v>0</x:v>
      </x:c>
      <x:c r="K2019" s="289" t="n">
        <x:v>1881025</x:v>
      </x:c>
    </x:row>
    <x:row r="2020" s="117" customFormat="1" hidden="1">
      <x:c r="A2020" s="184" t="inlineStr">
        <x:is>
          <x:t xml:space="preserve">PDTFRP001234</x:t>
        </x:is>
      </x:c>
      <x:c r="B2020" s="184" t="inlineStr">
        <x:is>
          <x:t xml:space="preserve">ESTANQUE EN FRP TAG 0187-196_080001/2 DIAM.4000 MM ALTO 6800 MM</x:t>
        </x:is>
      </x:c>
      <x:c r="C2020" s="184" t="n">
        <x:v>0</x:v>
      </x:c>
      <x:c r="D2020" s="184" t="n">
        <x:v>0</x:v>
      </x:c>
      <x:c r="E2020" s="184" t="n">
        <x:v>0</x:v>
      </x:c>
      <x:c r="F2020" s="184" t="n">
        <x:v>0</x:v>
      </x:c>
      <x:c r="G2020" s="184" t="n">
        <x:v>0</x:v>
      </x:c>
      <x:c r="H2020" s="193" t="n">
        <x:v>0</x:v>
      </x:c>
      <x:c r="I2020" s="185" t="n">
        <x:v>0</x:v>
      </x:c>
      <x:c r="J2020" s="185" t="n">
        <x:v>0</x:v>
      </x:c>
      <x:c r="K2020" s="289" t="n">
        <x:v>29932893</x:v>
      </x:c>
    </x:row>
    <x:row r="2021" s="117" customFormat="1" hidden="1">
      <x:c r="A2021" s="184" t="inlineStr">
        <x:is>
          <x:t xml:space="preserve">PDTFRP001235</x:t>
        </x:is>
      </x:c>
      <x:c r="B2021" s="184" t="inlineStr">
        <x:is>
          <x:t xml:space="preserve">ESTANQUE  ACIDO CLOHIDRICO 350-TK-113</x:t>
        </x:is>
      </x:c>
      <x:c r="C2021" s="184" t="n">
        <x:v>0</x:v>
      </x:c>
      <x:c r="D2021" s="184" t="n">
        <x:v>0</x:v>
      </x:c>
      <x:c r="E2021" s="184" t="n">
        <x:v>0</x:v>
      </x:c>
      <x:c r="F2021" s="184" t="n">
        <x:v>0</x:v>
      </x:c>
      <x:c r="G2021" s="184" t="n">
        <x:v>0</x:v>
      </x:c>
      <x:c r="H2021" s="193" t="n">
        <x:v>0</x:v>
      </x:c>
      <x:c r="I2021" s="185" t="n">
        <x:v>0</x:v>
      </x:c>
      <x:c r="J2021" s="185" t="n">
        <x:v>0</x:v>
      </x:c>
      <x:c r="K2021" s="289" t="n">
        <x:v>16437446</x:v>
      </x:c>
    </x:row>
    <x:row r="2022" s="117" customFormat="1" hidden="1">
      <x:c r="A2022" s="184" t="inlineStr">
        <x:is>
          <x:t xml:space="preserve">PDTFRP001236</x:t>
        </x:is>
      </x:c>
      <x:c r="B2022" s="184" t="inlineStr">
        <x:is>
          <x:t xml:space="preserve">ESTANQUE  ACIDO CLOHIDRICO 350-TK-111</x:t>
        </x:is>
      </x:c>
      <x:c r="C2022" s="184" t="n">
        <x:v>0</x:v>
      </x:c>
      <x:c r="D2022" s="184" t="n">
        <x:v>0</x:v>
      </x:c>
      <x:c r="E2022" s="184" t="n">
        <x:v>0</x:v>
      </x:c>
      <x:c r="F2022" s="184" t="n">
        <x:v>0</x:v>
      </x:c>
      <x:c r="G2022" s="184" t="n">
        <x:v>0</x:v>
      </x:c>
      <x:c r="H2022" s="193" t="n">
        <x:v>0</x:v>
      </x:c>
      <x:c r="I2022" s="185" t="n">
        <x:v>0</x:v>
      </x:c>
      <x:c r="J2022" s="185" t="n">
        <x:v>0</x:v>
      </x:c>
      <x:c r="K2022" s="289" t="n">
        <x:v>16842917</x:v>
      </x:c>
    </x:row>
    <x:row r="2023" s="117" customFormat="1" hidden="1">
      <x:c r="A2023" s="184" t="inlineStr">
        <x:is>
          <x:t xml:space="preserve">PDTFRP001237</x:t>
        </x:is>
      </x:c>
      <x:c r="B2023" s="184" t="inlineStr">
        <x:is>
          <x:t xml:space="preserve">ESTANQUE ACEROA36 TAG 330-TK-705</x:t>
        </x:is>
      </x:c>
      <x:c r="C2023" s="184" t="n">
        <x:v>0</x:v>
      </x:c>
      <x:c r="D2023" s="184" t="n">
        <x:v>0</x:v>
      </x:c>
      <x:c r="E2023" s="184" t="n">
        <x:v>0</x:v>
      </x:c>
      <x:c r="F2023" s="184" t="n">
        <x:v>0</x:v>
      </x:c>
      <x:c r="G2023" s="184" t="n">
        <x:v>0</x:v>
      </x:c>
      <x:c r="H2023" s="193" t="n">
        <x:v>0</x:v>
      </x:c>
      <x:c r="I2023" s="185" t="n">
        <x:v>0</x:v>
      </x:c>
      <x:c r="J2023" s="185" t="n">
        <x:v>0</x:v>
      </x:c>
      <x:c r="K2023" s="289" t="n">
        <x:v>30718550</x:v>
      </x:c>
    </x:row>
    <x:row r="2024" s="117" customFormat="1" hidden="1">
      <x:c r="A2024" s="184" t="inlineStr">
        <x:is>
          <x:t xml:space="preserve">PDTFRP001238</x:t>
        </x:is>
      </x:c>
      <x:c r="B2024" s="184" t="inlineStr">
        <x:is>
          <x:t xml:space="preserve">JUEGO VIGA AC A36 FRP-PP RECT 300X200MM C/JG CONTIENE 6 VIGAS COD.4204069</x:t>
        </x:is>
      </x:c>
      <x:c r="C2024" s="184" t="n">
        <x:v>0</x:v>
      </x:c>
      <x:c r="D2024" s="184" t="n">
        <x:v>0</x:v>
      </x:c>
      <x:c r="E2024" s="184" t="n">
        <x:v>0</x:v>
      </x:c>
      <x:c r="F2024" s="184" t="n">
        <x:v>0</x:v>
      </x:c>
      <x:c r="G2024" s="184" t="n">
        <x:v>0</x:v>
      </x:c>
      <x:c r="H2024" s="193" t="n">
        <x:v>0</x:v>
      </x:c>
      <x:c r="I2024" s="185" t="n">
        <x:v>0</x:v>
      </x:c>
      <x:c r="J2024" s="185" t="n">
        <x:v>0</x:v>
      </x:c>
      <x:c r="K2024" s="289" t="n">
        <x:v>11558106</x:v>
      </x:c>
    </x:row>
    <x:row r="2025" s="117" customFormat="1" hidden="1">
      <x:c r="A2025" s="184" t="inlineStr">
        <x:is>
          <x:t xml:space="preserve">PDTFRP001239</x:t>
        </x:is>
      </x:c>
      <x:c r="B2025" s="184" t="inlineStr">
        <x:is>
          <x:t xml:space="preserve">SUMINISTRO Y FABRICACION DE SPOOL N° 006 OC-4511141195 HES 1010891768</x:t>
        </x:is>
      </x:c>
      <x:c r="C2025" s="184" t="n">
        <x:v>0</x:v>
      </x:c>
      <x:c r="D2025" s="184" t="n">
        <x:v>0</x:v>
      </x:c>
      <x:c r="E2025" s="184" t="n">
        <x:v>0</x:v>
      </x:c>
      <x:c r="F2025" s="184" t="n">
        <x:v>0</x:v>
      </x:c>
      <x:c r="G2025" s="184" t="n">
        <x:v>0</x:v>
      </x:c>
      <x:c r="H2025" s="193" t="n">
        <x:v>0</x:v>
      </x:c>
      <x:c r="I2025" s="185" t="n">
        <x:v>0</x:v>
      </x:c>
      <x:c r="J2025" s="185" t="n">
        <x:v>0</x:v>
      </x:c>
      <x:c r="K2025" s="289" t="n">
        <x:v>12416945</x:v>
      </x:c>
    </x:row>
    <x:row r="2026" s="117" customFormat="1" hidden="1">
      <x:c r="A2026" s="184" t="inlineStr">
        <x:is>
          <x:t xml:space="preserve">PDTFRP001240</x:t>
        </x:is>
      </x:c>
      <x:c r="B2026" s="184" t="inlineStr">
        <x:is>
          <x:t xml:space="preserve">4101386 CODO FRP 4 PLG DIAM 90GRD 150 PSI</x:t>
        </x:is>
      </x:c>
      <x:c r="C2026" s="184" t="n">
        <x:v>0</x:v>
      </x:c>
      <x:c r="D2026" s="184" t="n">
        <x:v>0</x:v>
      </x:c>
      <x:c r="E2026" s="184" t="n">
        <x:v>0</x:v>
      </x:c>
      <x:c r="F2026" s="184" t="n">
        <x:v>0</x:v>
      </x:c>
      <x:c r="G2026" s="184" t="n">
        <x:v>0</x:v>
      </x:c>
      <x:c r="H2026" s="193" t="n">
        <x:v>0</x:v>
      </x:c>
      <x:c r="I2026" s="185" t="n">
        <x:v>0</x:v>
      </x:c>
      <x:c r="J2026" s="185" t="n">
        <x:v>0</x:v>
      </x:c>
      <x:c r="K2026" s="289" t="n">
        <x:v>50000</x:v>
      </x:c>
    </x:row>
    <x:row r="2027" s="117" customFormat="1" hidden="1">
      <x:c r="A2027" s="184" t="inlineStr">
        <x:is>
          <x:t xml:space="preserve">PDTFRP001241</x:t>
        </x:is>
      </x:c>
      <x:c r="B2027" s="184" t="inlineStr">
        <x:is>
          <x:t xml:space="preserve">4070981 MANIFOLD DESCARGA APV 020 PL MMB-DWG-3700-PD-1137-01</x:t>
        </x:is>
      </x:c>
      <x:c r="C2027" s="184" t="n">
        <x:v>0</x:v>
      </x:c>
      <x:c r="D2027" s="184" t="n">
        <x:v>0</x:v>
      </x:c>
      <x:c r="E2027" s="184" t="n">
        <x:v>0</x:v>
      </x:c>
      <x:c r="F2027" s="184" t="n">
        <x:v>0</x:v>
      </x:c>
      <x:c r="G2027" s="184" t="n">
        <x:v>0</x:v>
      </x:c>
      <x:c r="H2027" s="193" t="n">
        <x:v>0</x:v>
      </x:c>
      <x:c r="I2027" s="185" t="n">
        <x:v>0</x:v>
      </x:c>
      <x:c r="J2027" s="185" t="n">
        <x:v>0</x:v>
      </x:c>
      <x:c r="K2027" s="289" t="n">
        <x:v>2150937</x:v>
      </x:c>
    </x:row>
    <x:row r="2028" s="117" customFormat="1" hidden="1">
      <x:c r="A2028" s="184" t="inlineStr">
        <x:is>
          <x:t xml:space="preserve">PDTFRP001242</x:t>
        </x:is>
      </x:c>
      <x:c r="B2028" s="184" t="inlineStr">
        <x:is>
          <x:t xml:space="preserve">CODO 90 GRD DN-300 PP/FRP PIEZA N° C10/T101-AS-004-300 S.PL PD-521</x:t>
        </x:is>
      </x:c>
      <x:c r="C2028" s="184" t="n">
        <x:v>0</x:v>
      </x:c>
      <x:c r="D2028" s="184" t="n">
        <x:v>0</x:v>
      </x:c>
      <x:c r="E2028" s="184" t="n">
        <x:v>0</x:v>
      </x:c>
      <x:c r="F2028" s="184" t="n">
        <x:v>0</x:v>
      </x:c>
      <x:c r="G2028" s="184" t="n">
        <x:v>0</x:v>
      </x:c>
      <x:c r="H2028" s="193" t="n">
        <x:v>0</x:v>
      </x:c>
      <x:c r="I2028" s="185" t="n">
        <x:v>0</x:v>
      </x:c>
      <x:c r="J2028" s="185" t="n">
        <x:v>0</x:v>
      </x:c>
      <x:c r="K2028" s="289" t="n">
        <x:v>931655</x:v>
      </x:c>
    </x:row>
    <x:row r="2029" s="117" customFormat="1" hidden="1">
      <x:c r="A2029" s="184" t="inlineStr">
        <x:is>
          <x:t xml:space="preserve">PDTFRP001243</x:t>
        </x:is>
      </x:c>
      <x:c r="B2029" s="184" t="inlineStr">
        <x:is>
          <x:t xml:space="preserve">CODO 90 GRD DN-100 PP/FRP PIEZA N° C15/T101-AS-004-100S.PL 4500-PD-542</x:t>
        </x:is>
      </x:c>
      <x:c r="C2029" s="184" t="n">
        <x:v>0</x:v>
      </x:c>
      <x:c r="D2029" s="184" t="n">
        <x:v>0</x:v>
      </x:c>
      <x:c r="E2029" s="184" t="n">
        <x:v>0</x:v>
      </x:c>
      <x:c r="F2029" s="184" t="n">
        <x:v>0</x:v>
      </x:c>
      <x:c r="G2029" s="184" t="n">
        <x:v>0</x:v>
      </x:c>
      <x:c r="H2029" s="193" t="n">
        <x:v>0</x:v>
      </x:c>
      <x:c r="I2029" s="185" t="n">
        <x:v>0</x:v>
      </x:c>
      <x:c r="J2029" s="185" t="n">
        <x:v>0</x:v>
      </x:c>
      <x:c r="K2029" s="289" t="n">
        <x:v>162316</x:v>
      </x:c>
    </x:row>
    <x:row r="2030" s="117" customFormat="1" hidden="1">
      <x:c r="A2030" s="184" t="inlineStr">
        <x:is>
          <x:t xml:space="preserve">PDTFRP001244</x:t>
        </x:is>
      </x:c>
      <x:c r="B2030" s="184" t="inlineStr">
        <x:is>
          <x:t xml:space="preserve">CODO 90 GRD DN-100 PP/FRP PIEZA N° C14/T101-AS-005-100  PL 4500-PD-523</x:t>
        </x:is>
      </x:c>
      <x:c r="C2030" s="184" t="n">
        <x:v>0</x:v>
      </x:c>
      <x:c r="D2030" s="184" t="n">
        <x:v>0</x:v>
      </x:c>
      <x:c r="E2030" s="184" t="n">
        <x:v>0</x:v>
      </x:c>
      <x:c r="F2030" s="184" t="n">
        <x:v>0</x:v>
      </x:c>
      <x:c r="G2030" s="184" t="n">
        <x:v>0</x:v>
      </x:c>
      <x:c r="H2030" s="193" t="n">
        <x:v>0</x:v>
      </x:c>
      <x:c r="I2030" s="185" t="n">
        <x:v>0</x:v>
      </x:c>
      <x:c r="J2030" s="185" t="n">
        <x:v>0</x:v>
      </x:c>
      <x:c r="K2030" s="289" t="n">
        <x:v>159248</x:v>
      </x:c>
    </x:row>
    <x:row r="2031" s="117" customFormat="1" hidden="1">
      <x:c r="A2031" s="184" t="inlineStr">
        <x:is>
          <x:t xml:space="preserve">PDTFRP001245</x:t>
        </x:is>
      </x:c>
      <x:c r="B2031" s="184" t="inlineStr">
        <x:is>
          <x:t xml:space="preserve">BOQUILLA REDUCCION 10" X 4" LARGO 210 MM PP/FRPNFLANGE FIJO DE 10 Y ROTATORIO 4</x:t>
        </x:is>
      </x:c>
      <x:c r="C2031" s="184" t="n">
        <x:v>0</x:v>
      </x:c>
      <x:c r="D2031" s="184" t="n">
        <x:v>0</x:v>
      </x:c>
      <x:c r="E2031" s="184" t="n">
        <x:v>0</x:v>
      </x:c>
      <x:c r="F2031" s="184" t="n">
        <x:v>0</x:v>
      </x:c>
      <x:c r="G2031" s="184" t="n">
        <x:v>0</x:v>
      </x:c>
      <x:c r="H2031" s="193" t="n">
        <x:v>0</x:v>
      </x:c>
      <x:c r="I2031" s="185" t="n">
        <x:v>0</x:v>
      </x:c>
      <x:c r="J2031" s="185" t="n">
        <x:v>0</x:v>
      </x:c>
      <x:c r="K2031" s="289" t="n">
        <x:v>292358</x:v>
      </x:c>
    </x:row>
    <x:row r="2032" s="117" customFormat="1" hidden="1">
      <x:c r="A2032" s="184" t="inlineStr">
        <x:is>
          <x:t xml:space="preserve">PDTFRP001246</x:t>
        </x:is>
      </x:c>
      <x:c r="B2032" s="184" t="inlineStr">
        <x:is>
          <x:t xml:space="preserve">37424738 CAÑERIA FIBRA VIDRIO 6 9,1 MM FRP VIPEL   EN MTS</x:t>
        </x:is>
      </x:c>
      <x:c r="C2032" s="184" t="n">
        <x:v>0</x:v>
      </x:c>
      <x:c r="D2032" s="184" t="n">
        <x:v>0</x:v>
      </x:c>
      <x:c r="E2032" s="184" t="n">
        <x:v>0</x:v>
      </x:c>
      <x:c r="F2032" s="184" t="n">
        <x:v>0</x:v>
      </x:c>
      <x:c r="G2032" s="184" t="n">
        <x:v>0</x:v>
      </x:c>
      <x:c r="H2032" s="193" t="n">
        <x:v>0</x:v>
      </x:c>
      <x:c r="I2032" s="185" t="n">
        <x:v>0</x:v>
      </x:c>
      <x:c r="J2032" s="185" t="n">
        <x:v>0</x:v>
      </x:c>
      <x:c r="K2032" s="289" t="n">
        <x:v>75667</x:v>
      </x:c>
    </x:row>
    <x:row r="2033" s="117" customFormat="1" hidden="1">
      <x:c r="A2033" s="184" t="inlineStr">
        <x:is>
          <x:t xml:space="preserve">PDTFRP001247</x:t>
        </x:is>
      </x:c>
      <x:c r="B2033" s="184" t="inlineStr">
        <x:is>
          <x:t xml:space="preserve">37424516  CAÑERIA FIBRA DE VIDRIO 16 PLG FRP 150 PSI  EN MTS</x:t>
        </x:is>
      </x:c>
      <x:c r="C2033" s="184" t="n">
        <x:v>0</x:v>
      </x:c>
      <x:c r="D2033" s="184" t="n">
        <x:v>0</x:v>
      </x:c>
      <x:c r="E2033" s="184" t="n">
        <x:v>0</x:v>
      </x:c>
      <x:c r="F2033" s="184" t="n">
        <x:v>0</x:v>
      </x:c>
      <x:c r="G2033" s="184" t="n">
        <x:v>0</x:v>
      </x:c>
      <x:c r="H2033" s="193" t="n">
        <x:v>0</x:v>
      </x:c>
      <x:c r="I2033" s="185" t="n">
        <x:v>0</x:v>
      </x:c>
      <x:c r="J2033" s="185" t="n">
        <x:v>0</x:v>
      </x:c>
      <x:c r="K2033" s="289" t="n">
        <x:v>103451</x:v>
      </x:c>
    </x:row>
    <x:row r="2034" s="117" customFormat="1" hidden="1">
      <x:c r="A2034" s="184" t="inlineStr">
        <x:is>
          <x:t xml:space="preserve">PDTFRP001248</x:t>
        </x:is>
      </x:c>
      <x:c r="B2034" s="184" t="inlineStr">
        <x:is>
          <x:t xml:space="preserve">SOPORTECAJA TOMA MUESTRA 350X350 TIPO 2 S/PL SPCTM350350-DWG-000</x:t>
        </x:is>
      </x:c>
      <x:c r="C2034" s="184" t="n">
        <x:v>0</x:v>
      </x:c>
      <x:c r="D2034" s="184" t="n">
        <x:v>0</x:v>
      </x:c>
      <x:c r="E2034" s="184" t="n">
        <x:v>0</x:v>
      </x:c>
      <x:c r="F2034" s="184" t="n">
        <x:v>0</x:v>
      </x:c>
      <x:c r="G2034" s="184" t="n">
        <x:v>0</x:v>
      </x:c>
      <x:c r="H2034" s="193" t="n">
        <x:v>0</x:v>
      </x:c>
      <x:c r="I2034" s="185" t="n">
        <x:v>0</x:v>
      </x:c>
      <x:c r="J2034" s="185" t="n">
        <x:v>0</x:v>
      </x:c>
      <x:c r="K2034" s="289" t="n">
        <x:v>185196</x:v>
      </x:c>
    </x:row>
    <x:row r="2035" s="117" customFormat="1" hidden="1">
      <x:c r="A2035" s="184" t="inlineStr">
        <x:is>
          <x:t xml:space="preserve">PDTFRP001249</x:t>
        </x:is>
      </x:c>
      <x:c r="B2035" s="184" t="inlineStr">
        <x:is>
          <x:t xml:space="preserve">FABRICACION DE TEE 2 PLG S BOSQUEJO AVANC,HORIZ 2400 MM AVANC.VERT,400 MM C/FLANGE ANSI CLASE 150</x:t>
        </x:is>
      </x:c>
      <x:c r="C2035" s="184" t="n">
        <x:v>0</x:v>
      </x:c>
      <x:c r="D2035" s="184" t="n">
        <x:v>0</x:v>
      </x:c>
      <x:c r="E2035" s="184" t="n">
        <x:v>0</x:v>
      </x:c>
      <x:c r="F2035" s="184" t="n">
        <x:v>0</x:v>
      </x:c>
      <x:c r="G2035" s="184" t="n">
        <x:v>0</x:v>
      </x:c>
      <x:c r="H2035" s="193" t="n">
        <x:v>0</x:v>
      </x:c>
      <x:c r="I2035" s="185" t="n">
        <x:v>0</x:v>
      </x:c>
      <x:c r="J2035" s="185" t="n">
        <x:v>0</x:v>
      </x:c>
      <x:c r="K2035" s="289" t="n">
        <x:v>115087</x:v>
      </x:c>
    </x:row>
    <x:row r="2036" s="117" customFormat="1" hidden="1">
      <x:c r="A2036" s="184" t="inlineStr">
        <x:is>
          <x:t xml:space="preserve">PDTFRP001250</x:t>
        </x:is>
      </x:c>
      <x:c r="B2036" s="184" t="inlineStr">
        <x:is>
          <x:t xml:space="preserve">CAJA MUESTRA 350X350 MM PLANO CTMT1350350-DWG.000</x:t>
        </x:is>
      </x:c>
      <x:c r="C2036" s="184" t="n">
        <x:v>0</x:v>
      </x:c>
      <x:c r="D2036" s="184" t="n">
        <x:v>0</x:v>
      </x:c>
      <x:c r="E2036" s="184" t="n">
        <x:v>0</x:v>
      </x:c>
      <x:c r="F2036" s="184" t="n">
        <x:v>0</x:v>
      </x:c>
      <x:c r="G2036" s="184" t="n">
        <x:v>0</x:v>
      </x:c>
      <x:c r="H2036" s="193" t="n">
        <x:v>0</x:v>
      </x:c>
      <x:c r="I2036" s="185" t="n">
        <x:v>0</x:v>
      </x:c>
      <x:c r="J2036" s="185" t="n">
        <x:v>0</x:v>
      </x:c>
      <x:c r="K2036" s="289" t="n">
        <x:v>145632</x:v>
      </x:c>
    </x:row>
    <x:row r="2037" s="117" customFormat="1" hidden="1">
      <x:c r="A2037" s="184" t="inlineStr">
        <x:is>
          <x:t xml:space="preserve">PDTFRP001251</x:t>
        </x:is>
      </x:c>
      <x:c r="B2037" s="184" t="inlineStr">
        <x:is>
          <x:t xml:space="preserve">FABRICACION VENTILADOR PARA SISTEMA CAPTACION NEBLINA ACIDA TAG 1830-FAC-001 9 CONJUNTOS</x:t>
        </x:is>
      </x:c>
      <x:c r="C2037" s="184" t="n">
        <x:v>0</x:v>
      </x:c>
      <x:c r="D2037" s="184" t="n">
        <x:v>0</x:v>
      </x:c>
      <x:c r="E2037" s="184" t="n">
        <x:v>0</x:v>
      </x:c>
      <x:c r="F2037" s="184" t="n">
        <x:v>0</x:v>
      </x:c>
      <x:c r="G2037" s="184" t="n">
        <x:v>0</x:v>
      </x:c>
      <x:c r="H2037" s="193" t="n">
        <x:v>0</x:v>
      </x:c>
      <x:c r="I2037" s="185" t="n">
        <x:v>0</x:v>
      </x:c>
      <x:c r="J2037" s="185" t="n">
        <x:v>0</x:v>
      </x:c>
      <x:c r="K2037" s="289" t="n">
        <x:v>15983569</x:v>
      </x:c>
    </x:row>
    <x:row r="2038" s="117" customFormat="1" hidden="1">
      <x:c r="A2038" s="184" t="inlineStr">
        <x:is>
          <x:t xml:space="preserve">PDTFRP001252</x:t>
        </x:is>
      </x:c>
      <x:c r="B2038" s="184" t="inlineStr">
        <x:is>
          <x:t xml:space="preserve">FABRICACION TRAMO 6C VENTILADOR TAG 1830-FAC-002</x:t>
        </x:is>
      </x:c>
      <x:c r="C2038" s="184" t="n">
        <x:v>0</x:v>
      </x:c>
      <x:c r="D2038" s="184" t="n">
        <x:v>0</x:v>
      </x:c>
      <x:c r="E2038" s="184" t="n">
        <x:v>0</x:v>
      </x:c>
      <x:c r="F2038" s="184" t="n">
        <x:v>0</x:v>
      </x:c>
      <x:c r="G2038" s="184" t="n">
        <x:v>0</x:v>
      </x:c>
      <x:c r="H2038" s="193" t="n">
        <x:v>0</x:v>
      </x:c>
      <x:c r="I2038" s="185" t="n">
        <x:v>0</x:v>
      </x:c>
      <x:c r="J2038" s="185" t="n">
        <x:v>0</x:v>
      </x:c>
      <x:c r="K2038" s="289" t="n">
        <x:v>2389249</x:v>
      </x:c>
    </x:row>
    <x:row r="2039" s="117" customFormat="1" hidden="1">
      <x:c r="A2039" s="184" t="inlineStr">
        <x:is>
          <x:t xml:space="preserve">PDTFRP001253</x:t>
        </x:is>
      </x:c>
      <x:c r="B2039" s="184" t="inlineStr">
        <x:is>
          <x:t xml:space="preserve">FABRICACION E INSTACION DE BOQUILLAD 2 PLG C&amp;FLANGE FF</x:t>
        </x:is>
      </x:c>
      <x:c r="C2039" s="184" t="n">
        <x:v>0</x:v>
      </x:c>
      <x:c r="D2039" s="184" t="n">
        <x:v>0</x:v>
      </x:c>
      <x:c r="E2039" s="184" t="n">
        <x:v>0</x:v>
      </x:c>
      <x:c r="F2039" s="184" t="n">
        <x:v>0</x:v>
      </x:c>
      <x:c r="G2039" s="184" t="n">
        <x:v>0</x:v>
      </x:c>
      <x:c r="H2039" s="193" t="n">
        <x:v>0</x:v>
      </x:c>
      <x:c r="I2039" s="185" t="n">
        <x:v>0</x:v>
      </x:c>
      <x:c r="J2039" s="185" t="n">
        <x:v>0</x:v>
      </x:c>
      <x:c r="K2039" s="289" t="n">
        <x:v>156640</x:v>
      </x:c>
    </x:row>
    <x:row r="2040" s="117" customFormat="1" hidden="1">
      <x:c r="A2040" s="184" t="inlineStr">
        <x:is>
          <x:t xml:space="preserve">PDTFRP001254</x:t>
        </x:is>
      </x:c>
      <x:c r="B2040" s="184" t="inlineStr">
        <x:is>
          <x:t xml:space="preserve">4202332 FILTRO Y PLAST C/FIBRA  PP DN250 810X10MM</x:t>
        </x:is>
      </x:c>
      <x:c r="C2040" s="184" t="n">
        <x:v>0</x:v>
      </x:c>
      <x:c r="D2040" s="184" t="n">
        <x:v>0</x:v>
      </x:c>
      <x:c r="E2040" s="184" t="n">
        <x:v>0</x:v>
      </x:c>
      <x:c r="F2040" s="184" t="n">
        <x:v>0</x:v>
      </x:c>
      <x:c r="G2040" s="184" t="n">
        <x:v>0</x:v>
      </x:c>
      <x:c r="H2040" s="193" t="n">
        <x:v>0</x:v>
      </x:c>
      <x:c r="I2040" s="185" t="n">
        <x:v>0</x:v>
      </x:c>
      <x:c r="J2040" s="185" t="n">
        <x:v>0</x:v>
      </x:c>
      <x:c r="K2040" s="289" t="n">
        <x:v>686999</x:v>
      </x:c>
    </x:row>
    <x:row r="2041" s="117" customFormat="1" hidden="1">
      <x:c r="A2041" s="184" t="inlineStr">
        <x:is>
          <x:t xml:space="preserve">PDTFRP001255</x:t>
        </x:is>
      </x:c>
      <x:c r="B2041" s="184" t="inlineStr">
        <x:is>
          <x:t xml:space="preserve">TAPAS DN 600 FRP TAG PL3-FRP-30-TR S/PL RPLG3-CA-030-124-0</x:t>
        </x:is>
      </x:c>
      <x:c r="C2041" s="184" t="n">
        <x:v>0</x:v>
      </x:c>
      <x:c r="D2041" s="184" t="n">
        <x:v>0</x:v>
      </x:c>
      <x:c r="E2041" s="184" t="n">
        <x:v>0</x:v>
      </x:c>
      <x:c r="F2041" s="184" t="n">
        <x:v>0</x:v>
      </x:c>
      <x:c r="G2041" s="184" t="n">
        <x:v>0</x:v>
      </x:c>
      <x:c r="H2041" s="193" t="n">
        <x:v>0</x:v>
      </x:c>
      <x:c r="I2041" s="185" t="n">
        <x:v>0</x:v>
      </x:c>
      <x:c r="J2041" s="185" t="n">
        <x:v>0</x:v>
      </x:c>
      <x:c r="K2041" s="289" t="n">
        <x:v>348190</x:v>
      </x:c>
    </x:row>
    <x:row r="2042" s="117" customFormat="1" hidden="1">
      <x:c r="A2042" s="184" t="inlineStr">
        <x:is>
          <x:t xml:space="preserve">PDTFRP001256</x:t>
        </x:is>
      </x:c>
      <x:c r="B2042" s="184" t="inlineStr">
        <x:is>
          <x:t xml:space="preserve">CODO 90° REDUCCION DIAM 100 X 4 X 3 PLG EN FRP TAG PL3-FRP-30-CD01  PLANO RPLG3-CA-030-102-B</x:t>
        </x:is>
      </x:c>
      <x:c r="C2042" s="184" t="n">
        <x:v>0</x:v>
      </x:c>
      <x:c r="D2042" s="184" t="n">
        <x:v>0</x:v>
      </x:c>
      <x:c r="E2042" s="184" t="n">
        <x:v>0</x:v>
      </x:c>
      <x:c r="F2042" s="184" t="n">
        <x:v>0</x:v>
      </x:c>
      <x:c r="G2042" s="184" t="n">
        <x:v>0</x:v>
      </x:c>
      <x:c r="H2042" s="193" t="n">
        <x:v>0</x:v>
      </x:c>
      <x:c r="I2042" s="185" t="n">
        <x:v>0</x:v>
      </x:c>
      <x:c r="J2042" s="185" t="n">
        <x:v>0</x:v>
      </x:c>
      <x:c r="K2042" s="289" t="n">
        <x:v>294875</x:v>
      </x:c>
    </x:row>
    <x:row r="2043" s="117" customFormat="1" hidden="1">
      <x:c r="A2043" s="184" t="inlineStr">
        <x:is>
          <x:t xml:space="preserve">PDTFRP001257</x:t>
        </x:is>
      </x:c>
      <x:c r="B2043" s="184" t="inlineStr">
        <x:is>
          <x:t xml:space="preserve">TEE REDUCCION 8 PLG X 8 PLG X 3 PLG TAG:PL3-FRP-30-TR04 PLANO DPLG3-CA-030-102B</x:t>
        </x:is>
      </x:c>
      <x:c r="C2043" s="184" t="n">
        <x:v>0</x:v>
      </x:c>
      <x:c r="D2043" s="184" t="n">
        <x:v>0</x:v>
      </x:c>
      <x:c r="E2043" s="184" t="n">
        <x:v>0</x:v>
      </x:c>
      <x:c r="F2043" s="184" t="n">
        <x:v>0</x:v>
      </x:c>
      <x:c r="G2043" s="184" t="n">
        <x:v>0</x:v>
      </x:c>
      <x:c r="H2043" s="193" t="n">
        <x:v>0</x:v>
      </x:c>
      <x:c r="I2043" s="185" t="n">
        <x:v>0</x:v>
      </x:c>
      <x:c r="J2043" s="185" t="n">
        <x:v>0</x:v>
      </x:c>
      <x:c r="K2043" s="289" t="n">
        <x:v>389050</x:v>
      </x:c>
    </x:row>
    <x:row r="2044" s="117" customFormat="1" hidden="1">
      <x:c r="A2044" s="184" t="inlineStr">
        <x:is>
          <x:t xml:space="preserve">PDTFRP001258</x:t>
        </x:is>
      </x:c>
      <x:c r="B2044" s="184" t="inlineStr">
        <x:is>
          <x:t xml:space="preserve">CARRETE 6 PLG X 6 PLG  FRP  TAG: PL3-FRP-005-CQ01 PLANO RPLG3-CA-030-102B</x:t>
        </x:is>
      </x:c>
      <x:c r="C2044" s="184" t="n">
        <x:v>0</x:v>
      </x:c>
      <x:c r="D2044" s="184" t="n">
        <x:v>0</x:v>
      </x:c>
      <x:c r="E2044" s="184" t="n">
        <x:v>0</x:v>
      </x:c>
      <x:c r="F2044" s="184" t="n">
        <x:v>0</x:v>
      </x:c>
      <x:c r="G2044" s="184" t="n">
        <x:v>0</x:v>
      </x:c>
      <x:c r="H2044" s="193" t="n">
        <x:v>0</x:v>
      </x:c>
      <x:c r="I2044" s="185" t="n">
        <x:v>0</x:v>
      </x:c>
      <x:c r="J2044" s="185" t="n">
        <x:v>0</x:v>
      </x:c>
      <x:c r="K2044" s="289" t="n">
        <x:v>296171</x:v>
      </x:c>
    </x:row>
    <x:row r="2045" s="117" customFormat="1" hidden="1">
      <x:c r="A2045" s="184" t="inlineStr">
        <x:is>
          <x:t xml:space="preserve">PDTFRP001259</x:t>
        </x:is>
      </x:c>
      <x:c r="B2045" s="184" t="inlineStr">
        <x:is>
          <x:t xml:space="preserve">CARRETE DIAM 1100 EN FRP TAG PL3-FRP-30-18A PLANO RPLG3-CA-030-121-A</x:t>
        </x:is>
      </x:c>
      <x:c r="C2045" s="184" t="n">
        <x:v>0</x:v>
      </x:c>
      <x:c r="D2045" s="184" t="n">
        <x:v>0</x:v>
      </x:c>
      <x:c r="E2045" s="184" t="n">
        <x:v>0</x:v>
      </x:c>
      <x:c r="F2045" s="184" t="n">
        <x:v>0</x:v>
      </x:c>
      <x:c r="G2045" s="184" t="n">
        <x:v>0</x:v>
      </x:c>
      <x:c r="H2045" s="193" t="n">
        <x:v>0</x:v>
      </x:c>
      <x:c r="I2045" s="185" t="n">
        <x:v>0</x:v>
      </x:c>
      <x:c r="J2045" s="185" t="n">
        <x:v>0</x:v>
      </x:c>
      <x:c r="K2045" s="289" t="n">
        <x:v>849940</x:v>
      </x:c>
    </x:row>
    <x:row r="2046" s="117" customFormat="1" hidden="1">
      <x:c r="A2046" s="184" t="inlineStr">
        <x:is>
          <x:t xml:space="preserve">PDTFRP001260</x:t>
        </x:is>
      </x:c>
      <x:c r="B2046" s="184" t="inlineStr">
        <x:is>
          <x:t xml:space="preserve">AVANCE DE RAJO INCA FACTURA 8708</x:t>
        </x:is>
      </x:c>
      <x:c r="C2046" s="184" t="n">
        <x:v>0</x:v>
      </x:c>
      <x:c r="D2046" s="184" t="n">
        <x:v>0</x:v>
      </x:c>
      <x:c r="E2046" s="184" t="n">
        <x:v>0</x:v>
      </x:c>
      <x:c r="F2046" s="184" t="n">
        <x:v>0</x:v>
      </x:c>
      <x:c r="G2046" s="184" t="n">
        <x:v>0</x:v>
      </x:c>
      <x:c r="H2046" s="193" t="n">
        <x:v>0</x:v>
      </x:c>
      <x:c r="I2046" s="185" t="n">
        <x:v>0</x:v>
      </x:c>
      <x:c r="J2046" s="185" t="n">
        <x:v>0</x:v>
      </x:c>
      <x:c r="K2046" s="289" t="n">
        <x:v>137950695</x:v>
      </x:c>
    </x:row>
    <x:row r="2047" s="117" customFormat="1" hidden="1">
      <x:c r="A2047" s="184" t="inlineStr">
        <x:is>
          <x:t xml:space="preserve">PDTFRP001261</x:t>
        </x:is>
      </x:c>
      <x:c r="B2047" s="184" t="inlineStr">
        <x:is>
          <x:t xml:space="preserve">MMZN22 MANTENION ESTR.FOSO COMPRESORES DE GAS HUACHIPATO O-4531530745</x:t>
        </x:is>
      </x:c>
      <x:c r="C2047" s="184" t="n">
        <x:v>0</x:v>
      </x:c>
      <x:c r="D2047" s="184" t="n">
        <x:v>0</x:v>
      </x:c>
      <x:c r="E2047" s="184" t="n">
        <x:v>0</x:v>
      </x:c>
      <x:c r="F2047" s="184" t="n">
        <x:v>0</x:v>
      </x:c>
      <x:c r="G2047" s="184" t="n">
        <x:v>0</x:v>
      </x:c>
      <x:c r="H2047" s="193" t="n">
        <x:v>0</x:v>
      </x:c>
      <x:c r="I2047" s="185" t="n">
        <x:v>0</x:v>
      </x:c>
      <x:c r="J2047" s="185" t="n">
        <x:v>0</x:v>
      </x:c>
      <x:c r="K2047" s="289" t="n">
        <x:v>9338074</x:v>
      </x:c>
    </x:row>
    <x:row r="2048" s="117" customFormat="1" hidden="1">
      <x:c r="A2048" s="184" t="inlineStr">
        <x:is>
          <x:t xml:space="preserve">PDTFRP001262</x:t>
        </x:is>
      </x:c>
      <x:c r="B2048" s="184" t="inlineStr">
        <x:is>
          <x:t xml:space="preserve">CONFECCIONAR SCRUBBER DE BLOQUEO CELULOSA ARAUCO</x:t>
        </x:is>
      </x:c>
      <x:c r="C2048" s="184" t="n">
        <x:v>0</x:v>
      </x:c>
      <x:c r="D2048" s="184" t="n">
        <x:v>0</x:v>
      </x:c>
      <x:c r="E2048" s="184" t="n">
        <x:v>0</x:v>
      </x:c>
      <x:c r="F2048" s="184" t="n">
        <x:v>0</x:v>
      </x:c>
      <x:c r="G2048" s="184" t="n">
        <x:v>0</x:v>
      </x:c>
      <x:c r="H2048" s="193" t="n">
        <x:v>0</x:v>
      </x:c>
      <x:c r="I2048" s="185" t="n">
        <x:v>0</x:v>
      </x:c>
      <x:c r="J2048" s="185" t="n">
        <x:v>0</x:v>
      </x:c>
      <x:c r="K2048" s="289" t="n">
        <x:v>34845162</x:v>
      </x:c>
    </x:row>
    <x:row r="2049" s="117" customFormat="1" hidden="1">
      <x:c r="A2049" s="184" t="inlineStr">
        <x:is>
          <x:t xml:space="preserve">PDTFRP001263</x:t>
        </x:is>
      </x:c>
      <x:c r="B2049" s="184" t="inlineStr">
        <x:is>
          <x:t xml:space="preserve">4182109 MANIFOLD DESCARGA TRAMO B PLNGCP4T101N02B DOBLE LAMINA (GPL)</x:t>
        </x:is>
      </x:c>
      <x:c r="C2049" s="184" t="n">
        <x:v>0</x:v>
      </x:c>
      <x:c r="D2049" s="184" t="n">
        <x:v>0</x:v>
      </x:c>
      <x:c r="E2049" s="184" t="n">
        <x:v>0</x:v>
      </x:c>
      <x:c r="F2049" s="184" t="n">
        <x:v>0</x:v>
      </x:c>
      <x:c r="G2049" s="184" t="n">
        <x:v>0</x:v>
      </x:c>
      <x:c r="H2049" s="193" t="n">
        <x:v>0</x:v>
      </x:c>
      <x:c r="I2049" s="185" t="n">
        <x:v>0</x:v>
      </x:c>
      <x:c r="J2049" s="185" t="n">
        <x:v>0</x:v>
      </x:c>
      <x:c r="K2049" s="289" t="n">
        <x:v>6468077</x:v>
      </x:c>
    </x:row>
    <x:row r="2050" s="117" customFormat="1" hidden="1">
      <x:c r="A2050" s="184" t="inlineStr">
        <x:is>
          <x:t xml:space="preserve">PDTFRP001264</x:t>
        </x:is>
      </x:c>
      <x:c r="B2050" s="184" t="inlineStr">
        <x:is>
          <x:t xml:space="preserve">4182108 CJTO MANIFOLD DESCARGA BOMBA TRAMO A PLKNGCP4T101N02A DOBLE LAMINA (GPL)</x:t>
        </x:is>
      </x:c>
      <x:c r="C2050" s="184" t="n">
        <x:v>0</x:v>
      </x:c>
      <x:c r="D2050" s="184" t="n">
        <x:v>0</x:v>
      </x:c>
      <x:c r="E2050" s="184" t="n">
        <x:v>0</x:v>
      </x:c>
      <x:c r="F2050" s="184" t="n">
        <x:v>0</x:v>
      </x:c>
      <x:c r="G2050" s="184" t="n">
        <x:v>0</x:v>
      </x:c>
      <x:c r="H2050" s="193" t="n">
        <x:v>0</x:v>
      </x:c>
      <x:c r="I2050" s="185" t="n">
        <x:v>0</x:v>
      </x:c>
      <x:c r="J2050" s="185" t="n">
        <x:v>0</x:v>
      </x:c>
      <x:c r="K2050" s="289" t="n">
        <x:v>2470378</x:v>
      </x:c>
    </x:row>
    <x:row r="2051" s="117" customFormat="1" hidden="1">
      <x:c r="A2051" s="184" t="inlineStr">
        <x:is>
          <x:t xml:space="preserve">PDTFRP001265</x:t>
        </x:is>
      </x:c>
      <x:c r="B2051" s="184" t="inlineStr">
        <x:is>
          <x:t xml:space="preserve">4198918 DISTRIBUIDOR  LINEA DE ENFRIAMIENTO TORRE PLG1  PPT074PPO003</x:t>
        </x:is>
      </x:c>
      <x:c r="C2051" s="184" t="n">
        <x:v>0</x:v>
      </x:c>
      <x:c r="D2051" s="184" t="n">
        <x:v>0</x:v>
      </x:c>
      <x:c r="E2051" s="184" t="n">
        <x:v>0</x:v>
      </x:c>
      <x:c r="F2051" s="184" t="n">
        <x:v>0</x:v>
      </x:c>
      <x:c r="G2051" s="184" t="n">
        <x:v>0</x:v>
      </x:c>
      <x:c r="H2051" s="193" t="n">
        <x:v>0</x:v>
      </x:c>
      <x:c r="I2051" s="185" t="n">
        <x:v>0</x:v>
      </x:c>
      <x:c r="J2051" s="185" t="n">
        <x:v>0</x:v>
      </x:c>
      <x:c r="K2051" s="289" t="n">
        <x:v>19839574</x:v>
      </x:c>
    </x:row>
    <x:row r="2052" s="117" customFormat="1" hidden="1">
      <x:c r="A2052" s="184" t="inlineStr">
        <x:is>
          <x:t xml:space="preserve">PDTFRP001266</x:t>
        </x:is>
      </x:c>
      <x:c r="B2052" s="184" t="inlineStr">
        <x:is>
          <x:t xml:space="preserve">FLANGE FULL FACE 2 PLG RESINA VINILESTER ANSI CLASE 150</x:t>
        </x:is>
      </x:c>
      <x:c r="C2052" s="184" t="n">
        <x:v>0</x:v>
      </x:c>
      <x:c r="D2052" s="184" t="n">
        <x:v>0</x:v>
      </x:c>
      <x:c r="E2052" s="184" t="n">
        <x:v>0</x:v>
      </x:c>
      <x:c r="F2052" s="184" t="n">
        <x:v>0</x:v>
      </x:c>
      <x:c r="G2052" s="184" t="n">
        <x:v>0</x:v>
      </x:c>
      <x:c r="H2052" s="193" t="n">
        <x:v>0</x:v>
      </x:c>
      <x:c r="I2052" s="185" t="n">
        <x:v>0</x:v>
      </x:c>
      <x:c r="J2052" s="185" t="n">
        <x:v>0</x:v>
      </x:c>
      <x:c r="K2052" s="289" t="n">
        <x:v>75355</x:v>
      </x:c>
    </x:row>
    <x:row r="2053" s="117" customFormat="1" hidden="1">
      <x:c r="A2053" s="184" t="inlineStr">
        <x:is>
          <x:t xml:space="preserve">PDTFRP001267</x:t>
        </x:is>
      </x:c>
      <x:c r="B2053" s="184" t="inlineStr">
        <x:is>
          <x:t xml:space="preserve">CAÑERIA FRP RESINA VINILESTER DIAMETRO 20 PLG (RI)</x:t>
        </x:is>
      </x:c>
      <x:c r="C2053" s="184" t="n">
        <x:v>2</x:v>
      </x:c>
      <x:c r="D2053" s="184" t="n">
        <x:v>0</x:v>
      </x:c>
      <x:c r="E2053" s="184" t="n">
        <x:v>0</x:v>
      </x:c>
      <x:c r="F2053" s="184" t="n">
        <x:v>2</x:v>
      </x:c>
      <x:c r="G2053" s="184" t="n">
        <x:v>460000</x:v>
      </x:c>
      <x:c r="H2053" s="193" t="n">
        <x:v>0</x:v>
      </x:c>
      <x:c r="I2053" s="185" t="n">
        <x:v>0</x:v>
      </x:c>
      <x:c r="J2053" s="185" t="n">
        <x:v>460000</x:v>
      </x:c>
      <x:c r="K2053" s="289" t="n">
        <x:v>230000</x:v>
      </x:c>
    </x:row>
    <x:row r="2054" s="117" customFormat="1" hidden="1">
      <x:c r="A2054" s="184" t="inlineStr">
        <x:is>
          <x:t xml:space="preserve">PDTFRP001268</x:t>
        </x:is>
      </x:c>
      <x:c r="B2054" s="184" t="inlineStr">
        <x:is>
          <x:t xml:space="preserve">SPOOL PLTA GASES N°2 SO02S DUAL LAMINATE PPT073PPF284</x:t>
        </x:is>
      </x:c>
      <x:c r="C2054" s="184" t="n">
        <x:v>0</x:v>
      </x:c>
      <x:c r="D2054" s="184" t="n">
        <x:v>0</x:v>
      </x:c>
      <x:c r="E2054" s="184" t="n">
        <x:v>0</x:v>
      </x:c>
      <x:c r="F2054" s="184" t="n">
        <x:v>0</x:v>
      </x:c>
      <x:c r="G2054" s="184" t="n">
        <x:v>0</x:v>
      </x:c>
      <x:c r="H2054" s="193" t="n">
        <x:v>0</x:v>
      </x:c>
      <x:c r="I2054" s="185" t="n">
        <x:v>0</x:v>
      </x:c>
      <x:c r="J2054" s="185" t="n">
        <x:v>0</x:v>
      </x:c>
      <x:c r="K2054" s="289" t="n">
        <x:v>2240888</x:v>
      </x:c>
    </x:row>
    <x:row r="2055" s="117" customFormat="1" hidden="1">
      <x:c r="A2055" s="184" t="inlineStr">
        <x:is>
          <x:t xml:space="preserve">PDTFRP001269</x:t>
        </x:is>
      </x:c>
      <x:c r="B2055" s="184" t="inlineStr">
        <x:is>
          <x:t xml:space="preserve">SPOOL PLTA GASES N°1 SO02S DUAL LAMINATE PPT073PPF260</x:t>
        </x:is>
      </x:c>
      <x:c r="C2055" s="184" t="n">
        <x:v>0</x:v>
      </x:c>
      <x:c r="D2055" s="184" t="n">
        <x:v>0</x:v>
      </x:c>
      <x:c r="E2055" s="184" t="n">
        <x:v>0</x:v>
      </x:c>
      <x:c r="F2055" s="184" t="n">
        <x:v>0</x:v>
      </x:c>
      <x:c r="G2055" s="184" t="n">
        <x:v>0</x:v>
      </x:c>
      <x:c r="H2055" s="193" t="n">
        <x:v>0</x:v>
      </x:c>
      <x:c r="I2055" s="185" t="n">
        <x:v>0</x:v>
      </x:c>
      <x:c r="J2055" s="185" t="n">
        <x:v>0</x:v>
      </x:c>
      <x:c r="K2055" s="289" t="n">
        <x:v>2240888</x:v>
      </x:c>
    </x:row>
    <x:row r="2056" s="117" customFormat="1" hidden="1">
      <x:c r="A2056" s="184" t="inlineStr">
        <x:is>
          <x:t xml:space="preserve">PDTFRP001270</x:t>
        </x:is>
      </x:c>
      <x:c r="B2056" s="184" t="inlineStr">
        <x:is>
          <x:t xml:space="preserve">EP N°1 OC 4500736840 REFUERZO DE UNIONE ANG1 HES 1001269855 ANGAMOS</x:t>
        </x:is>
      </x:c>
      <x:c r="C2056" s="184" t="n">
        <x:v>0</x:v>
      </x:c>
      <x:c r="D2056" s="184" t="n">
        <x:v>0</x:v>
      </x:c>
      <x:c r="E2056" s="184" t="n">
        <x:v>0</x:v>
      </x:c>
      <x:c r="F2056" s="184" t="n">
        <x:v>0</x:v>
      </x:c>
      <x:c r="G2056" s="184" t="n">
        <x:v>0</x:v>
      </x:c>
      <x:c r="H2056" s="193" t="n">
        <x:v>0</x:v>
      </x:c>
      <x:c r="I2056" s="185" t="n">
        <x:v>0</x:v>
      </x:c>
      <x:c r="J2056" s="185" t="n">
        <x:v>0</x:v>
      </x:c>
      <x:c r="K2056" s="289" t="n">
        <x:v>55907306</x:v>
      </x:c>
    </x:row>
    <x:row r="2057" s="117" customFormat="1" hidden="1">
      <x:c r="A2057" s="184" t="inlineStr">
        <x:is>
          <x:t xml:space="preserve">PDTFRP001271</x:t>
        </x:is>
      </x:c>
      <x:c r="B2057" s="184" t="inlineStr">
        <x:is>
          <x:t xml:space="preserve">ESTADO DE PAGO N° 4 CONTRATO  SAP 4600029485   REPARACION EQUIPOS SUMINISTRO HES1001414909</x:t>
        </x:is>
      </x:c>
      <x:c r="C2057" s="184" t="n">
        <x:v>0</x:v>
      </x:c>
      <x:c r="D2057" s="184" t="n">
        <x:v>0</x:v>
      </x:c>
      <x:c r="E2057" s="184" t="n">
        <x:v>0</x:v>
      </x:c>
      <x:c r="F2057" s="184" t="n">
        <x:v>0</x:v>
      </x:c>
      <x:c r="G2057" s="184" t="n">
        <x:v>0</x:v>
      </x:c>
      <x:c r="H2057" s="193" t="n">
        <x:v>0</x:v>
      </x:c>
      <x:c r="I2057" s="185" t="n">
        <x:v>0</x:v>
      </x:c>
      <x:c r="J2057" s="185" t="n">
        <x:v>0</x:v>
      </x:c>
      <x:c r="K2057" s="289" t="n">
        <x:v>0</x:v>
      </x:c>
    </x:row>
    <x:row r="2058" s="117" customFormat="1" hidden="1">
      <x:c r="A2058" s="184" t="inlineStr">
        <x:is>
          <x:t xml:space="preserve">PDTFRP001272</x:t>
        </x:is>
      </x:c>
      <x:c r="B2058" s="184" t="inlineStr">
        <x:is>
          <x:t xml:space="preserve">SPOOL PLTA GASES N°1 SP01SB DUAL LAMINATE PPT073PPF254</x:t>
        </x:is>
      </x:c>
      <x:c r="C2058" s="184" t="n">
        <x:v>0</x:v>
      </x:c>
      <x:c r="D2058" s="184" t="n">
        <x:v>0</x:v>
      </x:c>
      <x:c r="E2058" s="184" t="n">
        <x:v>0</x:v>
      </x:c>
      <x:c r="F2058" s="184" t="n">
        <x:v>0</x:v>
      </x:c>
      <x:c r="G2058" s="184" t="n">
        <x:v>0</x:v>
      </x:c>
      <x:c r="H2058" s="193" t="n">
        <x:v>0</x:v>
      </x:c>
      <x:c r="I2058" s="185" t="n">
        <x:v>0</x:v>
      </x:c>
      <x:c r="J2058" s="185" t="n">
        <x:v>0</x:v>
      </x:c>
      <x:c r="K2058" s="289" t="n">
        <x:v>918588</x:v>
      </x:c>
    </x:row>
    <x:row r="2059" s="117" customFormat="1" hidden="1">
      <x:c r="A2059" s="184" t="inlineStr">
        <x:is>
          <x:t xml:space="preserve">PDTFRP001273</x:t>
        </x:is>
      </x:c>
      <x:c r="B2059" s="184" t="inlineStr">
        <x:is>
          <x:t xml:space="preserve">SPOOL PLTA GASES N°2 SP02B DUAL LAMINATE PPT073PPF78</x:t>
        </x:is>
      </x:c>
      <x:c r="C2059" s="184" t="n">
        <x:v>0</x:v>
      </x:c>
      <x:c r="D2059" s="184" t="n">
        <x:v>0</x:v>
      </x:c>
      <x:c r="E2059" s="184" t="n">
        <x:v>0</x:v>
      </x:c>
      <x:c r="F2059" s="184" t="n">
        <x:v>0</x:v>
      </x:c>
      <x:c r="G2059" s="184" t="n">
        <x:v>0</x:v>
      </x:c>
      <x:c r="H2059" s="193" t="n">
        <x:v>0</x:v>
      </x:c>
      <x:c r="I2059" s="185" t="n">
        <x:v>0</x:v>
      </x:c>
      <x:c r="J2059" s="185" t="n">
        <x:v>0</x:v>
      </x:c>
      <x:c r="K2059" s="289" t="n">
        <x:v>918588</x:v>
      </x:c>
    </x:row>
    <x:row r="2060" s="117" customFormat="1" hidden="1">
      <x:c r="A2060" s="184" t="inlineStr">
        <x:is>
          <x:t xml:space="preserve">PDTFRP001274</x:t>
        </x:is>
      </x:c>
      <x:c r="B2060" s="184" t="inlineStr">
        <x:is>
          <x:t xml:space="preserve">SPOOL SP04A Y SP04B PLANTA GASES 1 Y 2</x:t>
        </x:is>
      </x:c>
      <x:c r="C2060" s="184" t="n">
        <x:v>0</x:v>
      </x:c>
      <x:c r="D2060" s="184" t="n">
        <x:v>0</x:v>
      </x:c>
      <x:c r="E2060" s="184" t="n">
        <x:v>0</x:v>
      </x:c>
      <x:c r="F2060" s="184" t="n">
        <x:v>0</x:v>
      </x:c>
      <x:c r="G2060" s="184" t="n">
        <x:v>0</x:v>
      </x:c>
      <x:c r="H2060" s="193" t="n">
        <x:v>0</x:v>
      </x:c>
      <x:c r="I2060" s="185" t="n">
        <x:v>0</x:v>
      </x:c>
      <x:c r="J2060" s="185" t="n">
        <x:v>0</x:v>
      </x:c>
      <x:c r="K2060" s="289" t="n">
        <x:v>5655618</x:v>
      </x:c>
    </x:row>
    <x:row r="2061" s="117" customFormat="1" hidden="1">
      <x:c r="A2061" s="184" t="inlineStr">
        <x:is>
          <x:t xml:space="preserve">PDTFRP001275</x:t>
        </x:is>
      </x:c>
      <x:c r="B2061" s="184" t="inlineStr">
        <x:is>
          <x:t xml:space="preserve">SPOOL SP02A - SP02B Y SP02C PLANTA GASES 1</x:t>
        </x:is>
      </x:c>
      <x:c r="C2061" s="184" t="n">
        <x:v>0</x:v>
      </x:c>
      <x:c r="D2061" s="184" t="n">
        <x:v>0</x:v>
      </x:c>
      <x:c r="E2061" s="184" t="n">
        <x:v>0</x:v>
      </x:c>
      <x:c r="F2061" s="184" t="n">
        <x:v>0</x:v>
      </x:c>
      <x:c r="G2061" s="184" t="n">
        <x:v>0</x:v>
      </x:c>
      <x:c r="H2061" s="193" t="n">
        <x:v>0</x:v>
      </x:c>
      <x:c r="I2061" s="185" t="n">
        <x:v>0</x:v>
      </x:c>
      <x:c r="J2061" s="185" t="n">
        <x:v>0</x:v>
      </x:c>
      <x:c r="K2061" s="289" t="n">
        <x:v>3856149</x:v>
      </x:c>
    </x:row>
    <x:row r="2062" s="117" customFormat="1" hidden="1">
      <x:c r="A2062" s="184" t="inlineStr">
        <x:is>
          <x:t xml:space="preserve">PDTFRP001276</x:t>
        </x:is>
      </x:c>
      <x:c r="B2062" s="184" t="inlineStr">
        <x:is>
          <x:t xml:space="preserve">SPOOL SP11-2  -  SP11 -   PLANTA GASES 1</x:t>
        </x:is>
      </x:c>
      <x:c r="C2062" s="184" t="n">
        <x:v>0</x:v>
      </x:c>
      <x:c r="D2062" s="184" t="n">
        <x:v>0</x:v>
      </x:c>
      <x:c r="E2062" s="184" t="n">
        <x:v>0</x:v>
      </x:c>
      <x:c r="F2062" s="184" t="n">
        <x:v>0</x:v>
      </x:c>
      <x:c r="G2062" s="184" t="n">
        <x:v>0</x:v>
      </x:c>
      <x:c r="H2062" s="193" t="n">
        <x:v>0</x:v>
      </x:c>
      <x:c r="I2062" s="185" t="n">
        <x:v>0</x:v>
      </x:c>
      <x:c r="J2062" s="185" t="n">
        <x:v>0</x:v>
      </x:c>
      <x:c r="K2062" s="289" t="n">
        <x:v>2241110</x:v>
      </x:c>
    </x:row>
    <x:row r="2063" s="117" customFormat="1" hidden="1">
      <x:c r="A2063" s="184" t="inlineStr">
        <x:is>
          <x:t xml:space="preserve">PDTFRP001277</x:t>
        </x:is>
      </x:c>
      <x:c r="B2063" s="184" t="inlineStr">
        <x:is>
          <x:t xml:space="preserve">ESTANQUE ALMACENAMIENTO DE TK-2010 MOLYMET</x:t>
        </x:is>
      </x:c>
      <x:c r="C2063" s="184" t="n">
        <x:v>0</x:v>
      </x:c>
      <x:c r="D2063" s="184" t="n">
        <x:v>0</x:v>
      </x:c>
      <x:c r="E2063" s="184" t="n">
        <x:v>0</x:v>
      </x:c>
      <x:c r="F2063" s="184" t="n">
        <x:v>0</x:v>
      </x:c>
      <x:c r="G2063" s="184" t="n">
        <x:v>0</x:v>
      </x:c>
      <x:c r="H2063" s="193" t="n">
        <x:v>0</x:v>
      </x:c>
      <x:c r="I2063" s="185" t="n">
        <x:v>0</x:v>
      </x:c>
      <x:c r="J2063" s="185" t="n">
        <x:v>0</x:v>
      </x:c>
      <x:c r="K2063" s="289" t="n">
        <x:v>64142815</x:v>
      </x:c>
    </x:row>
    <x:row r="2064" s="117" customFormat="1" hidden="1">
      <x:c r="A2064" s="184" t="inlineStr">
        <x:is>
          <x:t xml:space="preserve">PDTFRP001278</x:t>
        </x:is>
      </x:c>
      <x:c r="B2064" s="184" t="inlineStr">
        <x:is>
          <x:t xml:space="preserve">SPOOL SP01S  PLANTA GASES 1 Y 2</x:t>
        </x:is>
      </x:c>
      <x:c r="C2064" s="184" t="n">
        <x:v>0</x:v>
      </x:c>
      <x:c r="D2064" s="184" t="n">
        <x:v>0</x:v>
      </x:c>
      <x:c r="E2064" s="184" t="n">
        <x:v>0</x:v>
      </x:c>
      <x:c r="F2064" s="184" t="n">
        <x:v>0</x:v>
      </x:c>
      <x:c r="G2064" s="184" t="n">
        <x:v>0</x:v>
      </x:c>
      <x:c r="H2064" s="193" t="n">
        <x:v>0</x:v>
      </x:c>
      <x:c r="I2064" s="185" t="n">
        <x:v>0</x:v>
      </x:c>
      <x:c r="J2064" s="185" t="n">
        <x:v>0</x:v>
      </x:c>
      <x:c r="K2064" s="289" t="n">
        <x:v>2782677</x:v>
      </x:c>
    </x:row>
    <x:row r="2065" s="117" customFormat="1" hidden="1">
      <x:c r="A2065" s="184" t="inlineStr">
        <x:is>
          <x:t xml:space="preserve">PDTFRP001279</x:t>
        </x:is>
      </x:c>
      <x:c r="B2065" s="184" t="inlineStr">
        <x:is>
          <x:t xml:space="preserve">SPOOL SP04A Y SP04B PLANTA DE GASES 1 Y 2</x:t>
        </x:is>
      </x:c>
      <x:c r="C2065" s="184" t="n">
        <x:v>0</x:v>
      </x:c>
      <x:c r="D2065" s="184" t="n">
        <x:v>0</x:v>
      </x:c>
      <x:c r="E2065" s="184" t="n">
        <x:v>0</x:v>
      </x:c>
      <x:c r="F2065" s="184" t="n">
        <x:v>0</x:v>
      </x:c>
      <x:c r="G2065" s="184" t="n">
        <x:v>0</x:v>
      </x:c>
      <x:c r="H2065" s="193" t="n">
        <x:v>0</x:v>
      </x:c>
      <x:c r="I2065" s="185" t="n">
        <x:v>0</x:v>
      </x:c>
      <x:c r="J2065" s="185" t="n">
        <x:v>0</x:v>
      </x:c>
      <x:c r="K2065" s="289" t="n">
        <x:v>4576624</x:v>
      </x:c>
    </x:row>
    <x:row r="2066" s="117" customFormat="1" hidden="1">
      <x:c r="A2066" s="184" t="inlineStr">
        <x:is>
          <x:t xml:space="preserve">PDTFRP001280</x:t>
        </x:is>
      </x:c>
      <x:c r="B2066" s="184" t="inlineStr">
        <x:is>
          <x:t xml:space="preserve">SPOOL SP05 PLANTA DE GASES N° 1</x:t>
        </x:is>
      </x:c>
      <x:c r="C2066" s="184" t="n">
        <x:v>0</x:v>
      </x:c>
      <x:c r="D2066" s="184" t="n">
        <x:v>0</x:v>
      </x:c>
      <x:c r="E2066" s="184" t="n">
        <x:v>0</x:v>
      </x:c>
      <x:c r="F2066" s="184" t="n">
        <x:v>0</x:v>
      </x:c>
      <x:c r="G2066" s="184" t="n">
        <x:v>0</x:v>
      </x:c>
      <x:c r="H2066" s="193" t="n">
        <x:v>0</x:v>
      </x:c>
      <x:c r="I2066" s="185" t="n">
        <x:v>0</x:v>
      </x:c>
      <x:c r="J2066" s="185" t="n">
        <x:v>0</x:v>
      </x:c>
      <x:c r="K2066" s="289" t="n">
        <x:v>3142201</x:v>
      </x:c>
    </x:row>
    <x:row r="2067" s="117" customFormat="1" hidden="1">
      <x:c r="A2067" s="184" t="inlineStr">
        <x:is>
          <x:t xml:space="preserve">PDTFRP001281</x:t>
        </x:is>
      </x:c>
      <x:c r="B2067" s="184" t="inlineStr">
        <x:is>
          <x:t xml:space="preserve">SPOOL SP009  PLANTA GASES 1 Y 2</x:t>
        </x:is>
      </x:c>
      <x:c r="C2067" s="184" t="n">
        <x:v>0</x:v>
      </x:c>
      <x:c r="D2067" s="184" t="n">
        <x:v>0</x:v>
      </x:c>
      <x:c r="E2067" s="184" t="n">
        <x:v>0</x:v>
      </x:c>
      <x:c r="F2067" s="184" t="n">
        <x:v>0</x:v>
      </x:c>
      <x:c r="G2067" s="184" t="n">
        <x:v>0</x:v>
      </x:c>
      <x:c r="H2067" s="193" t="n">
        <x:v>0</x:v>
      </x:c>
      <x:c r="I2067" s="185" t="n">
        <x:v>0</x:v>
      </x:c>
      <x:c r="J2067" s="185" t="n">
        <x:v>0</x:v>
      </x:c>
      <x:c r="K2067" s="289" t="n">
        <x:v>8363664</x:v>
      </x:c>
    </x:row>
    <x:row r="2068" s="117" customFormat="1" hidden="1">
      <x:c r="A2068" s="184" t="inlineStr">
        <x:is>
          <x:t xml:space="preserve">PDTFRP001282</x:t>
        </x:is>
      </x:c>
      <x:c r="B2068" s="184" t="inlineStr">
        <x:is>
          <x:t xml:space="preserve">SPOOL SP09 -2 PLANTA GASES 1 Y 2</x:t>
        </x:is>
      </x:c>
      <x:c r="C2068" s="184" t="n">
        <x:v>0</x:v>
      </x:c>
      <x:c r="D2068" s="184" t="n">
        <x:v>0</x:v>
      </x:c>
      <x:c r="E2068" s="184" t="n">
        <x:v>0</x:v>
      </x:c>
      <x:c r="F2068" s="184" t="n">
        <x:v>0</x:v>
      </x:c>
      <x:c r="G2068" s="184" t="n">
        <x:v>0</x:v>
      </x:c>
      <x:c r="H2068" s="193" t="n">
        <x:v>0</x:v>
      </x:c>
      <x:c r="I2068" s="185" t="n">
        <x:v>0</x:v>
      </x:c>
      <x:c r="J2068" s="185" t="n">
        <x:v>0</x:v>
      </x:c>
      <x:c r="K2068" s="289" t="n">
        <x:v>7425231</x:v>
      </x:c>
    </x:row>
    <x:row r="2069" s="117" customFormat="1" hidden="1">
      <x:c r="A2069" s="184" t="inlineStr">
        <x:is>
          <x:t xml:space="preserve">PDTFRP001283</x:t>
        </x:is>
      </x:c>
      <x:c r="B2069" s="184" t="inlineStr">
        <x:is>
          <x:t xml:space="preserve">SPOOL SP06 PLANTA DE GASES N° 2</x:t>
        </x:is>
      </x:c>
      <x:c r="C2069" s="184" t="n">
        <x:v>0</x:v>
      </x:c>
      <x:c r="D2069" s="184" t="n">
        <x:v>0</x:v>
      </x:c>
      <x:c r="E2069" s="184" t="n">
        <x:v>0</x:v>
      </x:c>
      <x:c r="F2069" s="184" t="n">
        <x:v>0</x:v>
      </x:c>
      <x:c r="G2069" s="184" t="n">
        <x:v>0</x:v>
      </x:c>
      <x:c r="H2069" s="193" t="n">
        <x:v>0</x:v>
      </x:c>
      <x:c r="I2069" s="185" t="n">
        <x:v>0</x:v>
      </x:c>
      <x:c r="J2069" s="185" t="n">
        <x:v>0</x:v>
      </x:c>
      <x:c r="K2069" s="289" t="n">
        <x:v>5699175</x:v>
      </x:c>
    </x:row>
    <x:row r="2070" s="117" customFormat="1" hidden="1">
      <x:c r="A2070" s="184" t="inlineStr">
        <x:is>
          <x:t xml:space="preserve">PDTFRP001284</x:t>
        </x:is>
      </x:c>
      <x:c r="B2070" s="184" t="inlineStr">
        <x:is>
          <x:t xml:space="preserve">SPOOL SP01A PLANTA DE GASES N° 1</x:t>
        </x:is>
      </x:c>
      <x:c r="C2070" s="184" t="n">
        <x:v>0</x:v>
      </x:c>
      <x:c r="D2070" s="184" t="n">
        <x:v>0</x:v>
      </x:c>
      <x:c r="E2070" s="184" t="n">
        <x:v>0</x:v>
      </x:c>
      <x:c r="F2070" s="184" t="n">
        <x:v>0</x:v>
      </x:c>
      <x:c r="G2070" s="184" t="n">
        <x:v>0</x:v>
      </x:c>
      <x:c r="H2070" s="193" t="n">
        <x:v>0</x:v>
      </x:c>
      <x:c r="I2070" s="185" t="n">
        <x:v>0</x:v>
      </x:c>
      <x:c r="J2070" s="185" t="n">
        <x:v>0</x:v>
      </x:c>
      <x:c r="K2070" s="289" t="n">
        <x:v>665794</x:v>
      </x:c>
    </x:row>
    <x:row r="2071" s="117" customFormat="1" hidden="1">
      <x:c r="A2071" s="184" t="inlineStr">
        <x:is>
          <x:t xml:space="preserve">PDTFRP001285</x:t>
        </x:is>
      </x:c>
      <x:c r="B2071" s="184" t="inlineStr">
        <x:is>
          <x:t xml:space="preserve">SPOOL SP01C PLANTA DE GASES N° 1</x:t>
        </x:is>
      </x:c>
      <x:c r="C2071" s="184" t="n">
        <x:v>0</x:v>
      </x:c>
      <x:c r="D2071" s="184" t="n">
        <x:v>0</x:v>
      </x:c>
      <x:c r="E2071" s="184" t="n">
        <x:v>0</x:v>
      </x:c>
      <x:c r="F2071" s="184" t="n">
        <x:v>0</x:v>
      </x:c>
      <x:c r="G2071" s="184" t="n">
        <x:v>0</x:v>
      </x:c>
      <x:c r="H2071" s="193" t="n">
        <x:v>0</x:v>
      </x:c>
      <x:c r="I2071" s="185" t="n">
        <x:v>0</x:v>
      </x:c>
      <x:c r="J2071" s="185" t="n">
        <x:v>0</x:v>
      </x:c>
      <x:c r="K2071" s="289" t="n">
        <x:v>665794</x:v>
      </x:c>
    </x:row>
    <x:row r="2072" s="117" customFormat="1" hidden="1">
      <x:c r="A2072" s="184" t="inlineStr">
        <x:is>
          <x:t xml:space="preserve">PDTFRP001286</x:t>
        </x:is>
      </x:c>
      <x:c r="B2072" s="184" t="inlineStr">
        <x:is>
          <x:t xml:space="preserve">SPOOL SP02A  PLANTA GASES N° 2</x:t>
        </x:is>
      </x:c>
      <x:c r="C2072" s="184" t="n">
        <x:v>0</x:v>
      </x:c>
      <x:c r="D2072" s="184" t="n">
        <x:v>0</x:v>
      </x:c>
      <x:c r="E2072" s="184" t="n">
        <x:v>0</x:v>
      </x:c>
      <x:c r="F2072" s="184" t="n">
        <x:v>0</x:v>
      </x:c>
      <x:c r="G2072" s="184" t="n">
        <x:v>0</x:v>
      </x:c>
      <x:c r="H2072" s="193" t="n">
        <x:v>0</x:v>
      </x:c>
      <x:c r="I2072" s="185" t="n">
        <x:v>0</x:v>
      </x:c>
      <x:c r="J2072" s="185" t="n">
        <x:v>0</x:v>
      </x:c>
      <x:c r="K2072" s="289" t="n">
        <x:v>1121562</x:v>
      </x:c>
    </x:row>
    <x:row r="2073" s="117" customFormat="1" hidden="1">
      <x:c r="A2073" s="184" t="inlineStr">
        <x:is>
          <x:t xml:space="preserve">PDTFRP001287</x:t>
        </x:is>
      </x:c>
      <x:c r="B2073" s="184" t="inlineStr">
        <x:is>
          <x:t xml:space="preserve">SPOOL SP02B  PLANTA GASES N° 2</x:t>
        </x:is>
      </x:c>
      <x:c r="C2073" s="184" t="n">
        <x:v>0</x:v>
      </x:c>
      <x:c r="D2073" s="184" t="n">
        <x:v>0</x:v>
      </x:c>
      <x:c r="E2073" s="184" t="n">
        <x:v>0</x:v>
      </x:c>
      <x:c r="F2073" s="184" t="n">
        <x:v>0</x:v>
      </x:c>
      <x:c r="G2073" s="184" t="n">
        <x:v>0</x:v>
      </x:c>
      <x:c r="H2073" s="193" t="n">
        <x:v>0</x:v>
      </x:c>
      <x:c r="I2073" s="185" t="n">
        <x:v>0</x:v>
      </x:c>
      <x:c r="J2073" s="185" t="n">
        <x:v>0</x:v>
      </x:c>
      <x:c r="K2073" s="289" t="n">
        <x:v>1121562</x:v>
      </x:c>
    </x:row>
    <x:row r="2074" s="117" customFormat="1" hidden="1">
      <x:c r="A2074" s="184" t="inlineStr">
        <x:is>
          <x:t xml:space="preserve">PDTFRP001288</x:t>
        </x:is>
      </x:c>
      <x:c r="B2074" s="184" t="inlineStr">
        <x:is>
          <x:t xml:space="preserve">SPOOL SP02C  PLANTA GASES N° 2</x:t>
        </x:is>
      </x:c>
      <x:c r="C2074" s="184" t="n">
        <x:v>0</x:v>
      </x:c>
      <x:c r="D2074" s="184" t="n">
        <x:v>0</x:v>
      </x:c>
      <x:c r="E2074" s="184" t="n">
        <x:v>0</x:v>
      </x:c>
      <x:c r="F2074" s="184" t="n">
        <x:v>0</x:v>
      </x:c>
      <x:c r="G2074" s="184" t="n">
        <x:v>0</x:v>
      </x:c>
      <x:c r="H2074" s="193" t="n">
        <x:v>0</x:v>
      </x:c>
      <x:c r="I2074" s="185" t="n">
        <x:v>0</x:v>
      </x:c>
      <x:c r="J2074" s="185" t="n">
        <x:v>0</x:v>
      </x:c>
      <x:c r="K2074" s="289" t="n">
        <x:v>1121562</x:v>
      </x:c>
    </x:row>
    <x:row r="2075" s="117" customFormat="1" hidden="1">
      <x:c r="A2075" s="184" t="inlineStr">
        <x:is>
          <x:t xml:space="preserve">PDTFRP001289</x:t>
        </x:is>
      </x:c>
      <x:c r="B2075" s="184" t="inlineStr">
        <x:is>
          <x:t xml:space="preserve">SPOOL SP03 PLANTA DE GASES N° 1</x:t>
        </x:is>
      </x:c>
      <x:c r="C2075" s="184" t="n">
        <x:v>0</x:v>
      </x:c>
      <x:c r="D2075" s="184" t="n">
        <x:v>0</x:v>
      </x:c>
      <x:c r="E2075" s="184" t="n">
        <x:v>0</x:v>
      </x:c>
      <x:c r="F2075" s="184" t="n">
        <x:v>0</x:v>
      </x:c>
      <x:c r="G2075" s="184" t="n">
        <x:v>0</x:v>
      </x:c>
      <x:c r="H2075" s="193" t="n">
        <x:v>0</x:v>
      </x:c>
      <x:c r="I2075" s="185" t="n">
        <x:v>0</x:v>
      </x:c>
      <x:c r="J2075" s="185" t="n">
        <x:v>0</x:v>
      </x:c>
      <x:c r="K2075" s="289" t="n">
        <x:v>3857669</x:v>
      </x:c>
    </x:row>
    <x:row r="2076" s="117" customFormat="1" hidden="1">
      <x:c r="A2076" s="184" t="inlineStr">
        <x:is>
          <x:t xml:space="preserve">PDTFRP001290</x:t>
        </x:is>
      </x:c>
      <x:c r="B2076" s="184" t="inlineStr">
        <x:is>
          <x:t xml:space="preserve">SPOOL SP05  PLANTA GASES N° 2</x:t>
        </x:is>
      </x:c>
      <x:c r="C2076" s="184" t="n">
        <x:v>0</x:v>
      </x:c>
      <x:c r="D2076" s="184" t="n">
        <x:v>0</x:v>
      </x:c>
      <x:c r="E2076" s="184" t="n">
        <x:v>0</x:v>
      </x:c>
      <x:c r="F2076" s="184" t="n">
        <x:v>0</x:v>
      </x:c>
      <x:c r="G2076" s="184" t="n">
        <x:v>0</x:v>
      </x:c>
      <x:c r="H2076" s="193" t="n">
        <x:v>0</x:v>
      </x:c>
      <x:c r="I2076" s="185" t="n">
        <x:v>0</x:v>
      </x:c>
      <x:c r="J2076" s="185" t="n">
        <x:v>0</x:v>
      </x:c>
      <x:c r="K2076" s="289" t="n">
        <x:v>2299041</x:v>
      </x:c>
    </x:row>
    <x:row r="2077" s="117" customFormat="1" hidden="1">
      <x:c r="A2077" s="184" t="inlineStr">
        <x:is>
          <x:t xml:space="preserve">PDTFRP001291</x:t>
        </x:is>
      </x:c>
      <x:c r="B2077" s="184" t="inlineStr">
        <x:is>
          <x:t xml:space="preserve">SPOOL SP07 Y SP06   PLANTA GASES 1 Y 2</x:t>
        </x:is>
      </x:c>
      <x:c r="C2077" s="184" t="n">
        <x:v>0</x:v>
      </x:c>
      <x:c r="D2077" s="184" t="n">
        <x:v>0</x:v>
      </x:c>
      <x:c r="E2077" s="184" t="n">
        <x:v>0</x:v>
      </x:c>
      <x:c r="F2077" s="184" t="n">
        <x:v>0</x:v>
      </x:c>
      <x:c r="G2077" s="184" t="n">
        <x:v>0</x:v>
      </x:c>
      <x:c r="H2077" s="193" t="n">
        <x:v>0</x:v>
      </x:c>
      <x:c r="I2077" s="185" t="n">
        <x:v>0</x:v>
      </x:c>
      <x:c r="J2077" s="185" t="n">
        <x:v>0</x:v>
      </x:c>
      <x:c r="K2077" s="289" t="n">
        <x:v>6889321</x:v>
      </x:c>
    </x:row>
    <x:row r="2078" s="117" customFormat="1" hidden="1">
      <x:c r="A2078" s="184" t="inlineStr">
        <x:is>
          <x:t xml:space="preserve">PDTFRP001292</x:t>
        </x:is>
      </x:c>
      <x:c r="B2078" s="184" t="inlineStr">
        <x:is>
          <x:t xml:space="preserve">SPOOL SP03 PLANTA DE GASES N° 2</x:t>
        </x:is>
      </x:c>
      <x:c r="C2078" s="184" t="n">
        <x:v>0</x:v>
      </x:c>
      <x:c r="D2078" s="184" t="n">
        <x:v>0</x:v>
      </x:c>
      <x:c r="E2078" s="184" t="n">
        <x:v>0</x:v>
      </x:c>
      <x:c r="F2078" s="184" t="n">
        <x:v>0</x:v>
      </x:c>
      <x:c r="G2078" s="184" t="n">
        <x:v>0</x:v>
      </x:c>
      <x:c r="H2078" s="193" t="n">
        <x:v>0</x:v>
      </x:c>
      <x:c r="I2078" s="185" t="n">
        <x:v>0</x:v>
      </x:c>
      <x:c r="J2078" s="185" t="n">
        <x:v>0</x:v>
      </x:c>
      <x:c r="K2078" s="289" t="n">
        <x:v>3270471</x:v>
      </x:c>
    </x:row>
    <x:row r="2079" s="117" customFormat="1" hidden="1">
      <x:c r="A2079" s="184" t="inlineStr">
        <x:is>
          <x:t xml:space="preserve">PDTFRP001293</x:t>
        </x:is>
      </x:c>
      <x:c r="B2079" s="184" t="inlineStr">
        <x:is>
          <x:t xml:space="preserve">SPOOL SP13   PLANTA GASES  N° 1</x:t>
        </x:is>
      </x:c>
      <x:c r="C2079" s="184" t="n">
        <x:v>0</x:v>
      </x:c>
      <x:c r="D2079" s="184" t="n">
        <x:v>0</x:v>
      </x:c>
      <x:c r="E2079" s="184" t="n">
        <x:v>0</x:v>
      </x:c>
      <x:c r="F2079" s="184" t="n">
        <x:v>0</x:v>
      </x:c>
      <x:c r="G2079" s="184" t="n">
        <x:v>0</x:v>
      </x:c>
      <x:c r="H2079" s="193" t="n">
        <x:v>0</x:v>
      </x:c>
      <x:c r="I2079" s="185" t="n">
        <x:v>0</x:v>
      </x:c>
      <x:c r="J2079" s="185" t="n">
        <x:v>0</x:v>
      </x:c>
      <x:c r="K2079" s="289" t="n">
        <x:v>7694975</x:v>
      </x:c>
    </x:row>
    <x:row r="2080" s="117" customFormat="1" hidden="1">
      <x:c r="A2080" s="184" t="inlineStr">
        <x:is>
          <x:t xml:space="preserve">PDTFRP001294</x:t>
        </x:is>
      </x:c>
      <x:c r="B2080" s="184" t="inlineStr">
        <x:is>
          <x:t xml:space="preserve">SPOOL SP13   PLANTA GASES  N° 2</x:t>
        </x:is>
      </x:c>
      <x:c r="C2080" s="184" t="n">
        <x:v>0</x:v>
      </x:c>
      <x:c r="D2080" s="184" t="n">
        <x:v>0</x:v>
      </x:c>
      <x:c r="E2080" s="184" t="n">
        <x:v>0</x:v>
      </x:c>
      <x:c r="F2080" s="184" t="n">
        <x:v>0</x:v>
      </x:c>
      <x:c r="G2080" s="184" t="n">
        <x:v>0</x:v>
      </x:c>
      <x:c r="H2080" s="193" t="n">
        <x:v>0</x:v>
      </x:c>
      <x:c r="I2080" s="185" t="n">
        <x:v>0</x:v>
      </x:c>
      <x:c r="J2080" s="185" t="n">
        <x:v>0</x:v>
      </x:c>
      <x:c r="K2080" s="289" t="n">
        <x:v>6526801</x:v>
      </x:c>
    </x:row>
    <x:row r="2081" s="117" customFormat="1" hidden="1">
      <x:c r="A2081" s="184" t="inlineStr">
        <x:is>
          <x:t xml:space="preserve">PDTFRP001295</x:t>
        </x:is>
      </x:c>
      <x:c r="B2081" s="184" t="inlineStr">
        <x:is>
          <x:t xml:space="preserve">SPOOL SP01A-SP01C-SP08-SP082-SP12 PLANTA DE GASES N° 1 Y 2</x:t>
        </x:is>
      </x:c>
      <x:c r="C2081" s="184" t="n">
        <x:v>0</x:v>
      </x:c>
      <x:c r="D2081" s="184" t="n">
        <x:v>0</x:v>
      </x:c>
      <x:c r="E2081" s="184" t="n">
        <x:v>0</x:v>
      </x:c>
      <x:c r="F2081" s="184" t="n">
        <x:v>0</x:v>
      </x:c>
      <x:c r="G2081" s="184" t="n">
        <x:v>0</x:v>
      </x:c>
      <x:c r="H2081" s="193" t="n">
        <x:v>0</x:v>
      </x:c>
      <x:c r="I2081" s="185" t="n">
        <x:v>0</x:v>
      </x:c>
      <x:c r="J2081" s="185" t="n">
        <x:v>0</x:v>
      </x:c>
      <x:c r="K2081" s="289" t="n">
        <x:v>5826812</x:v>
      </x:c>
    </x:row>
    <x:row r="2082" s="117" customFormat="1" hidden="1">
      <x:c r="A2082" s="184" t="inlineStr">
        <x:is>
          <x:t xml:space="preserve">PDTFRP001296</x:t>
        </x:is>
      </x:c>
      <x:c r="B2082" s="184" t="inlineStr">
        <x:is>
          <x:t xml:space="preserve">SPOOL SP07-SP08-SP08-2 Y SP12 PLANTA GASES N° 1</x:t>
        </x:is>
      </x:c>
      <x:c r="C2082" s="184" t="n">
        <x:v>0</x:v>
      </x:c>
      <x:c r="D2082" s="184" t="n">
        <x:v>0</x:v>
      </x:c>
      <x:c r="E2082" s="184" t="n">
        <x:v>0</x:v>
      </x:c>
      <x:c r="F2082" s="184" t="n">
        <x:v>0</x:v>
      </x:c>
      <x:c r="G2082" s="184" t="n">
        <x:v>0</x:v>
      </x:c>
      <x:c r="H2082" s="193" t="n">
        <x:v>0</x:v>
      </x:c>
      <x:c r="I2082" s="185" t="n">
        <x:v>0</x:v>
      </x:c>
      <x:c r="J2082" s="185" t="n">
        <x:v>0</x:v>
      </x:c>
      <x:c r="K2082" s="289" t="n">
        <x:v>6340901</x:v>
      </x:c>
    </x:row>
    <x:row r="2083" s="117" customFormat="1" hidden="1">
      <x:c r="A2083" s="184" t="inlineStr">
        <x:is>
          <x:t xml:space="preserve">PDTFRP001297</x:t>
        </x:is>
      </x:c>
      <x:c r="B2083" s="184" t="inlineStr">
        <x:is>
          <x:t xml:space="preserve">SPOOL SP10-2 SP10SP10-ESP-B SP10 ESPA PLANTA DE GASES N° 1 Y 2</x:t>
        </x:is>
      </x:c>
      <x:c r="C2083" s="184" t="n">
        <x:v>0</x:v>
      </x:c>
      <x:c r="D2083" s="184" t="n">
        <x:v>0</x:v>
      </x:c>
      <x:c r="E2083" s="184" t="n">
        <x:v>0</x:v>
      </x:c>
      <x:c r="F2083" s="184" t="n">
        <x:v>0</x:v>
      </x:c>
      <x:c r="G2083" s="184" t="n">
        <x:v>0</x:v>
      </x:c>
      <x:c r="H2083" s="193" t="n">
        <x:v>0</x:v>
      </x:c>
      <x:c r="I2083" s="185" t="n">
        <x:v>0</x:v>
      </x:c>
      <x:c r="J2083" s="185" t="n">
        <x:v>0</x:v>
      </x:c>
      <x:c r="K2083" s="289" t="n">
        <x:v>6352747</x:v>
      </x:c>
    </x:row>
    <x:row r="2084" s="117" customFormat="1" hidden="1">
      <x:c r="A2084" s="184" t="inlineStr">
        <x:is>
          <x:t xml:space="preserve">PDTFRP001298</x:t>
        </x:is>
      </x:c>
      <x:c r="B2084" s="184" t="inlineStr">
        <x:is>
          <x:t xml:space="preserve">SPOOL SP10 ESPECIAL  PLANTA 1</x:t>
        </x:is>
      </x:c>
      <x:c r="C2084" s="184" t="n">
        <x:v>0</x:v>
      </x:c>
      <x:c r="D2084" s="184" t="n">
        <x:v>0</x:v>
      </x:c>
      <x:c r="E2084" s="184" t="n">
        <x:v>0</x:v>
      </x:c>
      <x:c r="F2084" s="184" t="n">
        <x:v>0</x:v>
      </x:c>
      <x:c r="G2084" s="184" t="n">
        <x:v>0</x:v>
      </x:c>
      <x:c r="H2084" s="193" t="n">
        <x:v>0</x:v>
      </x:c>
      <x:c r="I2084" s="185" t="n">
        <x:v>0</x:v>
      </x:c>
      <x:c r="J2084" s="185" t="n">
        <x:v>0</x:v>
      </x:c>
      <x:c r="K2084" s="289" t="n">
        <x:v>1883559</x:v>
      </x:c>
    </x:row>
    <x:row r="2085" s="117" customFormat="1" hidden="1">
      <x:c r="A2085" s="184" t="inlineStr">
        <x:is>
          <x:t xml:space="preserve">PDTFRP001299</x:t>
        </x:is>
      </x:c>
      <x:c r="B2085" s="184" t="inlineStr">
        <x:is>
          <x:t xml:space="preserve">CODO DOBLE LAMINA PP-FRP 75MM AVANCE 130</x:t>
        </x:is>
      </x:c>
      <x:c r="C2085" s="184" t="n">
        <x:v>0</x:v>
      </x:c>
      <x:c r="D2085" s="184" t="n">
        <x:v>0</x:v>
      </x:c>
      <x:c r="E2085" s="184" t="n">
        <x:v>0</x:v>
      </x:c>
      <x:c r="F2085" s="184" t="n">
        <x:v>0</x:v>
      </x:c>
      <x:c r="G2085" s="184" t="n">
        <x:v>0</x:v>
      </x:c>
      <x:c r="H2085" s="193" t="n">
        <x:v>0</x:v>
      </x:c>
      <x:c r="I2085" s="185" t="n">
        <x:v>0</x:v>
      </x:c>
      <x:c r="J2085" s="185" t="n">
        <x:v>0</x:v>
      </x:c>
      <x:c r="K2085" s="289" t="n">
        <x:v>75065</x:v>
      </x:c>
    </x:row>
    <x:row r="2086" s="117" customFormat="1" hidden="1">
      <x:c r="A2086" s="184" t="inlineStr">
        <x:is>
          <x:t xml:space="preserve">PDTFRP001300</x:t>
        </x:is>
      </x:c>
      <x:c r="B2086" s="184" t="inlineStr">
        <x:is>
          <x:t xml:space="preserve">CODO DOBLE LAMINA PP-FRP 75MM AVANCE 340</x:t>
        </x:is>
      </x:c>
      <x:c r="C2086" s="184" t="n">
        <x:v>0</x:v>
      </x:c>
      <x:c r="D2086" s="184" t="n">
        <x:v>0</x:v>
      </x:c>
      <x:c r="E2086" s="184" t="n">
        <x:v>0</x:v>
      </x:c>
      <x:c r="F2086" s="184" t="n">
        <x:v>0</x:v>
      </x:c>
      <x:c r="G2086" s="184" t="n">
        <x:v>0</x:v>
      </x:c>
      <x:c r="H2086" s="193" t="n">
        <x:v>0</x:v>
      </x:c>
      <x:c r="I2086" s="185" t="n">
        <x:v>0</x:v>
      </x:c>
      <x:c r="J2086" s="185" t="n">
        <x:v>0</x:v>
      </x:c>
      <x:c r="K2086" s="289" t="n">
        <x:v>75065</x:v>
      </x:c>
    </x:row>
    <x:row r="2087" s="117" customFormat="1" hidden="1">
      <x:c r="A2087" s="184" t="inlineStr">
        <x:is>
          <x:t xml:space="preserve">PDTFRP001301</x:t>
        </x:is>
      </x:c>
      <x:c r="B2087" s="184" t="inlineStr">
        <x:is>
          <x:t xml:space="preserve">SIFON DRENAJE PRECIPITADOR-PPNN-204 PL 4500-IS-94-006</x:t>
        </x:is>
      </x:c>
      <x:c r="C2087" s="184" t="n">
        <x:v>0</x:v>
      </x:c>
      <x:c r="D2087" s="184" t="n">
        <x:v>0</x:v>
      </x:c>
      <x:c r="E2087" s="184" t="n">
        <x:v>0</x:v>
      </x:c>
      <x:c r="F2087" s="184" t="n">
        <x:v>0</x:v>
      </x:c>
      <x:c r="G2087" s="184" t="n">
        <x:v>0</x:v>
      </x:c>
      <x:c r="H2087" s="193" t="n">
        <x:v>0</x:v>
      </x:c>
      <x:c r="I2087" s="185" t="n">
        <x:v>0</x:v>
      </x:c>
      <x:c r="J2087" s="185" t="n">
        <x:v>0</x:v>
      </x:c>
      <x:c r="K2087" s="289" t="n">
        <x:v>1369053</x:v>
      </x:c>
    </x:row>
    <x:row r="2088" s="117" customFormat="1" hidden="1">
      <x:c r="A2088" s="184" t="inlineStr">
        <x:is>
          <x:t xml:space="preserve">PDTFRP001302</x:t>
        </x:is>
      </x:c>
      <x:c r="B2088" s="184" t="inlineStr">
        <x:is>
          <x:t xml:space="preserve">REDUCCION DN300 X DN150 X 640 MM</x:t>
        </x:is>
      </x:c>
      <x:c r="C2088" s="184" t="n">
        <x:v>0</x:v>
      </x:c>
      <x:c r="D2088" s="184" t="n">
        <x:v>0</x:v>
      </x:c>
      <x:c r="E2088" s="184" t="n">
        <x:v>0</x:v>
      </x:c>
      <x:c r="F2088" s="184" t="n">
        <x:v>0</x:v>
      </x:c>
      <x:c r="G2088" s="184" t="n">
        <x:v>0</x:v>
      </x:c>
      <x:c r="H2088" s="193" t="n">
        <x:v>0</x:v>
      </x:c>
      <x:c r="I2088" s="185" t="n">
        <x:v>0</x:v>
      </x:c>
      <x:c r="J2088" s="185" t="n">
        <x:v>0</x:v>
      </x:c>
      <x:c r="K2088" s="289" t="n">
        <x:v>718426</x:v>
      </x:c>
    </x:row>
    <x:row r="2089" s="117" customFormat="1" hidden="1">
      <x:c r="A2089" s="184" t="inlineStr">
        <x:is>
          <x:t xml:space="preserve">PDTFRP001303</x:t>
        </x:is>
      </x:c>
      <x:c r="B2089" s="184" t="inlineStr">
        <x:is>
          <x:t xml:space="preserve">CARRETE DN-100 X 303 MM</x:t>
        </x:is>
      </x:c>
      <x:c r="C2089" s="184" t="n">
        <x:v>0</x:v>
      </x:c>
      <x:c r="D2089" s="184" t="n">
        <x:v>0</x:v>
      </x:c>
      <x:c r="E2089" s="184" t="n">
        <x:v>0</x:v>
      </x:c>
      <x:c r="F2089" s="184" t="n">
        <x:v>0</x:v>
      </x:c>
      <x:c r="G2089" s="184" t="n">
        <x:v>0</x:v>
      </x:c>
      <x:c r="H2089" s="193" t="n">
        <x:v>0</x:v>
      </x:c>
      <x:c r="I2089" s="185" t="n">
        <x:v>0</x:v>
      </x:c>
      <x:c r="J2089" s="185" t="n">
        <x:v>0</x:v>
      </x:c>
      <x:c r="K2089" s="289" t="n">
        <x:v>212375</x:v>
      </x:c>
    </x:row>
    <x:row r="2090" s="117" customFormat="1" hidden="1">
      <x:c r="A2090" s="184" t="inlineStr">
        <x:is>
          <x:t xml:space="preserve">PDTFRP001304</x:t>
        </x:is>
      </x:c>
      <x:c r="B2090" s="184" t="inlineStr">
        <x:is>
          <x:t xml:space="preserve">CODO DN 100 X PL FCH-PI-PF-135</x:t>
        </x:is>
      </x:c>
      <x:c r="C2090" s="184" t="n">
        <x:v>0</x:v>
      </x:c>
      <x:c r="D2090" s="184" t="n">
        <x:v>0</x:v>
      </x:c>
      <x:c r="E2090" s="184" t="n">
        <x:v>0</x:v>
      </x:c>
      <x:c r="F2090" s="184" t="n">
        <x:v>0</x:v>
      </x:c>
      <x:c r="G2090" s="184" t="n">
        <x:v>0</x:v>
      </x:c>
      <x:c r="H2090" s="193" t="n">
        <x:v>0</x:v>
      </x:c>
      <x:c r="I2090" s="185" t="n">
        <x:v>0</x:v>
      </x:c>
      <x:c r="J2090" s="185" t="n">
        <x:v>0</x:v>
      </x:c>
      <x:c r="K2090" s="289" t="n">
        <x:v>321233</x:v>
      </x:c>
    </x:row>
    <x:row r="2091" s="117" customFormat="1" hidden="1">
      <x:c r="A2091" s="184" t="inlineStr">
        <x:is>
          <x:t xml:space="preserve">PDTFRP001305</x:t>
        </x:is>
      </x:c>
      <x:c r="B2091" s="184" t="inlineStr">
        <x:is>
          <x:t xml:space="preserve">CODO 90° DN 150 PARA 150 PSI S/CROQUIS FUL0722-NV0012</x:t>
        </x:is>
      </x:c>
      <x:c r="C2091" s="184" t="n">
        <x:v>0</x:v>
      </x:c>
      <x:c r="D2091" s="184" t="n">
        <x:v>0</x:v>
      </x:c>
      <x:c r="E2091" s="184" t="n">
        <x:v>0</x:v>
      </x:c>
      <x:c r="F2091" s="184" t="n">
        <x:v>0</x:v>
      </x:c>
      <x:c r="G2091" s="184" t="n">
        <x:v>0</x:v>
      </x:c>
      <x:c r="H2091" s="193" t="n">
        <x:v>0</x:v>
      </x:c>
      <x:c r="I2091" s="185" t="n">
        <x:v>0</x:v>
      </x:c>
      <x:c r="J2091" s="185" t="n">
        <x:v>0</x:v>
      </x:c>
      <x:c r="K2091" s="289" t="n">
        <x:v>191273</x:v>
      </x:c>
    </x:row>
    <x:row r="2092" s="117" customFormat="1" hidden="1">
      <x:c r="A2092" s="184" t="inlineStr">
        <x:is>
          <x:t xml:space="preserve">PDTFRP001306</x:t>
        </x:is>
      </x:c>
      <x:c r="B2092" s="184" t="inlineStr">
        <x:is>
          <x:t xml:space="preserve">STUB END DIAM 6  PLG C/FLANGE ANSI 160 CLASE 150 FUL0722-NV0012</x:t>
        </x:is>
      </x:c>
      <x:c r="C2092" s="184" t="n">
        <x:v>0</x:v>
      </x:c>
      <x:c r="D2092" s="184" t="n">
        <x:v>0</x:v>
      </x:c>
      <x:c r="E2092" s="184" t="n">
        <x:v>0</x:v>
      </x:c>
      <x:c r="F2092" s="184" t="n">
        <x:v>0</x:v>
      </x:c>
      <x:c r="G2092" s="184" t="n">
        <x:v>0</x:v>
      </x:c>
      <x:c r="H2092" s="193" t="n">
        <x:v>0</x:v>
      </x:c>
      <x:c r="I2092" s="185" t="n">
        <x:v>0</x:v>
      </x:c>
      <x:c r="J2092" s="185" t="n">
        <x:v>0</x:v>
      </x:c>
      <x:c r="K2092" s="289" t="n">
        <x:v>76233</x:v>
      </x:c>
    </x:row>
    <x:row r="2093" s="117" customFormat="1" hidden="1">
      <x:c r="A2093" s="184" t="inlineStr">
        <x:is>
          <x:t xml:space="preserve">PDTFRP001307</x:t>
        </x:is>
      </x:c>
      <x:c r="B2093" s="184" t="inlineStr">
        <x:is>
          <x:t xml:space="preserve">A51 FABRICACION DE PASAMURO EN FRP DIAM.150 MM X 6000 MM RESINA VINILESTER C/FLANGE ASME B16,5 Y ANI</x:t>
        </x:is>
      </x:c>
      <x:c r="C2093" s="184" t="n">
        <x:v>0</x:v>
      </x:c>
      <x:c r="D2093" s="184" t="n">
        <x:v>0</x:v>
      </x:c>
      <x:c r="E2093" s="184" t="n">
        <x:v>0</x:v>
      </x:c>
      <x:c r="F2093" s="184" t="n">
        <x:v>0</x:v>
      </x:c>
      <x:c r="G2093" s="184" t="n">
        <x:v>0</x:v>
      </x:c>
      <x:c r="H2093" s="193" t="n">
        <x:v>0</x:v>
      </x:c>
      <x:c r="I2093" s="185" t="n">
        <x:v>0</x:v>
      </x:c>
      <x:c r="J2093" s="185" t="n">
        <x:v>0</x:v>
      </x:c>
      <x:c r="K2093" s="289" t="n">
        <x:v>525086</x:v>
      </x:c>
    </x:row>
    <x:row r="2094" s="117" customFormat="1" hidden="1">
      <x:c r="A2094" s="184" t="inlineStr">
        <x:is>
          <x:t xml:space="preserve">PDTFRP001308</x:t>
        </x:is>
      </x:c>
      <x:c r="B2094" s="184" t="inlineStr">
        <x:is>
          <x:t xml:space="preserve">FLANGE ASTM 1A 182 SS316L ANSI B16,5  FF CLASS 150 20 PLG</x:t>
        </x:is>
      </x:c>
      <x:c r="C2094" s="184" t="n">
        <x:v>0</x:v>
      </x:c>
      <x:c r="D2094" s="184" t="n">
        <x:v>0</x:v>
      </x:c>
      <x:c r="E2094" s="184" t="n">
        <x:v>0</x:v>
      </x:c>
      <x:c r="F2094" s="184" t="n">
        <x:v>0</x:v>
      </x:c>
      <x:c r="G2094" s="184" t="n">
        <x:v>0</x:v>
      </x:c>
      <x:c r="H2094" s="193" t="n">
        <x:v>0</x:v>
      </x:c>
      <x:c r="I2094" s="185" t="n">
        <x:v>0</x:v>
      </x:c>
      <x:c r="J2094" s="185" t="n">
        <x:v>0</x:v>
      </x:c>
      <x:c r="K2094" s="289" t="n">
        <x:v>307704</x:v>
      </x:c>
    </x:row>
    <x:row r="2095" s="117" customFormat="1" hidden="1">
      <x:c r="A2095" s="184" t="inlineStr">
        <x:is>
          <x:t xml:space="preserve">PDTFRP001309</x:t>
        </x:is>
      </x:c>
      <x:c r="B2095" s="184" t="inlineStr">
        <x:is>
          <x:t xml:space="preserve">FLANGE ASTM A 182 SS316L ANSI B16,5  FF CLASS 150 18 PLG</x:t>
        </x:is>
      </x:c>
      <x:c r="C2095" s="184" t="n">
        <x:v>0</x:v>
      </x:c>
      <x:c r="D2095" s="184" t="n">
        <x:v>0</x:v>
      </x:c>
      <x:c r="E2095" s="184" t="n">
        <x:v>0</x:v>
      </x:c>
      <x:c r="F2095" s="184" t="n">
        <x:v>0</x:v>
      </x:c>
      <x:c r="G2095" s="184" t="n">
        <x:v>0</x:v>
      </x:c>
      <x:c r="H2095" s="193" t="n">
        <x:v>0</x:v>
      </x:c>
      <x:c r="I2095" s="185" t="n">
        <x:v>0</x:v>
      </x:c>
      <x:c r="J2095" s="185" t="n">
        <x:v>0</x:v>
      </x:c>
      <x:c r="K2095" s="289" t="n">
        <x:v>271556</x:v>
      </x:c>
    </x:row>
    <x:row r="2096" s="117" customFormat="1" hidden="1">
      <x:c r="A2096" s="184" t="inlineStr">
        <x:is>
          <x:t xml:space="preserve">PDTFRP001310</x:t>
        </x:is>
      </x:c>
      <x:c r="B2096" s="184" t="inlineStr">
        <x:is>
          <x:t xml:space="preserve">FLANGE ASTM A 182 SS316L ANSI B16,5  FF CLASS 150 10 PLG</x:t>
        </x:is>
      </x:c>
      <x:c r="C2096" s="184" t="n">
        <x:v>0</x:v>
      </x:c>
      <x:c r="D2096" s="184" t="n">
        <x:v>0</x:v>
      </x:c>
      <x:c r="E2096" s="184" t="n">
        <x:v>0</x:v>
      </x:c>
      <x:c r="F2096" s="184" t="n">
        <x:v>0</x:v>
      </x:c>
      <x:c r="G2096" s="184" t="n">
        <x:v>0</x:v>
      </x:c>
      <x:c r="H2096" s="193" t="n">
        <x:v>0</x:v>
      </x:c>
      <x:c r="I2096" s="185" t="n">
        <x:v>0</x:v>
      </x:c>
      <x:c r="J2096" s="185" t="n">
        <x:v>0</x:v>
      </x:c>
      <x:c r="K2096" s="289" t="n">
        <x:v>108891</x:v>
      </x:c>
    </x:row>
    <x:row r="2097" s="117" customFormat="1" hidden="1">
      <x:c r="A2097" s="184" t="inlineStr">
        <x:is>
          <x:t xml:space="preserve">PDTFRP001311</x:t>
        </x:is>
      </x:c>
      <x:c r="B2097" s="184" t="inlineStr">
        <x:is>
          <x:t xml:space="preserve">FLANGE ASTM A 182 SS316L ANSI B16,5  FF CLASS 150 6  PLG</x:t>
        </x:is>
      </x:c>
      <x:c r="C2097" s="184" t="n">
        <x:v>0</x:v>
      </x:c>
      <x:c r="D2097" s="184" t="n">
        <x:v>0</x:v>
      </x:c>
      <x:c r="E2097" s="184" t="n">
        <x:v>0</x:v>
      </x:c>
      <x:c r="F2097" s="184" t="n">
        <x:v>0</x:v>
      </x:c>
      <x:c r="G2097" s="184" t="n">
        <x:v>0</x:v>
      </x:c>
      <x:c r="H2097" s="193" t="n">
        <x:v>0</x:v>
      </x:c>
      <x:c r="I2097" s="185" t="n">
        <x:v>0</x:v>
      </x:c>
      <x:c r="J2097" s="185" t="n">
        <x:v>0</x:v>
      </x:c>
      <x:c r="K2097" s="289" t="n">
        <x:v>54848</x:v>
      </x:c>
    </x:row>
    <x:row r="2098" s="117" customFormat="1" hidden="1">
      <x:c r="A2098" s="184" t="inlineStr">
        <x:is>
          <x:t xml:space="preserve">PDTFRP001312</x:t>
        </x:is>
      </x:c>
      <x:c r="B2098" s="184" t="inlineStr">
        <x:is>
          <x:t xml:space="preserve">FLANGE ASTM A 182 SS316L ANSI B16,5  FF CLASS 150 4  PLG</x:t>
        </x:is>
      </x:c>
      <x:c r="C2098" s="184" t="n">
        <x:v>0</x:v>
      </x:c>
      <x:c r="D2098" s="184" t="n">
        <x:v>0</x:v>
      </x:c>
      <x:c r="E2098" s="184" t="n">
        <x:v>0</x:v>
      </x:c>
      <x:c r="F2098" s="184" t="n">
        <x:v>0</x:v>
      </x:c>
      <x:c r="G2098" s="184" t="n">
        <x:v>0</x:v>
      </x:c>
      <x:c r="H2098" s="193" t="n">
        <x:v>0</x:v>
      </x:c>
      <x:c r="I2098" s="185" t="n">
        <x:v>0</x:v>
      </x:c>
      <x:c r="J2098" s="185" t="n">
        <x:v>0</x:v>
      </x:c>
      <x:c r="K2098" s="289" t="n">
        <x:v>47366</x:v>
      </x:c>
    </x:row>
    <x:row r="2099" s="117" customFormat="1" hidden="1">
      <x:c r="A2099" s="184" t="inlineStr">
        <x:is>
          <x:t xml:space="preserve">PDTFRP001313</x:t>
        </x:is>
      </x:c>
      <x:c r="B2099" s="184" t="inlineStr">
        <x:is>
          <x:t xml:space="preserve">OV 5000606291 ESTANQUE DE ALM TK-2030 4500X7200 MM DUAL LAMINATE FRP-PP</x:t>
        </x:is>
      </x:c>
      <x:c r="C2099" s="184" t="n">
        <x:v>0</x:v>
      </x:c>
      <x:c r="D2099" s="184" t="n">
        <x:v>0</x:v>
      </x:c>
      <x:c r="E2099" s="184" t="n">
        <x:v>0</x:v>
      </x:c>
      <x:c r="F2099" s="184" t="n">
        <x:v>0</x:v>
      </x:c>
      <x:c r="G2099" s="184" t="n">
        <x:v>0</x:v>
      </x:c>
      <x:c r="H2099" s="193" t="n">
        <x:v>0</x:v>
      </x:c>
      <x:c r="I2099" s="185" t="n">
        <x:v>0</x:v>
      </x:c>
      <x:c r="J2099" s="185" t="n">
        <x:v>0</x:v>
      </x:c>
      <x:c r="K2099" s="289" t="n">
        <x:v>65452893</x:v>
      </x:c>
    </x:row>
    <x:row r="2100" s="117" customFormat="1" hidden="1">
      <x:c r="A2100" s="184" t="inlineStr">
        <x:is>
          <x:t xml:space="preserve">PDTFRP001314</x:t>
        </x:is>
      </x:c>
      <x:c r="B2100" s="184" t="inlineStr">
        <x:is>
          <x:t xml:space="preserve">SPOOL SP10,SP10-2,SP11 Y SP11-2  PLANTA GASES 1 Y 2</x:t>
        </x:is>
      </x:c>
      <x:c r="C2100" s="184" t="n">
        <x:v>0</x:v>
      </x:c>
      <x:c r="D2100" s="184" t="n">
        <x:v>0</x:v>
      </x:c>
      <x:c r="E2100" s="184" t="n">
        <x:v>0</x:v>
      </x:c>
      <x:c r="F2100" s="184" t="n">
        <x:v>0</x:v>
      </x:c>
      <x:c r="G2100" s="184" t="n">
        <x:v>0</x:v>
      </x:c>
      <x:c r="H2100" s="193" t="n">
        <x:v>0</x:v>
      </x:c>
      <x:c r="I2100" s="185" t="n">
        <x:v>0</x:v>
      </x:c>
      <x:c r="J2100" s="185" t="n">
        <x:v>0</x:v>
      </x:c>
      <x:c r="K2100" s="289" t="n">
        <x:v>7452954</x:v>
      </x:c>
    </x:row>
    <x:row r="2101" s="117" customFormat="1" hidden="1">
      <x:c r="A2101" s="184" t="inlineStr">
        <x:is>
          <x:t xml:space="preserve">PDTFRP001315</x:t>
        </x:is>
      </x:c>
      <x:c r="B2101" s="184" t="inlineStr">
        <x:is>
          <x:t xml:space="preserve">SPOOL P102SSPOOL P102A-P102B  SUCCION Y DESCARGA BBA CFM0922-OF0000 G-15961</x:t>
        </x:is>
      </x:c>
      <x:c r="C2101" s="184" t="n">
        <x:v>0</x:v>
      </x:c>
      <x:c r="D2101" s="184" t="n">
        <x:v>0</x:v>
      </x:c>
      <x:c r="E2101" s="184" t="n">
        <x:v>0</x:v>
      </x:c>
      <x:c r="F2101" s="184" t="n">
        <x:v>0</x:v>
      </x:c>
      <x:c r="G2101" s="184" t="n">
        <x:v>0</x:v>
      </x:c>
      <x:c r="H2101" s="193" t="n">
        <x:v>0</x:v>
      </x:c>
      <x:c r="I2101" s="185" t="n">
        <x:v>0</x:v>
      </x:c>
      <x:c r="J2101" s="185" t="n">
        <x:v>0</x:v>
      </x:c>
      <x:c r="K2101" s="289" t="n">
        <x:v>4212698</x:v>
      </x:c>
    </x:row>
    <x:row r="2102" s="117" customFormat="1" hidden="1">
      <x:c r="A2102" s="184" t="inlineStr">
        <x:is>
          <x:t xml:space="preserve">PDTFRP001316</x:t>
        </x:is>
      </x:c>
      <x:c r="B2102" s="184" t="inlineStr">
        <x:is>
          <x:t xml:space="preserve">SPOOL P102S-P102D-102C-102B  SUCCION Y DESCARGA BBA CFM0922-OF0000 G-15988</x:t>
        </x:is>
      </x:c>
      <x:c r="C2102" s="184" t="n">
        <x:v>0</x:v>
      </x:c>
      <x:c r="D2102" s="184" t="n">
        <x:v>0</x:v>
      </x:c>
      <x:c r="E2102" s="184" t="n">
        <x:v>0</x:v>
      </x:c>
      <x:c r="F2102" s="184" t="n">
        <x:v>0</x:v>
      </x:c>
      <x:c r="G2102" s="184" t="n">
        <x:v>0</x:v>
      </x:c>
      <x:c r="H2102" s="193" t="n">
        <x:v>0</x:v>
      </x:c>
      <x:c r="I2102" s="185" t="n">
        <x:v>0</x:v>
      </x:c>
      <x:c r="J2102" s="185" t="n">
        <x:v>0</x:v>
      </x:c>
      <x:c r="K2102" s="289" t="n">
        <x:v>8189374</x:v>
      </x:c>
    </x:row>
    <x:row r="2103" s="117" customFormat="1" hidden="1">
      <x:c r="A2103" s="184" t="inlineStr">
        <x:is>
          <x:t xml:space="preserve">PDTFRP001317</x:t>
        </x:is>
      </x:c>
      <x:c r="B2103" s="184" t="inlineStr">
        <x:is>
          <x:t xml:space="preserve">SPOOL P102A Y P102B SUCCION BBA CFM0922-NV000 G-16022</x:t>
        </x:is>
      </x:c>
      <x:c r="C2103" s="184" t="n">
        <x:v>0</x:v>
      </x:c>
      <x:c r="D2103" s="184" t="n">
        <x:v>0</x:v>
      </x:c>
      <x:c r="E2103" s="184" t="n">
        <x:v>0</x:v>
      </x:c>
      <x:c r="F2103" s="184" t="n">
        <x:v>0</x:v>
      </x:c>
      <x:c r="G2103" s="184" t="n">
        <x:v>0</x:v>
      </x:c>
      <x:c r="H2103" s="193" t="n">
        <x:v>0</x:v>
      </x:c>
      <x:c r="I2103" s="185" t="n">
        <x:v>0</x:v>
      </x:c>
      <x:c r="J2103" s="185" t="n">
        <x:v>0</x:v>
      </x:c>
      <x:c r="K2103" s="289" t="n">
        <x:v>2623446</x:v>
      </x:c>
    </x:row>
    <x:row r="2104" s="117" customFormat="1" hidden="1">
      <x:c r="A2104" s="184" t="inlineStr">
        <x:is>
          <x:t xml:space="preserve">PDTFRP001318</x:t>
        </x:is>
      </x:c>
      <x:c r="B2104" s="184" t="inlineStr">
        <x:is>
          <x:t xml:space="preserve">SPOOL P102C-P101S-102C  SUCCION Y DESCARGA BBA CFM0922-OF0000 G-16031</x:t>
        </x:is>
      </x:c>
      <x:c r="C2104" s="184" t="n">
        <x:v>0</x:v>
      </x:c>
      <x:c r="D2104" s="184" t="n">
        <x:v>0</x:v>
      </x:c>
      <x:c r="E2104" s="184" t="n">
        <x:v>0</x:v>
      </x:c>
      <x:c r="F2104" s="184" t="n">
        <x:v>0</x:v>
      </x:c>
      <x:c r="G2104" s="184" t="n">
        <x:v>0</x:v>
      </x:c>
      <x:c r="H2104" s="193" t="n">
        <x:v>0</x:v>
      </x:c>
      <x:c r="I2104" s="185" t="n">
        <x:v>0</x:v>
      </x:c>
      <x:c r="J2104" s="185" t="n">
        <x:v>0</x:v>
      </x:c>
      <x:c r="K2104" s="289" t="n">
        <x:v>7341327</x:v>
      </x:c>
    </x:row>
    <x:row r="2105" s="117" customFormat="1" hidden="1">
      <x:c r="A2105" s="184" t="inlineStr">
        <x:is>
          <x:t xml:space="preserve">PDTFRP001319</x:t>
        </x:is>
      </x:c>
      <x:c r="B2105" s="184" t="inlineStr">
        <x:is>
          <x:t xml:space="preserve">SPOOL P101B-P101D-P101A-P101C-P101S-P102S  SUCCION Y DESCARGA BBA CFM0922-OF0000 G-16042</x:t>
        </x:is>
      </x:c>
      <x:c r="C2105" s="184" t="n">
        <x:v>0</x:v>
      </x:c>
      <x:c r="D2105" s="184" t="n">
        <x:v>0</x:v>
      </x:c>
      <x:c r="E2105" s="184" t="n">
        <x:v>0</x:v>
      </x:c>
      <x:c r="F2105" s="184" t="n">
        <x:v>0</x:v>
      </x:c>
      <x:c r="G2105" s="184" t="n">
        <x:v>0</x:v>
      </x:c>
      <x:c r="H2105" s="193" t="n">
        <x:v>0</x:v>
      </x:c>
      <x:c r="I2105" s="185" t="n">
        <x:v>0</x:v>
      </x:c>
      <x:c r="J2105" s="185" t="n">
        <x:v>0</x:v>
      </x:c>
      <x:c r="K2105" s="289" t="n">
        <x:v>14479945</x:v>
      </x:c>
    </x:row>
    <x:row r="2106" s="117" customFormat="1" hidden="1">
      <x:c r="A2106" s="184" t="inlineStr">
        <x:is>
          <x:t xml:space="preserve">PDTFRP001320</x:t>
        </x:is>
      </x:c>
      <x:c r="B2106" s="184" t="inlineStr">
        <x:is>
          <x:t xml:space="preserve">CARRETE DIA 16 PLG X 870 MM PLANO SIM-PA-2022-222 REV.0</x:t>
        </x:is>
      </x:c>
      <x:c r="C2106" s="184" t="n">
        <x:v>0</x:v>
      </x:c>
      <x:c r="D2106" s="184" t="n">
        <x:v>0</x:v>
      </x:c>
      <x:c r="E2106" s="184" t="n">
        <x:v>0</x:v>
      </x:c>
      <x:c r="F2106" s="184" t="n">
        <x:v>0</x:v>
      </x:c>
      <x:c r="G2106" s="184" t="n">
        <x:v>0</x:v>
      </x:c>
      <x:c r="H2106" s="193" t="n">
        <x:v>0</x:v>
      </x:c>
      <x:c r="I2106" s="185" t="n">
        <x:v>0</x:v>
      </x:c>
      <x:c r="J2106" s="185" t="n">
        <x:v>0</x:v>
      </x:c>
      <x:c r="K2106" s="289" t="n">
        <x:v>1213832</x:v>
      </x:c>
    </x:row>
    <x:row r="2107" s="117" customFormat="1" hidden="1">
      <x:c r="A2107" s="184" t="inlineStr">
        <x:is>
          <x:t xml:space="preserve">PDTFRP001321</x:t>
        </x:is>
      </x:c>
      <x:c r="B2107" s="184" t="inlineStr">
        <x:is>
          <x:t xml:space="preserve">1230629 STUB END FRP DN 12 PLG INCLUYE FLANGE ANSI PP/AC.</x:t>
        </x:is>
      </x:c>
      <x:c r="C2107" s="184" t="n">
        <x:v>0</x:v>
      </x:c>
      <x:c r="D2107" s="184" t="n">
        <x:v>0</x:v>
      </x:c>
      <x:c r="E2107" s="184" t="n">
        <x:v>0</x:v>
      </x:c>
      <x:c r="F2107" s="184" t="n">
        <x:v>0</x:v>
      </x:c>
      <x:c r="G2107" s="184" t="n">
        <x:v>0</x:v>
      </x:c>
      <x:c r="H2107" s="193" t="n">
        <x:v>0</x:v>
      </x:c>
      <x:c r="I2107" s="185" t="n">
        <x:v>0</x:v>
      </x:c>
      <x:c r="J2107" s="185" t="n">
        <x:v>0</x:v>
      </x:c>
      <x:c r="K2107" s="289" t="n">
        <x:v>234222</x:v>
      </x:c>
    </x:row>
    <x:row r="2108" s="117" customFormat="1" hidden="1">
      <x:c r="A2108" s="184" t="inlineStr">
        <x:is>
          <x:t xml:space="preserve">PDTFRP001322</x:t>
        </x:is>
      </x:c>
      <x:c r="B2108" s="184" t="inlineStr">
        <x:is>
          <x:t xml:space="preserve">SPOOL P101A-P101B  SUCCION Y DESCARGA BBA CFM0922-OF0000 G-16063</x:t>
        </x:is>
      </x:c>
      <x:c r="C2108" s="184" t="n">
        <x:v>0</x:v>
      </x:c>
      <x:c r="D2108" s="184" t="n">
        <x:v>0</x:v>
      </x:c>
      <x:c r="E2108" s="184" t="n">
        <x:v>0</x:v>
      </x:c>
      <x:c r="F2108" s="184" t="n">
        <x:v>0</x:v>
      </x:c>
      <x:c r="G2108" s="184" t="n">
        <x:v>0</x:v>
      </x:c>
      <x:c r="H2108" s="193" t="n">
        <x:v>0</x:v>
      </x:c>
      <x:c r="I2108" s="185" t="n">
        <x:v>0</x:v>
      </x:c>
      <x:c r="J2108" s="185" t="n">
        <x:v>0</x:v>
      </x:c>
      <x:c r="K2108" s="289" t="n">
        <x:v>4920505</x:v>
      </x:c>
    </x:row>
    <x:row r="2109" s="117" customFormat="1" hidden="1">
      <x:c r="A2109" s="184" t="inlineStr">
        <x:is>
          <x:t xml:space="preserve">PDTFRP001323</x:t>
        </x:is>
      </x:c>
      <x:c r="B2109" s="184" t="inlineStr">
        <x:is>
          <x:t xml:space="preserve">FLANGE CIEGO DN 10 FRP ANSI CLASE 150 INCLUYE AZA</x:t>
        </x:is>
      </x:c>
      <x:c r="C2109" s="184" t="n">
        <x:v>0</x:v>
      </x:c>
      <x:c r="D2109" s="184" t="n">
        <x:v>0</x:v>
      </x:c>
      <x:c r="E2109" s="184" t="n">
        <x:v>0</x:v>
      </x:c>
      <x:c r="F2109" s="184" t="n">
        <x:v>0</x:v>
      </x:c>
      <x:c r="G2109" s="184" t="n">
        <x:v>0</x:v>
      </x:c>
      <x:c r="H2109" s="193" t="n">
        <x:v>0</x:v>
      </x:c>
      <x:c r="I2109" s="185" t="n">
        <x:v>0</x:v>
      </x:c>
      <x:c r="J2109" s="185" t="n">
        <x:v>0</x:v>
      </x:c>
      <x:c r="K2109" s="289" t="n">
        <x:v>237985</x:v>
      </x:c>
    </x:row>
    <x:row r="2110" s="117" customFormat="1" hidden="1">
      <x:c r="A2110" s="184" t="inlineStr">
        <x:is>
          <x:t xml:space="preserve">PDTFRP001324</x:t>
        </x:is>
      </x:c>
      <x:c r="B2110" s="184" t="inlineStr">
        <x:is>
          <x:t xml:space="preserve">SPOOL P101C-P101D-P101P  SUCCION Y DESCARGA BBA CFM0922-OF0000 G-16087</x:t>
        </x:is>
      </x:c>
      <x:c r="C2110" s="184" t="n">
        <x:v>0</x:v>
      </x:c>
      <x:c r="D2110" s="184" t="n">
        <x:v>0</x:v>
      </x:c>
      <x:c r="E2110" s="184" t="n">
        <x:v>0</x:v>
      </x:c>
      <x:c r="F2110" s="184" t="n">
        <x:v>0</x:v>
      </x:c>
      <x:c r="G2110" s="184" t="n">
        <x:v>0</x:v>
      </x:c>
      <x:c r="H2110" s="193" t="n">
        <x:v>0</x:v>
      </x:c>
      <x:c r="I2110" s="185" t="n">
        <x:v>0</x:v>
      </x:c>
      <x:c r="J2110" s="185" t="n">
        <x:v>0</x:v>
      </x:c>
      <x:c r="K2110" s="289" t="n">
        <x:v>7079607</x:v>
      </x:c>
    </x:row>
    <x:row r="2111" s="117" customFormat="1" hidden="1">
      <x:c r="A2111" s="184" t="inlineStr">
        <x:is>
          <x:t xml:space="preserve">PDTFRP001325</x:t>
        </x:is>
      </x:c>
      <x:c r="B2111" s="184" t="inlineStr">
        <x:is>
          <x:t xml:space="preserve">SPOOL P102A-P102B-P102C-P102D-P102S  SUCCION Y DESCARGA BBA CFM0922-OF0000 G-16100</x:t>
        </x:is>
      </x:c>
      <x:c r="C2111" s="184" t="n">
        <x:v>0</x:v>
      </x:c>
      <x:c r="D2111" s="184" t="n">
        <x:v>0</x:v>
      </x:c>
      <x:c r="E2111" s="184" t="n">
        <x:v>0</x:v>
      </x:c>
      <x:c r="F2111" s="184" t="n">
        <x:v>0</x:v>
      </x:c>
      <x:c r="G2111" s="184" t="n">
        <x:v>0</x:v>
      </x:c>
      <x:c r="H2111" s="193" t="n">
        <x:v>0</x:v>
      </x:c>
      <x:c r="I2111" s="185" t="n">
        <x:v>0</x:v>
      </x:c>
      <x:c r="J2111" s="185" t="n">
        <x:v>0</x:v>
      </x:c>
      <x:c r="K2111" s="289" t="n">
        <x:v>7854960</x:v>
      </x:c>
    </x:row>
    <x:row r="2112" s="117" customFormat="1" hidden="1">
      <x:c r="A2112" s="184" t="inlineStr">
        <x:is>
          <x:t xml:space="preserve">PDTFRP001326</x:t>
        </x:is>
      </x:c>
      <x:c r="B2112" s="184" t="inlineStr">
        <x:is>
          <x:t xml:space="preserve">SPOOL  P102D-P101A-P101B-P101D-P101S  SUCCION Y DESCARGA BBA CFM0922-OF0000 G-16229</x:t>
        </x:is>
      </x:c>
      <x:c r="C2112" s="184" t="n">
        <x:v>0</x:v>
      </x:c>
      <x:c r="D2112" s="184" t="n">
        <x:v>0</x:v>
      </x:c>
      <x:c r="E2112" s="184" t="n">
        <x:v>0</x:v>
      </x:c>
      <x:c r="F2112" s="184" t="n">
        <x:v>0</x:v>
      </x:c>
      <x:c r="G2112" s="184" t="n">
        <x:v>0</x:v>
      </x:c>
      <x:c r="H2112" s="193" t="n">
        <x:v>0</x:v>
      </x:c>
      <x:c r="I2112" s="185" t="n">
        <x:v>0</x:v>
      </x:c>
      <x:c r="J2112" s="185" t="n">
        <x:v>0</x:v>
      </x:c>
      <x:c r="K2112" s="289" t="n">
        <x:v>6365455</x:v>
      </x:c>
    </x:row>
    <x:row r="2113" s="117" customFormat="1" hidden="1">
      <x:c r="A2113" s="184" t="inlineStr">
        <x:is>
          <x:t xml:space="preserve">PDTFRP001327</x:t>
        </x:is>
      </x:c>
      <x:c r="B2113" s="184" t="inlineStr">
        <x:is>
          <x:t xml:space="preserve">SPOOL P101A-P101B-P101C-P101D-P101S  SUCCION Y DESCARGA BBA CFM0922-OF0000 G-16234</x:t>
        </x:is>
      </x:c>
      <x:c r="C2113" s="184" t="n">
        <x:v>0</x:v>
      </x:c>
      <x:c r="D2113" s="184" t="n">
        <x:v>0</x:v>
      </x:c>
      <x:c r="E2113" s="184" t="n">
        <x:v>0</x:v>
      </x:c>
      <x:c r="F2113" s="184" t="n">
        <x:v>0</x:v>
      </x:c>
      <x:c r="G2113" s="184" t="n">
        <x:v>0</x:v>
      </x:c>
      <x:c r="H2113" s="193" t="n">
        <x:v>0</x:v>
      </x:c>
      <x:c r="I2113" s="185" t="n">
        <x:v>0</x:v>
      </x:c>
      <x:c r="J2113" s="185" t="n">
        <x:v>0</x:v>
      </x:c>
      <x:c r="K2113" s="289" t="n">
        <x:v>12788502</x:v>
      </x:c>
    </x:row>
    <x:row r="2114" s="117" customFormat="1" hidden="1">
      <x:c r="A2114" s="184" t="inlineStr">
        <x:is>
          <x:t xml:space="preserve">PDTFRP001328</x:t>
        </x:is>
      </x:c>
      <x:c r="B2114" s="184" t="inlineStr">
        <x:is>
          <x:t xml:space="preserve">SPOOL P101D-P101D PARTES A Y B  SUCCION Y DESCARGA BBA CFM0922-OF0000 G-16265</x:t>
        </x:is>
      </x:c>
      <x:c r="C2114" s="184" t="n">
        <x:v>0</x:v>
      </x:c>
      <x:c r="D2114" s="184" t="n">
        <x:v>0</x:v>
      </x:c>
      <x:c r="E2114" s="184" t="n">
        <x:v>0</x:v>
      </x:c>
      <x:c r="F2114" s="184" t="n">
        <x:v>0</x:v>
      </x:c>
      <x:c r="G2114" s="184" t="n">
        <x:v>0</x:v>
      </x:c>
      <x:c r="H2114" s="193" t="n">
        <x:v>0</x:v>
      </x:c>
      <x:c r="I2114" s="185" t="n">
        <x:v>0</x:v>
      </x:c>
      <x:c r="J2114" s="185" t="n">
        <x:v>0</x:v>
      </x:c>
      <x:c r="K2114" s="289" t="n">
        <x:v>6709438</x:v>
      </x:c>
    </x:row>
    <x:row r="2115" s="117" customFormat="1" hidden="1">
      <x:c r="A2115" s="184" t="inlineStr">
        <x:is>
          <x:t xml:space="preserve">PDTFRP001329</x:t>
        </x:is>
      </x:c>
      <x:c r="B2115" s="184" t="inlineStr">
        <x:is>
          <x:t xml:space="preserve">4101765 CAÑERIA FRP 3 PLG X 6 MTS 150 PSI</x:t>
        </x:is>
      </x:c>
      <x:c r="C2115" s="184" t="n">
        <x:v>0</x:v>
      </x:c>
      <x:c r="D2115" s="184" t="n">
        <x:v>0</x:v>
      </x:c>
      <x:c r="E2115" s="184" t="n">
        <x:v>0</x:v>
      </x:c>
      <x:c r="F2115" s="184" t="n">
        <x:v>0</x:v>
      </x:c>
      <x:c r="G2115" s="184" t="n">
        <x:v>0</x:v>
      </x:c>
      <x:c r="H2115" s="193" t="n">
        <x:v>0</x:v>
      </x:c>
      <x:c r="I2115" s="185" t="n">
        <x:v>0</x:v>
      </x:c>
      <x:c r="J2115" s="185" t="n">
        <x:v>0</x:v>
      </x:c>
      <x:c r="K2115" s="289" t="n">
        <x:v>48524</x:v>
      </x:c>
    </x:row>
    <x:row r="2116" s="117" customFormat="1" hidden="1">
      <x:c r="A2116" s="184" t="inlineStr">
        <x:is>
          <x:t xml:space="preserve">PDTFRP001330</x:t>
        </x:is>
      </x:c>
      <x:c r="B2116" s="184" t="inlineStr">
        <x:is>
          <x:t xml:space="preserve">FABRICACION DE SPOOL 010 DIA 1000 MM EN FRP RESIVA VINILESTER PPT072FRP388</x:t>
        </x:is>
      </x:c>
      <x:c r="C2116" s="184" t="n">
        <x:v>0</x:v>
      </x:c>
      <x:c r="D2116" s="184" t="n">
        <x:v>0</x:v>
      </x:c>
      <x:c r="E2116" s="184" t="n">
        <x:v>0</x:v>
      </x:c>
      <x:c r="F2116" s="184" t="n">
        <x:v>0</x:v>
      </x:c>
      <x:c r="G2116" s="184" t="n">
        <x:v>0</x:v>
      </x:c>
      <x:c r="H2116" s="193" t="n">
        <x:v>0</x:v>
      </x:c>
      <x:c r="I2116" s="185" t="n">
        <x:v>0</x:v>
      </x:c>
      <x:c r="J2116" s="185" t="n">
        <x:v>0</x:v>
      </x:c>
      <x:c r="K2116" s="289" t="n">
        <x:v>4256266</x:v>
      </x:c>
    </x:row>
    <x:row r="2117" s="117" customFormat="1" hidden="1">
      <x:c r="A2117" s="184" t="inlineStr">
        <x:is>
          <x:t xml:space="preserve">PDTFRP001331</x:t>
        </x:is>
      </x:c>
      <x:c r="B2117" s="184" t="inlineStr">
        <x:is>
          <x:t xml:space="preserve">FABRICACION DE SPOOL 030 DIA 1000 MM EN FRP RESIVA VINILESTER PPT072FRP389</x:t>
        </x:is>
      </x:c>
      <x:c r="C2117" s="184" t="n">
        <x:v>0</x:v>
      </x:c>
      <x:c r="D2117" s="184" t="n">
        <x:v>0</x:v>
      </x:c>
      <x:c r="E2117" s="184" t="n">
        <x:v>0</x:v>
      </x:c>
      <x:c r="F2117" s="184" t="n">
        <x:v>0</x:v>
      </x:c>
      <x:c r="G2117" s="184" t="n">
        <x:v>0</x:v>
      </x:c>
      <x:c r="H2117" s="193" t="n">
        <x:v>0</x:v>
      </x:c>
      <x:c r="I2117" s="185" t="n">
        <x:v>0</x:v>
      </x:c>
      <x:c r="J2117" s="185" t="n">
        <x:v>0</x:v>
      </x:c>
      <x:c r="K2117" s="289" t="n">
        <x:v>1923671</x:v>
      </x:c>
    </x:row>
    <x:row r="2118" s="117" customFormat="1" hidden="1">
      <x:c r="A2118" s="184" t="inlineStr">
        <x:is>
          <x:t xml:space="preserve">PDTFRP001332</x:t>
        </x:is>
      </x:c>
      <x:c r="B2118" s="184" t="inlineStr">
        <x:is>
          <x:t xml:space="preserve">SPOOL 006 DIA 914,4 EN FRP RESINA VINILESTER PPT072FRP293</x:t>
        </x:is>
      </x:c>
      <x:c r="C2118" s="184" t="n">
        <x:v>0</x:v>
      </x:c>
      <x:c r="D2118" s="184" t="n">
        <x:v>0</x:v>
      </x:c>
      <x:c r="E2118" s="184" t="n">
        <x:v>0</x:v>
      </x:c>
      <x:c r="F2118" s="184" t="n">
        <x:v>0</x:v>
      </x:c>
      <x:c r="G2118" s="184" t="n">
        <x:v>0</x:v>
      </x:c>
      <x:c r="H2118" s="193" t="n">
        <x:v>0</x:v>
      </x:c>
      <x:c r="I2118" s="185" t="n">
        <x:v>0</x:v>
      </x:c>
      <x:c r="J2118" s="185" t="n">
        <x:v>0</x:v>
      </x:c>
      <x:c r="K2118" s="289" t="n">
        <x:v>3691291</x:v>
      </x:c>
    </x:row>
    <x:row r="2119" s="117" customFormat="1" hidden="1">
      <x:c r="A2119" s="184" t="inlineStr">
        <x:is>
          <x:t xml:space="preserve">PDTFRP001333</x:t>
        </x:is>
      </x:c>
      <x:c r="B2119" s="184" t="inlineStr">
        <x:is>
          <x:t xml:space="preserve">DUCTOS PL C22206-600-OD-PL-06-001_B/0002_B/0004_B CENTINELA RLS0123-NV0005 G-16044</x:t>
        </x:is>
      </x:c>
      <x:c r="C2119" s="184" t="n">
        <x:v>0</x:v>
      </x:c>
      <x:c r="D2119" s="184" t="n">
        <x:v>0</x:v>
      </x:c>
      <x:c r="E2119" s="184" t="n">
        <x:v>0</x:v>
      </x:c>
      <x:c r="F2119" s="184" t="n">
        <x:v>0</x:v>
      </x:c>
      <x:c r="G2119" s="184" t="n">
        <x:v>0</x:v>
      </x:c>
      <x:c r="H2119" s="193" t="n">
        <x:v>0</x:v>
      </x:c>
      <x:c r="I2119" s="185" t="n">
        <x:v>0</x:v>
      </x:c>
      <x:c r="J2119" s="185" t="n">
        <x:v>0</x:v>
      </x:c>
      <x:c r="K2119" s="289" t="n">
        <x:v>32299872</x:v>
      </x:c>
    </x:row>
    <x:row r="2120" s="117" customFormat="1" hidden="1">
      <x:c r="A2120" s="184" t="inlineStr">
        <x:is>
          <x:t xml:space="preserve">PDTFRP001334</x:t>
        </x:is>
      </x:c>
      <x:c r="B2120" s="184" t="inlineStr">
        <x:is>
          <x:t xml:space="preserve">DUCTOS PL C22206-600-OD-PL-06-0001_B/0002_B/0003_B CENTINELA RLS0123-NV0005 G-16045</x:t>
        </x:is>
      </x:c>
      <x:c r="C2120" s="184" t="n">
        <x:v>0</x:v>
      </x:c>
      <x:c r="D2120" s="184" t="n">
        <x:v>0</x:v>
      </x:c>
      <x:c r="E2120" s="184" t="n">
        <x:v>0</x:v>
      </x:c>
      <x:c r="F2120" s="184" t="n">
        <x:v>0</x:v>
      </x:c>
      <x:c r="G2120" s="184" t="n">
        <x:v>0</x:v>
      </x:c>
      <x:c r="H2120" s="193" t="n">
        <x:v>0</x:v>
      </x:c>
      <x:c r="I2120" s="185" t="n">
        <x:v>0</x:v>
      </x:c>
      <x:c r="J2120" s="185" t="n">
        <x:v>0</x:v>
      </x:c>
      <x:c r="K2120" s="289" t="n">
        <x:v>32073108</x:v>
      </x:c>
    </x:row>
    <x:row r="2121" s="117" customFormat="1" hidden="1">
      <x:c r="A2121" s="184" t="inlineStr">
        <x:is>
          <x:t xml:space="preserve">PDTFRP001335</x:t>
        </x:is>
      </x:c>
      <x:c r="B2121" s="184" t="inlineStr">
        <x:is>
          <x:t xml:space="preserve">DUCTOS PL C22206-600-OD-PL-06-0002_B/0002_B/00043B CENTIELA RLS0123-NV0005 G-16177</x:t>
        </x:is>
      </x:c>
      <x:c r="C2121" s="184" t="n">
        <x:v>0</x:v>
      </x:c>
      <x:c r="D2121" s="184" t="n">
        <x:v>0</x:v>
      </x:c>
      <x:c r="E2121" s="184" t="n">
        <x:v>0</x:v>
      </x:c>
      <x:c r="F2121" s="184" t="n">
        <x:v>0</x:v>
      </x:c>
      <x:c r="G2121" s="184" t="n">
        <x:v>0</x:v>
      </x:c>
      <x:c r="H2121" s="193" t="n">
        <x:v>0</x:v>
      </x:c>
      <x:c r="I2121" s="185" t="n">
        <x:v>0</x:v>
      </x:c>
      <x:c r="J2121" s="185" t="n">
        <x:v>0</x:v>
      </x:c>
      <x:c r="K2121" s="289" t="n">
        <x:v>32074490</x:v>
      </x:c>
    </x:row>
    <x:row r="2122" s="117" customFormat="1" hidden="1">
      <x:c r="A2122" s="184" t="inlineStr">
        <x:is>
          <x:t xml:space="preserve">PDTFRP001336</x:t>
        </x:is>
      </x:c>
      <x:c r="B2122" s="184" t="inlineStr">
        <x:is>
          <x:t xml:space="preserve">37424505CALERIA FIBRA DE VIDRIO 2 PLG FRP 150 PSI</x:t>
        </x:is>
      </x:c>
      <x:c r="C2122" s="184" t="n">
        <x:v>0</x:v>
      </x:c>
      <x:c r="D2122" s="184" t="n">
        <x:v>0</x:v>
      </x:c>
      <x:c r="E2122" s="184" t="n">
        <x:v>0</x:v>
      </x:c>
      <x:c r="F2122" s="184" t="n">
        <x:v>0</x:v>
      </x:c>
      <x:c r="G2122" s="184" t="n">
        <x:v>0</x:v>
      </x:c>
      <x:c r="H2122" s="193" t="n">
        <x:v>0</x:v>
      </x:c>
      <x:c r="I2122" s="185" t="n">
        <x:v>0</x:v>
      </x:c>
      <x:c r="J2122" s="185" t="n">
        <x:v>0</x:v>
      </x:c>
      <x:c r="K2122" s="289" t="n">
        <x:v>19911</x:v>
      </x:c>
    </x:row>
    <x:row r="2123" s="117" customFormat="1" hidden="1">
      <x:c r="A2123" s="184" t="inlineStr">
        <x:is>
          <x:t xml:space="preserve">PDTFRP001337</x:t>
        </x:is>
      </x:c>
      <x:c r="B2123" s="184" t="inlineStr">
        <x:is>
          <x:t xml:space="preserve">SOPORTES  S/PLANO C22206-600-OD-PL-06-0007_C EN FRP RLS0323-NV0009</x:t>
        </x:is>
      </x:c>
      <x:c r="C2123" s="184" t="n">
        <x:v>0</x:v>
      </x:c>
      <x:c r="D2123" s="184" t="n">
        <x:v>0</x:v>
      </x:c>
      <x:c r="E2123" s="184" t="n">
        <x:v>0</x:v>
      </x:c>
      <x:c r="F2123" s="184" t="n">
        <x:v>0</x:v>
      </x:c>
      <x:c r="G2123" s="184" t="n">
        <x:v>0</x:v>
      </x:c>
      <x:c r="H2123" s="193" t="n">
        <x:v>0</x:v>
      </x:c>
      <x:c r="I2123" s="185" t="n">
        <x:v>0</x:v>
      </x:c>
      <x:c r="J2123" s="185" t="n">
        <x:v>0</x:v>
      </x:c>
      <x:c r="K2123" s="289" t="n">
        <x:v>57959697</x:v>
      </x:c>
    </x:row>
    <x:row r="2124" s="117" customFormat="1" hidden="1">
      <x:c r="A2124" s="184" t="inlineStr">
        <x:is>
          <x:t xml:space="preserve">PDTFRP001338</x:t>
        </x:is>
      </x:c>
      <x:c r="B2124" s="184" t="inlineStr">
        <x:is>
          <x:t xml:space="preserve">SPOOL RAJO INCA  0,90 WE 5009031879</x:t>
        </x:is>
      </x:c>
      <x:c r="C2124" s="184" t="n">
        <x:v>0</x:v>
      </x:c>
      <x:c r="D2124" s="184" t="n">
        <x:v>0</x:v>
      </x:c>
      <x:c r="E2124" s="184" t="n">
        <x:v>0</x:v>
      </x:c>
      <x:c r="F2124" s="184" t="n">
        <x:v>0</x:v>
      </x:c>
      <x:c r="G2124" s="184" t="n">
        <x:v>0</x:v>
      </x:c>
      <x:c r="H2124" s="193" t="n">
        <x:v>0</x:v>
      </x:c>
      <x:c r="I2124" s="185" t="n">
        <x:v>0</x:v>
      </x:c>
      <x:c r="J2124" s="185" t="n">
        <x:v>0</x:v>
      </x:c>
      <x:c r="K2124" s="289" t="n">
        <x:v>37440134</x:v>
      </x:c>
    </x:row>
    <x:row r="2125" s="117" customFormat="1" hidden="1">
      <x:c r="A2125" s="184" t="inlineStr">
        <x:is>
          <x:t xml:space="preserve">PDTFRP001339</x:t>
        </x:is>
      </x:c>
      <x:c r="B2125" s="184" t="inlineStr">
        <x:is>
          <x:t xml:space="preserve">SPOOL RAJO INCA  0,90 WE 5009073564</x:t>
        </x:is>
      </x:c>
      <x:c r="C2125" s="184" t="n">
        <x:v>0</x:v>
      </x:c>
      <x:c r="D2125" s="184" t="n">
        <x:v>0</x:v>
      </x:c>
      <x:c r="E2125" s="184" t="n">
        <x:v>0</x:v>
      </x:c>
      <x:c r="F2125" s="184" t="n">
        <x:v>0</x:v>
      </x:c>
      <x:c r="G2125" s="184" t="n">
        <x:v>0</x:v>
      </x:c>
      <x:c r="H2125" s="193" t="n">
        <x:v>0</x:v>
      </x:c>
      <x:c r="I2125" s="185" t="n">
        <x:v>0</x:v>
      </x:c>
      <x:c r="J2125" s="185" t="n">
        <x:v>0</x:v>
      </x:c>
      <x:c r="K2125" s="289" t="n">
        <x:v>39312141</x:v>
      </x:c>
    </x:row>
    <x:row r="2126" s="117" customFormat="1" hidden="1">
      <x:c r="A2126" s="184" t="inlineStr">
        <x:is>
          <x:t xml:space="preserve">PDTFRP001340</x:t>
        </x:is>
      </x:c>
      <x:c r="B2126" s="184" t="inlineStr">
        <x:is>
          <x:t xml:space="preserve">ESTANQUES RAJO INCA WE 5009033489</x:t>
        </x:is>
      </x:c>
      <x:c r="C2126" s="184" t="n">
        <x:v>0</x:v>
      </x:c>
      <x:c r="D2126" s="184" t="n">
        <x:v>0</x:v>
      </x:c>
      <x:c r="E2126" s="184" t="n">
        <x:v>0</x:v>
      </x:c>
      <x:c r="F2126" s="184" t="n">
        <x:v>0</x:v>
      </x:c>
      <x:c r="G2126" s="184" t="n">
        <x:v>0</x:v>
      </x:c>
      <x:c r="H2126" s="193" t="n">
        <x:v>0</x:v>
      </x:c>
      <x:c r="I2126" s="185" t="n">
        <x:v>0</x:v>
      </x:c>
      <x:c r="J2126" s="185" t="n">
        <x:v>0</x:v>
      </x:c>
      <x:c r="K2126" s="289" t="n">
        <x:v>39845758</x:v>
      </x:c>
    </x:row>
    <x:row r="2127" s="117" customFormat="1" hidden="1">
      <x:c r="A2127" s="184" t="inlineStr">
        <x:is>
          <x:t xml:space="preserve">PDTFRP001341</x:t>
        </x:is>
      </x:c>
      <x:c r="B2127" s="184" t="inlineStr">
        <x:is>
          <x:t xml:space="preserve">FLANGE FULL FACE DFIAM 12 PLG EN FRP CON CUELLO RESINA VINILESTER PPT072FRP376 (4101316)</x:t>
        </x:is>
      </x:c>
      <x:c r="C2127" s="184" t="n">
        <x:v>0</x:v>
      </x:c>
      <x:c r="D2127" s="184" t="n">
        <x:v>0</x:v>
      </x:c>
      <x:c r="E2127" s="184" t="n">
        <x:v>0</x:v>
      </x:c>
      <x:c r="F2127" s="184" t="n">
        <x:v>0</x:v>
      </x:c>
      <x:c r="G2127" s="184" t="n">
        <x:v>0</x:v>
      </x:c>
      <x:c r="H2127" s="193" t="n">
        <x:v>0</x:v>
      </x:c>
      <x:c r="I2127" s="185" t="n">
        <x:v>0</x:v>
      </x:c>
      <x:c r="J2127" s="185" t="n">
        <x:v>0</x:v>
      </x:c>
      <x:c r="K2127" s="289" t="n">
        <x:v>159355</x:v>
      </x:c>
    </x:row>
    <x:row r="2128" s="117" customFormat="1" hidden="1">
      <x:c r="A2128" s="184" t="inlineStr">
        <x:is>
          <x:t xml:space="preserve">PDTFRP001342</x:t>
        </x:is>
      </x:c>
      <x:c r="B2128" s="184" t="inlineStr">
        <x:is>
          <x:t xml:space="preserve">ESTANQUE FRP OC-4502113552 WE 5009124582</x:t>
        </x:is>
      </x:c>
      <x:c r="C2128" s="184" t="n">
        <x:v>0</x:v>
      </x:c>
      <x:c r="D2128" s="184" t="n">
        <x:v>0</x:v>
      </x:c>
      <x:c r="E2128" s="184" t="n">
        <x:v>0</x:v>
      </x:c>
      <x:c r="F2128" s="184" t="n">
        <x:v>0</x:v>
      </x:c>
      <x:c r="G2128" s="184" t="n">
        <x:v>0</x:v>
      </x:c>
      <x:c r="H2128" s="193" t="n">
        <x:v>0</x:v>
      </x:c>
      <x:c r="I2128" s="185" t="n">
        <x:v>0</x:v>
      </x:c>
      <x:c r="J2128" s="185" t="n">
        <x:v>0</x:v>
      </x:c>
      <x:c r="K2128" s="289" t="n">
        <x:v>67091086</x:v>
      </x:c>
    </x:row>
    <x:row r="2129" s="117" customFormat="1" hidden="1">
      <x:c r="A2129" s="184" t="inlineStr">
        <x:is>
          <x:t xml:space="preserve">PDTFRP001343</x:t>
        </x:is>
      </x:c>
      <x:c r="B2129" s="184" t="inlineStr">
        <x:is>
          <x:t xml:space="preserve">4207922 ESTANQUE PL4227V22410100REV3 FRP DIAM,6500,LONG 4000 MM</x:t>
        </x:is>
      </x:c>
      <x:c r="C2129" s="184" t="n">
        <x:v>0</x:v>
      </x:c>
      <x:c r="D2129" s="184" t="n">
        <x:v>0</x:v>
      </x:c>
      <x:c r="E2129" s="184" t="n">
        <x:v>0</x:v>
      </x:c>
      <x:c r="F2129" s="184" t="n">
        <x:v>0</x:v>
      </x:c>
      <x:c r="G2129" s="184" t="n">
        <x:v>0</x:v>
      </x:c>
      <x:c r="H2129" s="193" t="n">
        <x:v>0</x:v>
      </x:c>
      <x:c r="I2129" s="185" t="n">
        <x:v>0</x:v>
      </x:c>
      <x:c r="J2129" s="185" t="n">
        <x:v>0</x:v>
      </x:c>
      <x:c r="K2129" s="289" t="n">
        <x:v>85261748</x:v>
      </x:c>
    </x:row>
    <x:row r="2130" s="117" customFormat="1" hidden="1">
      <x:c r="A2130" s="184" t="inlineStr">
        <x:is>
          <x:t xml:space="preserve">PDTFRP001344</x:t>
        </x:is>
      </x:c>
      <x:c r="B2130" s="184" t="inlineStr">
        <x:is>
          <x:t xml:space="preserve">CAÑERIA DIAM, 8PLG PN10 TIRA DE 6 MTS</x:t>
        </x:is>
      </x:c>
      <x:c r="C2130" s="184" t="n">
        <x:v>12.3</x:v>
      </x:c>
      <x:c r="D2130" s="184" t="n">
        <x:v>0</x:v>
      </x:c>
      <x:c r="E2130" s="184" t="n">
        <x:v>0</x:v>
      </x:c>
      <x:c r="F2130" s="184" t="n">
        <x:v>12.3</x:v>
      </x:c>
      <x:c r="G2130" s="184" t="n">
        <x:v>2806528</x:v>
      </x:c>
      <x:c r="H2130" s="193" t="n">
        <x:v>0</x:v>
      </x:c>
      <x:c r="I2130" s="185" t="n">
        <x:v>0</x:v>
      </x:c>
      <x:c r="J2130" s="185" t="n">
        <x:v>2806528</x:v>
      </x:c>
      <x:c r="K2130" s="289" t="n">
        <x:v>228173</x:v>
      </x:c>
    </x:row>
    <x:row r="2131" s="117" customFormat="1" hidden="1">
      <x:c r="A2131" s="184" t="inlineStr">
        <x:is>
          <x:t xml:space="preserve">PDTFRP001345</x:t>
        </x:is>
      </x:c>
      <x:c r="B2131" s="184" t="inlineStr">
        <x:is>
          <x:t xml:space="preserve">CAÑERIA DIAM, 18 PLG PN10 TIRA DE 6 MTS</x:t>
        </x:is>
      </x:c>
      <x:c r="C2131" s="184" t="n">
        <x:v>0</x:v>
      </x:c>
      <x:c r="D2131" s="184" t="n">
        <x:v>0</x:v>
      </x:c>
      <x:c r="E2131" s="184" t="n">
        <x:v>0</x:v>
      </x:c>
      <x:c r="F2131" s="184" t="n">
        <x:v>0</x:v>
      </x:c>
      <x:c r="G2131" s="184" t="n">
        <x:v>0</x:v>
      </x:c>
      <x:c r="H2131" s="193" t="n">
        <x:v>0</x:v>
      </x:c>
      <x:c r="I2131" s="185" t="n">
        <x:v>0</x:v>
      </x:c>
      <x:c r="J2131" s="185" t="n">
        <x:v>0</x:v>
      </x:c>
      <x:c r="K2131" s="289" t="n">
        <x:v>669280</x:v>
      </x:c>
    </x:row>
    <x:row r="2132" s="117" customFormat="1" hidden="1">
      <x:c r="A2132" s="184" t="inlineStr">
        <x:is>
          <x:t xml:space="preserve">PDTFRP001346</x:t>
        </x:is>
      </x:c>
      <x:c r="B2132" s="184" t="inlineStr">
        <x:is>
          <x:t xml:space="preserve">SPOOL RAJO INCA  0,90 WE 5009131101</x:t>
        </x:is>
      </x:c>
      <x:c r="C2132" s="184" t="n">
        <x:v>0</x:v>
      </x:c>
      <x:c r="D2132" s="184" t="n">
        <x:v>0</x:v>
      </x:c>
      <x:c r="E2132" s="184" t="n">
        <x:v>0</x:v>
      </x:c>
      <x:c r="F2132" s="184" t="n">
        <x:v>0</x:v>
      </x:c>
      <x:c r="G2132" s="184" t="n">
        <x:v>0</x:v>
      </x:c>
      <x:c r="H2132" s="193" t="n">
        <x:v>0</x:v>
      </x:c>
      <x:c r="I2132" s="185" t="n">
        <x:v>0</x:v>
      </x:c>
      <x:c r="J2132" s="185" t="n">
        <x:v>0</x:v>
      </x:c>
      <x:c r="K2132" s="289" t="n">
        <x:v>54658199</x:v>
      </x:c>
    </x:row>
    <x:row r="2133" s="117" customFormat="1" hidden="1">
      <x:c r="A2133" s="184" t="inlineStr">
        <x:is>
          <x:t xml:space="preserve">PDTFRP001347</x:t>
        </x:is>
      </x:c>
      <x:c r="B2133" s="184" t="inlineStr">
        <x:is>
          <x:t xml:space="preserve">SPOOL RAJO INCA  0,90 WE 5009125548</x:t>
        </x:is>
      </x:c>
      <x:c r="C2133" s="184" t="n">
        <x:v>0</x:v>
      </x:c>
      <x:c r="D2133" s="184" t="n">
        <x:v>0</x:v>
      </x:c>
      <x:c r="E2133" s="184" t="n">
        <x:v>0</x:v>
      </x:c>
      <x:c r="F2133" s="184" t="n">
        <x:v>0</x:v>
      </x:c>
      <x:c r="G2133" s="184" t="n">
        <x:v>0</x:v>
      </x:c>
      <x:c r="H2133" s="193" t="n">
        <x:v>0</x:v>
      </x:c>
      <x:c r="I2133" s="185" t="n">
        <x:v>0</x:v>
      </x:c>
      <x:c r="J2133" s="185" t="n">
        <x:v>0</x:v>
      </x:c>
      <x:c r="K2133" s="289" t="n">
        <x:v>26447516</x:v>
      </x:c>
    </x:row>
    <x:row r="2134" s="117" customFormat="1" hidden="1">
      <x:c r="A2134" s="184" t="inlineStr">
        <x:is>
          <x:t xml:space="preserve">PDTFRP001348</x:t>
        </x:is>
      </x:c>
      <x:c r="B2134" s="184" t="inlineStr">
        <x:is>
          <x:t xml:space="preserve">PROVISION SUMINISTRO TENIENTE</x:t>
        </x:is>
      </x:c>
      <x:c r="C2134" s="184" t="n">
        <x:v>0</x:v>
      </x:c>
      <x:c r="D2134" s="184" t="n">
        <x:v>0</x:v>
      </x:c>
      <x:c r="E2134" s="184" t="n">
        <x:v>0</x:v>
      </x:c>
      <x:c r="F2134" s="184" t="n">
        <x:v>0</x:v>
      </x:c>
      <x:c r="G2134" s="184" t="n">
        <x:v>0</x:v>
      </x:c>
      <x:c r="H2134" s="193" t="n">
        <x:v>0</x:v>
      </x:c>
      <x:c r="I2134" s="185" t="n">
        <x:v>0</x:v>
      </x:c>
      <x:c r="J2134" s="185" t="n">
        <x:v>0</x:v>
      </x:c>
      <x:c r="K2134" s="289" t="n">
        <x:v>450472</x:v>
      </x:c>
    </x:row>
    <x:row r="2135" s="117" customFormat="1" hidden="1">
      <x:c r="A2135" s="184" t="inlineStr">
        <x:is>
          <x:t xml:space="preserve">PDTFRP001349</x:t>
        </x:is>
      </x:c>
      <x:c r="B2135" s="184" t="inlineStr">
        <x:is>
          <x:t xml:space="preserve">ESTANQUES RAJO INCA WE 5009172084</x:t>
        </x:is>
      </x:c>
      <x:c r="C2135" s="184" t="n">
        <x:v>0</x:v>
      </x:c>
      <x:c r="D2135" s="184" t="n">
        <x:v>0</x:v>
      </x:c>
      <x:c r="E2135" s="184" t="n">
        <x:v>0</x:v>
      </x:c>
      <x:c r="F2135" s="184" t="n">
        <x:v>0</x:v>
      </x:c>
      <x:c r="G2135" s="184" t="n">
        <x:v>0</x:v>
      </x:c>
      <x:c r="H2135" s="193" t="n">
        <x:v>0</x:v>
      </x:c>
      <x:c r="I2135" s="185" t="n">
        <x:v>0</x:v>
      </x:c>
      <x:c r="J2135" s="185" t="n">
        <x:v>0</x:v>
      </x:c>
      <x:c r="K2135" s="289" t="n">
        <x:v>57872331</x:v>
      </x:c>
    </x:row>
    <x:row r="2136" s="117" customFormat="1" hidden="1">
      <x:c r="A2136" s="184" t="inlineStr">
        <x:is>
          <x:t xml:space="preserve">PDTFRP001350</x:t>
        </x:is>
      </x:c>
      <x:c r="B2136" s="184" t="inlineStr">
        <x:is>
          <x:t xml:space="preserve">SUMINISTRO DE PIPING DOBLE LAMINA PP/FRP S/PLANO CLIENTE FUL0921-NV0008</x:t>
        </x:is>
      </x:c>
      <x:c r="C2136" s="184" t="n">
        <x:v>0</x:v>
      </x:c>
      <x:c r="D2136" s="184" t="n">
        <x:v>0</x:v>
      </x:c>
      <x:c r="E2136" s="184" t="n">
        <x:v>0</x:v>
      </x:c>
      <x:c r="F2136" s="184" t="n">
        <x:v>0</x:v>
      </x:c>
      <x:c r="G2136" s="184" t="n">
        <x:v>0</x:v>
      </x:c>
      <x:c r="H2136" s="193" t="n">
        <x:v>0</x:v>
      </x:c>
      <x:c r="I2136" s="185" t="n">
        <x:v>0</x:v>
      </x:c>
      <x:c r="J2136" s="185" t="n">
        <x:v>0</x:v>
      </x:c>
      <x:c r="K2136" s="289" t="n">
        <x:v>15544454</x:v>
      </x:c>
    </x:row>
    <x:row r="2137" s="117" customFormat="1" hidden="1">
      <x:c r="A2137" s="184" t="inlineStr">
        <x:is>
          <x:t xml:space="preserve">PDTFRP001351</x:t>
        </x:is>
      </x:c>
      <x:c r="B2137" s="184" t="inlineStr">
        <x:is>
          <x:t xml:space="preserve">POS 150  CANT 1,0 CLP  14.025.000  HES 1002765824 SERVICIODE INGENIERIA</x:t>
        </x:is>
      </x:c>
      <x:c r="C2137" s="184" t="n">
        <x:v>0</x:v>
      </x:c>
      <x:c r="D2137" s="184" t="n">
        <x:v>0</x:v>
      </x:c>
      <x:c r="E2137" s="184" t="n">
        <x:v>0</x:v>
      </x:c>
      <x:c r="F2137" s="184" t="n">
        <x:v>0</x:v>
      </x:c>
      <x:c r="G2137" s="184" t="n">
        <x:v>0</x:v>
      </x:c>
      <x:c r="H2137" s="193" t="n">
        <x:v>0</x:v>
      </x:c>
      <x:c r="I2137" s="185" t="n">
        <x:v>0</x:v>
      </x:c>
      <x:c r="J2137" s="185" t="n">
        <x:v>0</x:v>
      </x:c>
      <x:c r="K2137" s="289" t="n">
        <x:v>5000000</x:v>
      </x:c>
    </x:row>
    <x:row r="2138" s="117" customFormat="1" hidden="1">
      <x:c r="A2138" s="184" t="inlineStr">
        <x:is>
          <x:t xml:space="preserve">PDTFRP001352</x:t>
        </x:is>
      </x:c>
      <x:c r="B2138" s="184" t="inlineStr">
        <x:is>
          <x:t xml:space="preserve">4101384 CODO FRP 3 PLG 90° 150 PSI</x:t>
        </x:is>
      </x:c>
      <x:c r="C2138" s="184" t="n">
        <x:v>0</x:v>
      </x:c>
      <x:c r="D2138" s="184" t="n">
        <x:v>0</x:v>
      </x:c>
      <x:c r="E2138" s="184" t="n">
        <x:v>0</x:v>
      </x:c>
      <x:c r="F2138" s="184" t="n">
        <x:v>0</x:v>
      </x:c>
      <x:c r="G2138" s="184" t="n">
        <x:v>0</x:v>
      </x:c>
      <x:c r="H2138" s="193" t="n">
        <x:v>0</x:v>
      </x:c>
      <x:c r="I2138" s="185" t="n">
        <x:v>0</x:v>
      </x:c>
      <x:c r="J2138" s="185" t="n">
        <x:v>0</x:v>
      </x:c>
      <x:c r="K2138" s="289" t="n">
        <x:v>55786</x:v>
      </x:c>
    </x:row>
    <x:row r="2139" s="117" customFormat="1" hidden="1">
      <x:c r="A2139" s="184" t="inlineStr">
        <x:is>
          <x:t xml:space="preserve">PDTFRP001353</x:t>
        </x:is>
      </x:c>
      <x:c r="B2139" s="184" t="inlineStr">
        <x:is>
          <x:t xml:space="preserve">ING.ESTANQUE Y FUNDACIONES 10% TK OC 4502796403 HES 1001776606</x:t>
        </x:is>
      </x:c>
      <x:c r="C2139" s="184" t="n">
        <x:v>0</x:v>
      </x:c>
      <x:c r="D2139" s="184" t="n">
        <x:v>0</x:v>
      </x:c>
      <x:c r="E2139" s="184" t="n">
        <x:v>0</x:v>
      </x:c>
      <x:c r="F2139" s="184" t="n">
        <x:v>0</x:v>
      </x:c>
      <x:c r="G2139" s="184" t="n">
        <x:v>0</x:v>
      </x:c>
      <x:c r="H2139" s="193" t="n">
        <x:v>0</x:v>
      </x:c>
      <x:c r="I2139" s="185" t="n">
        <x:v>0</x:v>
      </x:c>
      <x:c r="J2139" s="185" t="n">
        <x:v>0</x:v>
      </x:c>
      <x:c r="K2139" s="289" t="n">
        <x:v>6292664</x:v>
      </x:c>
    </x:row>
    <x:row r="2140" s="117" customFormat="1" hidden="1">
      <x:c r="A2140" s="184" t="inlineStr">
        <x:is>
          <x:t xml:space="preserve">PDTFRP001354</x:t>
        </x:is>
      </x:c>
      <x:c r="B2140" s="184" t="inlineStr">
        <x:is>
          <x:t xml:space="preserve">RECEPCION EN PLANTA INVENIO 30% TK OC 4502796403 HES 1001772148</x:t>
        </x:is>
      </x:c>
      <x:c r="C2140" s="184" t="n">
        <x:v>0</x:v>
      </x:c>
      <x:c r="D2140" s="184" t="n">
        <x:v>0</x:v>
      </x:c>
      <x:c r="E2140" s="184" t="n">
        <x:v>0</x:v>
      </x:c>
      <x:c r="F2140" s="184" t="n">
        <x:v>0</x:v>
      </x:c>
      <x:c r="G2140" s="184" t="n">
        <x:v>0</x:v>
      </x:c>
      <x:c r="H2140" s="193" t="n">
        <x:v>0</x:v>
      </x:c>
      <x:c r="I2140" s="185" t="n">
        <x:v>0</x:v>
      </x:c>
      <x:c r="J2140" s="185" t="n">
        <x:v>0</x:v>
      </x:c>
      <x:c r="K2140" s="289" t="n">
        <x:v>18881987</x:v>
      </x:c>
    </x:row>
    <x:row r="2141" s="117" customFormat="1" hidden="1">
      <x:c r="A2141" s="184" t="inlineStr">
        <x:is>
          <x:t xml:space="preserve">PDTFRP001355</x:t>
        </x:is>
      </x:c>
      <x:c r="B2141" s="184" t="inlineStr">
        <x:is>
          <x:t xml:space="preserve">SEGMENTO DE DUCTO EN FRP VINILESTER DIAM 914 MM X LGO 500 MM  SPENCE RLS0223-NV0000</x:t>
        </x:is>
      </x:c>
      <x:c r="C2141" s="184" t="n">
        <x:v>0</x:v>
      </x:c>
      <x:c r="D2141" s="184" t="n">
        <x:v>0</x:v>
      </x:c>
      <x:c r="E2141" s="184" t="n">
        <x:v>0</x:v>
      </x:c>
      <x:c r="F2141" s="184" t="n">
        <x:v>0</x:v>
      </x:c>
      <x:c r="G2141" s="184" t="n">
        <x:v>0</x:v>
      </x:c>
      <x:c r="H2141" s="193" t="n">
        <x:v>0</x:v>
      </x:c>
      <x:c r="I2141" s="185" t="n">
        <x:v>0</x:v>
      </x:c>
      <x:c r="J2141" s="185" t="n">
        <x:v>0</x:v>
      </x:c>
      <x:c r="K2141" s="289" t="n">
        <x:v>562325</x:v>
      </x:c>
    </x:row>
    <x:row r="2142" s="117" customFormat="1" hidden="1">
      <x:c r="A2142" s="184" t="inlineStr">
        <x:is>
          <x:t xml:space="preserve">PDTFRP001356</x:t>
        </x:is>
      </x:c>
      <x:c r="B2142" s="184" t="inlineStr">
        <x:is>
          <x:t xml:space="preserve">4173330 FLANGE CUELLO EN FRP DN 4 PLG LGO 150 MM 150 PSI ANSI B.16,5 CL 150</x:t>
        </x:is>
      </x:c>
      <x:c r="C2142" s="184" t="n">
        <x:v>0</x:v>
      </x:c>
      <x:c r="D2142" s="184" t="n">
        <x:v>0</x:v>
      </x:c>
      <x:c r="E2142" s="184" t="n">
        <x:v>0</x:v>
      </x:c>
      <x:c r="F2142" s="184" t="n">
        <x:v>0</x:v>
      </x:c>
      <x:c r="G2142" s="184" t="n">
        <x:v>0</x:v>
      </x:c>
      <x:c r="H2142" s="193" t="n">
        <x:v>0</x:v>
      </x:c>
      <x:c r="I2142" s="185" t="n">
        <x:v>0</x:v>
      </x:c>
      <x:c r="J2142" s="185" t="n">
        <x:v>0</x:v>
      </x:c>
      <x:c r="K2142" s="289" t="n">
        <x:v>70626</x:v>
      </x:c>
    </x:row>
    <x:row r="2143" s="117" customFormat="1" hidden="1">
      <x:c r="A2143" s="184" t="inlineStr">
        <x:is>
          <x:t xml:space="preserve">PDTFRP001357</x:t>
        </x:is>
      </x:c>
      <x:c r="B2143" s="184" t="inlineStr">
        <x:is>
          <x:t xml:space="preserve">4173328 FLANGE CUELLO EN FRP DN 3 PLG LGO 150 MM 150 PSI ANSI B.16,5 CL 150</x:t>
        </x:is>
      </x:c>
      <x:c r="C2143" s="184" t="n">
        <x:v>0</x:v>
      </x:c>
      <x:c r="D2143" s="184" t="n">
        <x:v>0</x:v>
      </x:c>
      <x:c r="E2143" s="184" t="n">
        <x:v>0</x:v>
      </x:c>
      <x:c r="F2143" s="184" t="n">
        <x:v>0</x:v>
      </x:c>
      <x:c r="G2143" s="184" t="n">
        <x:v>0</x:v>
      </x:c>
      <x:c r="H2143" s="193" t="n">
        <x:v>0</x:v>
      </x:c>
      <x:c r="I2143" s="185" t="n">
        <x:v>0</x:v>
      </x:c>
      <x:c r="J2143" s="185" t="n">
        <x:v>0</x:v>
      </x:c>
      <x:c r="K2143" s="289" t="n">
        <x:v>53612</x:v>
      </x:c>
    </x:row>
    <x:row r="2144" s="117" customFormat="1" hidden="1">
      <x:c r="A2144" s="184" t="inlineStr">
        <x:is>
          <x:t xml:space="preserve">PDTFRP001358</x:t>
        </x:is>
      </x:c>
      <x:c r="B2144" s="184" t="inlineStr">
        <x:is>
          <x:t xml:space="preserve">FLANGE FULL FACE DE 4 PLG CUELLO 150 MM ANSI B16.5 RESINA VINILESTER C/GUSSET</x:t>
        </x:is>
      </x:c>
      <x:c r="C2144" s="184" t="n">
        <x:v>0</x:v>
      </x:c>
      <x:c r="D2144" s="184" t="n">
        <x:v>0</x:v>
      </x:c>
      <x:c r="E2144" s="184" t="n">
        <x:v>0</x:v>
      </x:c>
      <x:c r="F2144" s="184" t="n">
        <x:v>0</x:v>
      </x:c>
      <x:c r="G2144" s="184" t="n">
        <x:v>0</x:v>
      </x:c>
      <x:c r="H2144" s="193" t="n">
        <x:v>0</x:v>
      </x:c>
      <x:c r="I2144" s="185" t="n">
        <x:v>0</x:v>
      </x:c>
      <x:c r="J2144" s="185" t="n">
        <x:v>0</x:v>
      </x:c>
      <x:c r="K2144" s="289" t="n">
        <x:v>99408</x:v>
      </x:c>
    </x:row>
    <x:row r="2145" s="117" customFormat="1" hidden="1">
      <x:c r="A2145" s="184" t="inlineStr">
        <x:is>
          <x:t xml:space="preserve">PDTFRP001359</x:t>
        </x:is>
      </x:c>
      <x:c r="B2145" s="184" t="inlineStr">
        <x:is>
          <x:t xml:space="preserve">EP 3 REEMPLAZO ESTANQUE E1 ENTREGA EQUIPO FABRICADO EN DEPENDENCIA 40% OC 4502796403 HES 1001817146</x:t>
        </x:is>
      </x:c>
      <x:c r="C2145" s="184" t="n">
        <x:v>0</x:v>
      </x:c>
      <x:c r="D2145" s="184" t="n">
        <x:v>0</x:v>
      </x:c>
      <x:c r="E2145" s="184" t="n">
        <x:v>0</x:v>
      </x:c>
      <x:c r="F2145" s="184" t="n">
        <x:v>0</x:v>
      </x:c>
      <x:c r="G2145" s="184" t="n">
        <x:v>0</x:v>
      </x:c>
      <x:c r="H2145" s="193" t="n">
        <x:v>0</x:v>
      </x:c>
      <x:c r="I2145" s="185" t="n">
        <x:v>0</x:v>
      </x:c>
      <x:c r="J2145" s="185" t="n">
        <x:v>0</x:v>
      </x:c>
      <x:c r="K2145" s="289" t="n">
        <x:v>31376188</x:v>
      </x:c>
    </x:row>
    <x:row r="2146" s="117" customFormat="1" hidden="1">
      <x:c r="A2146" s="184" t="inlineStr">
        <x:is>
          <x:t xml:space="preserve">PDTFRP001360</x:t>
        </x:is>
      </x:c>
      <x:c r="B2146" s="184" t="inlineStr">
        <x:is>
          <x:t xml:space="preserve">4212249 CUPULA CONJUNTO CAPT PP/FRV 4900X3635 MM</x:t>
        </x:is>
      </x:c>
      <x:c r="C2146" s="184" t="n">
        <x:v>0</x:v>
      </x:c>
      <x:c r="D2146" s="184" t="n">
        <x:v>0</x:v>
      </x:c>
      <x:c r="E2146" s="184" t="n">
        <x:v>0</x:v>
      </x:c>
      <x:c r="F2146" s="184" t="n">
        <x:v>0</x:v>
      </x:c>
      <x:c r="G2146" s="184" t="n">
        <x:v>0</x:v>
      </x:c>
      <x:c r="H2146" s="193" t="n">
        <x:v>0</x:v>
      </x:c>
      <x:c r="I2146" s="185" t="n">
        <x:v>0</x:v>
      </x:c>
      <x:c r="J2146" s="185" t="n">
        <x:v>0</x:v>
      </x:c>
      <x:c r="K2146" s="289" t="n">
        <x:v>27333366</x:v>
      </x:c>
    </x:row>
    <x:row r="2147" s="117" customFormat="1" hidden="1">
      <x:c r="A2147" s="184" t="inlineStr">
        <x:is>
          <x:t xml:space="preserve">PDTFRP001361</x:t>
        </x:is>
      </x:c>
      <x:c r="B2147" s="184" t="inlineStr">
        <x:is>
          <x:t xml:space="preserve">ESTANQUE DESCARGA 350TK085</x:t>
        </x:is>
      </x:c>
      <x:c r="C2147" s="184" t="n">
        <x:v>0</x:v>
      </x:c>
      <x:c r="D2147" s="184" t="n">
        <x:v>0</x:v>
      </x:c>
      <x:c r="E2147" s="184" t="n">
        <x:v>0</x:v>
      </x:c>
      <x:c r="F2147" s="184" t="n">
        <x:v>0</x:v>
      </x:c>
      <x:c r="G2147" s="184" t="n">
        <x:v>0</x:v>
      </x:c>
      <x:c r="H2147" s="193" t="n">
        <x:v>0</x:v>
      </x:c>
      <x:c r="I2147" s="185" t="n">
        <x:v>0</x:v>
      </x:c>
      <x:c r="J2147" s="185" t="n">
        <x:v>0</x:v>
      </x:c>
      <x:c r="K2147" s="289" t="n">
        <x:v>9237439</x:v>
      </x:c>
    </x:row>
    <x:row r="2148" s="117" customFormat="1" hidden="1">
      <x:c r="A2148" s="184" t="inlineStr">
        <x:is>
          <x:t xml:space="preserve">PDTFRP001362</x:t>
        </x:is>
      </x:c>
      <x:c r="B2148" s="184" t="inlineStr">
        <x:is>
          <x:t xml:space="preserve">CAÑERIA FRP DIAM 4 PLG RESINA VINILESTER STD</x:t>
        </x:is>
      </x:c>
      <x:c r="C2148" s="184" t="n">
        <x:v>0</x:v>
      </x:c>
      <x:c r="D2148" s="184" t="n">
        <x:v>0</x:v>
      </x:c>
      <x:c r="E2148" s="184" t="n">
        <x:v>0</x:v>
      </x:c>
      <x:c r="F2148" s="184" t="n">
        <x:v>0</x:v>
      </x:c>
      <x:c r="G2148" s="184" t="n">
        <x:v>0</x:v>
      </x:c>
      <x:c r="H2148" s="193" t="n">
        <x:v>0</x:v>
      </x:c>
      <x:c r="I2148" s="185" t="n">
        <x:v>0</x:v>
      </x:c>
      <x:c r="J2148" s="185" t="n">
        <x:v>0</x:v>
      </x:c>
      <x:c r="K2148" s="289" t="n">
        <x:v>49388</x:v>
      </x:c>
    </x:row>
    <x:row r="2149" s="117" customFormat="1" hidden="1">
      <x:c r="A2149" s="184" t="inlineStr">
        <x:is>
          <x:t xml:space="preserve">PDTFRP001363</x:t>
        </x:is>
      </x:c>
      <x:c r="B2149" s="184" t="inlineStr">
        <x:is>
          <x:t xml:space="preserve">CONJUNTO DE PLACAS RESINA VINILESTER BEAGLE OC-17015</x:t>
        </x:is>
      </x:c>
      <x:c r="C2149" s="184" t="n">
        <x:v>0</x:v>
      </x:c>
      <x:c r="D2149" s="184" t="n">
        <x:v>0</x:v>
      </x:c>
      <x:c r="E2149" s="184" t="n">
        <x:v>0</x:v>
      </x:c>
      <x:c r="F2149" s="184" t="n">
        <x:v>0</x:v>
      </x:c>
      <x:c r="G2149" s="184" t="n">
        <x:v>0</x:v>
      </x:c>
      <x:c r="H2149" s="193" t="n">
        <x:v>0</x:v>
      </x:c>
      <x:c r="I2149" s="185" t="n">
        <x:v>0</x:v>
      </x:c>
      <x:c r="J2149" s="185" t="n">
        <x:v>0</x:v>
      </x:c>
      <x:c r="K2149" s="289" t="n">
        <x:v>32068412</x:v>
      </x:c>
    </x:row>
    <x:row r="2150" s="117" customFormat="1" hidden="1">
      <x:c r="A2150" s="184" t="inlineStr">
        <x:is>
          <x:t xml:space="preserve">PDTFRP001364</x:t>
        </x:is>
      </x:c>
      <x:c r="B2150" s="184" t="inlineStr">
        <x:is>
          <x:t xml:space="preserve">SPOOL SUCCION BBA P101A-P101B-P101S GCP5-T101N01  PPT073PPF370</x:t>
        </x:is>
      </x:c>
      <x:c r="C2150" s="184" t="n">
        <x:v>0</x:v>
      </x:c>
      <x:c r="D2150" s="184" t="n">
        <x:v>0</x:v>
      </x:c>
      <x:c r="E2150" s="184" t="n">
        <x:v>0</x:v>
      </x:c>
      <x:c r="F2150" s="184" t="n">
        <x:v>0</x:v>
      </x:c>
      <x:c r="G2150" s="184" t="n">
        <x:v>0</x:v>
      </x:c>
      <x:c r="H2150" s="193" t="n">
        <x:v>0</x:v>
      </x:c>
      <x:c r="I2150" s="185" t="n">
        <x:v>0</x:v>
      </x:c>
      <x:c r="J2150" s="185" t="n">
        <x:v>0</x:v>
      </x:c>
      <x:c r="K2150" s="289" t="n">
        <x:v>1241972</x:v>
      </x:c>
    </x:row>
    <x:row r="2151" s="117" customFormat="1" hidden="1">
      <x:c r="A2151" s="184" t="inlineStr">
        <x:is>
          <x:t xml:space="preserve">PDTFRP001365</x:t>
        </x:is>
      </x:c>
      <x:c r="B2151" s="184" t="inlineStr">
        <x:is>
          <x:t xml:space="preserve">SPOOL DESCARGA  BBA P102A TRAMO 1 GCP5-T101N02  PPT073PPF371</x:t>
        </x:is>
      </x:c>
      <x:c r="C2151" s="184" t="n">
        <x:v>0</x:v>
      </x:c>
      <x:c r="D2151" s="184" t="n">
        <x:v>0</x:v>
      </x:c>
      <x:c r="E2151" s="184" t="n">
        <x:v>0</x:v>
      </x:c>
      <x:c r="F2151" s="184" t="n">
        <x:v>0</x:v>
      </x:c>
      <x:c r="G2151" s="184" t="n">
        <x:v>0</x:v>
      </x:c>
      <x:c r="H2151" s="193" t="n">
        <x:v>0</x:v>
      </x:c>
      <x:c r="I2151" s="185" t="n">
        <x:v>0</x:v>
      </x:c>
      <x:c r="J2151" s="185" t="n">
        <x:v>0</x:v>
      </x:c>
      <x:c r="K2151" s="289" t="n">
        <x:v>1506065</x:v>
      </x:c>
    </x:row>
    <x:row r="2152" s="117" customFormat="1" hidden="1">
      <x:c r="A2152" s="184" t="inlineStr">
        <x:is>
          <x:t xml:space="preserve">PDTFRP001366</x:t>
        </x:is>
      </x:c>
      <x:c r="B2152" s="184" t="inlineStr">
        <x:is>
          <x:t xml:space="preserve">SPOOL DESCARGA  BBA P102A TRAMO 2 GCP5-T101N03  PPT073PPF372</x:t>
        </x:is>
      </x:c>
      <x:c r="C2152" s="184" t="n">
        <x:v>0</x:v>
      </x:c>
      <x:c r="D2152" s="184" t="n">
        <x:v>0</x:v>
      </x:c>
      <x:c r="E2152" s="184" t="n">
        <x:v>0</x:v>
      </x:c>
      <x:c r="F2152" s="184" t="n">
        <x:v>0</x:v>
      </x:c>
      <x:c r="G2152" s="184" t="n">
        <x:v>0</x:v>
      </x:c>
      <x:c r="H2152" s="193" t="n">
        <x:v>0</x:v>
      </x:c>
      <x:c r="I2152" s="185" t="n">
        <x:v>0</x:v>
      </x:c>
      <x:c r="J2152" s="185" t="n">
        <x:v>0</x:v>
      </x:c>
      <x:c r="K2152" s="289" t="n">
        <x:v>1966439</x:v>
      </x:c>
    </x:row>
    <x:row r="2153" s="117" customFormat="1" hidden="1">
      <x:c r="A2153" s="184" t="inlineStr">
        <x:is>
          <x:t xml:space="preserve">PDTFRP001367</x:t>
        </x:is>
      </x:c>
      <x:c r="B2153" s="184" t="inlineStr">
        <x:is>
          <x:t xml:space="preserve">SPOOL DESCARGA  BBA P101B TRAMO 4 GCP5-T101N14  PPT073PPF383</x:t>
        </x:is>
      </x:c>
      <x:c r="C2153" s="184" t="n">
        <x:v>0</x:v>
      </x:c>
      <x:c r="D2153" s="184" t="n">
        <x:v>0</x:v>
      </x:c>
      <x:c r="E2153" s="184" t="n">
        <x:v>0</x:v>
      </x:c>
      <x:c r="F2153" s="184" t="n">
        <x:v>0</x:v>
      </x:c>
      <x:c r="G2153" s="184" t="n">
        <x:v>0</x:v>
      </x:c>
      <x:c r="H2153" s="193" t="n">
        <x:v>0</x:v>
      </x:c>
      <x:c r="I2153" s="185" t="n">
        <x:v>0</x:v>
      </x:c>
      <x:c r="J2153" s="185" t="n">
        <x:v>0</x:v>
      </x:c>
      <x:c r="K2153" s="289" t="n">
        <x:v>3168844</x:v>
      </x:c>
    </x:row>
    <x:row r="2154" s="117" customFormat="1" hidden="1">
      <x:c r="A2154" s="184" t="inlineStr">
        <x:is>
          <x:t xml:space="preserve">PDTFRP001368</x:t>
        </x:is>
      </x:c>
      <x:c r="B2154" s="184" t="inlineStr">
        <x:is>
          <x:t xml:space="preserve">SPOOL SUCCION BBA P102A TRAMO 1  GCP5-T102N01  PPT073PPF391</x:t>
        </x:is>
      </x:c>
      <x:c r="C2154" s="184" t="n">
        <x:v>0</x:v>
      </x:c>
      <x:c r="D2154" s="184" t="n">
        <x:v>0</x:v>
      </x:c>
      <x:c r="E2154" s="184" t="n">
        <x:v>0</x:v>
      </x:c>
      <x:c r="F2154" s="184" t="n">
        <x:v>0</x:v>
      </x:c>
      <x:c r="G2154" s="184" t="n">
        <x:v>0</x:v>
      </x:c>
      <x:c r="H2154" s="193" t="n">
        <x:v>0</x:v>
      </x:c>
      <x:c r="I2154" s="185" t="n">
        <x:v>0</x:v>
      </x:c>
      <x:c r="J2154" s="185" t="n">
        <x:v>0</x:v>
      </x:c>
      <x:c r="K2154" s="289" t="n">
        <x:v>1982274</x:v>
      </x:c>
    </x:row>
    <x:row r="2155" s="117" customFormat="1" hidden="1">
      <x:c r="A2155" s="184" t="inlineStr">
        <x:is>
          <x:t xml:space="preserve">PDTFRP001369</x:t>
        </x:is>
      </x:c>
      <x:c r="B2155" s="184" t="inlineStr">
        <x:is>
          <x:t xml:space="preserve">SPOOL DESCARGA BBA P102S  GCP5-T102N30</x:t>
        </x:is>
      </x:c>
      <x:c r="C2155" s="184" t="n">
        <x:v>0</x:v>
      </x:c>
      <x:c r="D2155" s="184" t="n">
        <x:v>0</x:v>
      </x:c>
      <x:c r="E2155" s="184" t="n">
        <x:v>0</x:v>
      </x:c>
      <x:c r="F2155" s="184" t="n">
        <x:v>0</x:v>
      </x:c>
      <x:c r="G2155" s="184" t="n">
        <x:v>0</x:v>
      </x:c>
      <x:c r="H2155" s="193" t="n">
        <x:v>0</x:v>
      </x:c>
      <x:c r="I2155" s="185" t="n">
        <x:v>0</x:v>
      </x:c>
      <x:c r="J2155" s="185" t="n">
        <x:v>0</x:v>
      </x:c>
      <x:c r="K2155" s="289" t="n">
        <x:v>1459530</x:v>
      </x:c>
    </x:row>
    <x:row r="2156" s="117" customFormat="1" hidden="1">
      <x:c r="A2156" s="184" t="inlineStr">
        <x:is>
          <x:t xml:space="preserve">PDTFRP001370</x:t>
        </x:is>
      </x:c>
      <x:c r="B2156" s="184" t="inlineStr">
        <x:is>
          <x:t xml:space="preserve">SPOOL DESCARGA BBA P102A TRAMO 4 GCP5-T102N06</x:t>
        </x:is>
      </x:c>
      <x:c r="C2156" s="184" t="n">
        <x:v>0</x:v>
      </x:c>
      <x:c r="D2156" s="184" t="n">
        <x:v>0</x:v>
      </x:c>
      <x:c r="E2156" s="184" t="n">
        <x:v>0</x:v>
      </x:c>
      <x:c r="F2156" s="184" t="n">
        <x:v>0</x:v>
      </x:c>
      <x:c r="G2156" s="184" t="n">
        <x:v>0</x:v>
      </x:c>
      <x:c r="H2156" s="193" t="n">
        <x:v>0</x:v>
      </x:c>
      <x:c r="I2156" s="185" t="n">
        <x:v>0</x:v>
      </x:c>
      <x:c r="J2156" s="185" t="n">
        <x:v>0</x:v>
      </x:c>
      <x:c r="K2156" s="289" t="n">
        <x:v>1605799</x:v>
      </x:c>
    </x:row>
    <x:row r="2157" s="117" customFormat="1" hidden="1">
      <x:c r="A2157" s="184" t="inlineStr">
        <x:is>
          <x:t xml:space="preserve">PDTFRP001371</x:t>
        </x:is>
      </x:c>
      <x:c r="B2157" s="184" t="inlineStr">
        <x:is>
          <x:t xml:space="preserve">SPOOL DESCARGA BBA P101S TRAMO 2 GCP5-T101N21</x:t>
        </x:is>
      </x:c>
      <x:c r="C2157" s="184" t="n">
        <x:v>0</x:v>
      </x:c>
      <x:c r="D2157" s="184" t="n">
        <x:v>0</x:v>
      </x:c>
      <x:c r="E2157" s="184" t="n">
        <x:v>0</x:v>
      </x:c>
      <x:c r="F2157" s="184" t="n">
        <x:v>0</x:v>
      </x:c>
      <x:c r="G2157" s="184" t="n">
        <x:v>0</x:v>
      </x:c>
      <x:c r="H2157" s="193" t="n">
        <x:v>0</x:v>
      </x:c>
      <x:c r="I2157" s="185" t="n">
        <x:v>0</x:v>
      </x:c>
      <x:c r="J2157" s="185" t="n">
        <x:v>0</x:v>
      </x:c>
      <x:c r="K2157" s="289" t="n">
        <x:v>2551056</x:v>
      </x:c>
    </x:row>
    <x:row r="2158" s="117" customFormat="1" hidden="1">
      <x:c r="A2158" s="184" t="inlineStr">
        <x:is>
          <x:t xml:space="preserve">PDTFRP001372</x:t>
        </x:is>
      </x:c>
      <x:c r="B2158" s="184" t="inlineStr">
        <x:is>
          <x:t xml:space="preserve">SPOOL SUCCION BBA P1092B TRAMO 2 GCP5-T102N17</x:t>
        </x:is>
      </x:c>
      <x:c r="C2158" s="184" t="n">
        <x:v>0</x:v>
      </x:c>
      <x:c r="D2158" s="184" t="n">
        <x:v>0</x:v>
      </x:c>
      <x:c r="E2158" s="184" t="n">
        <x:v>0</x:v>
      </x:c>
      <x:c r="F2158" s="184" t="n">
        <x:v>0</x:v>
      </x:c>
      <x:c r="G2158" s="184" t="n">
        <x:v>0</x:v>
      </x:c>
      <x:c r="H2158" s="193" t="n">
        <x:v>0</x:v>
      </x:c>
      <x:c r="I2158" s="185" t="n">
        <x:v>0</x:v>
      </x:c>
      <x:c r="J2158" s="185" t="n">
        <x:v>0</x:v>
      </x:c>
      <x:c r="K2158" s="289" t="n">
        <x:v>2237858</x:v>
      </x:c>
    </x:row>
    <x:row r="2159" s="117" customFormat="1" hidden="1">
      <x:c r="A2159" s="184" t="inlineStr">
        <x:is>
          <x:t xml:space="preserve">PDTFRP001373</x:t>
        </x:is>
      </x:c>
      <x:c r="B2159" s="184" t="inlineStr">
        <x:is>
          <x:t xml:space="preserve">SPOOL DESCARAGA BBA P102B TRAMO 12 GCP5-T102N18</x:t>
        </x:is>
      </x:c>
      <x:c r="C2159" s="184" t="n">
        <x:v>0</x:v>
      </x:c>
      <x:c r="D2159" s="184" t="n">
        <x:v>0</x:v>
      </x:c>
      <x:c r="E2159" s="184" t="n">
        <x:v>0</x:v>
      </x:c>
      <x:c r="F2159" s="184" t="n">
        <x:v>0</x:v>
      </x:c>
      <x:c r="G2159" s="184" t="n">
        <x:v>0</x:v>
      </x:c>
      <x:c r="H2159" s="193" t="n">
        <x:v>0</x:v>
      </x:c>
      <x:c r="I2159" s="185" t="n">
        <x:v>0</x:v>
      </x:c>
      <x:c r="J2159" s="185" t="n">
        <x:v>0</x:v>
      </x:c>
      <x:c r="K2159" s="289" t="n">
        <x:v>1266763</x:v>
      </x:c>
    </x:row>
    <x:row r="2160" s="117" customFormat="1" hidden="1">
      <x:c r="A2160" s="184" t="inlineStr">
        <x:is>
          <x:t xml:space="preserve">PDTFRP001374</x:t>
        </x:is>
      </x:c>
      <x:c r="B2160" s="184" t="inlineStr">
        <x:is>
          <x:t xml:space="preserve">SPOOL DESCARGA BBA P102A GPC5-T101N05</x:t>
        </x:is>
      </x:c>
      <x:c r="C2160" s="184" t="n">
        <x:v>0</x:v>
      </x:c>
      <x:c r="D2160" s="184" t="n">
        <x:v>0</x:v>
      </x:c>
      <x:c r="E2160" s="184" t="n">
        <x:v>0</x:v>
      </x:c>
      <x:c r="F2160" s="184" t="n">
        <x:v>0</x:v>
      </x:c>
      <x:c r="G2160" s="184" t="n">
        <x:v>0</x:v>
      </x:c>
      <x:c r="H2160" s="193" t="n">
        <x:v>0</x:v>
      </x:c>
      <x:c r="I2160" s="185" t="n">
        <x:v>0</x:v>
      </x:c>
      <x:c r="J2160" s="185" t="n">
        <x:v>0</x:v>
      </x:c>
      <x:c r="K2160" s="289" t="n">
        <x:v>3111240</x:v>
      </x:c>
    </x:row>
    <x:row r="2161" s="117" customFormat="1" hidden="1">
      <x:c r="A2161" s="184" t="inlineStr">
        <x:is>
          <x:t xml:space="preserve">PDTFRP001375</x:t>
        </x:is>
      </x:c>
      <x:c r="B2161" s="184" t="inlineStr">
        <x:is>
          <x:t xml:space="preserve">SPOOL DESCARGA BBA P102A TRAMO 2 GCP5-T102N04</x:t>
        </x:is>
      </x:c>
      <x:c r="C2161" s="184" t="n">
        <x:v>0</x:v>
      </x:c>
      <x:c r="D2161" s="184" t="n">
        <x:v>0</x:v>
      </x:c>
      <x:c r="E2161" s="184" t="n">
        <x:v>0</x:v>
      </x:c>
      <x:c r="F2161" s="184" t="n">
        <x:v>0</x:v>
      </x:c>
      <x:c r="G2161" s="184" t="n">
        <x:v>0</x:v>
      </x:c>
      <x:c r="H2161" s="193" t="n">
        <x:v>0</x:v>
      </x:c>
      <x:c r="I2161" s="185" t="n">
        <x:v>0</x:v>
      </x:c>
      <x:c r="J2161" s="185" t="n">
        <x:v>0</x:v>
      </x:c>
      <x:c r="K2161" s="289" t="n">
        <x:v>2048578</x:v>
      </x:c>
    </x:row>
    <x:row r="2162" s="117" customFormat="1" hidden="1">
      <x:c r="A2162" s="184" t="inlineStr">
        <x:is>
          <x:t xml:space="preserve">PDTFRP001376</x:t>
        </x:is>
      </x:c>
      <x:c r="B2162" s="184" t="inlineStr">
        <x:is>
          <x:t xml:space="preserve">SPOOL DESCARGA BBA P102A TRAMO 5 GCP5-T102N07</x:t>
        </x:is>
      </x:c>
      <x:c r="C2162" s="184" t="n">
        <x:v>0</x:v>
      </x:c>
      <x:c r="D2162" s="184" t="n">
        <x:v>0</x:v>
      </x:c>
      <x:c r="E2162" s="184" t="n">
        <x:v>0</x:v>
      </x:c>
      <x:c r="F2162" s="184" t="n">
        <x:v>0</x:v>
      </x:c>
      <x:c r="G2162" s="184" t="n">
        <x:v>0</x:v>
      </x:c>
      <x:c r="H2162" s="193" t="n">
        <x:v>0</x:v>
      </x:c>
      <x:c r="I2162" s="185" t="n">
        <x:v>0</x:v>
      </x:c>
      <x:c r="J2162" s="185" t="n">
        <x:v>0</x:v>
      </x:c>
      <x:c r="K2162" s="289" t="n">
        <x:v>1405756</x:v>
      </x:c>
    </x:row>
    <x:row r="2163" s="117" customFormat="1" hidden="1">
      <x:c r="A2163" s="184" t="inlineStr">
        <x:is>
          <x:t xml:space="preserve">PDTFRP001377</x:t>
        </x:is>
      </x:c>
      <x:c r="B2163" s="184" t="inlineStr">
        <x:is>
          <x:t xml:space="preserve">SPOOL DESCARGA BBA P102B TRAMO 2 GCP5-T102N19</x:t>
        </x:is>
      </x:c>
      <x:c r="C2163" s="184" t="n">
        <x:v>0</x:v>
      </x:c>
      <x:c r="D2163" s="184" t="n">
        <x:v>0</x:v>
      </x:c>
      <x:c r="E2163" s="184" t="n">
        <x:v>0</x:v>
      </x:c>
      <x:c r="F2163" s="184" t="n">
        <x:v>0</x:v>
      </x:c>
      <x:c r="G2163" s="184" t="n">
        <x:v>0</x:v>
      </x:c>
      <x:c r="H2163" s="193" t="n">
        <x:v>0</x:v>
      </x:c>
      <x:c r="I2163" s="185" t="n">
        <x:v>0</x:v>
      </x:c>
      <x:c r="J2163" s="185" t="n">
        <x:v>0</x:v>
      </x:c>
      <x:c r="K2163" s="289" t="n">
        <x:v>1134202</x:v>
      </x:c>
    </x:row>
    <x:row r="2164" s="117" customFormat="1" hidden="1">
      <x:c r="A2164" s="184" t="inlineStr">
        <x:is>
          <x:t xml:space="preserve">PDTFRP001378</x:t>
        </x:is>
      </x:c>
      <x:c r="B2164" s="184" t="inlineStr">
        <x:is>
          <x:t xml:space="preserve">SPOOL DESCARGA BBA P102B TRAMO 3 GCP5-T102N20</x:t>
        </x:is>
      </x:c>
      <x:c r="C2164" s="184" t="n">
        <x:v>0</x:v>
      </x:c>
      <x:c r="D2164" s="184" t="n">
        <x:v>0</x:v>
      </x:c>
      <x:c r="E2164" s="184" t="n">
        <x:v>0</x:v>
      </x:c>
      <x:c r="F2164" s="184" t="n">
        <x:v>0</x:v>
      </x:c>
      <x:c r="G2164" s="184" t="n">
        <x:v>0</x:v>
      </x:c>
      <x:c r="H2164" s="193" t="n">
        <x:v>0</x:v>
      </x:c>
      <x:c r="I2164" s="185" t="n">
        <x:v>0</x:v>
      </x:c>
      <x:c r="J2164" s="185" t="n">
        <x:v>0</x:v>
      </x:c>
      <x:c r="K2164" s="289" t="n">
        <x:v>1673092</x:v>
      </x:c>
    </x:row>
    <x:row r="2165" s="117" customFormat="1" hidden="1">
      <x:c r="A2165" s="184" t="inlineStr">
        <x:is>
          <x:t xml:space="preserve">PDTFRP001379</x:t>
        </x:is>
      </x:c>
      <x:c r="B2165" s="184" t="inlineStr">
        <x:is>
          <x:t xml:space="preserve">SPOOL DESCARGA BBA P102A TRAMO 1 GCP5-T102N03</x:t>
        </x:is>
      </x:c>
      <x:c r="C2165" s="184" t="n">
        <x:v>0</x:v>
      </x:c>
      <x:c r="D2165" s="184" t="n">
        <x:v>0</x:v>
      </x:c>
      <x:c r="E2165" s="184" t="n">
        <x:v>0</x:v>
      </x:c>
      <x:c r="F2165" s="184" t="n">
        <x:v>0</x:v>
      </x:c>
      <x:c r="G2165" s="184" t="n">
        <x:v>0</x:v>
      </x:c>
      <x:c r="H2165" s="193" t="n">
        <x:v>0</x:v>
      </x:c>
      <x:c r="I2165" s="185" t="n">
        <x:v>0</x:v>
      </x:c>
      <x:c r="J2165" s="185" t="n">
        <x:v>0</x:v>
      </x:c>
      <x:c r="K2165" s="289" t="n">
        <x:v>1735593</x:v>
      </x:c>
    </x:row>
    <x:row r="2166" s="117" customFormat="1" hidden="1">
      <x:c r="A2166" s="184" t="inlineStr">
        <x:is>
          <x:t xml:space="preserve">PDTFRP001380</x:t>
        </x:is>
      </x:c>
      <x:c r="B2166" s="184" t="inlineStr">
        <x:is>
          <x:t xml:space="preserve">SPOOL DESCARGABBA P102A  TRAMO 3 GCP5-T102N05</x:t>
        </x:is>
      </x:c>
      <x:c r="C2166" s="184" t="n">
        <x:v>0</x:v>
      </x:c>
      <x:c r="D2166" s="184" t="n">
        <x:v>0</x:v>
      </x:c>
      <x:c r="E2166" s="184" t="n">
        <x:v>0</x:v>
      </x:c>
      <x:c r="F2166" s="184" t="n">
        <x:v>0</x:v>
      </x:c>
      <x:c r="G2166" s="184" t="n">
        <x:v>0</x:v>
      </x:c>
      <x:c r="H2166" s="193" t="n">
        <x:v>0</x:v>
      </x:c>
      <x:c r="I2166" s="185" t="n">
        <x:v>0</x:v>
      </x:c>
      <x:c r="J2166" s="185" t="n">
        <x:v>0</x:v>
      </x:c>
      <x:c r="K2166" s="289" t="n">
        <x:v>1962780</x:v>
      </x:c>
    </x:row>
    <x:row r="2167" s="117" customFormat="1" hidden="1">
      <x:c r="A2167" s="184" t="inlineStr">
        <x:is>
          <x:t xml:space="preserve">PDTFRP001381</x:t>
        </x:is>
      </x:c>
      <x:c r="B2167" s="184" t="inlineStr">
        <x:is>
          <x:t xml:space="preserve">SPOOL SUCCION BBA P102B TRAMO 1 GCP5-T102N16</x:t>
        </x:is>
      </x:c>
      <x:c r="C2167" s="184" t="n">
        <x:v>0</x:v>
      </x:c>
      <x:c r="D2167" s="184" t="n">
        <x:v>0</x:v>
      </x:c>
      <x:c r="E2167" s="184" t="n">
        <x:v>0</x:v>
      </x:c>
      <x:c r="F2167" s="184" t="n">
        <x:v>0</x:v>
      </x:c>
      <x:c r="G2167" s="184" t="n">
        <x:v>0</x:v>
      </x:c>
      <x:c r="H2167" s="193" t="n">
        <x:v>0</x:v>
      </x:c>
      <x:c r="I2167" s="185" t="n">
        <x:v>0</x:v>
      </x:c>
      <x:c r="J2167" s="185" t="n">
        <x:v>0</x:v>
      </x:c>
      <x:c r="K2167" s="289" t="n">
        <x:v>1765035</x:v>
      </x:c>
    </x:row>
    <x:row r="2168" s="117" customFormat="1" hidden="1">
      <x:c r="A2168" s="184" t="inlineStr">
        <x:is>
          <x:t xml:space="preserve">PDTFRP001382</x:t>
        </x:is>
      </x:c>
      <x:c r="B2168" s="184" t="inlineStr">
        <x:is>
          <x:t xml:space="preserve">SPOOL DESCARGA BBA P102S GCP5-T102N31</x:t>
        </x:is>
      </x:c>
      <x:c r="C2168" s="184" t="n">
        <x:v>0</x:v>
      </x:c>
      <x:c r="D2168" s="184" t="n">
        <x:v>0</x:v>
      </x:c>
      <x:c r="E2168" s="184" t="n">
        <x:v>0</x:v>
      </x:c>
      <x:c r="F2168" s="184" t="n">
        <x:v>0</x:v>
      </x:c>
      <x:c r="G2168" s="184" t="n">
        <x:v>0</x:v>
      </x:c>
      <x:c r="H2168" s="193" t="n">
        <x:v>0</x:v>
      </x:c>
      <x:c r="I2168" s="185" t="n">
        <x:v>0</x:v>
      </x:c>
      <x:c r="J2168" s="185" t="n">
        <x:v>0</x:v>
      </x:c>
      <x:c r="K2168" s="289" t="n">
        <x:v>1917790</x:v>
      </x:c>
    </x:row>
    <x:row r="2169" s="117" customFormat="1" hidden="1">
      <x:c r="A2169" s="184" t="inlineStr">
        <x:is>
          <x:t xml:space="preserve">PDTFRP001383</x:t>
        </x:is>
      </x:c>
      <x:c r="B2169" s="184" t="inlineStr">
        <x:is>
          <x:t xml:space="preserve">SPOOL SUCCION BBA P102S GCP5-T102N32</x:t>
        </x:is>
      </x:c>
      <x:c r="C2169" s="184" t="n">
        <x:v>0</x:v>
      </x:c>
      <x:c r="D2169" s="184" t="n">
        <x:v>0</x:v>
      </x:c>
      <x:c r="E2169" s="184" t="n">
        <x:v>0</x:v>
      </x:c>
      <x:c r="F2169" s="184" t="n">
        <x:v>0</x:v>
      </x:c>
      <x:c r="G2169" s="184" t="n">
        <x:v>0</x:v>
      </x:c>
      <x:c r="H2169" s="193" t="n">
        <x:v>0</x:v>
      </x:c>
      <x:c r="I2169" s="185" t="n">
        <x:v>0</x:v>
      </x:c>
      <x:c r="J2169" s="185" t="n">
        <x:v>0</x:v>
      </x:c>
      <x:c r="K2169" s="289" t="n">
        <x:v>1840625</x:v>
      </x:c>
    </x:row>
    <x:row r="2170" s="117" customFormat="1" hidden="1">
      <x:c r="A2170" s="184" t="inlineStr">
        <x:is>
          <x:t xml:space="preserve">PDTFRP001384</x:t>
        </x:is>
      </x:c>
      <x:c r="B2170" s="184" t="inlineStr">
        <x:is>
          <x:t xml:space="preserve">SPOOL DESCARGA  BBA P102A TRAMO 3 GCP5-T101N04  PPT073PPF373</x:t>
        </x:is>
      </x:c>
      <x:c r="C2170" s="184" t="n">
        <x:v>0</x:v>
      </x:c>
      <x:c r="D2170" s="184" t="n">
        <x:v>0</x:v>
      </x:c>
      <x:c r="E2170" s="184" t="n">
        <x:v>0</x:v>
      </x:c>
      <x:c r="F2170" s="184" t="n">
        <x:v>0</x:v>
      </x:c>
      <x:c r="G2170" s="184" t="n">
        <x:v>0</x:v>
      </x:c>
      <x:c r="H2170" s="193" t="n">
        <x:v>0</x:v>
      </x:c>
      <x:c r="I2170" s="185" t="n">
        <x:v>0</x:v>
      </x:c>
      <x:c r="J2170" s="185" t="n">
        <x:v>0</x:v>
      </x:c>
      <x:c r="K2170" s="289" t="n">
        <x:v>2993253</x:v>
      </x:c>
    </x:row>
    <x:row r="2171" s="117" customFormat="1" hidden="1">
      <x:c r="A2171" s="184" t="inlineStr">
        <x:is>
          <x:t xml:space="preserve">PDTFRP001385</x:t>
        </x:is>
      </x:c>
      <x:c r="B2171" s="184" t="inlineStr">
        <x:is>
          <x:t xml:space="preserve">SPOOL DESCARGA  BBA P101B TRAMO 1 GCP5-T101N11  PPT073PPF380</x:t>
        </x:is>
      </x:c>
      <x:c r="C2171" s="184" t="n">
        <x:v>0</x:v>
      </x:c>
      <x:c r="D2171" s="184" t="n">
        <x:v>0</x:v>
      </x:c>
      <x:c r="E2171" s="184" t="n">
        <x:v>0</x:v>
      </x:c>
      <x:c r="F2171" s="184" t="n">
        <x:v>0</x:v>
      </x:c>
      <x:c r="G2171" s="184" t="n">
        <x:v>0</x:v>
      </x:c>
      <x:c r="H2171" s="193" t="n">
        <x:v>0</x:v>
      </x:c>
      <x:c r="I2171" s="185" t="n">
        <x:v>0</x:v>
      </x:c>
      <x:c r="J2171" s="185" t="n">
        <x:v>0</x:v>
      </x:c>
      <x:c r="K2171" s="289" t="n">
        <x:v>2579437</x:v>
      </x:c>
    </x:row>
    <x:row r="2172" s="117" customFormat="1" hidden="1">
      <x:c r="A2172" s="184" t="inlineStr">
        <x:is>
          <x:t xml:space="preserve">PDTFRP001386</x:t>
        </x:is>
      </x:c>
      <x:c r="B2172" s="184" t="inlineStr">
        <x:is>
          <x:t xml:space="preserve">SPOOL DESCARGA  BBA P101B TRAMO 2 GCP5-T101N12  PPT073PPF381</x:t>
        </x:is>
      </x:c>
      <x:c r="C2172" s="184" t="n">
        <x:v>0</x:v>
      </x:c>
      <x:c r="D2172" s="184" t="n">
        <x:v>0</x:v>
      </x:c>
      <x:c r="E2172" s="184" t="n">
        <x:v>0</x:v>
      </x:c>
      <x:c r="F2172" s="184" t="n">
        <x:v>0</x:v>
      </x:c>
      <x:c r="G2172" s="184" t="n">
        <x:v>0</x:v>
      </x:c>
      <x:c r="H2172" s="193" t="n">
        <x:v>0</x:v>
      </x:c>
      <x:c r="I2172" s="185" t="n">
        <x:v>0</x:v>
      </x:c>
      <x:c r="J2172" s="185" t="n">
        <x:v>0</x:v>
      </x:c>
      <x:c r="K2172" s="289" t="n">
        <x:v>1992502</x:v>
      </x:c>
    </x:row>
    <x:row r="2173" s="117" customFormat="1" hidden="1">
      <x:c r="A2173" s="184" t="inlineStr">
        <x:is>
          <x:t xml:space="preserve">PDTFRP001387</x:t>
        </x:is>
      </x:c>
      <x:c r="B2173" s="184" t="inlineStr">
        <x:is>
          <x:t xml:space="preserve">SPOOL DESCARGA  BBA P101B TRAMO 3 GCP5-T101N13  PPT073PPF382</x:t>
        </x:is>
      </x:c>
      <x:c r="C2173" s="184" t="n">
        <x:v>0</x:v>
      </x:c>
      <x:c r="D2173" s="184" t="n">
        <x:v>0</x:v>
      </x:c>
      <x:c r="E2173" s="184" t="n">
        <x:v>0</x:v>
      </x:c>
      <x:c r="F2173" s="184" t="n">
        <x:v>0</x:v>
      </x:c>
      <x:c r="G2173" s="184" t="n">
        <x:v>0</x:v>
      </x:c>
      <x:c r="H2173" s="193" t="n">
        <x:v>0</x:v>
      </x:c>
      <x:c r="I2173" s="185" t="n">
        <x:v>0</x:v>
      </x:c>
      <x:c r="J2173" s="185" t="n">
        <x:v>0</x:v>
      </x:c>
      <x:c r="K2173" s="289" t="n">
        <x:v>2643534</x:v>
      </x:c>
    </x:row>
    <x:row r="2174" s="117" customFormat="1" hidden="1">
      <x:c r="A2174" s="184" t="inlineStr">
        <x:is>
          <x:t xml:space="preserve">PDTFRP001388</x:t>
        </x:is>
      </x:c>
      <x:c r="B2174" s="184" t="inlineStr">
        <x:is>
          <x:t xml:space="preserve">SPOOL DESCARGA  BBA P101S TRAMO 1 GCP5-T101N20  PPT073PPF389</x:t>
        </x:is>
      </x:c>
      <x:c r="C2174" s="184" t="n">
        <x:v>0</x:v>
      </x:c>
      <x:c r="D2174" s="184" t="n">
        <x:v>0</x:v>
      </x:c>
      <x:c r="E2174" s="184" t="n">
        <x:v>0</x:v>
      </x:c>
      <x:c r="F2174" s="184" t="n">
        <x:v>0</x:v>
      </x:c>
      <x:c r="G2174" s="184" t="n">
        <x:v>0</x:v>
      </x:c>
      <x:c r="H2174" s="193" t="n">
        <x:v>0</x:v>
      </x:c>
      <x:c r="I2174" s="185" t="n">
        <x:v>0</x:v>
      </x:c>
      <x:c r="J2174" s="185" t="n">
        <x:v>0</x:v>
      </x:c>
      <x:c r="K2174" s="289" t="n">
        <x:v>2521292</x:v>
      </x:c>
    </x:row>
    <x:row r="2175" s="117" customFormat="1" hidden="1">
      <x:c r="A2175" s="184" t="inlineStr">
        <x:is>
          <x:t xml:space="preserve">PDTFRP001389</x:t>
        </x:is>
      </x:c>
      <x:c r="B2175" s="184" t="inlineStr">
        <x:is>
          <x:t xml:space="preserve">SPOOL SUCCION BBA P102A TRAMO 2  GCP5-T102N02  PPT073PPF392</x:t>
        </x:is>
      </x:c>
      <x:c r="C2175" s="184" t="n">
        <x:v>0</x:v>
      </x:c>
      <x:c r="D2175" s="184" t="n">
        <x:v>0</x:v>
      </x:c>
      <x:c r="E2175" s="184" t="n">
        <x:v>0</x:v>
      </x:c>
      <x:c r="F2175" s="184" t="n">
        <x:v>0</x:v>
      </x:c>
      <x:c r="G2175" s="184" t="n">
        <x:v>0</x:v>
      </x:c>
      <x:c r="H2175" s="193" t="n">
        <x:v>0</x:v>
      </x:c>
      <x:c r="I2175" s="185" t="n">
        <x:v>0</x:v>
      </x:c>
      <x:c r="J2175" s="185" t="n">
        <x:v>0</x:v>
      </x:c>
      <x:c r="K2175" s="289" t="n">
        <x:v>2856172</x:v>
      </x:c>
    </x:row>
    <x:row r="2176" s="117" customFormat="1" hidden="1">
      <x:c r="A2176" s="184" t="inlineStr">
        <x:is>
          <x:t xml:space="preserve">PDTFRP001390</x:t>
        </x:is>
      </x:c>
      <x:c r="B2176" s="184" t="inlineStr">
        <x:is>
          <x:t xml:space="preserve">SPOOL DESCARGA BBA 102B  GCP5-T102N21</x:t>
        </x:is>
      </x:c>
      <x:c r="C2176" s="184" t="n">
        <x:v>0</x:v>
      </x:c>
      <x:c r="D2176" s="184" t="n">
        <x:v>0</x:v>
      </x:c>
      <x:c r="E2176" s="184" t="n">
        <x:v>0</x:v>
      </x:c>
      <x:c r="F2176" s="184" t="n">
        <x:v>0</x:v>
      </x:c>
      <x:c r="G2176" s="184" t="n">
        <x:v>0</x:v>
      </x:c>
      <x:c r="H2176" s="193" t="n">
        <x:v>0</x:v>
      </x:c>
      <x:c r="I2176" s="185" t="n">
        <x:v>0</x:v>
      </x:c>
      <x:c r="J2176" s="185" t="n">
        <x:v>0</x:v>
      </x:c>
      <x:c r="K2176" s="289" t="n">
        <x:v>1829255</x:v>
      </x:c>
    </x:row>
    <x:row r="2177" s="117" customFormat="1" hidden="1">
      <x:c r="A2177" s="184" t="inlineStr">
        <x:is>
          <x:t xml:space="preserve">PDTFRP001391</x:t>
        </x:is>
      </x:c>
      <x:c r="B2177" s="184" t="inlineStr">
        <x:is>
          <x:t xml:space="preserve">SPOOL SUCCION BBA P102S GCP5-T102N33  PPT073PPF423</x:t>
        </x:is>
      </x:c>
      <x:c r="C2177" s="184" t="n">
        <x:v>0</x:v>
      </x:c>
      <x:c r="D2177" s="184" t="n">
        <x:v>0</x:v>
      </x:c>
      <x:c r="E2177" s="184" t="n">
        <x:v>0</x:v>
      </x:c>
      <x:c r="F2177" s="184" t="n">
        <x:v>0</x:v>
      </x:c>
      <x:c r="G2177" s="184" t="n">
        <x:v>0</x:v>
      </x:c>
      <x:c r="H2177" s="193" t="n">
        <x:v>0</x:v>
      </x:c>
      <x:c r="I2177" s="185" t="n">
        <x:v>0</x:v>
      </x:c>
      <x:c r="J2177" s="185" t="n">
        <x:v>0</x:v>
      </x:c>
      <x:c r="K2177" s="289" t="n">
        <x:v>2762826</x:v>
      </x:c>
    </x:row>
    <x:row r="2178" s="117" customFormat="1" hidden="1">
      <x:c r="A2178" s="184" t="inlineStr">
        <x:is>
          <x:t xml:space="preserve">PDTFRP001392</x:t>
        </x:is>
      </x:c>
      <x:c r="B2178" s="184" t="inlineStr">
        <x:is>
          <x:t xml:space="preserve">TK V105 DIAM 3000 X 2950 MM DUAL LAMINATE PP-FRP  CFM0522-NV0005</x:t>
        </x:is>
      </x:c>
      <x:c r="C2178" s="184" t="n">
        <x:v>0</x:v>
      </x:c>
      <x:c r="D2178" s="184" t="n">
        <x:v>0</x:v>
      </x:c>
      <x:c r="E2178" s="184" t="n">
        <x:v>0</x:v>
      </x:c>
      <x:c r="F2178" s="184" t="n">
        <x:v>0</x:v>
      </x:c>
      <x:c r="G2178" s="184" t="n">
        <x:v>0</x:v>
      </x:c>
      <x:c r="H2178" s="193" t="n">
        <x:v>0</x:v>
      </x:c>
      <x:c r="I2178" s="185" t="n">
        <x:v>0</x:v>
      </x:c>
      <x:c r="J2178" s="185" t="n">
        <x:v>0</x:v>
      </x:c>
      <x:c r="K2178" s="289" t="n">
        <x:v>30714817</x:v>
      </x:c>
    </x:row>
    <x:row r="2179" s="117" customFormat="1" hidden="1">
      <x:c r="A2179" s="184" t="inlineStr">
        <x:is>
          <x:t xml:space="preserve">PDTFRP001393</x:t>
        </x:is>
      </x:c>
      <x:c r="B2179" s="184" t="inlineStr">
        <x:is>
          <x:t xml:space="preserve">RETENCIONES OC-4502113552 TK RAJO INCA</x:t>
        </x:is>
      </x:c>
      <x:c r="C2179" s="184" t="n">
        <x:v>0</x:v>
      </x:c>
      <x:c r="D2179" s="184" t="n">
        <x:v>0</x:v>
      </x:c>
      <x:c r="E2179" s="184" t="n">
        <x:v>0</x:v>
      </x:c>
      <x:c r="F2179" s="184" t="n">
        <x:v>0</x:v>
      </x:c>
      <x:c r="G2179" s="184" t="n">
        <x:v>0</x:v>
      </x:c>
      <x:c r="H2179" s="193" t="n">
        <x:v>0</x:v>
      </x:c>
      <x:c r="I2179" s="185" t="n">
        <x:v>0</x:v>
      </x:c>
      <x:c r="J2179" s="185" t="n">
        <x:v>0</x:v>
      </x:c>
      <x:c r="K2179" s="289" t="n">
        <x:v>27187565</x:v>
      </x:c>
    </x:row>
    <x:row r="2180" s="117" customFormat="1" hidden="1">
      <x:c r="A2180" s="184" t="inlineStr">
        <x:is>
          <x:t xml:space="preserve">PDTFRP001394</x:t>
        </x:is>
      </x:c>
      <x:c r="B2180" s="184" t="inlineStr">
        <x:is>
          <x:t xml:space="preserve">END CUP DIAM 5 PLG FRP VINILESTER</x:t>
        </x:is>
      </x:c>
      <x:c r="C2180" s="184" t="n">
        <x:v>0</x:v>
      </x:c>
      <x:c r="D2180" s="184" t="n">
        <x:v>0</x:v>
      </x:c>
      <x:c r="E2180" s="184" t="n">
        <x:v>0</x:v>
      </x:c>
      <x:c r="F2180" s="184" t="n">
        <x:v>0</x:v>
      </x:c>
      <x:c r="G2180" s="184" t="n">
        <x:v>0</x:v>
      </x:c>
      <x:c r="H2180" s="193" t="n">
        <x:v>0</x:v>
      </x:c>
      <x:c r="I2180" s="185" t="n">
        <x:v>0</x:v>
      </x:c>
      <x:c r="J2180" s="185" t="n">
        <x:v>0</x:v>
      </x:c>
      <x:c r="K2180" s="289" t="n">
        <x:v>103584</x:v>
      </x:c>
    </x:row>
    <x:row r="2181" s="117" customFormat="1" hidden="1">
      <x:c r="A2181" s="184" t="inlineStr">
        <x:is>
          <x:t xml:space="preserve">PDTFRP001395</x:t>
        </x:is>
      </x:c>
      <x:c r="B2181" s="184" t="inlineStr">
        <x:is>
          <x:t xml:space="preserve">END CUP DIAM 8 PLG CON BOQUILLA 2 PLG PN10 FRP VINILESTER</x:t>
        </x:is>
      </x:c>
      <x:c r="C2181" s="184" t="n">
        <x:v>0</x:v>
      </x:c>
      <x:c r="D2181" s="184" t="n">
        <x:v>0</x:v>
      </x:c>
      <x:c r="E2181" s="184" t="n">
        <x:v>0</x:v>
      </x:c>
      <x:c r="F2181" s="184" t="n">
        <x:v>0</x:v>
      </x:c>
      <x:c r="G2181" s="184" t="n">
        <x:v>0</x:v>
      </x:c>
      <x:c r="H2181" s="193" t="n">
        <x:v>0</x:v>
      </x:c>
      <x:c r="I2181" s="185" t="n">
        <x:v>0</x:v>
      </x:c>
      <x:c r="J2181" s="185" t="n">
        <x:v>0</x:v>
      </x:c>
      <x:c r="K2181" s="289" t="n">
        <x:v>119791</x:v>
      </x:c>
    </x:row>
    <x:row r="2182" s="117" customFormat="1" hidden="1">
      <x:c r="A2182" s="184" t="inlineStr">
        <x:is>
          <x:t xml:space="preserve">PDTFRP001396</x:t>
        </x:is>
      </x:c>
      <x:c r="B2182" s="184" t="inlineStr">
        <x:is>
          <x:t xml:space="preserve">DUCTOS CENTINELA OC-4510200930 F-19196</x:t>
        </x:is>
      </x:c>
      <x:c r="C2182" s="184" t="n">
        <x:v>0</x:v>
      </x:c>
      <x:c r="D2182" s="184" t="n">
        <x:v>0</x:v>
      </x:c>
      <x:c r="E2182" s="184" t="n">
        <x:v>0</x:v>
      </x:c>
      <x:c r="F2182" s="184" t="n">
        <x:v>0</x:v>
      </x:c>
      <x:c r="G2182" s="184" t="n">
        <x:v>0</x:v>
      </x:c>
      <x:c r="H2182" s="193" t="n">
        <x:v>0</x:v>
      </x:c>
      <x:c r="I2182" s="185" t="n">
        <x:v>0</x:v>
      </x:c>
      <x:c r="J2182" s="185" t="n">
        <x:v>0</x:v>
      </x:c>
      <x:c r="K2182" s="289" t="n">
        <x:v>97579426</x:v>
      </x:c>
    </x:row>
    <x:row r="2183" s="117" customFormat="1" hidden="1">
      <x:c r="A2183" s="184" t="inlineStr">
        <x:is>
          <x:t xml:space="preserve">PDTFRP001397</x:t>
        </x:is>
      </x:c>
      <x:c r="B2183" s="184" t="inlineStr">
        <x:is>
          <x:t xml:space="preserve">DUCTOS CENTINELA OC-4510200930 F-19199</x:t>
        </x:is>
      </x:c>
      <x:c r="C2183" s="184" t="n">
        <x:v>0</x:v>
      </x:c>
      <x:c r="D2183" s="184" t="n">
        <x:v>0</x:v>
      </x:c>
      <x:c r="E2183" s="184" t="n">
        <x:v>0</x:v>
      </x:c>
      <x:c r="F2183" s="184" t="n">
        <x:v>0</x:v>
      </x:c>
      <x:c r="G2183" s="184" t="n">
        <x:v>0</x:v>
      </x:c>
      <x:c r="H2183" s="193" t="n">
        <x:v>0</x:v>
      </x:c>
      <x:c r="I2183" s="185" t="n">
        <x:v>0</x:v>
      </x:c>
      <x:c r="J2183" s="185" t="n">
        <x:v>0</x:v>
      </x:c>
      <x:c r="K2183" s="289" t="n">
        <x:v>10842158</x:v>
      </x:c>
    </x:row>
    <x:row r="2184" s="117" customFormat="1" hidden="1">
      <x:c r="A2184" s="184" t="inlineStr">
        <x:is>
          <x:t xml:space="preserve">PDTFRP001398</x:t>
        </x:is>
      </x:c>
      <x:c r="B2184" s="184" t="inlineStr">
        <x:is>
          <x:t xml:space="preserve">MEZCLADOR ESTATICO PARA HIDROMETALURGIA PPT073PVF022</x:t>
        </x:is>
      </x:c>
      <x:c r="C2184" s="184" t="n">
        <x:v>0</x:v>
      </x:c>
      <x:c r="D2184" s="184" t="n">
        <x:v>0</x:v>
      </x:c>
      <x:c r="E2184" s="184" t="n">
        <x:v>0</x:v>
      </x:c>
      <x:c r="F2184" s="184" t="n">
        <x:v>0</x:v>
      </x:c>
      <x:c r="G2184" s="184" t="n">
        <x:v>0</x:v>
      </x:c>
      <x:c r="H2184" s="193" t="n">
        <x:v>0</x:v>
      </x:c>
      <x:c r="I2184" s="185" t="n">
        <x:v>0</x:v>
      </x:c>
      <x:c r="J2184" s="185" t="n">
        <x:v>0</x:v>
      </x:c>
      <x:c r="K2184" s="289" t="n">
        <x:v>2689105</x:v>
      </x:c>
    </x:row>
    <x:row r="2185" s="117" customFormat="1" hidden="1">
      <x:c r="A2185" s="184" t="inlineStr">
        <x:is>
          <x:t xml:space="preserve">PDTFRP001399</x:t>
        </x:is>
      </x:c>
      <x:c r="B2185" s="184" t="inlineStr">
        <x:is>
          <x:t xml:space="preserve">SPOOL RAJO INCA  RETENCIONES 0,10 WE 5009584837  EDP Nº 6</x:t>
        </x:is>
      </x:c>
      <x:c r="C2185" s="184" t="n">
        <x:v>0</x:v>
      </x:c>
      <x:c r="D2185" s="184" t="n">
        <x:v>0</x:v>
      </x:c>
      <x:c r="E2185" s="184" t="n">
        <x:v>0</x:v>
      </x:c>
      <x:c r="F2185" s="184" t="n">
        <x:v>0</x:v>
      </x:c>
      <x:c r="G2185" s="184" t="n">
        <x:v>0</x:v>
      </x:c>
      <x:c r="H2185" s="193" t="n">
        <x:v>0</x:v>
      </x:c>
      <x:c r="I2185" s="185" t="n">
        <x:v>0</x:v>
      </x:c>
      <x:c r="J2185" s="185" t="n">
        <x:v>0</x:v>
      </x:c>
      <x:c r="K2185" s="289" t="n">
        <x:v>18464149</x:v>
      </x:c>
    </x:row>
    <x:row r="2186" s="117" customFormat="1" hidden="1">
      <x:c r="A2186" s="184" t="inlineStr">
        <x:is>
          <x:t xml:space="preserve">PDTFRP001400</x:t>
        </x:is>
      </x:c>
      <x:c r="B2186" s="184" t="inlineStr">
        <x:is>
          <x:t xml:space="preserve">SERV.REPAR.DE CARA FLANGE  CFM0524-NV0000 ACCIONA</x:t>
        </x:is>
      </x:c>
      <x:c r="C2186" s="184" t="n">
        <x:v>0</x:v>
      </x:c>
      <x:c r="D2186" s="184" t="n">
        <x:v>0</x:v>
      </x:c>
      <x:c r="E2186" s="184" t="n">
        <x:v>0</x:v>
      </x:c>
      <x:c r="F2186" s="184" t="n">
        <x:v>0</x:v>
      </x:c>
      <x:c r="G2186" s="184" t="n">
        <x:v>0</x:v>
      </x:c>
      <x:c r="H2186" s="193" t="n">
        <x:v>0</x:v>
      </x:c>
      <x:c r="I2186" s="185" t="n">
        <x:v>0</x:v>
      </x:c>
      <x:c r="J2186" s="185" t="n">
        <x:v>0</x:v>
      </x:c>
      <x:c r="K2186" s="289" t="n">
        <x:v>3853521</x:v>
      </x:c>
    </x:row>
    <x:row r="2187" s="117" customFormat="1" hidden="1">
      <x:c r="A2187" s="184" t="inlineStr">
        <x:is>
          <x:t xml:space="preserve">PDTFRP001401</x:t>
        </x:is>
      </x:c>
      <x:c r="B2187" s="184" t="inlineStr">
        <x:is>
          <x:t xml:space="preserve">SERV.REPAR.DE CARA FLANGE DIAM 8 PLG PPT060FRP005</x:t>
        </x:is>
      </x:c>
      <x:c r="C2187" s="184" t="n">
        <x:v>0</x:v>
      </x:c>
      <x:c r="D2187" s="184" t="n">
        <x:v>0</x:v>
      </x:c>
      <x:c r="E2187" s="184" t="n">
        <x:v>0</x:v>
      </x:c>
      <x:c r="F2187" s="184" t="n">
        <x:v>0</x:v>
      </x:c>
      <x:c r="G2187" s="184" t="n">
        <x:v>0</x:v>
      </x:c>
      <x:c r="H2187" s="193" t="n">
        <x:v>0</x:v>
      </x:c>
      <x:c r="I2187" s="185" t="n">
        <x:v>0</x:v>
      </x:c>
      <x:c r="J2187" s="185" t="n">
        <x:v>0</x:v>
      </x:c>
      <x:c r="K2187" s="289" t="n">
        <x:v>15000</x:v>
      </x:c>
    </x:row>
    <x:row r="2188" s="117" customFormat="1" hidden="1">
      <x:c r="A2188" s="184" t="inlineStr">
        <x:is>
          <x:t xml:space="preserve">PDTFRP001402</x:t>
        </x:is>
      </x:c>
      <x:c r="B2188" s="184" t="inlineStr">
        <x:is>
          <x:t xml:space="preserve">SERV.REPAR.DE CARA FLANGE DIAM 10 PLG PPT060FRP006</x:t>
        </x:is>
      </x:c>
      <x:c r="C2188" s="184" t="n">
        <x:v>0</x:v>
      </x:c>
      <x:c r="D2188" s="184" t="n">
        <x:v>0</x:v>
      </x:c>
      <x:c r="E2188" s="184" t="n">
        <x:v>0</x:v>
      </x:c>
      <x:c r="F2188" s="184" t="n">
        <x:v>0</x:v>
      </x:c>
      <x:c r="G2188" s="184" t="n">
        <x:v>0</x:v>
      </x:c>
      <x:c r="H2188" s="193" t="n">
        <x:v>0</x:v>
      </x:c>
      <x:c r="I2188" s="185" t="n">
        <x:v>0</x:v>
      </x:c>
      <x:c r="J2188" s="185" t="n">
        <x:v>0</x:v>
      </x:c>
      <x:c r="K2188" s="289" t="n">
        <x:v>0</x:v>
      </x:c>
    </x:row>
    <x:row r="2189" s="117" customFormat="1" hidden="1">
      <x:c r="A2189" s="184" t="inlineStr">
        <x:is>
          <x:t xml:space="preserve">PDTFRP001403</x:t>
        </x:is>
      </x:c>
      <x:c r="B2189" s="184" t="inlineStr">
        <x:is>
          <x:t xml:space="preserve">SERV.REPAR.DE CARA FLANGE DIAM 12 PLG PPT060FRP007</x:t>
        </x:is>
      </x:c>
      <x:c r="C2189" s="184" t="n">
        <x:v>0</x:v>
      </x:c>
      <x:c r="D2189" s="184" t="n">
        <x:v>0</x:v>
      </x:c>
      <x:c r="E2189" s="184" t="n">
        <x:v>0</x:v>
      </x:c>
      <x:c r="F2189" s="184" t="n">
        <x:v>0</x:v>
      </x:c>
      <x:c r="G2189" s="184" t="n">
        <x:v>0</x:v>
      </x:c>
      <x:c r="H2189" s="193" t="n">
        <x:v>0</x:v>
      </x:c>
      <x:c r="I2189" s="185" t="n">
        <x:v>0</x:v>
      </x:c>
      <x:c r="J2189" s="185" t="n">
        <x:v>0</x:v>
      </x:c>
      <x:c r="K2189" s="289" t="n">
        <x:v>0</x:v>
      </x:c>
    </x:row>
    <x:row r="2190" s="117" customFormat="1" hidden="1">
      <x:c r="A2190" s="184" t="inlineStr">
        <x:is>
          <x:t xml:space="preserve">PDTFRP001404</x:t>
        </x:is>
      </x:c>
      <x:c r="B2190" s="184" t="inlineStr">
        <x:is>
          <x:t xml:space="preserve">SERV.REPAR.DE CARA FLANGE DIAM 14 PLG PPT060FRP008</x:t>
        </x:is>
      </x:c>
      <x:c r="C2190" s="184" t="n">
        <x:v>0</x:v>
      </x:c>
      <x:c r="D2190" s="184" t="n">
        <x:v>0</x:v>
      </x:c>
      <x:c r="E2190" s="184" t="n">
        <x:v>0</x:v>
      </x:c>
      <x:c r="F2190" s="184" t="n">
        <x:v>0</x:v>
      </x:c>
      <x:c r="G2190" s="184" t="n">
        <x:v>0</x:v>
      </x:c>
      <x:c r="H2190" s="193" t="n">
        <x:v>0</x:v>
      </x:c>
      <x:c r="I2190" s="185" t="n">
        <x:v>0</x:v>
      </x:c>
      <x:c r="J2190" s="185" t="n">
        <x:v>0</x:v>
      </x:c>
      <x:c r="K2190" s="289" t="n">
        <x:v>0</x:v>
      </x:c>
    </x:row>
    <x:row r="2191" s="117" customFormat="1" hidden="1">
      <x:c r="A2191" s="184" t="inlineStr">
        <x:is>
          <x:t xml:space="preserve">PDTFRP001405</x:t>
        </x:is>
      </x:c>
      <x:c r="B2191" s="184" t="inlineStr">
        <x:is>
          <x:t xml:space="preserve">SERV.REPAR.DE CARA FLANGE DIAM 16 PLG PPT060FRP009</x:t>
        </x:is>
      </x:c>
      <x:c r="C2191" s="184" t="n">
        <x:v>0</x:v>
      </x:c>
      <x:c r="D2191" s="184" t="n">
        <x:v>0</x:v>
      </x:c>
      <x:c r="E2191" s="184" t="n">
        <x:v>0</x:v>
      </x:c>
      <x:c r="F2191" s="184" t="n">
        <x:v>0</x:v>
      </x:c>
      <x:c r="G2191" s="184" t="n">
        <x:v>0</x:v>
      </x:c>
      <x:c r="H2191" s="193" t="n">
        <x:v>0</x:v>
      </x:c>
      <x:c r="I2191" s="185" t="n">
        <x:v>0</x:v>
      </x:c>
      <x:c r="J2191" s="185" t="n">
        <x:v>0</x:v>
      </x:c>
      <x:c r="K2191" s="289" t="n">
        <x:v>0</x:v>
      </x:c>
    </x:row>
    <x:row r="2192" s="117" customFormat="1" hidden="1">
      <x:c r="A2192" s="184" t="inlineStr">
        <x:is>
          <x:t xml:space="preserve">PDTFRP001406</x:t>
        </x:is>
      </x:c>
      <x:c r="B2192" s="184" t="inlineStr">
        <x:is>
          <x:t xml:space="preserve">SERV.REPAR.DE CARA FLANGE DIAM 20 PLG PPT060FRP010</x:t>
        </x:is>
      </x:c>
      <x:c r="C2192" s="184" t="n">
        <x:v>0</x:v>
      </x:c>
      <x:c r="D2192" s="184" t="n">
        <x:v>0</x:v>
      </x:c>
      <x:c r="E2192" s="184" t="n">
        <x:v>0</x:v>
      </x:c>
      <x:c r="F2192" s="184" t="n">
        <x:v>0</x:v>
      </x:c>
      <x:c r="G2192" s="184" t="n">
        <x:v>0</x:v>
      </x:c>
      <x:c r="H2192" s="193" t="n">
        <x:v>0</x:v>
      </x:c>
      <x:c r="I2192" s="185" t="n">
        <x:v>0</x:v>
      </x:c>
      <x:c r="J2192" s="185" t="n">
        <x:v>0</x:v>
      </x:c>
      <x:c r="K2192" s="289" t="n">
        <x:v>0</x:v>
      </x:c>
    </x:row>
    <x:row r="2193" s="117" customFormat="1" hidden="1">
      <x:c r="A2193" s="184" t="inlineStr">
        <x:is>
          <x:t xml:space="preserve">PDTFRP001407</x:t>
        </x:is>
      </x:c>
      <x:c r="B2193" s="184" t="inlineStr">
        <x:is>
          <x:t xml:space="preserve">CONJUNTO DE SPOOL SALFA RLS0124-NV0003</x:t>
        </x:is>
      </x:c>
      <x:c r="C2193" s="184" t="n">
        <x:v>0</x:v>
      </x:c>
      <x:c r="D2193" s="184" t="n">
        <x:v>0</x:v>
      </x:c>
      <x:c r="E2193" s="184" t="n">
        <x:v>0</x:v>
      </x:c>
      <x:c r="F2193" s="184" t="n">
        <x:v>0</x:v>
      </x:c>
      <x:c r="G2193" s="184" t="n">
        <x:v>0</x:v>
      </x:c>
      <x:c r="H2193" s="193" t="n">
        <x:v>0</x:v>
      </x:c>
      <x:c r="I2193" s="185" t="n">
        <x:v>0</x:v>
      </x:c>
      <x:c r="J2193" s="185" t="n">
        <x:v>0</x:v>
      </x:c>
      <x:c r="K2193" s="289" t="n">
        <x:v>31879019</x:v>
      </x:c>
    </x:row>
    <x:row r="2194" s="117" customFormat="1" hidden="1">
      <x:c r="A2194" s="184" t="inlineStr">
        <x:is>
          <x:t xml:space="preserve">PDTFRP001408</x:t>
        </x:is>
      </x:c>
      <x:c r="B2194" s="184" t="inlineStr">
        <x:is>
          <x:t xml:space="preserve">END CUP DIAM 24 PLG X 1131 MM FRP PPT072FRP508</x:t>
        </x:is>
      </x:c>
      <x:c r="C2194" s="184" t="n">
        <x:v>0</x:v>
      </x:c>
      <x:c r="D2194" s="184" t="n">
        <x:v>0</x:v>
      </x:c>
      <x:c r="E2194" s="184" t="n">
        <x:v>0</x:v>
      </x:c>
      <x:c r="F2194" s="184" t="n">
        <x:v>0</x:v>
      </x:c>
      <x:c r="G2194" s="184" t="n">
        <x:v>0</x:v>
      </x:c>
      <x:c r="H2194" s="193" t="n">
        <x:v>0</x:v>
      </x:c>
      <x:c r="I2194" s="185" t="n">
        <x:v>0</x:v>
      </x:c>
      <x:c r="J2194" s="185" t="n">
        <x:v>0</x:v>
      </x:c>
      <x:c r="K2194" s="289" t="n">
        <x:v>921674</x:v>
      </x:c>
    </x:row>
    <x:row r="2195" s="117" customFormat="1" hidden="1">
      <x:c r="A2195" s="184" t="inlineStr">
        <x:is>
          <x:t xml:space="preserve">PDTFRP001409</x:t>
        </x:is>
      </x:c>
      <x:c r="B2195" s="184" t="inlineStr">
        <x:is>
          <x:t xml:space="preserve">FLANGE FULL FACE C/LARGO DIAM 24 PLG X 1000 MM PPT072FRP509</x:t>
        </x:is>
      </x:c>
      <x:c r="C2195" s="184" t="n">
        <x:v>0</x:v>
      </x:c>
      <x:c r="D2195" s="184" t="n">
        <x:v>0</x:v>
      </x:c>
      <x:c r="E2195" s="184" t="n">
        <x:v>0</x:v>
      </x:c>
      <x:c r="F2195" s="184" t="n">
        <x:v>0</x:v>
      </x:c>
      <x:c r="G2195" s="184" t="n">
        <x:v>0</x:v>
      </x:c>
      <x:c r="H2195" s="193" t="n">
        <x:v>0</x:v>
      </x:c>
      <x:c r="I2195" s="185" t="n">
        <x:v>0</x:v>
      </x:c>
      <x:c r="J2195" s="185" t="n">
        <x:v>0</x:v>
      </x:c>
      <x:c r="K2195" s="289" t="n">
        <x:v>1224680</x:v>
      </x:c>
    </x:row>
    <x:row r="2196" s="117" customFormat="1" hidden="1">
      <x:c r="A2196" s="184" t="inlineStr">
        <x:is>
          <x:t xml:space="preserve">PDTFRP001410</x:t>
        </x:is>
      </x:c>
      <x:c r="B2196" s="184" t="inlineStr">
        <x:is>
          <x:t xml:space="preserve">FILTRO CANASTILLO FRP  PPT072FRP408</x:t>
        </x:is>
      </x:c>
      <x:c r="C2196" s="184" t="n">
        <x:v>0</x:v>
      </x:c>
      <x:c r="D2196" s="184" t="n">
        <x:v>0</x:v>
      </x:c>
      <x:c r="E2196" s="184" t="n">
        <x:v>0</x:v>
      </x:c>
      <x:c r="F2196" s="184" t="n">
        <x:v>0</x:v>
      </x:c>
      <x:c r="G2196" s="184" t="n">
        <x:v>0</x:v>
      </x:c>
      <x:c r="H2196" s="193" t="n">
        <x:v>0</x:v>
      </x:c>
      <x:c r="I2196" s="185" t="n">
        <x:v>0</x:v>
      </x:c>
      <x:c r="J2196" s="185" t="n">
        <x:v>0</x:v>
      </x:c>
      <x:c r="K2196" s="289" t="n">
        <x:v>6808074</x:v>
      </x:c>
    </x:row>
    <x:row r="2197" s="117" customFormat="1" hidden="1">
      <x:c r="A2197" s="184" t="inlineStr">
        <x:is>
          <x:t xml:space="preserve">PDTFRP001411</x:t>
        </x:is>
      </x:c>
      <x:c r="B2197" s="184" t="inlineStr">
        <x:is>
          <x:t xml:space="preserve">DUCTO 36 PLG ENN FRP C/BARRERA CONDUCTIVA FLANGES FIJOS PPT072FRC000 (42182639S</x:t>
        </x:is>
      </x:c>
      <x:c r="C2197" s="184" t="n">
        <x:v>0</x:v>
      </x:c>
      <x:c r="D2197" s="184" t="n">
        <x:v>0</x:v>
      </x:c>
      <x:c r="E2197" s="184" t="n">
        <x:v>0</x:v>
      </x:c>
      <x:c r="F2197" s="184" t="n">
        <x:v>0</x:v>
      </x:c>
      <x:c r="G2197" s="184" t="n">
        <x:v>0</x:v>
      </x:c>
      <x:c r="H2197" s="193" t="n">
        <x:v>0</x:v>
      </x:c>
      <x:c r="I2197" s="185" t="n">
        <x:v>0</x:v>
      </x:c>
      <x:c r="J2197" s="185" t="n">
        <x:v>0</x:v>
      </x:c>
      <x:c r="K2197" s="289" t="n">
        <x:v>2576558</x:v>
      </x:c>
    </x:row>
    <x:row r="2198" s="117" customFormat="1" hidden="1">
      <x:c r="A2198" s="184" t="inlineStr">
        <x:is>
          <x:t xml:space="preserve">PDTFRP001412</x:t>
        </x:is>
      </x:c>
      <x:c r="B2198" s="184" t="inlineStr">
        <x:is>
          <x:t xml:space="preserve">CAÑERIA EN FRP RESINA VINILESTER DIAM 18 PLG LGO 3000 MM PPT072FRP520</x:t>
        </x:is>
      </x:c>
      <x:c r="C2198" s="184" t="n">
        <x:v>0</x:v>
      </x:c>
      <x:c r="D2198" s="184" t="n">
        <x:v>0</x:v>
      </x:c>
      <x:c r="E2198" s="184" t="n">
        <x:v>0</x:v>
      </x:c>
      <x:c r="F2198" s="184" t="n">
        <x:v>0</x:v>
      </x:c>
      <x:c r="G2198" s="184" t="n">
        <x:v>0</x:v>
      </x:c>
      <x:c r="H2198" s="193" t="n">
        <x:v>0</x:v>
      </x:c>
      <x:c r="I2198" s="185" t="n">
        <x:v>0</x:v>
      </x:c>
      <x:c r="J2198" s="185" t="n">
        <x:v>0</x:v>
      </x:c>
      <x:c r="K2198" s="289" t="n">
        <x:v>1450738</x:v>
      </x:c>
    </x:row>
    <x:row r="2199" s="117" customFormat="1" hidden="1">
      <x:c r="A2199" s="184" t="inlineStr">
        <x:is>
          <x:t xml:space="preserve">PDTFRP001413</x:t>
        </x:is>
      </x:c>
      <x:c r="B2199" s="184" t="inlineStr">
        <x:is>
          <x:t xml:space="preserve">TEE DUCTO N° 6 20PLG X 18 PLG X 1595 MM PP/FRP TREN B  PPT073PPF447</x:t>
        </x:is>
      </x:c>
      <x:c r="C2199" s="184" t="n">
        <x:v>0</x:v>
      </x:c>
      <x:c r="D2199" s="184" t="n">
        <x:v>0</x:v>
      </x:c>
      <x:c r="E2199" s="184" t="n">
        <x:v>0</x:v>
      </x:c>
      <x:c r="F2199" s="184" t="n">
        <x:v>0</x:v>
      </x:c>
      <x:c r="G2199" s="184" t="n">
        <x:v>0</x:v>
      </x:c>
      <x:c r="H2199" s="193" t="n">
        <x:v>0</x:v>
      </x:c>
      <x:c r="I2199" s="185" t="n">
        <x:v>0</x:v>
      </x:c>
      <x:c r="J2199" s="185" t="n">
        <x:v>0</x:v>
      </x:c>
      <x:c r="K2199" s="289" t="n">
        <x:v>3655608</x:v>
      </x:c>
    </x:row>
    <x:row r="2200" s="117" customFormat="1" hidden="1">
      <x:c r="A2200" s="184" t="inlineStr">
        <x:is>
          <x:t xml:space="preserve">PDTFRP001414</x:t>
        </x:is>
      </x:c>
      <x:c r="B2200" s="184" t="inlineStr">
        <x:is>
          <x:t xml:space="preserve">SERV.REVEST.SOPORTES RELIPER CFM0424-NV0000</x:t>
        </x:is>
      </x:c>
      <x:c r="C2200" s="184" t="n">
        <x:v>0</x:v>
      </x:c>
      <x:c r="D2200" s="184" t="n">
        <x:v>0</x:v>
      </x:c>
      <x:c r="E2200" s="184" t="n">
        <x:v>0</x:v>
      </x:c>
      <x:c r="F2200" s="184" t="n">
        <x:v>0</x:v>
      </x:c>
      <x:c r="G2200" s="184" t="n">
        <x:v>0</x:v>
      </x:c>
      <x:c r="H2200" s="193" t="n">
        <x:v>0</x:v>
      </x:c>
      <x:c r="I2200" s="185" t="n">
        <x:v>0</x:v>
      </x:c>
      <x:c r="J2200" s="185" t="n">
        <x:v>0</x:v>
      </x:c>
      <x:c r="K2200" s="289" t="n">
        <x:v>3318467</x:v>
      </x:c>
    </x:row>
    <x:row r="2201" s="117" customFormat="1" hidden="1">
      <x:c r="A2201" s="184" t="inlineStr">
        <x:is>
          <x:t xml:space="preserve">PDTFRP001415</x:t>
        </x:is>
      </x:c>
      <x:c r="B2201" s="184" t="inlineStr">
        <x:is>
          <x:t xml:space="preserve">BRIDAS CIEGAS DN150-DN450-DN900-DN25  CFM0324-NV0002</x:t>
        </x:is>
      </x:c>
      <x:c r="C2201" s="184" t="n">
        <x:v>0</x:v>
      </x:c>
      <x:c r="D2201" s="184" t="n">
        <x:v>0</x:v>
      </x:c>
      <x:c r="E2201" s="184" t="n">
        <x:v>0</x:v>
      </x:c>
      <x:c r="F2201" s="184" t="n">
        <x:v>0</x:v>
      </x:c>
      <x:c r="G2201" s="184" t="n">
        <x:v>0</x:v>
      </x:c>
      <x:c r="H2201" s="193" t="n">
        <x:v>0</x:v>
      </x:c>
      <x:c r="I2201" s="185" t="n">
        <x:v>0</x:v>
      </x:c>
      <x:c r="J2201" s="185" t="n">
        <x:v>0</x:v>
      </x:c>
      <x:c r="K2201" s="289" t="n">
        <x:v>28841563</x:v>
      </x:c>
    </x:row>
    <x:row r="2202" s="117" customFormat="1" hidden="1">
      <x:c r="A2202" s="184" t="inlineStr">
        <x:is>
          <x:t xml:space="preserve">PDTFRP001416</x:t>
        </x:is>
      </x:c>
      <x:c r="B2202" s="184" t="inlineStr">
        <x:is>
          <x:t xml:space="preserve">SUMINISTROS LINEAS DE DRENAJE 90 Y 125 SALVADOR NV0724-NV0001 Y 02</x:t>
        </x:is>
      </x:c>
      <x:c r="C2202" s="184" t="n">
        <x:v>0</x:v>
      </x:c>
      <x:c r="D2202" s="184" t="n">
        <x:v>0</x:v>
      </x:c>
      <x:c r="E2202" s="184" t="n">
        <x:v>0</x:v>
      </x:c>
      <x:c r="F2202" s="184" t="n">
        <x:v>0</x:v>
      </x:c>
      <x:c r="G2202" s="184" t="n">
        <x:v>0</x:v>
      </x:c>
      <x:c r="H2202" s="193" t="n">
        <x:v>0</x:v>
      </x:c>
      <x:c r="I2202" s="185" t="n">
        <x:v>0</x:v>
      </x:c>
      <x:c r="J2202" s="185" t="n">
        <x:v>0</x:v>
      </x:c>
      <x:c r="K2202" s="289" t="n">
        <x:v>1432989</x:v>
      </x:c>
    </x:row>
    <x:row r="2203" s="117" customFormat="1" hidden="1">
      <x:c r="A2203" s="184" t="inlineStr">
        <x:is>
          <x:t xml:space="preserve">PDTFRP001417</x:t>
        </x:is>
      </x:c>
      <x:c r="B2203" s="184" t="inlineStr">
        <x:is>
          <x:t xml:space="preserve">FABRICAR TAPA Y FONDO A 2 TK FIBRANOV OFI0424-NV0004</x:t>
        </x:is>
      </x:c>
      <x:c r="C2203" s="184" t="n">
        <x:v>0</x:v>
      </x:c>
      <x:c r="D2203" s="184" t="n">
        <x:v>0</x:v>
      </x:c>
      <x:c r="E2203" s="184" t="n">
        <x:v>0</x:v>
      </x:c>
      <x:c r="F2203" s="184" t="n">
        <x:v>0</x:v>
      </x:c>
      <x:c r="G2203" s="184" t="n">
        <x:v>0</x:v>
      </x:c>
      <x:c r="H2203" s="193" t="n">
        <x:v>0</x:v>
      </x:c>
      <x:c r="I2203" s="185" t="n">
        <x:v>0</x:v>
      </x:c>
      <x:c r="J2203" s="185" t="n">
        <x:v>0</x:v>
      </x:c>
      <x:c r="K2203" s="289" t="n">
        <x:v>25949059</x:v>
      </x:c>
    </x:row>
    <x:row r="2204" s="117" customFormat="1" hidden="1">
      <x:c r="A2204" s="184" t="inlineStr">
        <x:is>
          <x:t xml:space="preserve">PDTFRP001418</x:t>
        </x:is>
      </x:c>
      <x:c r="B2204" s="184" t="inlineStr">
        <x:is>
          <x:t xml:space="preserve">DUCTO N° 2 C22206-600-OD-PL-0001_B FRP/PP PPT073PPF428</x:t>
        </x:is>
      </x:c>
      <x:c r="C2204" s="184" t="n">
        <x:v>0</x:v>
      </x:c>
      <x:c r="D2204" s="184" t="n">
        <x:v>0</x:v>
      </x:c>
      <x:c r="E2204" s="184" t="n">
        <x:v>0</x:v>
      </x:c>
      <x:c r="F2204" s="184" t="n">
        <x:v>0</x:v>
      </x:c>
      <x:c r="G2204" s="184" t="n">
        <x:v>0</x:v>
      </x:c>
      <x:c r="H2204" s="193" t="n">
        <x:v>0</x:v>
      </x:c>
      <x:c r="I2204" s="185" t="n">
        <x:v>0</x:v>
      </x:c>
      <x:c r="J2204" s="185" t="n">
        <x:v>0</x:v>
      </x:c>
      <x:c r="K2204" s="289" t="n">
        <x:v>1919006</x:v>
      </x:c>
    </x:row>
    <x:row r="2205" s="117" customFormat="1" hidden="1">
      <x:c r="A2205" s="184" t="inlineStr">
        <x:is>
          <x:t xml:space="preserve">PDTFRP001419</x:t>
        </x:is>
      </x:c>
      <x:c r="B2205" s="184" t="inlineStr">
        <x:is>
          <x:t xml:space="preserve">CAÑERIA 5 PLG X 6000 MM EN FRP PPT072FRP536</x:t>
        </x:is>
      </x:c>
      <x:c r="C2205" s="184" t="n">
        <x:v>0</x:v>
      </x:c>
      <x:c r="D2205" s="184" t="n">
        <x:v>0</x:v>
      </x:c>
      <x:c r="E2205" s="184" t="n">
        <x:v>0</x:v>
      </x:c>
      <x:c r="F2205" s="184" t="n">
        <x:v>0</x:v>
      </x:c>
      <x:c r="G2205" s="184" t="n">
        <x:v>0</x:v>
      </x:c>
      <x:c r="H2205" s="193" t="n">
        <x:v>0</x:v>
      </x:c>
      <x:c r="I2205" s="185" t="n">
        <x:v>0</x:v>
      </x:c>
      <x:c r="J2205" s="185" t="n">
        <x:v>0</x:v>
      </x:c>
      <x:c r="K2205" s="289" t="n">
        <x:v>50021</x:v>
      </x:c>
    </x:row>
    <x:row r="2206" s="117" customFormat="1" hidden="1">
      <x:c r="A2206" s="184" t="inlineStr">
        <x:is>
          <x:t xml:space="preserve">PDTFRP001420</x:t>
        </x:is>
      </x:c>
      <x:c r="B2206" s="184" t="inlineStr">
        <x:is>
          <x:t xml:space="preserve">CODO 90ª 8 PLG RESINA VINILESTER STD  PPT072FRP530</x:t>
        </x:is>
      </x:c>
      <x:c r="C2206" s="184" t="n">
        <x:v>0</x:v>
      </x:c>
      <x:c r="D2206" s="184" t="n">
        <x:v>0</x:v>
      </x:c>
      <x:c r="E2206" s="184" t="n">
        <x:v>0</x:v>
      </x:c>
      <x:c r="F2206" s="184" t="n">
        <x:v>0</x:v>
      </x:c>
      <x:c r="G2206" s="184" t="n">
        <x:v>0</x:v>
      </x:c>
      <x:c r="H2206" s="193" t="n">
        <x:v>0</x:v>
      </x:c>
      <x:c r="I2206" s="185" t="n">
        <x:v>0</x:v>
      </x:c>
      <x:c r="J2206" s="185" t="n">
        <x:v>0</x:v>
      </x:c>
      <x:c r="K2206" s="289" t="n">
        <x:v>174087</x:v>
      </x:c>
    </x:row>
    <x:row r="2207" s="117" customFormat="1" hidden="1">
      <x:c r="A2207" s="184" t="inlineStr">
        <x:is>
          <x:t xml:space="preserve">PDTFRP001421</x:t>
        </x:is>
      </x:c>
      <x:c r="B2207" s="184" t="inlineStr">
        <x:is>
          <x:t xml:space="preserve">SPOOL FRP ACCIONA OC-2581 CFM0824-NV0013</x:t>
        </x:is>
      </x:c>
      <x:c r="C2207" s="184" t="n">
        <x:v>0</x:v>
      </x:c>
      <x:c r="D2207" s="184" t="n">
        <x:v>0</x:v>
      </x:c>
      <x:c r="E2207" s="184" t="n">
        <x:v>0</x:v>
      </x:c>
      <x:c r="F2207" s="184" t="n">
        <x:v>0</x:v>
      </x:c>
      <x:c r="G2207" s="184" t="n">
        <x:v>0</x:v>
      </x:c>
      <x:c r="H2207" s="193" t="n">
        <x:v>0</x:v>
      </x:c>
      <x:c r="I2207" s="185" t="n">
        <x:v>0</x:v>
      </x:c>
      <x:c r="J2207" s="185" t="n">
        <x:v>0</x:v>
      </x:c>
      <x:c r="K2207" s="289" t="n">
        <x:v>2741756</x:v>
      </x:c>
    </x:row>
    <x:row r="2208" s="117" customFormat="1" hidden="1">
      <x:c r="A2208" s="184" t="inlineStr">
        <x:is>
          <x:t xml:space="preserve">PDTFRP001422</x:t>
        </x:is>
      </x:c>
      <x:c r="B2208" s="184" t="inlineStr">
        <x:is>
          <x:t xml:space="preserve">SPOOL S FRP 800X3504 ACCIONA OC 2499 CFM0824-NV0006</x:t>
        </x:is>
      </x:c>
      <x:c r="C2208" s="184" t="n">
        <x:v>0</x:v>
      </x:c>
      <x:c r="D2208" s="184" t="n">
        <x:v>0</x:v>
      </x:c>
      <x:c r="E2208" s="184" t="n">
        <x:v>0</x:v>
      </x:c>
      <x:c r="F2208" s="184" t="n">
        <x:v>0</x:v>
      </x:c>
      <x:c r="G2208" s="184" t="n">
        <x:v>0</x:v>
      </x:c>
      <x:c r="H2208" s="193" t="n">
        <x:v>0</x:v>
      </x:c>
      <x:c r="I2208" s="185" t="n">
        <x:v>0</x:v>
      </x:c>
      <x:c r="J2208" s="185" t="n">
        <x:v>0</x:v>
      </x:c>
      <x:c r="K2208" s="289" t="n">
        <x:v>9547857</x:v>
      </x:c>
    </x:row>
    <x:row r="2209" s="117" customFormat="1" hidden="1">
      <x:c r="A2209" s="184" t="inlineStr">
        <x:is>
          <x:t xml:space="preserve">PDTFRP001423</x:t>
        </x:is>
      </x:c>
      <x:c r="B2209" s="184" t="inlineStr">
        <x:is>
          <x:t xml:space="preserve">BRIDA CIEGA  FRP DN1800 STD AWWA C-207 CLASE 150  OC 1819 ACCIONA</x:t>
        </x:is>
      </x:c>
      <x:c r="C2209" s="184" t="n">
        <x:v>0</x:v>
      </x:c>
      <x:c r="D2209" s="184" t="n">
        <x:v>0</x:v>
      </x:c>
      <x:c r="E2209" s="184" t="n">
        <x:v>0</x:v>
      </x:c>
      <x:c r="F2209" s="184" t="n">
        <x:v>0</x:v>
      </x:c>
      <x:c r="G2209" s="184" t="n">
        <x:v>0</x:v>
      </x:c>
      <x:c r="H2209" s="193" t="n">
        <x:v>0</x:v>
      </x:c>
      <x:c r="I2209" s="185" t="n">
        <x:v>0</x:v>
      </x:c>
      <x:c r="J2209" s="185" t="n">
        <x:v>0</x:v>
      </x:c>
      <x:c r="K2209" s="289" t="n">
        <x:v>4936789</x:v>
      </x:c>
    </x:row>
    <x:row r="2210" s="117" customFormat="1" hidden="1">
      <x:c r="A2210" s="184" t="inlineStr">
        <x:is>
          <x:t xml:space="preserve">PDTFRP001424</x:t>
        </x:is>
      </x:c>
      <x:c r="B2210" s="184" t="inlineStr">
        <x:is>
          <x:t xml:space="preserve">ARMADO DE SPOOL PVDF REV FRP RRC0624-NV0002</x:t>
        </x:is>
      </x:c>
      <x:c r="C2210" s="184" t="n">
        <x:v>0</x:v>
      </x:c>
      <x:c r="D2210" s="184" t="n">
        <x:v>0</x:v>
      </x:c>
      <x:c r="E2210" s="184" t="n">
        <x:v>0</x:v>
      </x:c>
      <x:c r="F2210" s="184" t="n">
        <x:v>0</x:v>
      </x:c>
      <x:c r="G2210" s="184" t="n">
        <x:v>0</x:v>
      </x:c>
      <x:c r="H2210" s="193" t="n">
        <x:v>0</x:v>
      </x:c>
      <x:c r="I2210" s="185" t="n">
        <x:v>0</x:v>
      </x:c>
      <x:c r="J2210" s="185" t="n">
        <x:v>0</x:v>
      </x:c>
      <x:c r="K2210" s="289" t="n">
        <x:v>380152</x:v>
      </x:c>
    </x:row>
    <x:row r="2211" s="117" customFormat="1" hidden="1">
      <x:c r="A2211" s="184" t="inlineStr">
        <x:is>
          <x:t xml:space="preserve">PDTFRP001425</x:t>
        </x:is>
      </x:c>
      <x:c r="B2211" s="184" t="inlineStr">
        <x:is>
          <x:t xml:space="preserve">TOP COAT FR</x:t>
        </x:is>
      </x:c>
      <x:c r="C2211" s="184" t="n">
        <x:v>0</x:v>
      </x:c>
      <x:c r="D2211" s="184" t="n">
        <x:v>0</x:v>
      </x:c>
      <x:c r="E2211" s="184" t="n">
        <x:v>0</x:v>
      </x:c>
      <x:c r="F2211" s="184" t="n">
        <x:v>0</x:v>
      </x:c>
      <x:c r="G2211" s="184" t="n">
        <x:v>-1</x:v>
      </x:c>
      <x:c r="H2211" s="193" t="n">
        <x:v>0</x:v>
      </x:c>
      <x:c r="I2211" s="185" t="n">
        <x:v>0</x:v>
      </x:c>
      <x:c r="J2211" s="185" t="n">
        <x:v>-1</x:v>
      </x:c>
      <x:c r="K2211" s="289" t="n">
        <x:v>9094</x:v>
      </x:c>
    </x:row>
    <x:row r="2212" s="117" customFormat="1" hidden="1">
      <x:c r="A2212" s="184" t="inlineStr">
        <x:is>
          <x:t xml:space="preserve">PDTFRP001426</x:t>
        </x:is>
      </x:c>
      <x:c r="B2212" s="184" t="inlineStr">
        <x:is>
          <x:t xml:space="preserve">CANERIA 6PLGX6 MTS PN10 FRP BQ VINIESTER BE ISOFTALICA PPT072FRP550</x:t>
        </x:is>
      </x:c>
      <x:c r="C2212" s="184" t="n">
        <x:v>0</x:v>
      </x:c>
      <x:c r="D2212" s="184" t="n">
        <x:v>0</x:v>
      </x:c>
      <x:c r="E2212" s="184" t="n">
        <x:v>0</x:v>
      </x:c>
      <x:c r="F2212" s="184" t="n">
        <x:v>0</x:v>
      </x:c>
      <x:c r="G2212" s="184" t="n">
        <x:v>0</x:v>
      </x:c>
      <x:c r="H2212" s="193" t="n">
        <x:v>0</x:v>
      </x:c>
      <x:c r="I2212" s="185" t="n">
        <x:v>0</x:v>
      </x:c>
      <x:c r="J2212" s="185" t="n">
        <x:v>0</x:v>
      </x:c>
      <x:c r="K2212" s="289" t="n">
        <x:v>52739</x:v>
      </x:c>
    </x:row>
    <x:row r="2213" s="117" customFormat="1" hidden="1">
      <x:c r="A2213" s="184" t="inlineStr">
        <x:is>
          <x:t xml:space="preserve">PDTFRP001427</x:t>
        </x:is>
      </x:c>
      <x:c r="B2213" s="184" t="inlineStr">
        <x:is>
          <x:t xml:space="preserve">CANERIA 6PLGX6 MTS PN16 FRP BQ VINIESTER BE ISOFTALI PPT072FRP551</x:t>
        </x:is>
      </x:c>
      <x:c r="C2213" s="184" t="n">
        <x:v>0</x:v>
      </x:c>
      <x:c r="D2213" s="184" t="n">
        <x:v>0</x:v>
      </x:c>
      <x:c r="E2213" s="184" t="n">
        <x:v>0</x:v>
      </x:c>
      <x:c r="F2213" s="184" t="n">
        <x:v>0</x:v>
      </x:c>
      <x:c r="G2213" s="184" t="n">
        <x:v>0</x:v>
      </x:c>
      <x:c r="H2213" s="193" t="n">
        <x:v>0</x:v>
      </x:c>
      <x:c r="I2213" s="185" t="n">
        <x:v>0</x:v>
      </x:c>
      <x:c r="J2213" s="185" t="n">
        <x:v>0</x:v>
      </x:c>
      <x:c r="K2213" s="289" t="n">
        <x:v>57171</x:v>
      </x:c>
    </x:row>
    <x:row r="2214" s="117" customFormat="1" hidden="1">
      <x:c r="A2214" s="184" t="inlineStr">
        <x:is>
          <x:t xml:space="preserve">PDTFRP001428</x:t>
        </x:is>
      </x:c>
      <x:c r="B2214" s="184" t="inlineStr">
        <x:is>
          <x:t xml:space="preserve">CANERIA 8PLGX6 MTS PN10 FRP BQ VINIESTER BE ISOFTALI PPT072FRP552</x:t>
        </x:is>
      </x:c>
      <x:c r="C2214" s="184" t="n">
        <x:v>0</x:v>
      </x:c>
      <x:c r="D2214" s="184" t="n">
        <x:v>0</x:v>
      </x:c>
      <x:c r="E2214" s="184" t="n">
        <x:v>0</x:v>
      </x:c>
      <x:c r="F2214" s="184" t="n">
        <x:v>0</x:v>
      </x:c>
      <x:c r="G2214" s="184" t="n">
        <x:v>0</x:v>
      </x:c>
      <x:c r="H2214" s="193" t="n">
        <x:v>0</x:v>
      </x:c>
      <x:c r="I2214" s="185" t="n">
        <x:v>0</x:v>
      </x:c>
      <x:c r="J2214" s="185" t="n">
        <x:v>0</x:v>
      </x:c>
      <x:c r="K2214" s="289" t="n">
        <x:v>64719</x:v>
      </x:c>
    </x:row>
    <x:row r="2215" s="117" customFormat="1" hidden="1">
      <x:c r="A2215" s="184" t="inlineStr">
        <x:is>
          <x:t xml:space="preserve">PDTFRP001429</x:t>
        </x:is>
      </x:c>
      <x:c r="B2215" s="184" t="inlineStr">
        <x:is>
          <x:t xml:space="preserve">CANERIA 8PLGX6 MTS PN16 FRP BQ VINIESTER BE ISOFTALI PPT072FRP553</x:t>
        </x:is>
      </x:c>
      <x:c r="C2215" s="184" t="n">
        <x:v>0</x:v>
      </x:c>
      <x:c r="D2215" s="184" t="n">
        <x:v>0</x:v>
      </x:c>
      <x:c r="E2215" s="184" t="n">
        <x:v>0</x:v>
      </x:c>
      <x:c r="F2215" s="184" t="n">
        <x:v>0</x:v>
      </x:c>
      <x:c r="G2215" s="184" t="n">
        <x:v>0</x:v>
      </x:c>
      <x:c r="H2215" s="193" t="n">
        <x:v>0</x:v>
      </x:c>
      <x:c r="I2215" s="185" t="n">
        <x:v>0</x:v>
      </x:c>
      <x:c r="J2215" s="185" t="n">
        <x:v>0</x:v>
      </x:c>
      <x:c r="K2215" s="289" t="n">
        <x:v>73510</x:v>
      </x:c>
    </x:row>
    <x:row r="2216" s="117" customFormat="1" hidden="1">
      <x:c r="A2216" s="184" t="inlineStr">
        <x:is>
          <x:t xml:space="preserve">PDTFRP001430</x:t>
        </x:is>
      </x:c>
      <x:c r="B2216" s="184" t="inlineStr">
        <x:is>
          <x:t xml:space="preserve">CANERIA 10PLGX6 MTS PN10 FRP BQ VINIESTER BE ISOFTALI PPT072FRP554</x:t>
        </x:is>
      </x:c>
      <x:c r="C2216" s="184" t="n">
        <x:v>0</x:v>
      </x:c>
      <x:c r="D2216" s="184" t="n">
        <x:v>0</x:v>
      </x:c>
      <x:c r="E2216" s="184" t="n">
        <x:v>0</x:v>
      </x:c>
      <x:c r="F2216" s="184" t="n">
        <x:v>0</x:v>
      </x:c>
      <x:c r="G2216" s="184" t="n">
        <x:v>0</x:v>
      </x:c>
      <x:c r="H2216" s="193" t="n">
        <x:v>0</x:v>
      </x:c>
      <x:c r="I2216" s="185" t="n">
        <x:v>0</x:v>
      </x:c>
      <x:c r="J2216" s="185" t="n">
        <x:v>0</x:v>
      </x:c>
      <x:c r="K2216" s="289" t="n">
        <x:v>81791</x:v>
      </x:c>
    </x:row>
    <x:row r="2217" s="117" customFormat="1" hidden="1">
      <x:c r="A2217" s="184" t="inlineStr">
        <x:is>
          <x:t xml:space="preserve">PDTFRP001431</x:t>
        </x:is>
      </x:c>
      <x:c r="B2217" s="184" t="inlineStr">
        <x:is>
          <x:t xml:space="preserve">CANERIA 10PLGX6 MTS PN16 FRP BQ VINIESTER BE ISOFTALI PPT072FRP555</x:t>
        </x:is>
      </x:c>
      <x:c r="C2217" s="184" t="n">
        <x:v>0</x:v>
      </x:c>
      <x:c r="D2217" s="184" t="n">
        <x:v>0</x:v>
      </x:c>
      <x:c r="E2217" s="184" t="n">
        <x:v>0</x:v>
      </x:c>
      <x:c r="F2217" s="184" t="n">
        <x:v>0</x:v>
      </x:c>
      <x:c r="G2217" s="184" t="n">
        <x:v>0</x:v>
      </x:c>
      <x:c r="H2217" s="193" t="n">
        <x:v>0</x:v>
      </x:c>
      <x:c r="I2217" s="185" t="n">
        <x:v>0</x:v>
      </x:c>
      <x:c r="J2217" s="185" t="n">
        <x:v>0</x:v>
      </x:c>
      <x:c r="K2217" s="289" t="n">
        <x:v>92783</x:v>
      </x:c>
    </x:row>
    <x:row r="2218" s="117" customFormat="1" hidden="1">
      <x:c r="A2218" s="184" t="inlineStr">
        <x:is>
          <x:t xml:space="preserve">PDTFRP001432</x:t>
        </x:is>
      </x:c>
      <x:c r="B2218" s="184" t="inlineStr">
        <x:is>
          <x:t xml:space="preserve">GEL COAT RESINA VINILESTER RAL 1013</x:t>
        </x:is>
      </x:c>
      <x:c r="C2218" s="184" t="n">
        <x:v>0</x:v>
      </x:c>
      <x:c r="D2218" s="184" t="n">
        <x:v>0</x:v>
      </x:c>
      <x:c r="E2218" s="184" t="n">
        <x:v>0</x:v>
      </x:c>
      <x:c r="F2218" s="184" t="n">
        <x:v>0</x:v>
      </x:c>
      <x:c r="G2218" s="184" t="n">
        <x:v>0</x:v>
      </x:c>
      <x:c r="H2218" s="193" t="n">
        <x:v>0</x:v>
      </x:c>
      <x:c r="I2218" s="185" t="n">
        <x:v>0</x:v>
      </x:c>
      <x:c r="J2218" s="185" t="n">
        <x:v>0</x:v>
      </x:c>
      <x:c r="K2218" s="289" t="n">
        <x:v>6070.9</x:v>
      </x:c>
    </x:row>
    <x:row r="2219" s="117" customFormat="1" hidden="1">
      <x:c r="A2219" s="184" t="inlineStr">
        <x:is>
          <x:t xml:space="preserve">PDTFRP001433</x:t>
        </x:is>
      </x:c>
      <x:c r="B2219" s="184" t="inlineStr">
        <x:is>
          <x:t xml:space="preserve">DUCTO DN 300 FRP AVANCE 1000 MM  PPT072FRP557</x:t>
        </x:is>
      </x:c>
      <x:c r="C2219" s="184" t="n">
        <x:v>0</x:v>
      </x:c>
      <x:c r="D2219" s="184" t="n">
        <x:v>0</x:v>
      </x:c>
      <x:c r="E2219" s="184" t="n">
        <x:v>0</x:v>
      </x:c>
      <x:c r="F2219" s="184" t="n">
        <x:v>0</x:v>
      </x:c>
      <x:c r="G2219" s="184" t="n">
        <x:v>0</x:v>
      </x:c>
      <x:c r="H2219" s="193" t="n">
        <x:v>0</x:v>
      </x:c>
      <x:c r="I2219" s="185" t="n">
        <x:v>0</x:v>
      </x:c>
      <x:c r="J2219" s="185" t="n">
        <x:v>0</x:v>
      </x:c>
      <x:c r="K2219" s="289" t="n">
        <x:v>669396</x:v>
      </x:c>
    </x:row>
    <x:row r="2220" s="117" customFormat="1" hidden="1">
      <x:c r="A2220" s="184" t="inlineStr">
        <x:is>
          <x:t xml:space="preserve">PDTFRP001434</x:t>
        </x:is>
      </x:c>
      <x:c r="B2220" s="184" t="inlineStr">
        <x:is>
          <x:t xml:space="preserve">FLANGE CIEGO 20 PLG ANSI B16,5 PN 10 FRP VINILESTER PPT072FRP556</x:t>
        </x:is>
      </x:c>
      <x:c r="C2220" s="184" t="n">
        <x:v>0</x:v>
      </x:c>
      <x:c r="D2220" s="184" t="n">
        <x:v>0</x:v>
      </x:c>
      <x:c r="E2220" s="184" t="n">
        <x:v>0</x:v>
      </x:c>
      <x:c r="F2220" s="184" t="n">
        <x:v>0</x:v>
      </x:c>
      <x:c r="G2220" s="184" t="n">
        <x:v>0</x:v>
      </x:c>
      <x:c r="H2220" s="193" t="n">
        <x:v>0</x:v>
      </x:c>
      <x:c r="I2220" s="185" t="n">
        <x:v>0</x:v>
      </x:c>
      <x:c r="J2220" s="185" t="n">
        <x:v>0</x:v>
      </x:c>
      <x:c r="K2220" s="289" t="n">
        <x:v>932583</x:v>
      </x:c>
    </x:row>
    <x:row r="2221" s="117" customFormat="1" hidden="1">
      <x:c r="A2221" s="184" t="inlineStr">
        <x:is>
          <x:t xml:space="preserve">PDTFRP001435</x:t>
        </x:is>
      </x:c>
      <x:c r="B2221" s="184" t="inlineStr">
        <x:is>
          <x:t xml:space="preserve">codo 45| GRD DIAM 4 PLG FRP BQ VINILESTER PPT072FRP544</x:t>
        </x:is>
      </x:c>
      <x:c r="C2221" s="184" t="n">
        <x:v>0</x:v>
      </x:c>
      <x:c r="D2221" s="184" t="n">
        <x:v>0</x:v>
      </x:c>
      <x:c r="E2221" s="184" t="n">
        <x:v>0</x:v>
      </x:c>
      <x:c r="F2221" s="184" t="n">
        <x:v>0</x:v>
      </x:c>
      <x:c r="G2221" s="184" t="n">
        <x:v>0</x:v>
      </x:c>
      <x:c r="H2221" s="193" t="n">
        <x:v>0</x:v>
      </x:c>
      <x:c r="I2221" s="185" t="n">
        <x:v>0</x:v>
      </x:c>
      <x:c r="J2221" s="185" t="n">
        <x:v>0</x:v>
      </x:c>
      <x:c r="K2221" s="289" t="n">
        <x:v>61068</x:v>
      </x:c>
    </x:row>
    <x:row r="2222" s="117" customFormat="1" hidden="1">
      <x:c r="A2222" s="184" t="inlineStr">
        <x:is>
          <x:t xml:space="preserve">PDTFRP001436</x:t>
        </x:is>
      </x:c>
      <x:c r="B2222" s="184" t="inlineStr">
        <x:is>
          <x:t xml:space="preserve">codo 45 GRD DIAM 8 PLG FRP BQ VINILESTER PPT072FRP545</x:t>
        </x:is>
      </x:c>
      <x:c r="C2222" s="184" t="n">
        <x:v>0</x:v>
      </x:c>
      <x:c r="D2222" s="184" t="n">
        <x:v>0</x:v>
      </x:c>
      <x:c r="E2222" s="184" t="n">
        <x:v>0</x:v>
      </x:c>
      <x:c r="F2222" s="184" t="n">
        <x:v>0</x:v>
      </x:c>
      <x:c r="G2222" s="184" t="n">
        <x:v>0</x:v>
      </x:c>
      <x:c r="H2222" s="193" t="n">
        <x:v>0</x:v>
      </x:c>
      <x:c r="I2222" s="185" t="n">
        <x:v>0</x:v>
      </x:c>
      <x:c r="J2222" s="185" t="n">
        <x:v>0</x:v>
      </x:c>
      <x:c r="K2222" s="289" t="n">
        <x:v>118360</x:v>
      </x:c>
    </x:row>
    <x:row r="2223" s="117" customFormat="1" hidden="1">
      <x:c r="A2223" s="184" t="inlineStr">
        <x:is>
          <x:t xml:space="preserve">PDTFRP001437</x:t>
        </x:is>
      </x:c>
      <x:c r="B2223" s="184" t="inlineStr">
        <x:is>
          <x:t xml:space="preserve">FLANGE FF DIAM 4 PLG FRP VINILESTER ASTM C-582.ASME B16.5 PPT072FRP546</x:t>
        </x:is>
      </x:c>
      <x:c r="C2223" s="184" t="n">
        <x:v>0</x:v>
      </x:c>
      <x:c r="D2223" s="184" t="n">
        <x:v>0</x:v>
      </x:c>
      <x:c r="E2223" s="184" t="n">
        <x:v>0</x:v>
      </x:c>
      <x:c r="F2223" s="184" t="n">
        <x:v>0</x:v>
      </x:c>
      <x:c r="G2223" s="184" t="n">
        <x:v>0</x:v>
      </x:c>
      <x:c r="H2223" s="193" t="n">
        <x:v>0</x:v>
      </x:c>
      <x:c r="I2223" s="185" t="n">
        <x:v>0</x:v>
      </x:c>
      <x:c r="J2223" s="185" t="n">
        <x:v>0</x:v>
      </x:c>
      <x:c r="K2223" s="289" t="n">
        <x:v>215753</x:v>
      </x:c>
    </x:row>
    <x:row r="2224" s="117" customFormat="1" hidden="1">
      <x:c r="A2224" s="184" t="inlineStr">
        <x:is>
          <x:t xml:space="preserve">PDTFRP001438</x:t>
        </x:is>
      </x:c>
      <x:c r="B2224" s="184" t="inlineStr">
        <x:is>
          <x:t xml:space="preserve">TEE RECTA DIAM 4 PLG FRP VINILESTER BQ VELO C  PP072FRP547</x:t>
        </x:is>
      </x:c>
      <x:c r="C2224" s="184" t="n">
        <x:v>0</x:v>
      </x:c>
      <x:c r="D2224" s="184" t="n">
        <x:v>0</x:v>
      </x:c>
      <x:c r="E2224" s="184" t="n">
        <x:v>0</x:v>
      </x:c>
      <x:c r="F2224" s="184" t="n">
        <x:v>0</x:v>
      </x:c>
      <x:c r="G2224" s="184" t="n">
        <x:v>0</x:v>
      </x:c>
      <x:c r="H2224" s="193" t="n">
        <x:v>0</x:v>
      </x:c>
      <x:c r="I2224" s="185" t="n">
        <x:v>0</x:v>
      </x:c>
      <x:c r="J2224" s="185" t="n">
        <x:v>0</x:v>
      </x:c>
      <x:c r="K2224" s="289" t="n">
        <x:v>257595</x:v>
      </x:c>
    </x:row>
    <x:row r="2225" s="117" customFormat="1" hidden="1">
      <x:c r="A2225" s="184" t="inlineStr">
        <x:is>
          <x:t xml:space="preserve">PDTFRP001439</x:t>
        </x:is>
      </x:c>
      <x:c r="B2225" s="184" t="inlineStr">
        <x:is>
          <x:t xml:space="preserve">FABRICACIOCENTINELA RLS1124-NV0000 N DUCTOS FRP-PP TREN D</x:t>
        </x:is>
      </x:c>
      <x:c r="C2225" s="184" t="n">
        <x:v>0</x:v>
      </x:c>
      <x:c r="D2225" s="184" t="n">
        <x:v>0</x:v>
      </x:c>
      <x:c r="E2225" s="184" t="n">
        <x:v>0</x:v>
      </x:c>
      <x:c r="F2225" s="184" t="n">
        <x:v>0</x:v>
      </x:c>
      <x:c r="G2225" s="184" t="n">
        <x:v>0</x:v>
      </x:c>
      <x:c r="H2225" s="193" t="n">
        <x:v>0</x:v>
      </x:c>
      <x:c r="I2225" s="185" t="n">
        <x:v>0</x:v>
      </x:c>
      <x:c r="J2225" s="185" t="n">
        <x:v>0</x:v>
      </x:c>
      <x:c r="K2225" s="289" t="n">
        <x:v>7366867</x:v>
      </x:c>
    </x:row>
    <x:row r="2226" s="117" customFormat="1" hidden="1">
      <x:c r="A2226" s="184" t="inlineStr">
        <x:is>
          <x:t xml:space="preserve">PDTFRP001440</x:t>
        </x:is>
      </x:c>
      <x:c r="B2226" s="184" t="inlineStr">
        <x:is>
          <x:t xml:space="preserve">SPOOL 2 TAMBOR 40-AD-001 PL/SCKETCH-DWG-00065 REV.0 PPT072FRP313</x:t>
        </x:is>
      </x:c>
      <x:c r="C2226" s="184" t="n">
        <x:v>0</x:v>
      </x:c>
      <x:c r="D2226" s="184" t="n">
        <x:v>0</x:v>
      </x:c>
      <x:c r="E2226" s="184" t="n">
        <x:v>0</x:v>
      </x:c>
      <x:c r="F2226" s="184" t="n">
        <x:v>0</x:v>
      </x:c>
      <x:c r="G2226" s="184" t="n">
        <x:v>0</x:v>
      </x:c>
      <x:c r="H2226" s="193" t="n">
        <x:v>0</x:v>
      </x:c>
      <x:c r="I2226" s="185" t="n">
        <x:v>0</x:v>
      </x:c>
      <x:c r="J2226" s="185" t="n">
        <x:v>0</x:v>
      </x:c>
      <x:c r="K2226" s="289" t="n">
        <x:v>4664483</x:v>
      </x:c>
    </x:row>
    <x:row r="2227" s="117" customFormat="1" hidden="1">
      <x:c r="A2227" s="184" t="inlineStr">
        <x:is>
          <x:t xml:space="preserve">PDTFRP001441</x:t>
        </x:is>
      </x:c>
      <x:c r="B2227" s="184" t="inlineStr">
        <x:is>
          <x:t xml:space="preserve">FLANGE FIJO DIAM 914.4 MM AVANCE DE 500 MM FRP PL/IP-134-15-DW-MEC-003.L1-C PPT072FRP548</x:t>
        </x:is>
      </x:c>
      <x:c r="C2227" s="184" t="n">
        <x:v>0</x:v>
      </x:c>
      <x:c r="D2227" s="184" t="n">
        <x:v>0</x:v>
      </x:c>
      <x:c r="E2227" s="184" t="n">
        <x:v>0</x:v>
      </x:c>
      <x:c r="F2227" s="184" t="n">
        <x:v>0</x:v>
      </x:c>
      <x:c r="G2227" s="184" t="n">
        <x:v>0</x:v>
      </x:c>
      <x:c r="H2227" s="193" t="n">
        <x:v>0</x:v>
      </x:c>
      <x:c r="I2227" s="185" t="n">
        <x:v>0</x:v>
      </x:c>
      <x:c r="J2227" s="185" t="n">
        <x:v>0</x:v>
      </x:c>
      <x:c r="K2227" s="289" t="n">
        <x:v>698588</x:v>
      </x:c>
    </x:row>
    <x:row r="2228" s="117" customFormat="1" hidden="1">
      <x:c r="A2228" s="184" t="inlineStr">
        <x:is>
          <x:t xml:space="preserve">PDTFRP001442</x:t>
        </x:is>
      </x:c>
      <x:c r="B2228" s="184" t="inlineStr">
        <x:is>
          <x:t xml:space="preserve">TEE RECTA DIAM 4 PLG FRP VINILESTER BQ VELO C  PP072FRP547</x:t>
        </x:is>
      </x:c>
      <x:c r="C2228" s="184" t="n">
        <x:v>0</x:v>
      </x:c>
      <x:c r="D2228" s="184" t="n">
        <x:v>0</x:v>
      </x:c>
      <x:c r="E2228" s="184" t="n">
        <x:v>0</x:v>
      </x:c>
      <x:c r="F2228" s="184" t="n">
        <x:v>0</x:v>
      </x:c>
      <x:c r="G2228" s="184" t="n">
        <x:v>0</x:v>
      </x:c>
      <x:c r="H2228" s="193" t="n">
        <x:v>0</x:v>
      </x:c>
      <x:c r="I2228" s="185" t="n">
        <x:v>0</x:v>
      </x:c>
      <x:c r="J2228" s="185" t="n">
        <x:v>0</x:v>
      </x:c>
      <x:c r="K2228" s="289" t="n">
        <x:v>290201</x:v>
      </x:c>
    </x:row>
    <x:row r="2229" s="117" customFormat="1" hidden="1">
      <x:c r="A2229" s="184" t="inlineStr">
        <x:is>
          <x:t xml:space="preserve">PDTFRP001443</x:t>
        </x:is>
      </x:c>
      <x:c r="B2229" s="184" t="inlineStr">
        <x:is>
          <x:t xml:space="preserve">DUCTO DIAM 2000 X 3000 MM PN10 FRP NQ NILILESTER BE ISOFTALICA PPT072FRP559</x:t>
        </x:is>
      </x:c>
      <x:c r="C2229" s="184" t="n">
        <x:v>0</x:v>
      </x:c>
      <x:c r="D2229" s="184" t="n">
        <x:v>0</x:v>
      </x:c>
      <x:c r="E2229" s="184" t="n">
        <x:v>0</x:v>
      </x:c>
      <x:c r="F2229" s="184" t="n">
        <x:v>0</x:v>
      </x:c>
      <x:c r="G2229" s="184" t="n">
        <x:v>0</x:v>
      </x:c>
      <x:c r="H2229" s="193" t="n">
        <x:v>0</x:v>
      </x:c>
      <x:c r="I2229" s="185" t="n">
        <x:v>0</x:v>
      </x:c>
      <x:c r="J2229" s="185" t="n">
        <x:v>0</x:v>
      </x:c>
      <x:c r="K2229" s="289" t="n">
        <x:v>6030814</x:v>
      </x:c>
    </x:row>
    <x:row r="2230" s="117" customFormat="1" hidden="1">
      <x:c r="A2230" s="184" t="inlineStr">
        <x:is>
          <x:t xml:space="preserve">PDTFRP001444</x:t>
        </x:is>
      </x:c>
      <x:c r="B2230" s="184" t="inlineStr">
        <x:is>
          <x:t xml:space="preserve">115321160 MANHOLE DIAM 32 PLG X 650 MM DL PE(HDPE)-FRP VINILESTER PPT073HDF000</x:t>
        </x:is>
      </x:c>
      <x:c r="C2230" s="184" t="n">
        <x:v>0</x:v>
      </x:c>
      <x:c r="D2230" s="184" t="n">
        <x:v>0</x:v>
      </x:c>
      <x:c r="E2230" s="184" t="n">
        <x:v>0</x:v>
      </x:c>
      <x:c r="F2230" s="184" t="n">
        <x:v>0</x:v>
      </x:c>
      <x:c r="G2230" s="184" t="n">
        <x:v>0</x:v>
      </x:c>
      <x:c r="H2230" s="193" t="n">
        <x:v>0</x:v>
      </x:c>
      <x:c r="I2230" s="185" t="n">
        <x:v>0</x:v>
      </x:c>
      <x:c r="J2230" s="185" t="n">
        <x:v>0</x:v>
      </x:c>
      <x:c r="K2230" s="289" t="n">
        <x:v>2910737</x:v>
      </x:c>
    </x:row>
    <x:row r="2231" s="117" customFormat="1" hidden="1">
      <x:c r="A2231" s="184" t="inlineStr">
        <x:is>
          <x:t xml:space="preserve">PDTFRP001445</x:t>
        </x:is>
      </x:c>
      <x:c r="B2231" s="184" t="inlineStr">
        <x:is>
          <x:t xml:space="preserve">FLANGE CIEGO FRP  DN900 CON 100 MM ESP  PPT072FRP560</x:t>
        </x:is>
      </x:c>
      <x:c r="C2231" s="184" t="n">
        <x:v>0</x:v>
      </x:c>
      <x:c r="D2231" s="184" t="n">
        <x:v>0</x:v>
      </x:c>
      <x:c r="E2231" s="184" t="n">
        <x:v>0</x:v>
      </x:c>
      <x:c r="F2231" s="184" t="n">
        <x:v>0</x:v>
      </x:c>
      <x:c r="G2231" s="184" t="n">
        <x:v>0</x:v>
      </x:c>
      <x:c r="H2231" s="193" t="n">
        <x:v>0</x:v>
      </x:c>
      <x:c r="I2231" s="185" t="n">
        <x:v>0</x:v>
      </x:c>
      <x:c r="J2231" s="185" t="n">
        <x:v>0</x:v>
      </x:c>
      <x:c r="K2231" s="289" t="n">
        <x:v>2237020</x:v>
      </x:c>
    </x:row>
    <x:row r="2232" s="117" customFormat="1" hidden="1">
      <x:c r="A2232" s="184" t="inlineStr">
        <x:is>
          <x:t xml:space="preserve">PDTFRP001446</x:t>
        </x:is>
      </x:c>
      <x:c r="B2232" s="184" t="inlineStr">
        <x:is>
          <x:t xml:space="preserve">BOQUILLA 24 IN FRP 600PP014 ( PPT072FRP561)</x:t>
        </x:is>
      </x:c>
      <x:c r="C2232" s="184" t="n">
        <x:v>0</x:v>
      </x:c>
      <x:c r="D2232" s="184" t="n">
        <x:v>0</x:v>
      </x:c>
      <x:c r="E2232" s="184" t="n">
        <x:v>0</x:v>
      </x:c>
      <x:c r="F2232" s="184" t="n">
        <x:v>0</x:v>
      </x:c>
      <x:c r="G2232" s="184" t="n">
        <x:v>0</x:v>
      </x:c>
      <x:c r="H2232" s="193" t="n">
        <x:v>0</x:v>
      </x:c>
      <x:c r="I2232" s="185" t="n">
        <x:v>0</x:v>
      </x:c>
      <x:c r="J2232" s="185" t="n">
        <x:v>0</x:v>
      </x:c>
      <x:c r="K2232" s="289" t="n">
        <x:v>2372734</x:v>
      </x:c>
    </x:row>
    <x:row r="2233" s="117" customFormat="1" hidden="1">
      <x:c r="A2233" s="184" t="inlineStr">
        <x:is>
          <x:t xml:space="preserve">PDTFRP001447</x:t>
        </x:is>
      </x:c>
      <x:c r="B2233" s="184" t="inlineStr">
        <x:is>
          <x:t xml:space="preserve">FLANGE SLIP-ON FRP RLS1224-NV0000</x:t>
        </x:is>
      </x:c>
      <x:c r="C2233" s="184" t="n">
        <x:v>0</x:v>
      </x:c>
      <x:c r="D2233" s="184" t="n">
        <x:v>0</x:v>
      </x:c>
      <x:c r="E2233" s="184" t="n">
        <x:v>0</x:v>
      </x:c>
      <x:c r="F2233" s="184" t="n">
        <x:v>0</x:v>
      </x:c>
      <x:c r="G2233" s="184" t="n">
        <x:v>0</x:v>
      </x:c>
      <x:c r="H2233" s="193" t="n">
        <x:v>0</x:v>
      </x:c>
      <x:c r="I2233" s="185" t="n">
        <x:v>0</x:v>
      </x:c>
      <x:c r="J2233" s="185" t="n">
        <x:v>0</x:v>
      </x:c>
      <x:c r="K2233" s="289" t="n">
        <x:v>1327779</x:v>
      </x:c>
    </x:row>
    <x:row r="2234" s="117" customFormat="1" hidden="1">
      <x:c r="A2234" s="184" t="inlineStr">
        <x:is>
          <x:t xml:space="preserve">PDTFRP001448</x:t>
        </x:is>
      </x:c>
      <x:c r="B2234" s="184" t="inlineStr">
        <x:is>
          <x:t xml:space="preserve">CAÑERIA DIAM 5 PLG X 6000 MM FRP BQ VINILESTER BE ISOFTALICA PPT072FRP567</x:t>
        </x:is>
      </x:c>
      <x:c r="C2234" s="184" t="n">
        <x:v>0</x:v>
      </x:c>
      <x:c r="D2234" s="184" t="n">
        <x:v>0</x:v>
      </x:c>
      <x:c r="E2234" s="184" t="n">
        <x:v>0</x:v>
      </x:c>
      <x:c r="F2234" s="184" t="n">
        <x:v>0</x:v>
      </x:c>
      <x:c r="G2234" s="184" t="n">
        <x:v>0</x:v>
      </x:c>
      <x:c r="H2234" s="193" t="n">
        <x:v>0</x:v>
      </x:c>
      <x:c r="I2234" s="185" t="n">
        <x:v>0</x:v>
      </x:c>
      <x:c r="J2234" s="185" t="n">
        <x:v>0</x:v>
      </x:c>
      <x:c r="K2234" s="289" t="n">
        <x:v>297600</x:v>
      </x:c>
    </x:row>
    <x:row r="2235" s="117" customFormat="1" hidden="1">
      <x:c r="A2235" s="184" t="inlineStr">
        <x:is>
          <x:t xml:space="preserve">PDTFRP001449</x:t>
        </x:is>
      </x:c>
      <x:c r="B2235" s="184" t="inlineStr">
        <x:is>
          <x:t xml:space="preserve">BRIDA (FLANGE FIJO) DIAM 16 PLG FRP BQ VINILESTER BE ISOFTALICA PPT072FRP568</x:t>
        </x:is>
      </x:c>
      <x:c r="C2235" s="184" t="n">
        <x:v>0</x:v>
      </x:c>
      <x:c r="D2235" s="184" t="n">
        <x:v>0</x:v>
      </x:c>
      <x:c r="E2235" s="184" t="n">
        <x:v>0</x:v>
      </x:c>
      <x:c r="F2235" s="184" t="n">
        <x:v>0</x:v>
      </x:c>
      <x:c r="G2235" s="184" t="n">
        <x:v>0</x:v>
      </x:c>
      <x:c r="H2235" s="193" t="n">
        <x:v>0</x:v>
      </x:c>
      <x:c r="I2235" s="185" t="n">
        <x:v>0</x:v>
      </x:c>
      <x:c r="J2235" s="185" t="n">
        <x:v>0</x:v>
      </x:c>
      <x:c r="K2235" s="289" t="n">
        <x:v>218500</x:v>
      </x:c>
    </x:row>
    <x:row r="2236" s="117" customFormat="1" hidden="1">
      <x:c r="A2236" s="184" t="inlineStr">
        <x:is>
          <x:t xml:space="preserve">PDTFRP001450</x:t>
        </x:is>
      </x:c>
      <x:c r="B2236" s="184" t="inlineStr">
        <x:is>
          <x:t xml:space="preserve">BRIDA (FLANGE FIJO) DIAM 5 PLG FRP BQ VINILESTER BE ISOFTALICA PPT072FRP569</x:t>
        </x:is>
      </x:c>
      <x:c r="C2236" s="184" t="n">
        <x:v>0</x:v>
      </x:c>
      <x:c r="D2236" s="184" t="n">
        <x:v>0</x:v>
      </x:c>
      <x:c r="E2236" s="184" t="n">
        <x:v>0</x:v>
      </x:c>
      <x:c r="F2236" s="184" t="n">
        <x:v>0</x:v>
      </x:c>
      <x:c r="G2236" s="184" t="n">
        <x:v>0</x:v>
      </x:c>
      <x:c r="H2236" s="193" t="n">
        <x:v>0</x:v>
      </x:c>
      <x:c r="I2236" s="185" t="n">
        <x:v>0</x:v>
      </x:c>
      <x:c r="J2236" s="185" t="n">
        <x:v>0</x:v>
      </x:c>
      <x:c r="K2236" s="289" t="n">
        <x:v>62800</x:v>
      </x:c>
    </x:row>
    <x:row r="2237" s="117" customFormat="1" hidden="1">
      <x:c r="A2237" s="184" t="inlineStr">
        <x:is>
          <x:t xml:space="preserve">PDTFRP001451</x:t>
        </x:is>
      </x:c>
      <x:c r="B2237" s="184" t="inlineStr">
        <x:is>
          <x:t xml:space="preserve">SPOOL DESCARGA BBA P111 JCC0225-NV0000</x:t>
        </x:is>
      </x:c>
      <x:c r="C2237" s="184" t="n">
        <x:v>0</x:v>
      </x:c>
      <x:c r="D2237" s="184" t="n">
        <x:v>0</x:v>
      </x:c>
      <x:c r="E2237" s="184" t="n">
        <x:v>0</x:v>
      </x:c>
      <x:c r="F2237" s="184" t="n">
        <x:v>0</x:v>
      </x:c>
      <x:c r="G2237" s="184" t="n">
        <x:v>0</x:v>
      </x:c>
      <x:c r="H2237" s="193" t="n">
        <x:v>0</x:v>
      </x:c>
      <x:c r="I2237" s="185" t="n">
        <x:v>0</x:v>
      </x:c>
      <x:c r="J2237" s="185" t="n">
        <x:v>0</x:v>
      </x:c>
      <x:c r="K2237" s="289" t="n">
        <x:v>4829583</x:v>
      </x:c>
    </x:row>
    <x:row r="2238" s="117" customFormat="1" hidden="1">
      <x:c r="A2238" s="184" t="inlineStr">
        <x:is>
          <x:t xml:space="preserve">PDTFRP001452</x:t>
        </x:is>
      </x:c>
      <x:c r="B2238" s="184" t="inlineStr">
        <x:is>
          <x:t xml:space="preserve">SPOOL PVDF-FRP OTOVENT OC-4502374857</x:t>
        </x:is>
      </x:c>
      <x:c r="C2238" s="184" t="n">
        <x:v>0</x:v>
      </x:c>
      <x:c r="D2238" s="184" t="n">
        <x:v>0</x:v>
      </x:c>
      <x:c r="E2238" s="184" t="n">
        <x:v>0</x:v>
      </x:c>
      <x:c r="F2238" s="184" t="n">
        <x:v>0</x:v>
      </x:c>
      <x:c r="G2238" s="184" t="n">
        <x:v>-1</x:v>
      </x:c>
      <x:c r="H2238" s="193" t="n">
        <x:v>0</x:v>
      </x:c>
      <x:c r="I2238" s="185" t="n">
        <x:v>0</x:v>
      </x:c>
      <x:c r="J2238" s="185" t="n">
        <x:v>-1</x:v>
      </x:c>
      <x:c r="K2238" s="289" t="n">
        <x:v>21754137</x:v>
      </x:c>
    </x:row>
    <x:row r="2239" s="117" customFormat="1" hidden="1">
      <x:c r="A2239" s="184" t="inlineStr">
        <x:is>
          <x:t xml:space="preserve">PDTFRP001453</x:t>
        </x:is>
      </x:c>
      <x:c r="B2239" s="184" t="inlineStr">
        <x:is>
          <x:t xml:space="preserve">11550080 SPOOL 001-B-1@2(DUCTO RECTO BYPASS AGLOMERADOR 40-AD-001)</x:t>
        </x:is>
      </x:c>
      <x:c r="C2239" s="184" t="n">
        <x:v>0</x:v>
      </x:c>
      <x:c r="D2239" s="184" t="n">
        <x:v>0</x:v>
      </x:c>
      <x:c r="E2239" s="184" t="n">
        <x:v>0</x:v>
      </x:c>
      <x:c r="F2239" s="184" t="n">
        <x:v>0</x:v>
      </x:c>
      <x:c r="G2239" s="184" t="n">
        <x:v>0</x:v>
      </x:c>
      <x:c r="H2239" s="193" t="n">
        <x:v>0</x:v>
      </x:c>
      <x:c r="I2239" s="185" t="n">
        <x:v>0</x:v>
      </x:c>
      <x:c r="J2239" s="185" t="n">
        <x:v>0</x:v>
      </x:c>
      <x:c r="K2239" s="289" t="n">
        <x:v>3041899</x:v>
      </x:c>
    </x:row>
    <x:row r="2240" s="117" customFormat="1" hidden="1">
      <x:c r="A2240" s="184" t="inlineStr">
        <x:is>
          <x:t xml:space="preserve">PDTFRP001454</x:t>
        </x:is>
      </x:c>
      <x:c r="B2240" s="184" t="inlineStr">
        <x:is>
          <x:t xml:space="preserve">TAPA CIEGA DN2300 GRP,SEGUN ESTANDAR FLANGE DN2300 PN2,60 MM ESPECIAL</x:t>
        </x:is>
      </x:c>
      <x:c r="C2240" s="184" t="n">
        <x:v>0</x:v>
      </x:c>
      <x:c r="D2240" s="184" t="n">
        <x:v>0</x:v>
      </x:c>
      <x:c r="E2240" s="184" t="n">
        <x:v>0</x:v>
      </x:c>
      <x:c r="F2240" s="184" t="n">
        <x:v>0</x:v>
      </x:c>
      <x:c r="G2240" s="184" t="n">
        <x:v>0</x:v>
      </x:c>
      <x:c r="H2240" s="193" t="n">
        <x:v>0</x:v>
      </x:c>
      <x:c r="I2240" s="185" t="n">
        <x:v>0</x:v>
      </x:c>
      <x:c r="J2240" s="185" t="n">
        <x:v>0</x:v>
      </x:c>
      <x:c r="K2240" s="289" t="n">
        <x:v>7272745</x:v>
      </x:c>
    </x:row>
    <x:row r="2241" s="117" customFormat="1" hidden="1">
      <x:c r="A2241" s="184" t="inlineStr">
        <x:is>
          <x:t xml:space="preserve">PDTFRP001455</x:t>
        </x:is>
      </x:c>
      <x:c r="B2241" s="184" t="inlineStr">
        <x:is>
          <x:t xml:space="preserve">1607441 TAPA TORRE CONDENSADORA C/REV FRP/ECTFE PPT073ECF002</x:t>
        </x:is>
      </x:c>
      <x:c r="C2241" s="184" t="n">
        <x:v>0</x:v>
      </x:c>
      <x:c r="D2241" s="184" t="n">
        <x:v>0</x:v>
      </x:c>
      <x:c r="E2241" s="184" t="n">
        <x:v>0</x:v>
      </x:c>
      <x:c r="F2241" s="184" t="n">
        <x:v>0</x:v>
      </x:c>
      <x:c r="G2241" s="184" t="n">
        <x:v>0</x:v>
      </x:c>
      <x:c r="H2241" s="193" t="n">
        <x:v>0</x:v>
      </x:c>
      <x:c r="I2241" s="185" t="n">
        <x:v>0</x:v>
      </x:c>
      <x:c r="J2241" s="185" t="n">
        <x:v>0</x:v>
      </x:c>
      <x:c r="K2241" s="289" t="n">
        <x:v>4111153</x:v>
      </x:c>
    </x:row>
    <x:row r="2242" s="117" customFormat="1" hidden="1">
      <x:c r="A2242" s="184" t="inlineStr">
        <x:is>
          <x:t xml:space="preserve">PDTFRP001456</x:t>
        </x:is>
      </x:c>
      <x:c r="B2242" s="184" t="inlineStr">
        <x:is>
          <x:t xml:space="preserve">SUMINISTRO ANILLOS SALVADOR JCC0224-NV0001</x:t>
        </x:is>
      </x:c>
      <x:c r="C2242" s="184" t="n">
        <x:v>0</x:v>
      </x:c>
      <x:c r="D2242" s="184" t="n">
        <x:v>0</x:v>
      </x:c>
      <x:c r="E2242" s="184" t="n">
        <x:v>0</x:v>
      </x:c>
      <x:c r="F2242" s="184" t="n">
        <x:v>0</x:v>
      </x:c>
      <x:c r="G2242" s="184" t="n">
        <x:v>0</x:v>
      </x:c>
      <x:c r="H2242" s="193" t="n">
        <x:v>0</x:v>
      </x:c>
      <x:c r="I2242" s="185" t="n">
        <x:v>0</x:v>
      </x:c>
      <x:c r="J2242" s="185" t="n">
        <x:v>0</x:v>
      </x:c>
      <x:c r="K2242" s="289" t="n">
        <x:v>552404</x:v>
      </x:c>
    </x:row>
    <x:row r="2243" s="117" customFormat="1" hidden="1">
      <x:c r="A2243" s="184" t="inlineStr">
        <x:is>
          <x:t xml:space="preserve">PDTFRP001457</x:t>
        </x:is>
      </x:c>
      <x:c r="B2243" s="184" t="inlineStr">
        <x:is>
          <x:t xml:space="preserve">REPARACION ECTFE DE CHIMENEA STACK PPT074SCT000</x:t>
        </x:is>
      </x:c>
      <x:c r="C2243" s="184" t="n">
        <x:v>0</x:v>
      </x:c>
      <x:c r="D2243" s="184" t="n">
        <x:v>0</x:v>
      </x:c>
      <x:c r="E2243" s="184" t="n">
        <x:v>0</x:v>
      </x:c>
      <x:c r="F2243" s="184" t="n">
        <x:v>0</x:v>
      </x:c>
      <x:c r="G2243" s="184" t="n">
        <x:v>0</x:v>
      </x:c>
      <x:c r="H2243" s="193" t="n">
        <x:v>0</x:v>
      </x:c>
      <x:c r="I2243" s="185" t="n">
        <x:v>0</x:v>
      </x:c>
      <x:c r="J2243" s="185" t="n">
        <x:v>0</x:v>
      </x:c>
      <x:c r="K2243" s="289" t="n">
        <x:v>780032</x:v>
      </x:c>
    </x:row>
    <x:row r="2244" s="117" customFormat="1" hidden="1">
      <x:c r="A2244" s="184" t="inlineStr">
        <x:is>
          <x:t xml:space="preserve">PDTFRP001458</x:t>
        </x:is>
      </x:c>
      <x:c r="B2244" s="184" t="inlineStr">
        <x:is>
          <x:t xml:space="preserve">11300014 DUCTO SPOOL 006 PPT072FRP586</x:t>
        </x:is>
      </x:c>
      <x:c r="C2244" s="184" t="n">
        <x:v>0</x:v>
      </x:c>
      <x:c r="D2244" s="184" t="n">
        <x:v>0</x:v>
      </x:c>
      <x:c r="E2244" s="184" t="n">
        <x:v>0</x:v>
      </x:c>
      <x:c r="F2244" s="184" t="n">
        <x:v>0</x:v>
      </x:c>
      <x:c r="G2244" s="184" t="n">
        <x:v>0</x:v>
      </x:c>
      <x:c r="H2244" s="193" t="n">
        <x:v>0</x:v>
      </x:c>
      <x:c r="I2244" s="185" t="n">
        <x:v>0</x:v>
      </x:c>
      <x:c r="J2244" s="185" t="n">
        <x:v>0</x:v>
      </x:c>
      <x:c r="K2244" s="289" t="n">
        <x:v>6736049</x:v>
      </x:c>
    </x:row>
    <x:row r="2245" s="117" customFormat="1" hidden="1">
      <x:c r="A2245" s="184" t="inlineStr">
        <x:is>
          <x:t xml:space="preserve">PDTFRP001459</x:t>
        </x:is>
      </x:c>
      <x:c r="B2245" s="184" t="inlineStr">
        <x:is>
          <x:t xml:space="preserve">REDUCCION EXCENTRICA DI 455  MM A  DI 205 MMAVANCE 630 MM PPT072FRP589</x:t>
        </x:is>
      </x:c>
      <x:c r="C2245" s="184" t="n">
        <x:v>0</x:v>
      </x:c>
      <x:c r="D2245" s="184" t="n">
        <x:v>0</x:v>
      </x:c>
      <x:c r="E2245" s="184" t="n">
        <x:v>0</x:v>
      </x:c>
      <x:c r="F2245" s="184" t="n">
        <x:v>0</x:v>
      </x:c>
      <x:c r="G2245" s="184" t="n">
        <x:v>0</x:v>
      </x:c>
      <x:c r="H2245" s="193" t="n">
        <x:v>0</x:v>
      </x:c>
      <x:c r="I2245" s="185" t="n">
        <x:v>0</x:v>
      </x:c>
      <x:c r="J2245" s="185" t="n">
        <x:v>0</x:v>
      </x:c>
      <x:c r="K2245" s="289" t="n">
        <x:v>289346</x:v>
      </x:c>
    </x:row>
    <x:row r="2246" s="117" customFormat="1" hidden="1">
      <x:c r="A2246" s="184" t="inlineStr">
        <x:is>
          <x:t xml:space="preserve">PDTFRP001460</x:t>
        </x:is>
      </x:c>
      <x:c r="B2246" s="184" t="inlineStr">
        <x:is>
          <x:t xml:space="preserve">SUMINISTRO PIEZAS FRP WE 5010487570 JCC0425-NV0000 RAJO INCA</x:t>
        </x:is>
      </x:c>
      <x:c r="C2246" s="184" t="n">
        <x:v>0</x:v>
      </x:c>
      <x:c r="D2246" s="184" t="n">
        <x:v>0</x:v>
      </x:c>
      <x:c r="E2246" s="184" t="n">
        <x:v>0</x:v>
      </x:c>
      <x:c r="F2246" s="184" t="n">
        <x:v>0</x:v>
      </x:c>
      <x:c r="G2246" s="184" t="n">
        <x:v>0</x:v>
      </x:c>
      <x:c r="H2246" s="193" t="n">
        <x:v>0</x:v>
      </x:c>
      <x:c r="I2246" s="185" t="n">
        <x:v>0</x:v>
      </x:c>
      <x:c r="J2246" s="185" t="n">
        <x:v>0</x:v>
      </x:c>
      <x:c r="K2246" s="289" t="n">
        <x:v>3491975</x:v>
      </x:c>
    </x:row>
    <x:row r="2247" s="117" customFormat="1" hidden="1">
      <x:c r="A2247" s="184" t="inlineStr">
        <x:is>
          <x:t xml:space="preserve">PDTFRP001461</x:t>
        </x:is>
      </x:c>
      <x:c r="B2247" s="184" t="inlineStr">
        <x:is>
          <x:t xml:space="preserve">421718 VIGA REVESTIDA PLNGP2SK761</x:t>
        </x:is>
      </x:c>
      <x:c r="C2247" s="184" t="n">
        <x:v>0</x:v>
      </x:c>
      <x:c r="D2247" s="184" t="n">
        <x:v>0</x:v>
      </x:c>
      <x:c r="E2247" s="184" t="n">
        <x:v>0</x:v>
      </x:c>
      <x:c r="F2247" s="184" t="n">
        <x:v>0</x:v>
      </x:c>
      <x:c r="G2247" s="184" t="n">
        <x:v>0</x:v>
      </x:c>
      <x:c r="H2247" s="193" t="n">
        <x:v>0</x:v>
      </x:c>
      <x:c r="I2247" s="185" t="n">
        <x:v>0</x:v>
      </x:c>
      <x:c r="J2247" s="185" t="n">
        <x:v>0</x:v>
      </x:c>
      <x:c r="K2247" s="289" t="n">
        <x:v>12114484</x:v>
      </x:c>
    </x:row>
    <x:row r="2248" s="117" customFormat="1" hidden="1">
      <x:c r="A2248" s="184" t="inlineStr">
        <x:is>
          <x:t xml:space="preserve">PDTFRP001462</x:t>
        </x:is>
      </x:c>
      <x:c r="B2248" s="184" t="inlineStr">
        <x:is>
          <x:t xml:space="preserve">6460925 SPOOL Y CAÑERIA GABY OC-4502387371</x:t>
        </x:is>
      </x:c>
      <x:c r="C2248" s="184" t="n">
        <x:v>0</x:v>
      </x:c>
      <x:c r="D2248" s="184" t="n">
        <x:v>0</x:v>
      </x:c>
      <x:c r="E2248" s="184" t="n">
        <x:v>0</x:v>
      </x:c>
      <x:c r="F2248" s="184" t="n">
        <x:v>0</x:v>
      </x:c>
      <x:c r="G2248" s="184" t="n">
        <x:v>-1</x:v>
      </x:c>
      <x:c r="H2248" s="193" t="n">
        <x:v>0</x:v>
      </x:c>
      <x:c r="I2248" s="185" t="n">
        <x:v>0</x:v>
      </x:c>
      <x:c r="J2248" s="185" t="n">
        <x:v>-1</x:v>
      </x:c>
      <x:c r="K2248" s="289" t="n">
        <x:v>34760682.5</x:v>
      </x:c>
    </x:row>
    <x:row r="2249" s="117" customFormat="1" hidden="1">
      <x:c r="A2249" s="184" t="inlineStr">
        <x:is>
          <x:t xml:space="preserve">PDTFRP001463</x:t>
        </x:is>
      </x:c>
      <x:c r="B2249" s="184" t="inlineStr">
        <x:is>
          <x:t xml:space="preserve">SERVICIOS DE TRANSPORTES FRP</x:t>
        </x:is>
      </x:c>
      <x:c r="C2249" s="184" t="n">
        <x:v>0</x:v>
      </x:c>
      <x:c r="D2249" s="184" t="n">
        <x:v>0</x:v>
      </x:c>
      <x:c r="E2249" s="184" t="n">
        <x:v>0</x:v>
      </x:c>
      <x:c r="F2249" s="184" t="n">
        <x:v>0</x:v>
      </x:c>
      <x:c r="G2249" s="184" t="n">
        <x:v>0</x:v>
      </x:c>
      <x:c r="H2249" s="193" t="n">
        <x:v>0</x:v>
      </x:c>
      <x:c r="I2249" s="185" t="n">
        <x:v>0</x:v>
      </x:c>
      <x:c r="J2249" s="185" t="n">
        <x:v>0</x:v>
      </x:c>
      <x:c r="K2249" s="289" t="n">
        <x:v>7000000</x:v>
      </x:c>
    </x:row>
    <x:row r="2250" s="117" customFormat="1" hidden="1">
      <x:c r="A2250" s="184" t="inlineStr">
        <x:is>
          <x:t xml:space="preserve">PDTFRP001464</x:t>
        </x:is>
      </x:c>
      <x:c r="B2250" s="184" t="inlineStr">
        <x:is>
          <x:t xml:space="preserve">SPOOL CHUQUI MANIFOLD I LINEA PTA 5 (2023-2024)</x:t>
        </x:is>
      </x:c>
      <x:c r="C2250" s="184" t="n">
        <x:v>0</x:v>
      </x:c>
      <x:c r="D2250" s="184" t="n">
        <x:v>0</x:v>
      </x:c>
      <x:c r="E2250" s="184" t="n">
        <x:v>0</x:v>
      </x:c>
      <x:c r="F2250" s="184" t="n">
        <x:v>0</x:v>
      </x:c>
      <x:c r="G2250" s="184" t="n">
        <x:v>0</x:v>
      </x:c>
      <x:c r="H2250" s="193" t="n">
        <x:v>0</x:v>
      </x:c>
      <x:c r="I2250" s="185" t="n">
        <x:v>0</x:v>
      </x:c>
      <x:c r="J2250" s="185" t="n">
        <x:v>0</x:v>
      </x:c>
      <x:c r="K2250" s="289" t="n">
        <x:v>43000000</x:v>
      </x:c>
    </x:row>
    <x:row r="2251" s="117" customFormat="1" hidden="1">
      <x:c r="A2251" s="184" t="inlineStr">
        <x:is>
          <x:t xml:space="preserve">PDTFRP001465</x:t>
        </x:is>
      </x:c>
      <x:c r="B2251" s="184" t="inlineStr">
        <x:is>
          <x:t xml:space="preserve">4228643 PIEZA GCP2T101N24A PIPING ALIMENTACION ANILLO SUPER.T101B # 3 (TRAMO A) PP-FRP</x:t>
        </x:is>
      </x:c>
      <x:c r="C2251" s="184" t="n">
        <x:v>0</x:v>
      </x:c>
      <x:c r="D2251" s="184" t="n">
        <x:v>0</x:v>
      </x:c>
      <x:c r="E2251" s="184" t="n">
        <x:v>0</x:v>
      </x:c>
      <x:c r="F2251" s="184" t="n">
        <x:v>0</x:v>
      </x:c>
      <x:c r="G2251" s="184" t="n">
        <x:v>0</x:v>
      </x:c>
      <x:c r="H2251" s="193" t="n">
        <x:v>0</x:v>
      </x:c>
      <x:c r="I2251" s="185" t="n">
        <x:v>0</x:v>
      </x:c>
      <x:c r="J2251" s="185" t="n">
        <x:v>0</x:v>
      </x:c>
      <x:c r="K2251" s="289" t="n">
        <x:v>2552684</x:v>
      </x:c>
    </x:row>
    <x:row r="2252" s="117" customFormat="1" hidden="1">
      <x:c r="A2252" s="184" t="inlineStr">
        <x:is>
          <x:t xml:space="preserve">PDTFRP001466</x:t>
        </x:is>
      </x:c>
      <x:c r="B2252" s="184" t="inlineStr">
        <x:is>
          <x:t xml:space="preserve">PIPING PP/FRP ALIMENTACION Y DESCARGA MANIFOLD T101 CFM0625-NV0001</x:t>
        </x:is>
      </x:c>
      <x:c r="C2252" s="184" t="n">
        <x:v>0</x:v>
      </x:c>
      <x:c r="D2252" s="184" t="n">
        <x:v>0</x:v>
      </x:c>
      <x:c r="E2252" s="184" t="n">
        <x:v>0</x:v>
      </x:c>
      <x:c r="F2252" s="184" t="n">
        <x:v>0</x:v>
      </x:c>
      <x:c r="G2252" s="184" t="n">
        <x:v>0</x:v>
      </x:c>
      <x:c r="H2252" s="193" t="n">
        <x:v>0</x:v>
      </x:c>
      <x:c r="I2252" s="185" t="n">
        <x:v>0</x:v>
      </x:c>
      <x:c r="J2252" s="185" t="n">
        <x:v>0</x:v>
      </x:c>
      <x:c r="K2252" s="289" t="n">
        <x:v>20642824</x:v>
      </x:c>
    </x:row>
    <x:row r="2253" s="117" customFormat="1" hidden="1">
      <x:c r="A2253" s="184" t="inlineStr">
        <x:is>
          <x:t xml:space="preserve">PDTFRP001467</x:t>
        </x:is>
      </x:c>
      <x:c r="B2253" s="184" t="inlineStr">
        <x:is>
          <x:t xml:space="preserve">ARMADO SPOOL Y APLC FRP LINEA LICOR RRC0525-NV0002</x:t>
        </x:is>
      </x:c>
      <x:c r="C2253" s="184" t="n">
        <x:v>0</x:v>
      </x:c>
      <x:c r="D2253" s="184" t="n">
        <x:v>0</x:v>
      </x:c>
      <x:c r="E2253" s="184" t="n">
        <x:v>0</x:v>
      </x:c>
      <x:c r="F2253" s="184" t="n">
        <x:v>0</x:v>
      </x:c>
      <x:c r="G2253" s="184" t="n">
        <x:v>0</x:v>
      </x:c>
      <x:c r="H2253" s="193" t="n">
        <x:v>0</x:v>
      </x:c>
      <x:c r="I2253" s="185" t="n">
        <x:v>0</x:v>
      </x:c>
      <x:c r="J2253" s="185" t="n">
        <x:v>0</x:v>
      </x:c>
      <x:c r="K2253" s="289" t="n">
        <x:v>3853437</x:v>
      </x:c>
    </x:row>
    <x:row r="2254" s="117" customFormat="1" hidden="1">
      <x:c r="A2254" s="184" t="inlineStr">
        <x:is>
          <x:t xml:space="preserve">PDTFRP001468</x:t>
        </x:is>
      </x:c>
      <x:c r="B2254" s="184" t="inlineStr">
        <x:is>
          <x:t xml:space="preserve">4228185 PARRILLA DIFUSORA TORRE T-105 DIAM 5500 MM FRP PPT072FRP588</x:t>
        </x:is>
      </x:c>
      <x:c r="C2254" s="184" t="n">
        <x:v>0</x:v>
      </x:c>
      <x:c r="D2254" s="184" t="n">
        <x:v>0</x:v>
      </x:c>
      <x:c r="E2254" s="184" t="n">
        <x:v>0</x:v>
      </x:c>
      <x:c r="F2254" s="184" t="n">
        <x:v>0</x:v>
      </x:c>
      <x:c r="G2254" s="184" t="n">
        <x:v>0</x:v>
      </x:c>
      <x:c r="H2254" s="193" t="n">
        <x:v>0</x:v>
      </x:c>
      <x:c r="I2254" s="185" t="n">
        <x:v>0</x:v>
      </x:c>
      <x:c r="J2254" s="185" t="n">
        <x:v>0</x:v>
      </x:c>
      <x:c r="K2254" s="289" t="n">
        <x:v>10278689</x:v>
      </x:c>
    </x:row>
    <x:row r="2255" s="117" customFormat="1" hidden="1">
      <x:c r="A2255" s="184" t="inlineStr">
        <x:is>
          <x:t xml:space="preserve">PDTFRP001469</x:t>
        </x:is>
      </x:c>
      <x:c r="B2255" s="184" t="inlineStr">
        <x:is>
          <x:t xml:space="preserve">PIPING PP/FRP  T101 CFM0925-NV0002</x:t>
        </x:is>
      </x:c>
      <x:c r="C2255" s="184" t="n">
        <x:v>0</x:v>
      </x:c>
      <x:c r="D2255" s="184" t="n">
        <x:v>0</x:v>
      </x:c>
      <x:c r="E2255" s="184" t="n">
        <x:v>0</x:v>
      </x:c>
      <x:c r="F2255" s="184" t="n">
        <x:v>0</x:v>
      </x:c>
      <x:c r="G2255" s="184" t="n">
        <x:v>0</x:v>
      </x:c>
      <x:c r="H2255" s="193" t="n">
        <x:v>0</x:v>
      </x:c>
      <x:c r="I2255" s="185" t="n">
        <x:v>0</x:v>
      </x:c>
      <x:c r="J2255" s="185" t="n">
        <x:v>0</x:v>
      </x:c>
      <x:c r="K2255" s="289" t="n">
        <x:v>25730135</x:v>
      </x:c>
    </x:row>
    <x:row r="2256" s="117" customFormat="1" hidden="1">
      <x:c r="A2256" s="184" t="inlineStr">
        <x:is>
          <x:t xml:space="preserve">PDTFRP001470</x:t>
        </x:is>
      </x:c>
      <x:c r="B2256" s="184" t="inlineStr">
        <x:is>
          <x:t xml:space="preserve">4228313 ANILLO INFERIOR T101A CFM0825-NV0006</x:t>
        </x:is>
      </x:c>
      <x:c r="C2256" s="184" t="n">
        <x:v>0</x:v>
      </x:c>
      <x:c r="D2256" s="184" t="n">
        <x:v>0</x:v>
      </x:c>
      <x:c r="E2256" s="184" t="n">
        <x:v>0</x:v>
      </x:c>
      <x:c r="F2256" s="184" t="n">
        <x:v>0</x:v>
      </x:c>
      <x:c r="G2256" s="184" t="n">
        <x:v>0</x:v>
      </x:c>
      <x:c r="H2256" s="193" t="n">
        <x:v>0</x:v>
      </x:c>
      <x:c r="I2256" s="185" t="n">
        <x:v>0</x:v>
      </x:c>
      <x:c r="J2256" s="185" t="n">
        <x:v>0</x:v>
      </x:c>
      <x:c r="K2256" s="289" t="n">
        <x:v>13413737</x:v>
      </x:c>
    </x:row>
    <x:row r="2257" s="117" customFormat="1" hidden="1">
      <x:c r="A2257" s="184" t="inlineStr">
        <x:is>
          <x:t xml:space="preserve">PDTFRPPOS001</x:t>
        </x:is>
      </x:c>
      <x:c r="B2257" s="184" t="inlineStr">
        <x:is>
          <x:t xml:space="preserve">POSTE ALUMBRADO 4 MTS  5-20 PT</x:t>
        </x:is>
      </x:c>
      <x:c r="C2257" s="184" t="n">
        <x:v>0</x:v>
      </x:c>
      <x:c r="D2257" s="184" t="n">
        <x:v>0</x:v>
      </x:c>
      <x:c r="E2257" s="184" t="n">
        <x:v>0</x:v>
      </x:c>
      <x:c r="F2257" s="184" t="n">
        <x:v>0</x:v>
      </x:c>
      <x:c r="G2257" s="184" t="n">
        <x:v>0</x:v>
      </x:c>
      <x:c r="H2257" s="193" t="n">
        <x:v>0</x:v>
      </x:c>
      <x:c r="I2257" s="185" t="n">
        <x:v>0</x:v>
      </x:c>
      <x:c r="J2257" s="185" t="n">
        <x:v>0</x:v>
      </x:c>
      <x:c r="K2257" s="289" t="n">
        <x:v>98776.65217391</x:v>
      </x:c>
    </x:row>
    <x:row r="2258" s="117" customFormat="1" hidden="1">
      <x:c r="A2258" s="184" t="inlineStr">
        <x:is>
          <x:t xml:space="preserve">PDTFRPPOS002</x:t>
        </x:is>
      </x:c>
      <x:c r="B2258" s="184" t="inlineStr">
        <x:is>
          <x:t xml:space="preserve">POSTE ALUMBRADO 6 MTS CON BRASO 6-PTB</x:t>
        </x:is>
      </x:c>
      <x:c r="C2258" s="184" t="n">
        <x:v>0</x:v>
      </x:c>
      <x:c r="D2258" s="184" t="n">
        <x:v>0</x:v>
      </x:c>
      <x:c r="E2258" s="184" t="n">
        <x:v>0</x:v>
      </x:c>
      <x:c r="F2258" s="184" t="n">
        <x:v>0</x:v>
      </x:c>
      <x:c r="G2258" s="184" t="n">
        <x:v>0</x:v>
      </x:c>
      <x:c r="H2258" s="193" t="n">
        <x:v>0</x:v>
      </x:c>
      <x:c r="I2258" s="185" t="n">
        <x:v>0</x:v>
      </x:c>
      <x:c r="J2258" s="185" t="n">
        <x:v>0</x:v>
      </x:c>
      <x:c r="K2258" s="289" t="n">
        <x:v>0</x:v>
      </x:c>
    </x:row>
    <x:row r="2259" s="117" customFormat="1" hidden="1">
      <x:c r="A2259" s="184" t="inlineStr">
        <x:is>
          <x:t xml:space="preserve">PDTFRPPOS003</x:t>
        </x:is>
      </x:c>
      <x:c r="B2259" s="184" t="inlineStr">
        <x:is>
          <x:t xml:space="preserve">POSTE DE DISTRIBUCIÓN 10 MTS 10-350P</x:t>
        </x:is>
      </x:c>
      <x:c r="C2259" s="184" t="n">
        <x:v>0</x:v>
      </x:c>
      <x:c r="D2259" s="184" t="n">
        <x:v>0</x:v>
      </x:c>
      <x:c r="E2259" s="184" t="n">
        <x:v>0</x:v>
      </x:c>
      <x:c r="F2259" s="184" t="n">
        <x:v>0</x:v>
      </x:c>
      <x:c r="G2259" s="184" t="n">
        <x:v>0</x:v>
      </x:c>
      <x:c r="H2259" s="193" t="n">
        <x:v>0</x:v>
      </x:c>
      <x:c r="I2259" s="185" t="n">
        <x:v>0</x:v>
      </x:c>
      <x:c r="J2259" s="185" t="n">
        <x:v>0</x:v>
      </x:c>
      <x:c r="K2259" s="289" t="n">
        <x:v>238579.090909</x:v>
      </x:c>
    </x:row>
    <x:row r="2260" s="117" customFormat="1" hidden="1">
      <x:c r="A2260" s="184" t="inlineStr">
        <x:is>
          <x:t xml:space="preserve">PDTFRPPOS004</x:t>
        </x:is>
      </x:c>
      <x:c r="B2260" s="184" t="inlineStr">
        <x:is>
          <x:t xml:space="preserve">CRUCETA PARA POSTE FRP 1000 MM</x:t>
        </x:is>
      </x:c>
      <x:c r="C2260" s="184" t="n">
        <x:v>0</x:v>
      </x:c>
      <x:c r="D2260" s="184" t="n">
        <x:v>0</x:v>
      </x:c>
      <x:c r="E2260" s="184" t="n">
        <x:v>0</x:v>
      </x:c>
      <x:c r="F2260" s="184" t="n">
        <x:v>0</x:v>
      </x:c>
      <x:c r="G2260" s="184" t="n">
        <x:v>0</x:v>
      </x:c>
      <x:c r="H2260" s="193" t="n">
        <x:v>0</x:v>
      </x:c>
      <x:c r="I2260" s="185" t="n">
        <x:v>0</x:v>
      </x:c>
      <x:c r="J2260" s="185" t="n">
        <x:v>0</x:v>
      </x:c>
      <x:c r="K2260" s="289" t="n">
        <x:v>0</x:v>
      </x:c>
    </x:row>
    <x:row r="2261" s="117" customFormat="1" hidden="1">
      <x:c r="A2261" s="184" t="inlineStr">
        <x:is>
          <x:t xml:space="preserve">PDTFRPPOS005</x:t>
        </x:is>
      </x:c>
      <x:c r="B2261" s="184" t="inlineStr">
        <x:is>
          <x:t xml:space="preserve">CRUCETA PARA POSTE FRP 1200 MM</x:t>
        </x:is>
      </x:c>
      <x:c r="C2261" s="184" t="n">
        <x:v>0</x:v>
      </x:c>
      <x:c r="D2261" s="184" t="n">
        <x:v>0</x:v>
      </x:c>
      <x:c r="E2261" s="184" t="n">
        <x:v>0</x:v>
      </x:c>
      <x:c r="F2261" s="184" t="n">
        <x:v>0</x:v>
      </x:c>
      <x:c r="G2261" s="184" t="n">
        <x:v>0</x:v>
      </x:c>
      <x:c r="H2261" s="193" t="n">
        <x:v>0</x:v>
      </x:c>
      <x:c r="I2261" s="185" t="n">
        <x:v>0</x:v>
      </x:c>
      <x:c r="J2261" s="185" t="n">
        <x:v>0</x:v>
      </x:c>
      <x:c r="K2261" s="289" t="n">
        <x:v>0</x:v>
      </x:c>
    </x:row>
    <x:row r="2262" s="117" customFormat="1" hidden="1">
      <x:c r="A2262" s="184" t="inlineStr">
        <x:is>
          <x:t xml:space="preserve">PDTFRPPOS006</x:t>
        </x:is>
      </x:c>
      <x:c r="B2262" s="184" t="inlineStr">
        <x:is>
          <x:t xml:space="preserve">POSTE DE DISTRIBUCIÓN 8.7 MTS 8.7-40P</x:t>
        </x:is>
      </x:c>
      <x:c r="C2262" s="184" t="n">
        <x:v>0</x:v>
      </x:c>
      <x:c r="D2262" s="184" t="n">
        <x:v>0</x:v>
      </x:c>
      <x:c r="E2262" s="184" t="n">
        <x:v>0</x:v>
      </x:c>
      <x:c r="F2262" s="184" t="n">
        <x:v>0</x:v>
      </x:c>
      <x:c r="G2262" s="184" t="n">
        <x:v>0</x:v>
      </x:c>
      <x:c r="H2262" s="193" t="n">
        <x:v>0</x:v>
      </x:c>
      <x:c r="I2262" s="185" t="n">
        <x:v>0</x:v>
      </x:c>
      <x:c r="J2262" s="185" t="n">
        <x:v>0</x:v>
      </x:c>
      <x:c r="K2262" s="289" t="n">
        <x:v>222173</x:v>
      </x:c>
    </x:row>
    <x:row r="2263" s="117" customFormat="1" hidden="1">
      <x:c r="A2263" s="184" t="inlineStr">
        <x:is>
          <x:t xml:space="preserve">PDTFRPPOS007</x:t>
        </x:is>
      </x:c>
      <x:c r="B2263" s="184" t="inlineStr">
        <x:is>
          <x:t xml:space="preserve">POSTE DE DISTRIBUCIÓN 10 MTS 10-35P SECCIONADO</x:t>
        </x:is>
      </x:c>
      <x:c r="C2263" s="184" t="n">
        <x:v>0</x:v>
      </x:c>
      <x:c r="D2263" s="184" t="n">
        <x:v>0</x:v>
      </x:c>
      <x:c r="E2263" s="184" t="n">
        <x:v>0</x:v>
      </x:c>
      <x:c r="F2263" s="184" t="n">
        <x:v>0</x:v>
      </x:c>
      <x:c r="G2263" s="184" t="n">
        <x:v>0</x:v>
      </x:c>
      <x:c r="H2263" s="193" t="n">
        <x:v>0</x:v>
      </x:c>
      <x:c r="I2263" s="185" t="n">
        <x:v>0</x:v>
      </x:c>
      <x:c r="J2263" s="185" t="n">
        <x:v>0</x:v>
      </x:c>
      <x:c r="K2263" s="289" t="n">
        <x:v>271173</x:v>
      </x:c>
    </x:row>
    <x:row r="2264" s="117" customFormat="1" hidden="1">
      <x:c r="A2264" s="184" t="inlineStr">
        <x:is>
          <x:t xml:space="preserve">PDTFRPPOS008</x:t>
        </x:is>
      </x:c>
      <x:c r="B2264" s="184" t="inlineStr">
        <x:is>
          <x:t xml:space="preserve">POSTE ALUMBRADO 5 MTS CON BRASO 5-PTB</x:t>
        </x:is>
      </x:c>
      <x:c r="C2264" s="184" t="n">
        <x:v>0</x:v>
      </x:c>
      <x:c r="D2264" s="184" t="n">
        <x:v>0</x:v>
      </x:c>
      <x:c r="E2264" s="184" t="n">
        <x:v>0</x:v>
      </x:c>
      <x:c r="F2264" s="184" t="n">
        <x:v>0</x:v>
      </x:c>
      <x:c r="G2264" s="184" t="n">
        <x:v>0</x:v>
      </x:c>
      <x:c r="H2264" s="193" t="n">
        <x:v>0</x:v>
      </x:c>
      <x:c r="I2264" s="185" t="n">
        <x:v>0</x:v>
      </x:c>
      <x:c r="J2264" s="185" t="n">
        <x:v>0</x:v>
      </x:c>
      <x:c r="K2264" s="289" t="n">
        <x:v>0</x:v>
      </x:c>
    </x:row>
    <x:row r="2265" s="117" customFormat="1" hidden="1">
      <x:c r="A2265" s="184" t="inlineStr">
        <x:is>
          <x:t xml:space="preserve">PDTFRPPOS009</x:t>
        </x:is>
      </x:c>
      <x:c r="B2265" s="184" t="inlineStr">
        <x:is>
          <x:t xml:space="preserve">POSTE ALUMBRADO 6 MTS SIN BRASO 6-PT</x:t>
        </x:is>
      </x:c>
      <x:c r="C2265" s="184" t="n">
        <x:v>0</x:v>
      </x:c>
      <x:c r="D2265" s="184" t="n">
        <x:v>0</x:v>
      </x:c>
      <x:c r="E2265" s="184" t="n">
        <x:v>0</x:v>
      </x:c>
      <x:c r="F2265" s="184" t="n">
        <x:v>0</x:v>
      </x:c>
      <x:c r="G2265" s="184" t="n">
        <x:v>0</x:v>
      </x:c>
      <x:c r="H2265" s="193" t="n">
        <x:v>0</x:v>
      </x:c>
      <x:c r="I2265" s="185" t="n">
        <x:v>0</x:v>
      </x:c>
      <x:c r="J2265" s="185" t="n">
        <x:v>0</x:v>
      </x:c>
      <x:c r="K2265" s="289" t="n">
        <x:v>0</x:v>
      </x:c>
    </x:row>
    <x:row r="2266" s="117" customFormat="1" hidden="1">
      <x:c r="A2266" s="184" t="inlineStr">
        <x:is>
          <x:t xml:space="preserve">PDTFRPPOS010</x:t>
        </x:is>
      </x:c>
      <x:c r="B2266" s="184" t="inlineStr">
        <x:is>
          <x:t xml:space="preserve">LUMINARIA 50W-12 HORAS L77-LS50</x:t>
        </x:is>
      </x:c>
      <x:c r="C2266" s="184" t="n">
        <x:v>0</x:v>
      </x:c>
      <x:c r="D2266" s="184" t="n">
        <x:v>0</x:v>
      </x:c>
      <x:c r="E2266" s="184" t="n">
        <x:v>0</x:v>
      </x:c>
      <x:c r="F2266" s="184" t="n">
        <x:v>0</x:v>
      </x:c>
      <x:c r="G2266" s="184" t="n">
        <x:v>0</x:v>
      </x:c>
      <x:c r="H2266" s="193" t="n">
        <x:v>0</x:v>
      </x:c>
      <x:c r="I2266" s="185" t="n">
        <x:v>0</x:v>
      </x:c>
      <x:c r="J2266" s="185" t="n">
        <x:v>0</x:v>
      </x:c>
      <x:c r="K2266" s="289" t="n">
        <x:v>462719</x:v>
      </x:c>
    </x:row>
    <x:row r="2267" s="117" customFormat="1" hidden="1">
      <x:c r="A2267" s="184" t="inlineStr">
        <x:is>
          <x:t xml:space="preserve">PDTFRPPOS011</x:t>
        </x:is>
      </x:c>
      <x:c r="B2267" s="184" t="inlineStr">
        <x:is>
          <x:t xml:space="preserve">POSTE FIBRA DE VIDRIO DE 5 MTS 200 KGF 6-20 PT</x:t>
        </x:is>
      </x:c>
      <x:c r="C2267" s="184" t="n">
        <x:v>0</x:v>
      </x:c>
      <x:c r="D2267" s="184" t="n">
        <x:v>0</x:v>
      </x:c>
      <x:c r="E2267" s="184" t="n">
        <x:v>0</x:v>
      </x:c>
      <x:c r="F2267" s="184" t="n">
        <x:v>0</x:v>
      </x:c>
      <x:c r="G2267" s="184" t="n">
        <x:v>-1</x:v>
      </x:c>
      <x:c r="H2267" s="193" t="n">
        <x:v>0</x:v>
      </x:c>
      <x:c r="I2267" s="185" t="n">
        <x:v>0</x:v>
      </x:c>
      <x:c r="J2267" s="185" t="n">
        <x:v>-1</x:v>
      </x:c>
      <x:c r="K2267" s="289" t="n">
        <x:v>111955.73770492</x:v>
      </x:c>
    </x:row>
    <x:row r="2268" s="117" customFormat="1" hidden="1">
      <x:c r="A2268" s="184" t="inlineStr">
        <x:is>
          <x:t xml:space="preserve">PDTFRPPOS012</x:t>
        </x:is>
      </x:c>
      <x:c r="B2268" s="184" t="inlineStr">
        <x:is>
          <x:t xml:space="preserve">POSTE FIBRA DE VIDRIO DE 10 MTS 200 KGF 10-20 PT</x:t>
        </x:is>
      </x:c>
      <x:c r="C2268" s="184" t="n">
        <x:v>0</x:v>
      </x:c>
      <x:c r="D2268" s="184" t="n">
        <x:v>0</x:v>
      </x:c>
      <x:c r="E2268" s="184" t="n">
        <x:v>0</x:v>
      </x:c>
      <x:c r="F2268" s="184" t="n">
        <x:v>0</x:v>
      </x:c>
      <x:c r="G2268" s="184" t="n">
        <x:v>0</x:v>
      </x:c>
      <x:c r="H2268" s="193" t="n">
        <x:v>0</x:v>
      </x:c>
      <x:c r="I2268" s="185" t="n">
        <x:v>0</x:v>
      </x:c>
      <x:c r="J2268" s="185" t="n">
        <x:v>0</x:v>
      </x:c>
      <x:c r="K2268" s="289" t="n">
        <x:v>191631</x:v>
      </x:c>
    </x:row>
    <x:row r="2269" s="117" customFormat="1" hidden="1">
      <x:c r="A2269" s="184" t="inlineStr">
        <x:is>
          <x:t xml:space="preserve">PDTFRPPOS013</x:t>
        </x:is>
      </x:c>
      <x:c r="B2269" s="184" t="inlineStr">
        <x:is>
          <x:t xml:space="preserve">POSTE FIBRA DE VIDRIO DE 12 MTS 200 KGF 12-20 PT</x:t>
        </x:is>
      </x:c>
      <x:c r="C2269" s="184" t="n">
        <x:v>0</x:v>
      </x:c>
      <x:c r="D2269" s="184" t="n">
        <x:v>0</x:v>
      </x:c>
      <x:c r="E2269" s="184" t="n">
        <x:v>0</x:v>
      </x:c>
      <x:c r="F2269" s="184" t="n">
        <x:v>0</x:v>
      </x:c>
      <x:c r="G2269" s="184" t="n">
        <x:v>0</x:v>
      </x:c>
      <x:c r="H2269" s="193" t="n">
        <x:v>0</x:v>
      </x:c>
      <x:c r="I2269" s="185" t="n">
        <x:v>0</x:v>
      </x:c>
      <x:c r="J2269" s="185" t="n">
        <x:v>0</x:v>
      </x:c>
      <x:c r="K2269" s="289" t="n">
        <x:v>205653</x:v>
      </x:c>
    </x:row>
    <x:row r="2270" s="117" customFormat="1" hidden="1">
      <x:c r="A2270" s="184" t="inlineStr">
        <x:is>
          <x:t xml:space="preserve">PDTFRPPOS014</x:t>
        </x:is>
      </x:c>
      <x:c r="B2270" s="184" t="inlineStr">
        <x:is>
          <x:t xml:space="preserve">BRAZO CORTO PARA POSTE PRFV 5 M 200MM X 62MM /300 MM X 78 MM  BC2006278300</x:t>
        </x:is>
      </x:c>
      <x:c r="C2270" s="184" t="n">
        <x:v>0</x:v>
      </x:c>
      <x:c r="D2270" s="184" t="n">
        <x:v>0</x:v>
      </x:c>
      <x:c r="E2270" s="184" t="n">
        <x:v>0</x:v>
      </x:c>
      <x:c r="F2270" s="184" t="n">
        <x:v>0</x:v>
      </x:c>
      <x:c r="G2270" s="184" t="n">
        <x:v>0</x:v>
      </x:c>
      <x:c r="H2270" s="193" t="n">
        <x:v>0</x:v>
      </x:c>
      <x:c r="I2270" s="185" t="n">
        <x:v>0</x:v>
      </x:c>
      <x:c r="J2270" s="185" t="n">
        <x:v>0</x:v>
      </x:c>
      <x:c r="K2270" s="289" t="n">
        <x:v>25000</x:v>
      </x:c>
    </x:row>
    <x:row r="2271" s="117" customFormat="1" hidden="1">
      <x:c r="A2271" s="184" t="inlineStr">
        <x:is>
          <x:t xml:space="preserve">PDTFRPPOS015</x:t>
        </x:is>
      </x:c>
      <x:c r="B2271" s="184" t="inlineStr">
        <x:is>
          <x:t xml:space="preserve">POSTE PRFV ILUMINACION CON BRIDA CODIGO 522104</x:t>
        </x:is>
      </x:c>
      <x:c r="C2271" s="184" t="n">
        <x:v>0</x:v>
      </x:c>
      <x:c r="D2271" s="184" t="n">
        <x:v>0</x:v>
      </x:c>
      <x:c r="E2271" s="184" t="n">
        <x:v>0</x:v>
      </x:c>
      <x:c r="F2271" s="184" t="n">
        <x:v>0</x:v>
      </x:c>
      <x:c r="G2271" s="184" t="n">
        <x:v>0</x:v>
      </x:c>
      <x:c r="H2271" s="193" t="n">
        <x:v>0</x:v>
      </x:c>
      <x:c r="I2271" s="185" t="n">
        <x:v>0</x:v>
      </x:c>
      <x:c r="J2271" s="185" t="n">
        <x:v>0</x:v>
      </x:c>
      <x:c r="K2271" s="289" t="n">
        <x:v>219187</x:v>
      </x:c>
    </x:row>
    <x:row r="2272" s="117" customFormat="1" hidden="1">
      <x:c r="A2272" s="184" t="inlineStr">
        <x:is>
          <x:t xml:space="preserve">PDTFRPPOS016</x:t>
        </x:is>
      </x:c>
      <x:c r="B2272" s="184" t="inlineStr">
        <x:is>
          <x:t xml:space="preserve">POSTE PRFV ALUMBRADO 5 MTS 250 KGF FLEXION,DIELECTRICO  CON CANASTILLO DE ANCLAJE ACERO GALVANIZADO</x:t>
        </x:is>
      </x:c>
      <x:c r="C2272" s="184" t="n">
        <x:v>0</x:v>
      </x:c>
      <x:c r="D2272" s="184" t="n">
        <x:v>0</x:v>
      </x:c>
      <x:c r="E2272" s="184" t="n">
        <x:v>0</x:v>
      </x:c>
      <x:c r="F2272" s="184" t="n">
        <x:v>0</x:v>
      </x:c>
      <x:c r="G2272" s="184" t="n">
        <x:v>0</x:v>
      </x:c>
      <x:c r="H2272" s="193" t="n">
        <x:v>0</x:v>
      </x:c>
      <x:c r="I2272" s="185" t="n">
        <x:v>0</x:v>
      </x:c>
      <x:c r="J2272" s="185" t="n">
        <x:v>0</x:v>
      </x:c>
      <x:c r="K2272" s="289" t="n">
        <x:v>167979</x:v>
      </x:c>
    </x:row>
    <x:row r="2273" s="117" customFormat="1" hidden="1">
      <x:c r="A2273" s="184" t="inlineStr">
        <x:is>
          <x:t xml:space="preserve">PDTFRPPOS017</x:t>
        </x:is>
      </x:c>
      <x:c r="B2273" s="184" t="inlineStr">
        <x:is>
          <x:t xml:space="preserve">POSTE P.R.F.V ILUMINACION 6 MTS CON BASE BRIDA,CARGA DE 250 KGF RUPTURA</x:t>
        </x:is>
      </x:c>
      <x:c r="C2273" s="184" t="n">
        <x:v>0</x:v>
      </x:c>
      <x:c r="D2273" s="184" t="n">
        <x:v>0</x:v>
      </x:c>
      <x:c r="E2273" s="184" t="n">
        <x:v>0</x:v>
      </x:c>
      <x:c r="F2273" s="184" t="n">
        <x:v>0</x:v>
      </x:c>
      <x:c r="G2273" s="184" t="n">
        <x:v>0</x:v>
      </x:c>
      <x:c r="H2273" s="193" t="n">
        <x:v>0</x:v>
      </x:c>
      <x:c r="I2273" s="185" t="n">
        <x:v>0</x:v>
      </x:c>
      <x:c r="J2273" s="185" t="n">
        <x:v>0</x:v>
      </x:c>
      <x:c r="K2273" s="289" t="n">
        <x:v>235210</x:v>
      </x:c>
    </x:row>
    <x:row r="2274" s="117" customFormat="1" hidden="1">
      <x:c r="A2274" s="184" t="inlineStr">
        <x:is>
          <x:t xml:space="preserve">PDTFRPPOS018</x:t>
        </x:is>
      </x:c>
      <x:c r="B2274" s="184" t="inlineStr">
        <x:is>
          <x:t xml:space="preserve">POSTE DE FRPV ILUMINACIÓN 8 METROS CON BASE BRIDA.200 KGF,IP65.IK10  DIELÉCTRICO COLOR GRIS</x:t>
        </x:is>
      </x:c>
      <x:c r="C2274" s="184" t="n">
        <x:v>0</x:v>
      </x:c>
      <x:c r="D2274" s="184" t="n">
        <x:v>0</x:v>
      </x:c>
      <x:c r="E2274" s="184" t="n">
        <x:v>0</x:v>
      </x:c>
      <x:c r="F2274" s="184" t="n">
        <x:v>0</x:v>
      </x:c>
      <x:c r="G2274" s="184" t="n">
        <x:v>0</x:v>
      </x:c>
      <x:c r="H2274" s="193" t="n">
        <x:v>0</x:v>
      </x:c>
      <x:c r="I2274" s="185" t="n">
        <x:v>0</x:v>
      </x:c>
      <x:c r="J2274" s="185" t="n">
        <x:v>0</x:v>
      </x:c>
      <x:c r="K2274" s="289" t="n">
        <x:v>565003</x:v>
      </x:c>
    </x:row>
    <x:row r="2275" s="117" customFormat="1" hidden="1">
      <x:c r="A2275" s="184" t="inlineStr">
        <x:is>
          <x:t xml:space="preserve">PDTFRPPOS019</x:t>
        </x:is>
      </x:c>
      <x:c r="B2275" s="184" t="inlineStr">
        <x:is>
          <x:t xml:space="preserve">BRAZO DE ACOPLE DOBLE 60X84X300</x:t>
        </x:is>
      </x:c>
      <x:c r="C2275" s="184" t="n">
        <x:v>0</x:v>
      </x:c>
      <x:c r="D2275" s="184" t="n">
        <x:v>0</x:v>
      </x:c>
      <x:c r="E2275" s="184" t="n">
        <x:v>0</x:v>
      </x:c>
      <x:c r="F2275" s="184" t="n">
        <x:v>0</x:v>
      </x:c>
      <x:c r="G2275" s="184" t="n">
        <x:v>0</x:v>
      </x:c>
      <x:c r="H2275" s="193" t="n">
        <x:v>0</x:v>
      </x:c>
      <x:c r="I2275" s="185" t="n">
        <x:v>0</x:v>
      </x:c>
      <x:c r="J2275" s="185" t="n">
        <x:v>0</x:v>
      </x:c>
      <x:c r="K2275" s="289" t="n">
        <x:v>62778</x:v>
      </x:c>
    </x:row>
    <x:row r="2276" s="117" customFormat="1" hidden="1">
      <x:c r="A2276" s="184" t="inlineStr">
        <x:is>
          <x:t xml:space="preserve">PDTFRPPOS020</x:t>
        </x:is>
      </x:c>
      <x:c r="B2276" s="184" t="inlineStr">
        <x:is>
          <x:t xml:space="preserve">POSTE DE FRPV ILUMINACIÓN 6 METROS CON BASE BRIDA.250 KGF</x:t>
        </x:is>
      </x:c>
      <x:c r="C2276" s="184" t="n">
        <x:v>0</x:v>
      </x:c>
      <x:c r="D2276" s="184" t="n">
        <x:v>0</x:v>
      </x:c>
      <x:c r="E2276" s="184" t="n">
        <x:v>0</x:v>
      </x:c>
      <x:c r="F2276" s="184" t="n">
        <x:v>0</x:v>
      </x:c>
      <x:c r="G2276" s="184" t="n">
        <x:v>0</x:v>
      </x:c>
      <x:c r="H2276" s="193" t="n">
        <x:v>0</x:v>
      </x:c>
      <x:c r="I2276" s="185" t="n">
        <x:v>0</x:v>
      </x:c>
      <x:c r="J2276" s="185" t="n">
        <x:v>0</x:v>
      </x:c>
      <x:c r="K2276" s="289" t="n">
        <x:v>213884</x:v>
      </x:c>
    </x:row>
    <x:row r="2277" s="117" customFormat="1" hidden="1">
      <x:c r="A2277" s="184" t="inlineStr">
        <x:is>
          <x:t xml:space="preserve">PDTFRPPOS021</x:t>
        </x:is>
      </x:c>
      <x:c r="B2277" s="184" t="inlineStr">
        <x:is>
          <x:t xml:space="preserve">CANASTILLO DE ANCLAJE ACERO GALVANIZADO PARA POSTE 5 MTS 200X200X12 MM</x:t>
        </x:is>
      </x:c>
      <x:c r="C2277" s="184" t="n">
        <x:v>0</x:v>
      </x:c>
      <x:c r="D2277" s="184" t="n">
        <x:v>0</x:v>
      </x:c>
      <x:c r="E2277" s="184" t="n">
        <x:v>0</x:v>
      </x:c>
      <x:c r="F2277" s="184" t="n">
        <x:v>0</x:v>
      </x:c>
      <x:c r="G2277" s="184" t="n">
        <x:v>0</x:v>
      </x:c>
      <x:c r="H2277" s="193" t="n">
        <x:v>0</x:v>
      </x:c>
      <x:c r="I2277" s="185" t="n">
        <x:v>0</x:v>
      </x:c>
      <x:c r="J2277" s="185" t="n">
        <x:v>0</x:v>
      </x:c>
      <x:c r="K2277" s="289" t="n">
        <x:v>18000</x:v>
      </x:c>
    </x:row>
    <x:row r="2278" s="117" customFormat="1" hidden="1">
      <x:c r="A2278" s="184" t="inlineStr">
        <x:is>
          <x:t xml:space="preserve">PDTFRPPOS022</x:t>
        </x:is>
      </x:c>
      <x:c r="B2278" s="184" t="inlineStr">
        <x:is>
          <x:t xml:space="preserve">PA0162 POSTE DE PRFV ILUMINACION  10 MTS</x:t>
        </x:is>
      </x:c>
      <x:c r="C2278" s="184" t="n">
        <x:v>0</x:v>
      </x:c>
      <x:c r="D2278" s="184" t="n">
        <x:v>0</x:v>
      </x:c>
      <x:c r="E2278" s="184" t="n">
        <x:v>0</x:v>
      </x:c>
      <x:c r="F2278" s="184" t="n">
        <x:v>0</x:v>
      </x:c>
      <x:c r="G2278" s="184" t="n">
        <x:v>0</x:v>
      </x:c>
      <x:c r="H2278" s="193" t="n">
        <x:v>0</x:v>
      </x:c>
      <x:c r="I2278" s="185" t="n">
        <x:v>0</x:v>
      </x:c>
      <x:c r="J2278" s="185" t="n">
        <x:v>0</x:v>
      </x:c>
      <x:c r="K2278" s="289" t="n">
        <x:v>531342</x:v>
      </x:c>
    </x:row>
    <x:row r="2279" s="117" customFormat="1" hidden="1">
      <x:c r="A2279" s="184" t="inlineStr">
        <x:is>
          <x:t xml:space="preserve">PDTFRPPOS023</x:t>
        </x:is>
      </x:c>
      <x:c r="B2279" s="184" t="inlineStr">
        <x:is>
          <x:t xml:space="preserve">PA0164 BRAZO PRFV DOBLE POLTRUIDO RECTANGULAR 50 X 100 X 1200 X 100</x:t>
        </x:is>
      </x:c>
      <x:c r="C2279" s="184" t="n">
        <x:v>0</x:v>
      </x:c>
      <x:c r="D2279" s="184" t="n">
        <x:v>0</x:v>
      </x:c>
      <x:c r="E2279" s="184" t="n">
        <x:v>0</x:v>
      </x:c>
      <x:c r="F2279" s="184" t="n">
        <x:v>0</x:v>
      </x:c>
      <x:c r="G2279" s="184" t="n">
        <x:v>0</x:v>
      </x:c>
      <x:c r="H2279" s="193" t="n">
        <x:v>0</x:v>
      </x:c>
      <x:c r="I2279" s="185" t="n">
        <x:v>0</x:v>
      </x:c>
      <x:c r="J2279" s="185" t="n">
        <x:v>0</x:v>
      </x:c>
      <x:c r="K2279" s="289" t="n">
        <x:v>110020</x:v>
      </x:c>
    </x:row>
    <x:row r="2280" s="117" customFormat="1" hidden="1">
      <x:c r="A2280" s="184" t="inlineStr">
        <x:is>
          <x:t xml:space="preserve">PDTFRPPOS024</x:t>
        </x:is>
      </x:c>
      <x:c r="B2280" s="184" t="inlineStr">
        <x:is>
          <x:t xml:space="preserve">PA0165 BRAZO PRFV  SIMPLE  POLTRUIDO  60 X 800 X 600</x:t>
        </x:is>
      </x:c>
      <x:c r="C2280" s="184" t="n">
        <x:v>0</x:v>
      </x:c>
      <x:c r="D2280" s="184" t="n">
        <x:v>0</x:v>
      </x:c>
      <x:c r="E2280" s="184" t="n">
        <x:v>0</x:v>
      </x:c>
      <x:c r="F2280" s="184" t="n">
        <x:v>0</x:v>
      </x:c>
      <x:c r="G2280" s="184" t="n">
        <x:v>0</x:v>
      </x:c>
      <x:c r="H2280" s="193" t="n">
        <x:v>0</x:v>
      </x:c>
      <x:c r="I2280" s="185" t="n">
        <x:v>0</x:v>
      </x:c>
      <x:c r="J2280" s="185" t="n">
        <x:v>0</x:v>
      </x:c>
      <x:c r="K2280" s="289" t="n">
        <x:v>65423</x:v>
      </x:c>
    </x:row>
    <x:row r="2281" s="117" customFormat="1" hidden="1">
      <x:c r="A2281" s="184" t="inlineStr">
        <x:is>
          <x:t xml:space="preserve">PDTFRPPOS025</x:t>
        </x:is>
      </x:c>
      <x:c r="B2281" s="184" t="inlineStr">
        <x:is>
          <x:t xml:space="preserve">PA0166 BRAZO PRFV  SIMPLE  POLTRUIDO  60 X 100 X 600  ABRAZADER ANCLAJE FRP</x:t>
        </x:is>
      </x:c>
      <x:c r="C2281" s="184" t="n">
        <x:v>0</x:v>
      </x:c>
      <x:c r="D2281" s="184" t="n">
        <x:v>0</x:v>
      </x:c>
      <x:c r="E2281" s="184" t="n">
        <x:v>0</x:v>
      </x:c>
      <x:c r="F2281" s="184" t="n">
        <x:v>0</x:v>
      </x:c>
      <x:c r="G2281" s="184" t="n">
        <x:v>0</x:v>
      </x:c>
      <x:c r="H2281" s="193" t="n">
        <x:v>0</x:v>
      </x:c>
      <x:c r="I2281" s="185" t="n">
        <x:v>0</x:v>
      </x:c>
      <x:c r="J2281" s="185" t="n">
        <x:v>0</x:v>
      </x:c>
      <x:c r="K2281" s="289" t="n">
        <x:v>84587</x:v>
      </x:c>
    </x:row>
    <x:row r="2282" s="117" customFormat="1" hidden="1">
      <x:c r="A2282" s="184" t="inlineStr">
        <x:is>
          <x:t xml:space="preserve">PDTFRPPOS026</x:t>
        </x:is>
      </x:c>
      <x:c r="B2282" s="184" t="inlineStr">
        <x:is>
          <x:t xml:space="preserve">PA0162 POSTE DE PRFV ILUMINACION 10 MTS</x:t>
        </x:is>
      </x:c>
      <x:c r="C2282" s="184" t="n">
        <x:v>0</x:v>
      </x:c>
      <x:c r="D2282" s="184" t="n">
        <x:v>0</x:v>
      </x:c>
      <x:c r="E2282" s="184" t="n">
        <x:v>0</x:v>
      </x:c>
      <x:c r="F2282" s="184" t="n">
        <x:v>0</x:v>
      </x:c>
      <x:c r="G2282" s="184" t="n">
        <x:v>0</x:v>
      </x:c>
      <x:c r="H2282" s="193" t="n">
        <x:v>0</x:v>
      </x:c>
      <x:c r="I2282" s="185" t="n">
        <x:v>0</x:v>
      </x:c>
      <x:c r="J2282" s="185" t="n">
        <x:v>0</x:v>
      </x:c>
      <x:c r="K2282" s="289" t="n">
        <x:v>999044</x:v>
      </x:c>
    </x:row>
    <x:row r="2283" s="117" customFormat="1" hidden="1">
      <x:c r="A2283" s="184" t="inlineStr">
        <x:is>
          <x:t xml:space="preserve">PDTFRPPOS027</x:t>
        </x:is>
      </x:c>
      <x:c r="B2283" s="184" t="inlineStr">
        <x:is>
          <x:t xml:space="preserve">PA0163 POSTE DE PRFV ILUMINACION 12 METROS</x:t>
        </x:is>
      </x:c>
      <x:c r="C2283" s="184" t="n">
        <x:v>0</x:v>
      </x:c>
      <x:c r="D2283" s="184" t="n">
        <x:v>0</x:v>
      </x:c>
      <x:c r="E2283" s="184" t="n">
        <x:v>0</x:v>
      </x:c>
      <x:c r="F2283" s="184" t="n">
        <x:v>0</x:v>
      </x:c>
      <x:c r="G2283" s="184" t="n">
        <x:v>0</x:v>
      </x:c>
      <x:c r="H2283" s="193" t="n">
        <x:v>0</x:v>
      </x:c>
      <x:c r="I2283" s="185" t="n">
        <x:v>0</x:v>
      </x:c>
      <x:c r="J2283" s="185" t="n">
        <x:v>0</x:v>
      </x:c>
      <x:c r="K2283" s="289" t="n">
        <x:v>1124850</x:v>
      </x:c>
    </x:row>
    <x:row r="2284" s="117" customFormat="1" hidden="1">
      <x:c r="A2284" s="184" t="inlineStr">
        <x:is>
          <x:t xml:space="preserve">PDTFRPPOS028</x:t>
        </x:is>
      </x:c>
      <x:c r="B2284" s="184" t="inlineStr">
        <x:is>
          <x:t xml:space="preserve">PA0164 BRAZO PRFV DOBLE POLTRUIDO RECTANGULAR 50 X 100 X 1200 X 100</x:t>
        </x:is>
      </x:c>
      <x:c r="C2284" s="184" t="n">
        <x:v>0</x:v>
      </x:c>
      <x:c r="D2284" s="184" t="n">
        <x:v>0</x:v>
      </x:c>
      <x:c r="E2284" s="184" t="n">
        <x:v>0</x:v>
      </x:c>
      <x:c r="F2284" s="184" t="n">
        <x:v>0</x:v>
      </x:c>
      <x:c r="G2284" s="184" t="n">
        <x:v>0</x:v>
      </x:c>
      <x:c r="H2284" s="193" t="n">
        <x:v>0</x:v>
      </x:c>
      <x:c r="I2284" s="185" t="n">
        <x:v>0</x:v>
      </x:c>
      <x:c r="J2284" s="185" t="n">
        <x:v>0</x:v>
      </x:c>
      <x:c r="K2284" s="289" t="n">
        <x:v>236811</x:v>
      </x:c>
    </x:row>
    <x:row r="2285" s="117" customFormat="1" hidden="1">
      <x:c r="A2285" s="184" t="inlineStr">
        <x:is>
          <x:t xml:space="preserve">PDTFRPPOS029</x:t>
        </x:is>
      </x:c>
      <x:c r="B2285" s="184" t="inlineStr">
        <x:is>
          <x:t xml:space="preserve">PA0165 BRAZO PRFV  SIMPLE  POLTRUIDO  60 X 800 X 600</x:t>
        </x:is>
      </x:c>
      <x:c r="C2285" s="184" t="n">
        <x:v>0</x:v>
      </x:c>
      <x:c r="D2285" s="184" t="n">
        <x:v>0</x:v>
      </x:c>
      <x:c r="E2285" s="184" t="n">
        <x:v>0</x:v>
      </x:c>
      <x:c r="F2285" s="184" t="n">
        <x:v>0</x:v>
      </x:c>
      <x:c r="G2285" s="184" t="n">
        <x:v>0</x:v>
      </x:c>
      <x:c r="H2285" s="193" t="n">
        <x:v>0</x:v>
      </x:c>
      <x:c r="I2285" s="185" t="n">
        <x:v>0</x:v>
      </x:c>
      <x:c r="J2285" s="185" t="n">
        <x:v>0</x:v>
      </x:c>
      <x:c r="K2285" s="289" t="n">
        <x:v>111005</x:v>
      </x:c>
    </x:row>
    <x:row r="2286" s="117" customFormat="1" hidden="1">
      <x:c r="A2286" s="184" t="inlineStr">
        <x:is>
          <x:t xml:space="preserve">PDTFRPPOS030</x:t>
        </x:is>
      </x:c>
      <x:c r="B2286" s="184" t="inlineStr">
        <x:is>
          <x:t xml:space="preserve">PA0166 BRAZO PRFV  SIMPLE  POLTRUIDO  60 X 100 X 600  ABRAZADER ANCLAJE FRP</x:t>
        </x:is>
      </x:c>
      <x:c r="C2286" s="184" t="n">
        <x:v>0</x:v>
      </x:c>
      <x:c r="D2286" s="184" t="n">
        <x:v>0</x:v>
      </x:c>
      <x:c r="E2286" s="184" t="n">
        <x:v>0</x:v>
      </x:c>
      <x:c r="F2286" s="184" t="n">
        <x:v>0</x:v>
      </x:c>
      <x:c r="G2286" s="184" t="n">
        <x:v>0</x:v>
      </x:c>
      <x:c r="H2286" s="193" t="n">
        <x:v>0</x:v>
      </x:c>
      <x:c r="I2286" s="185" t="n">
        <x:v>0</x:v>
      </x:c>
      <x:c r="J2286" s="185" t="n">
        <x:v>0</x:v>
      </x:c>
      <x:c r="K2286" s="289" t="n">
        <x:v>157874</x:v>
      </x:c>
    </x:row>
    <x:row r="2287" s="117" customFormat="1" hidden="1">
      <x:c r="A2287" s="184" t="inlineStr">
        <x:is>
          <x:t xml:space="preserve">PDTFRPPOS031</x:t>
        </x:is>
      </x:c>
      <x:c r="B2287" s="184" t="inlineStr">
        <x:is>
          <x:t xml:space="preserve">POSTE PRFV ILUMINACION 10 MTS CON BASE BRIDA,IP55,IK10,DIELECTRICO,NORMA ANSI BLANCO</x:t>
        </x:is>
      </x:c>
      <x:c r="C2287" s="184" t="n">
        <x:v>0</x:v>
      </x:c>
      <x:c r="D2287" s="184" t="n">
        <x:v>0</x:v>
      </x:c>
      <x:c r="E2287" s="184" t="n">
        <x:v>0</x:v>
      </x:c>
      <x:c r="F2287" s="184" t="n">
        <x:v>0</x:v>
      </x:c>
      <x:c r="G2287" s="184" t="n">
        <x:v>0</x:v>
      </x:c>
      <x:c r="H2287" s="193" t="n">
        <x:v>0</x:v>
      </x:c>
      <x:c r="I2287" s="185" t="n">
        <x:v>0</x:v>
      </x:c>
      <x:c r="J2287" s="185" t="n">
        <x:v>0</x:v>
      </x:c>
      <x:c r="K2287" s="289" t="n">
        <x:v>249816</x:v>
      </x:c>
    </x:row>
    <x:row r="2288" s="117" customFormat="1" hidden="1">
      <x:c r="A2288" s="184" t="inlineStr">
        <x:is>
          <x:t xml:space="preserve">PDTFRPPOS032</x:t>
        </x:is>
      </x:c>
      <x:c r="B2288" s="184" t="inlineStr">
        <x:is>
          <x:t xml:space="preserve">POSTE PRFV ILUMINACION 10 MTS CON BASE BRIDA,IP55,IK10,DIELECTRICO,NORMA ANSI BLANCO</x:t>
        </x:is>
      </x:c>
      <x:c r="C2288" s="184" t="n">
        <x:v>0</x:v>
      </x:c>
      <x:c r="D2288" s="184" t="n">
        <x:v>0</x:v>
      </x:c>
      <x:c r="E2288" s="184" t="n">
        <x:v>0</x:v>
      </x:c>
      <x:c r="F2288" s="184" t="n">
        <x:v>0</x:v>
      </x:c>
      <x:c r="G2288" s="184" t="n">
        <x:v>0</x:v>
      </x:c>
      <x:c r="H2288" s="193" t="n">
        <x:v>0</x:v>
      </x:c>
      <x:c r="I2288" s="185" t="n">
        <x:v>0</x:v>
      </x:c>
      <x:c r="J2288" s="185" t="n">
        <x:v>0</x:v>
      </x:c>
      <x:c r="K2288" s="289" t="n">
        <x:v>406279</x:v>
      </x:c>
    </x:row>
    <x:row r="2289" s="117" customFormat="1" hidden="1">
      <x:c r="A2289" s="184" t="inlineStr">
        <x:is>
          <x:t xml:space="preserve">PDTFRPPOS033</x:t>
        </x:is>
      </x:c>
      <x:c r="B2289" s="184" t="inlineStr">
        <x:is>
          <x:t xml:space="preserve">BRAZO ACOPLE SIMPLE PRFV 84 X 500 X 60</x:t>
        </x:is>
      </x:c>
      <x:c r="C2289" s="184" t="n">
        <x:v>0</x:v>
      </x:c>
      <x:c r="D2289" s="184" t="n">
        <x:v>0</x:v>
      </x:c>
      <x:c r="E2289" s="184" t="n">
        <x:v>0</x:v>
      </x:c>
      <x:c r="F2289" s="184" t="n">
        <x:v>0</x:v>
      </x:c>
      <x:c r="G2289" s="184" t="n">
        <x:v>0</x:v>
      </x:c>
      <x:c r="H2289" s="193" t="n">
        <x:v>0</x:v>
      </x:c>
      <x:c r="I2289" s="185" t="n">
        <x:v>0</x:v>
      </x:c>
      <x:c r="J2289" s="185" t="n">
        <x:v>0</x:v>
      </x:c>
      <x:c r="K2289" s="289" t="n">
        <x:v>32543.66666667</x:v>
      </x:c>
    </x:row>
    <x:row r="2290" s="117" customFormat="1" hidden="1">
      <x:c r="A2290" s="184" t="inlineStr">
        <x:is>
          <x:t xml:space="preserve">PDTFRPPOS034</x:t>
        </x:is>
      </x:c>
      <x:c r="B2290" s="184" t="inlineStr">
        <x:is>
          <x:t xml:space="preserve">BRAZO PRFV ACOPLE ABRAZADERA 100 X 60 X 500</x:t>
        </x:is>
      </x:c>
      <x:c r="C2290" s="184" t="n">
        <x:v>0</x:v>
      </x:c>
      <x:c r="D2290" s="184" t="n">
        <x:v>0</x:v>
      </x:c>
      <x:c r="E2290" s="184" t="n">
        <x:v>0</x:v>
      </x:c>
      <x:c r="F2290" s="184" t="n">
        <x:v>0</x:v>
      </x:c>
      <x:c r="G2290" s="184" t="n">
        <x:v>0</x:v>
      </x:c>
      <x:c r="H2290" s="193" t="n">
        <x:v>0</x:v>
      </x:c>
      <x:c r="I2290" s="185" t="n">
        <x:v>0</x:v>
      </x:c>
      <x:c r="J2290" s="185" t="n">
        <x:v>0</x:v>
      </x:c>
      <x:c r="K2290" s="289" t="n">
        <x:v>55494</x:v>
      </x:c>
    </x:row>
    <x:row r="2291" s="117" customFormat="1" hidden="1">
      <x:c r="A2291" s="184" t="inlineStr">
        <x:is>
          <x:t xml:space="preserve">PDTFRPPOS035</x:t>
        </x:is>
      </x:c>
      <x:c r="B2291" s="184" t="inlineStr">
        <x:is>
          <x:t xml:space="preserve">038056 BRAZO ACOPLE DOBLE RECTANGULAR PRFV50,8X6,4X1200</x:t>
        </x:is>
      </x:c>
      <x:c r="C2291" s="184" t="n">
        <x:v>0</x:v>
      </x:c>
      <x:c r="D2291" s="184" t="n">
        <x:v>0</x:v>
      </x:c>
      <x:c r="E2291" s="184" t="n">
        <x:v>0</x:v>
      </x:c>
      <x:c r="F2291" s="184" t="n">
        <x:v>0</x:v>
      </x:c>
      <x:c r="G2291" s="184" t="n">
        <x:v>0</x:v>
      </x:c>
      <x:c r="H2291" s="193" t="n">
        <x:v>0</x:v>
      </x:c>
      <x:c r="I2291" s="185" t="n">
        <x:v>0</x:v>
      </x:c>
      <x:c r="J2291" s="185" t="n">
        <x:v>0</x:v>
      </x:c>
      <x:c r="K2291" s="289" t="n">
        <x:v>36213</x:v>
      </x:c>
    </x:row>
    <x:row r="2292" s="117" customFormat="1" hidden="1">
      <x:c r="A2292" s="184" t="inlineStr">
        <x:is>
          <x:t xml:space="preserve">PDTFRPPOS036</x:t>
        </x:is>
      </x:c>
      <x:c r="B2292" s="184" t="inlineStr">
        <x:is>
          <x:t xml:space="preserve">030418 POSTE DE PRFV ILUMINACION 7 MT,CON BASE BRIDA</x:t>
        </x:is>
      </x:c>
      <x:c r="C2292" s="184" t="n">
        <x:v>0</x:v>
      </x:c>
      <x:c r="D2292" s="184" t="n">
        <x:v>0</x:v>
      </x:c>
      <x:c r="E2292" s="184" t="n">
        <x:v>0</x:v>
      </x:c>
      <x:c r="F2292" s="184" t="n">
        <x:v>0</x:v>
      </x:c>
      <x:c r="G2292" s="184" t="n">
        <x:v>0</x:v>
      </x:c>
      <x:c r="H2292" s="193" t="n">
        <x:v>0</x:v>
      </x:c>
      <x:c r="I2292" s="185" t="n">
        <x:v>0</x:v>
      </x:c>
      <x:c r="J2292" s="185" t="n">
        <x:v>0</x:v>
      </x:c>
      <x:c r="K2292" s="289" t="n">
        <x:v>183730</x:v>
      </x:c>
    </x:row>
    <x:row r="2293" s="117" customFormat="1" hidden="1">
      <x:c r="A2293" s="184" t="inlineStr">
        <x:is>
          <x:t xml:space="preserve">PDTFRPPOS037</x:t>
        </x:is>
      </x:c>
      <x:c r="B2293" s="184" t="inlineStr">
        <x:is>
          <x:t xml:space="preserve">030417 POSTE DE PRFV ILUMINACION 5 MT,CON BASE BRIDA</x:t>
        </x:is>
      </x:c>
      <x:c r="C2293" s="184" t="n">
        <x:v>0</x:v>
      </x:c>
      <x:c r="D2293" s="184" t="n">
        <x:v>0</x:v>
      </x:c>
      <x:c r="E2293" s="184" t="n">
        <x:v>0</x:v>
      </x:c>
      <x:c r="F2293" s="184" t="n">
        <x:v>0</x:v>
      </x:c>
      <x:c r="G2293" s="184" t="n">
        <x:v>0</x:v>
      </x:c>
      <x:c r="H2293" s="193" t="n">
        <x:v>0</x:v>
      </x:c>
      <x:c r="I2293" s="185" t="n">
        <x:v>0</x:v>
      </x:c>
      <x:c r="J2293" s="185" t="n">
        <x:v>0</x:v>
      </x:c>
      <x:c r="K2293" s="289" t="n">
        <x:v>149114</x:v>
      </x:c>
    </x:row>
    <x:row r="2294" s="117" customFormat="1" hidden="1">
      <x:c r="A2294" s="184" t="inlineStr">
        <x:is>
          <x:t xml:space="preserve">PDTFRPPOS038</x:t>
        </x:is>
      </x:c>
      <x:c r="B2294" s="184" t="inlineStr">
        <x:is>
          <x:t xml:space="preserve">POSTE DE ILUMINACION DE 7 MTS INCLUYE CANASTILLO</x:t>
        </x:is>
      </x:c>
      <x:c r="C2294" s="184" t="n">
        <x:v>0</x:v>
      </x:c>
      <x:c r="D2294" s="184" t="n">
        <x:v>0</x:v>
      </x:c>
      <x:c r="E2294" s="184" t="n">
        <x:v>0</x:v>
      </x:c>
      <x:c r="F2294" s="184" t="n">
        <x:v>0</x:v>
      </x:c>
      <x:c r="G2294" s="184" t="n">
        <x:v>0</x:v>
      </x:c>
      <x:c r="H2294" s="193" t="n">
        <x:v>0</x:v>
      </x:c>
      <x:c r="I2294" s="185" t="n">
        <x:v>0</x:v>
      </x:c>
      <x:c r="J2294" s="185" t="n">
        <x:v>0</x:v>
      </x:c>
      <x:c r="K2294" s="289" t="n">
        <x:v>270303</x:v>
      </x:c>
    </x:row>
    <x:row r="2295" s="117" customFormat="1" hidden="1">
      <x:c r="A2295" s="184" t="inlineStr">
        <x:is>
          <x:t xml:space="preserve">PDTFRPPOS039</x:t>
        </x:is>
      </x:c>
      <x:c r="B2295" s="184" t="inlineStr">
        <x:is>
          <x:t xml:space="preserve">POSTE PRFV ILUMINACION 5 MTS CON BASE IP55 DIELECTRICO</x:t>
        </x:is>
      </x:c>
      <x:c r="C2295" s="184" t="n">
        <x:v>0</x:v>
      </x:c>
      <x:c r="D2295" s="184" t="n">
        <x:v>0</x:v>
      </x:c>
      <x:c r="E2295" s="184" t="n">
        <x:v>0</x:v>
      </x:c>
      <x:c r="F2295" s="184" t="n">
        <x:v>0</x:v>
      </x:c>
      <x:c r="G2295" s="184" t="n">
        <x:v>0</x:v>
      </x:c>
      <x:c r="H2295" s="193" t="n">
        <x:v>0</x:v>
      </x:c>
      <x:c r="I2295" s="185" t="n">
        <x:v>0</x:v>
      </x:c>
      <x:c r="J2295" s="185" t="n">
        <x:v>0</x:v>
      </x:c>
      <x:c r="K2295" s="289" t="n">
        <x:v>205745</x:v>
      </x:c>
    </x:row>
    <x:row r="2296" s="117" customFormat="1" hidden="1">
      <x:c r="A2296" s="184" t="inlineStr">
        <x:is>
          <x:t xml:space="preserve">PDTFRPPOS040</x:t>
        </x:is>
      </x:c>
      <x:c r="B2296" s="184" t="inlineStr">
        <x:is>
          <x:t xml:space="preserve">POSTE PRFV ILUMINACION 9 MTS CON BASE BRIDA 62 A 74 MM</x:t>
        </x:is>
      </x:c>
      <x:c r="C2296" s="184" t="n">
        <x:v>0</x:v>
      </x:c>
      <x:c r="D2296" s="184" t="n">
        <x:v>0</x:v>
      </x:c>
      <x:c r="E2296" s="184" t="n">
        <x:v>0</x:v>
      </x:c>
      <x:c r="F2296" s="184" t="n">
        <x:v>0</x:v>
      </x:c>
      <x:c r="G2296" s="184" t="n">
        <x:v>0</x:v>
      </x:c>
      <x:c r="H2296" s="193" t="n">
        <x:v>0</x:v>
      </x:c>
      <x:c r="I2296" s="185" t="n">
        <x:v>0</x:v>
      </x:c>
      <x:c r="J2296" s="185" t="n">
        <x:v>0</x:v>
      </x:c>
      <x:c r="K2296" s="289" t="n">
        <x:v>136592</x:v>
      </x:c>
    </x:row>
    <x:row r="2297" s="117" customFormat="1" hidden="1">
      <x:c r="A2297" s="184" t="inlineStr">
        <x:is>
          <x:t xml:space="preserve">PDTFRPPOS041</x:t>
        </x:is>
      </x:c>
      <x:c r="B2297" s="184" t="inlineStr">
        <x:is>
          <x:t xml:space="preserve">POS939  POSTE DE ILUMINACION 5 MTS</x:t>
        </x:is>
      </x:c>
      <x:c r="C2297" s="184" t="n">
        <x:v>0</x:v>
      </x:c>
      <x:c r="D2297" s="184" t="n">
        <x:v>0</x:v>
      </x:c>
      <x:c r="E2297" s="184" t="n">
        <x:v>0</x:v>
      </x:c>
      <x:c r="F2297" s="184" t="n">
        <x:v>0</x:v>
      </x:c>
      <x:c r="G2297" s="184" t="n">
        <x:v>0</x:v>
      </x:c>
      <x:c r="H2297" s="193" t="n">
        <x:v>0</x:v>
      </x:c>
      <x:c r="I2297" s="185" t="n">
        <x:v>0</x:v>
      </x:c>
      <x:c r="J2297" s="185" t="n">
        <x:v>0</x:v>
      </x:c>
      <x:c r="K2297" s="289" t="n">
        <x:v>231418</x:v>
      </x:c>
    </x:row>
    <x:row r="2298" s="117" customFormat="1" hidden="1">
      <x:c r="A2298" s="184" t="inlineStr">
        <x:is>
          <x:t xml:space="preserve">PDTFRPPOS042</x:t>
        </x:is>
      </x:c>
      <x:c r="B2298" s="184" t="inlineStr">
        <x:is>
          <x:t xml:space="preserve">POSTE DE PRFV ILUMINACION 20,5 MTS 350 KGF ENTERRAMIENTO CRUCETA INCORPORADA</x:t>
        </x:is>
      </x:c>
      <x:c r="C2298" s="184" t="n">
        <x:v>0</x:v>
      </x:c>
      <x:c r="D2298" s="184" t="n">
        <x:v>0</x:v>
      </x:c>
      <x:c r="E2298" s="184" t="n">
        <x:v>0</x:v>
      </x:c>
      <x:c r="F2298" s="184" t="n">
        <x:v>0</x:v>
      </x:c>
      <x:c r="G2298" s="184" t="n">
        <x:v>0</x:v>
      </x:c>
      <x:c r="H2298" s="193" t="n">
        <x:v>0</x:v>
      </x:c>
      <x:c r="I2298" s="185" t="n">
        <x:v>0</x:v>
      </x:c>
      <x:c r="J2298" s="185" t="n">
        <x:v>0</x:v>
      </x:c>
      <x:c r="K2298" s="289" t="n">
        <x:v>2050488</x:v>
      </x:c>
    </x:row>
    <x:row r="2299" s="117" customFormat="1" hidden="1">
      <x:c r="A2299" s="184" t="inlineStr">
        <x:is>
          <x:t xml:space="preserve">PDTFRPPOS043</x:t>
        </x:is>
      </x:c>
      <x:c r="B2299" s="184" t="inlineStr">
        <x:is>
          <x:t xml:space="preserve">BRAZO ACOPLE DOBLE RECTANGULAR 1200 X 50 X 50 X 90</x:t>
        </x:is>
      </x:c>
      <x:c r="C2299" s="184" t="n">
        <x:v>0</x:v>
      </x:c>
      <x:c r="D2299" s="184" t="n">
        <x:v>0</x:v>
      </x:c>
      <x:c r="E2299" s="184" t="n">
        <x:v>0</x:v>
      </x:c>
      <x:c r="F2299" s="184" t="n">
        <x:v>0</x:v>
      </x:c>
      <x:c r="G2299" s="184" t="n">
        <x:v>0</x:v>
      </x:c>
      <x:c r="H2299" s="193" t="n">
        <x:v>0</x:v>
      </x:c>
      <x:c r="I2299" s="185" t="n">
        <x:v>0</x:v>
      </x:c>
      <x:c r="J2299" s="185" t="n">
        <x:v>0</x:v>
      </x:c>
      <x:c r="K2299" s="289" t="n">
        <x:v>63632</x:v>
      </x:c>
    </x:row>
    <x:row r="2300" s="117" customFormat="1" hidden="1">
      <x:c r="A2300" s="184" t="inlineStr">
        <x:is>
          <x:t xml:space="preserve">PDTFRPPOS044</x:t>
        </x:is>
      </x:c>
      <x:c r="B2300" s="184" t="inlineStr">
        <x:is>
          <x:t xml:space="preserve">POSTE PRFV ILUMINACION 08 MTS 90 MM CIMA FPPIB008900</x:t>
        </x:is>
      </x:c>
      <x:c r="C2300" s="184" t="n">
        <x:v>0</x:v>
      </x:c>
      <x:c r="D2300" s="184" t="n">
        <x:v>0</x:v>
      </x:c>
      <x:c r="E2300" s="184" t="n">
        <x:v>0</x:v>
      </x:c>
      <x:c r="F2300" s="184" t="n">
        <x:v>0</x:v>
      </x:c>
      <x:c r="G2300" s="184" t="n">
        <x:v>0</x:v>
      </x:c>
      <x:c r="H2300" s="193" t="n">
        <x:v>0</x:v>
      </x:c>
      <x:c r="I2300" s="185" t="n">
        <x:v>0</x:v>
      </x:c>
      <x:c r="J2300" s="185" t="n">
        <x:v>0</x:v>
      </x:c>
      <x:c r="K2300" s="289" t="n">
        <x:v>0</x:v>
      </x:c>
    </x:row>
    <x:row r="2301" s="117" customFormat="1" hidden="1">
      <x:c r="A2301" s="184" t="inlineStr">
        <x:is>
          <x:t xml:space="preserve">PDTFRPPOS128</x:t>
        </x:is>
      </x:c>
      <x:c r="B2301" s="184" t="inlineStr">
        <x:is>
          <x:t xml:space="preserve">FPPANTJ00004</x:t>
        </x:is>
      </x:c>
      <x:c r="C2301" s="184" t="n">
        <x:v>0</x:v>
      </x:c>
      <x:c r="D2301" s="184" t="n">
        <x:v>0</x:v>
      </x:c>
      <x:c r="E2301" s="184" t="n">
        <x:v>0</x:v>
      </x:c>
      <x:c r="F2301" s="184" t="n">
        <x:v>0</x:v>
      </x:c>
      <x:c r="G2301" s="184" t="n">
        <x:v>0</x:v>
      </x:c>
      <x:c r="H2301" s="193" t="n">
        <x:v>0</x:v>
      </x:c>
      <x:c r="I2301" s="185" t="n">
        <x:v>0</x:v>
      </x:c>
      <x:c r="J2301" s="185" t="n">
        <x:v>0</x:v>
      </x:c>
      <x:c r="K2301" s="289" t="n">
        <x:v>0</x:v>
      </x:c>
    </x:row>
    <x:row r="2302" s="117" customFormat="1" hidden="1">
      <x:c r="A2302" s="184" t="inlineStr">
        <x:is>
          <x:t xml:space="preserve">PDTFRPPOS129</x:t>
        </x:is>
      </x:c>
      <x:c r="B2302" s="184" t="inlineStr">
        <x:is>
          <x:t xml:space="preserve">BBPBRS600112</x:t>
        </x:is>
      </x:c>
      <x:c r="C2302" s="184" t="n">
        <x:v>0</x:v>
      </x:c>
      <x:c r="D2302" s="184" t="n">
        <x:v>0</x:v>
      </x:c>
      <x:c r="E2302" s="184" t="n">
        <x:v>0</x:v>
      </x:c>
      <x:c r="F2302" s="184" t="n">
        <x:v>0</x:v>
      </x:c>
      <x:c r="G2302" s="184" t="n">
        <x:v>0</x:v>
      </x:c>
      <x:c r="H2302" s="193" t="n">
        <x:v>0</x:v>
      </x:c>
      <x:c r="I2302" s="185" t="n">
        <x:v>0</x:v>
      </x:c>
      <x:c r="J2302" s="185" t="n">
        <x:v>0</x:v>
      </x:c>
      <x:c r="K2302" s="289" t="n">
        <x:v>0</x:v>
      </x:c>
    </x:row>
    <x:row r="2303" s="117" customFormat="1" hidden="1">
      <x:c r="A2303" s="184" t="inlineStr">
        <x:is>
          <x:t xml:space="preserve">PDTFRPPOS130</x:t>
        </x:is>
      </x:c>
      <x:c r="B2303" s="184" t="inlineStr">
        <x:is>
          <x:t xml:space="preserve">FPPIB0070063</x:t>
        </x:is>
      </x:c>
      <x:c r="C2303" s="184" t="n">
        <x:v>0</x:v>
      </x:c>
      <x:c r="D2303" s="184" t="n">
        <x:v>0</x:v>
      </x:c>
      <x:c r="E2303" s="184" t="n">
        <x:v>0</x:v>
      </x:c>
      <x:c r="F2303" s="184" t="n">
        <x:v>0</x:v>
      </x:c>
      <x:c r="G2303" s="184" t="n">
        <x:v>0</x:v>
      </x:c>
      <x:c r="H2303" s="193" t="n">
        <x:v>0</x:v>
      </x:c>
      <x:c r="I2303" s="185" t="n">
        <x:v>0</x:v>
      </x:c>
      <x:c r="J2303" s="185" t="n">
        <x:v>0</x:v>
      </x:c>
      <x:c r="K2303" s="289" t="n">
        <x:v>0</x:v>
      </x:c>
    </x:row>
    <x:row r="2304" s="117" customFormat="1" hidden="1">
      <x:c r="A2304" s="184" t="inlineStr">
        <x:is>
          <x:t xml:space="preserve">PDTFRPPOS131</x:t>
        </x:is>
      </x:c>
      <x:c r="B2304" s="184" t="inlineStr">
        <x:is>
          <x:t xml:space="preserve">FPBRSM060002</x:t>
        </x:is>
      </x:c>
      <x:c r="C2304" s="184" t="n">
        <x:v>0</x:v>
      </x:c>
      <x:c r="D2304" s="184" t="n">
        <x:v>0</x:v>
      </x:c>
      <x:c r="E2304" s="184" t="n">
        <x:v>0</x:v>
      </x:c>
      <x:c r="F2304" s="184" t="n">
        <x:v>0</x:v>
      </x:c>
      <x:c r="G2304" s="184" t="n">
        <x:v>0</x:v>
      </x:c>
      <x:c r="H2304" s="193" t="n">
        <x:v>0</x:v>
      </x:c>
      <x:c r="I2304" s="185" t="n">
        <x:v>0</x:v>
      </x:c>
      <x:c r="J2304" s="185" t="n">
        <x:v>0</x:v>
      </x:c>
      <x:c r="K2304" s="289" t="n">
        <x:v>0</x:v>
      </x:c>
    </x:row>
    <x:row r="2305" s="117" customFormat="1" hidden="1">
      <x:c r="A2305" s="184" t="inlineStr">
        <x:is>
          <x:t xml:space="preserve">PDTFRPPOS132</x:t>
        </x:is>
      </x:c>
      <x:c r="B2305" s="184" t="inlineStr">
        <x:is>
          <x:t xml:space="preserve">FPBRPT100001</x:t>
        </x:is>
      </x:c>
      <x:c r="C2305" s="184" t="n">
        <x:v>0</x:v>
      </x:c>
      <x:c r="D2305" s="184" t="n">
        <x:v>0</x:v>
      </x:c>
      <x:c r="E2305" s="184" t="n">
        <x:v>0</x:v>
      </x:c>
      <x:c r="F2305" s="184" t="n">
        <x:v>0</x:v>
      </x:c>
      <x:c r="G2305" s="184" t="n">
        <x:v>0</x:v>
      </x:c>
      <x:c r="H2305" s="193" t="n">
        <x:v>0</x:v>
      </x:c>
      <x:c r="I2305" s="185" t="n">
        <x:v>0</x:v>
      </x:c>
      <x:c r="J2305" s="185" t="n">
        <x:v>0</x:v>
      </x:c>
      <x:c r="K2305" s="289" t="n">
        <x:v>0</x:v>
      </x:c>
    </x:row>
    <x:row r="2306" s="117" customFormat="1" hidden="1">
      <x:c r="A2306" s="184" t="inlineStr">
        <x:is>
          <x:t xml:space="preserve">PDTFRPPOS133</x:t>
        </x:is>
      </x:c>
      <x:c r="B2306" s="184" t="inlineStr">
        <x:is>
          <x:t xml:space="preserve">FPPD10000000</x:t>
        </x:is>
      </x:c>
      <x:c r="C2306" s="184" t="n">
        <x:v>0</x:v>
      </x:c>
      <x:c r="D2306" s="184" t="n">
        <x:v>0</x:v>
      </x:c>
      <x:c r="E2306" s="184" t="n">
        <x:v>0</x:v>
      </x:c>
      <x:c r="F2306" s="184" t="n">
        <x:v>0</x:v>
      </x:c>
      <x:c r="G2306" s="184" t="n">
        <x:v>0</x:v>
      </x:c>
      <x:c r="H2306" s="193" t="n">
        <x:v>0</x:v>
      </x:c>
      <x:c r="I2306" s="185" t="n">
        <x:v>0</x:v>
      </x:c>
      <x:c r="J2306" s="185" t="n">
        <x:v>0</x:v>
      </x:c>
      <x:c r="K2306" s="289" t="n">
        <x:v>0</x:v>
      </x:c>
    </x:row>
    <x:row r="2307" s="117" customFormat="1" hidden="1">
      <x:c r="A2307" s="184" t="inlineStr">
        <x:is>
          <x:t xml:space="preserve">PDTHTATOR001</x:t>
        </x:is>
      </x:c>
      <x:c r="B2307" s="184" t="inlineStr">
        <x:is>
          <x:t xml:space="preserve">PORTA RANURAR EXTERIOR CZDPR2525M04/12  "CANELA</x:t>
        </x:is>
      </x:c>
      <x:c r="C2307" s="184" t="n">
        <x:v>1</x:v>
      </x:c>
      <x:c r="D2307" s="184" t="n">
        <x:v>0</x:v>
      </x:c>
      <x:c r="E2307" s="184" t="n">
        <x:v>0</x:v>
      </x:c>
      <x:c r="F2307" s="184" t="n">
        <x:v>1</x:v>
      </x:c>
      <x:c r="G2307" s="184" t="n">
        <x:v>80784</x:v>
      </x:c>
      <x:c r="H2307" s="193" t="n">
        <x:v>0</x:v>
      </x:c>
      <x:c r="I2307" s="185" t="n">
        <x:v>0</x:v>
      </x:c>
      <x:c r="J2307" s="185" t="n">
        <x:v>80784</x:v>
      </x:c>
      <x:c r="K2307" s="289" t="n">
        <x:v>80784</x:v>
      </x:c>
    </x:row>
    <x:row r="2308" s="117" customFormat="1" hidden="1">
      <x:c r="A2308" s="184" t="inlineStr">
        <x:is>
          <x:t xml:space="preserve">PDTHTATOR002</x:t>
        </x:is>
      </x:c>
      <x:c r="B2308" s="184" t="inlineStr">
        <x:is>
          <x:t xml:space="preserve">PLACA DE RANURAR WDMP04 TL40  "CANELA"</x:t>
        </x:is>
      </x:c>
      <x:c r="C2308" s="184" t="n">
        <x:v>10</x:v>
      </x:c>
      <x:c r="D2308" s="184" t="n">
        <x:v>0</x:v>
      </x:c>
      <x:c r="E2308" s="184" t="n">
        <x:v>0</x:v>
      </x:c>
      <x:c r="F2308" s="184" t="n">
        <x:v>10</x:v>
      </x:c>
      <x:c r="G2308" s="184" t="n">
        <x:v>133240</x:v>
      </x:c>
      <x:c r="H2308" s="193" t="n">
        <x:v>0</x:v>
      </x:c>
      <x:c r="I2308" s="185" t="n">
        <x:v>0</x:v>
      </x:c>
      <x:c r="J2308" s="185" t="n">
        <x:v>133240</x:v>
      </x:c>
      <x:c r="K2308" s="289" t="n">
        <x:v>13324</x:v>
      </x:c>
    </x:row>
    <x:row r="2309" s="117" customFormat="1" hidden="1">
      <x:c r="A2309" s="184" t="inlineStr">
        <x:is>
          <x:t xml:space="preserve">PDTHTATOR003</x:t>
        </x:is>
      </x:c>
      <x:c r="B2309" s="184" t="inlineStr">
        <x:is>
          <x:t xml:space="preserve">PORTA TORNO INTERIORS25S-STUCR16  "AKKO"</x:t>
        </x:is>
      </x:c>
      <x:c r="C2309" s="184" t="n">
        <x:v>1</x:v>
      </x:c>
      <x:c r="D2309" s="184" t="n">
        <x:v>0</x:v>
      </x:c>
      <x:c r="E2309" s="184" t="n">
        <x:v>0</x:v>
      </x:c>
      <x:c r="F2309" s="184" t="n">
        <x:v>1</x:v>
      </x:c>
      <x:c r="G2309" s="184" t="n">
        <x:v>53194</x:v>
      </x:c>
      <x:c r="H2309" s="193" t="n">
        <x:v>0</x:v>
      </x:c>
      <x:c r="I2309" s="185" t="n">
        <x:v>0</x:v>
      </x:c>
      <x:c r="J2309" s="185" t="n">
        <x:v>53194</x:v>
      </x:c>
      <x:c r="K2309" s="289" t="n">
        <x:v>53194</x:v>
      </x:c>
    </x:row>
    <x:row r="2310" s="117" customFormat="1" hidden="1">
      <x:c r="A2310" s="184" t="inlineStr">
        <x:is>
          <x:t xml:space="preserve">PDTHTATOR004</x:t>
        </x:is>
      </x:c>
      <x:c r="B2310" s="184" t="inlineStr">
        <x:is>
          <x:t xml:space="preserve">PLACA TCGT16T308-LN PH0910</x:t>
        </x:is>
      </x:c>
      <x:c r="C2310" s="184" t="n">
        <x:v>10</x:v>
      </x:c>
      <x:c r="D2310" s="184" t="n">
        <x:v>0</x:v>
      </x:c>
      <x:c r="E2310" s="184" t="n">
        <x:v>0</x:v>
      </x:c>
      <x:c r="F2310" s="184" t="n">
        <x:v>10</x:v>
      </x:c>
      <x:c r="G2310" s="184" t="n">
        <x:v>121860</x:v>
      </x:c>
      <x:c r="H2310" s="193" t="n">
        <x:v>0</x:v>
      </x:c>
      <x:c r="I2310" s="185" t="n">
        <x:v>0</x:v>
      </x:c>
      <x:c r="J2310" s="185" t="n">
        <x:v>121860</x:v>
      </x:c>
      <x:c r="K2310" s="289" t="n">
        <x:v>12186</x:v>
      </x:c>
    </x:row>
    <x:row r="2311" s="117" customFormat="1" hidden="1">
      <x:c r="A2311" s="184" t="inlineStr">
        <x:is>
          <x:t xml:space="preserve">PDTPEE001001</x:t>
        </x:is>
      </x:c>
      <x:c r="B2311" s="184" t="inlineStr">
        <x:is>
          <x:t xml:space="preserve">CONJUNTO CAMPANA DE PLOMO ELECTROLITICO  SEGUN PLANO 4500-SC-0009-DER-4000-2201-01/02-18</x:t>
        </x:is>
      </x:c>
      <x:c r="C2311" s="184" t="n">
        <x:v>0</x:v>
      </x:c>
      <x:c r="D2311" s="184" t="n">
        <x:v>0</x:v>
      </x:c>
      <x:c r="E2311" s="184" t="n">
        <x:v>0</x:v>
      </x:c>
      <x:c r="F2311" s="184" t="n">
        <x:v>0</x:v>
      </x:c>
      <x:c r="G2311" s="184" t="n">
        <x:v>0</x:v>
      </x:c>
      <x:c r="H2311" s="193" t="n">
        <x:v>0</x:v>
      </x:c>
      <x:c r="I2311" s="185" t="n">
        <x:v>0</x:v>
      </x:c>
      <x:c r="J2311" s="185" t="n">
        <x:v>0</x:v>
      </x:c>
      <x:c r="K2311" s="289" t="n">
        <x:v>732788</x:v>
      </x:c>
    </x:row>
    <x:row r="2312" s="117" customFormat="1" hidden="1">
      <x:c r="A2312" s="184" t="inlineStr">
        <x:is>
          <x:t xml:space="preserve">PDTPEE001002</x:t>
        </x:is>
      </x:c>
      <x:c r="B2312" s="184" t="inlineStr">
        <x:is>
          <x:t xml:space="preserve">VARILLA DE APOYO INFERIOR (CON PLOMO) CON DELANTAL /LOWER SUPPORT ROD</x:t>
        </x:is>
      </x:c>
      <x:c r="C2312" s="184" t="n">
        <x:v>0</x:v>
      </x:c>
      <x:c r="D2312" s="184" t="n">
        <x:v>0</x:v>
      </x:c>
      <x:c r="E2312" s="184" t="n">
        <x:v>0</x:v>
      </x:c>
      <x:c r="F2312" s="184" t="n">
        <x:v>0</x:v>
      </x:c>
      <x:c r="G2312" s="184" t="n">
        <x:v>0</x:v>
      </x:c>
      <x:c r="H2312" s="193" t="n">
        <x:v>0</x:v>
      </x:c>
      <x:c r="I2312" s="185" t="n">
        <x:v>0</x:v>
      </x:c>
      <x:c r="J2312" s="185" t="n">
        <x:v>0</x:v>
      </x:c>
      <x:c r="K2312" s="289" t="n">
        <x:v>3645619</x:v>
      </x:c>
    </x:row>
    <x:row r="2313" s="117" customFormat="1" hidden="1">
      <x:c r="A2313" s="184" t="inlineStr">
        <x:is>
          <x:t xml:space="preserve">PDTPLA001001</x:t>
        </x:is>
      </x:c>
      <x:c r="B2313" s="184" t="inlineStr">
        <x:is>
          <x:t xml:space="preserve">CUCHILLO TEFLON PURO QUIBORAX</x:t>
        </x:is>
      </x:c>
      <x:c r="C2313" s="184" t="n">
        <x:v>0</x:v>
      </x:c>
      <x:c r="D2313" s="184" t="n">
        <x:v>0</x:v>
      </x:c>
      <x:c r="E2313" s="184" t="n">
        <x:v>0</x:v>
      </x:c>
      <x:c r="F2313" s="184" t="n">
        <x:v>0</x:v>
      </x:c>
      <x:c r="G2313" s="184" t="n">
        <x:v>-1</x:v>
      </x:c>
      <x:c r="H2313" s="193" t="n">
        <x:v>0</x:v>
      </x:c>
      <x:c r="I2313" s="185" t="n">
        <x:v>0</x:v>
      </x:c>
      <x:c r="J2313" s="185" t="n">
        <x:v>-1</x:v>
      </x:c>
      <x:c r="K2313" s="289" t="n">
        <x:v>38456</x:v>
      </x:c>
    </x:row>
    <x:row r="2314" s="117" customFormat="1" hidden="1">
      <x:c r="A2314" s="184" t="inlineStr">
        <x:is>
          <x:t xml:space="preserve">PDTPLA001002</x:t>
        </x:is>
      </x:c>
      <x:c r="B2314" s="184" t="inlineStr">
        <x:is>
          <x:t xml:space="preserve">LANSA CAJA DE REVOSE EN FRP VINILESTER</x:t>
        </x:is>
      </x:c>
      <x:c r="C2314" s="184" t="n">
        <x:v>0</x:v>
      </x:c>
      <x:c r="D2314" s="184" t="n">
        <x:v>0</x:v>
      </x:c>
      <x:c r="E2314" s="184" t="n">
        <x:v>0</x:v>
      </x:c>
      <x:c r="F2314" s="184" t="n">
        <x:v>0</x:v>
      </x:c>
      <x:c r="G2314" s="184" t="n">
        <x:v>0</x:v>
      </x:c>
      <x:c r="H2314" s="193" t="n">
        <x:v>0</x:v>
      </x:c>
      <x:c r="I2314" s="185" t="n">
        <x:v>0</x:v>
      </x:c>
      <x:c r="J2314" s="185" t="n">
        <x:v>0</x:v>
      </x:c>
      <x:c r="K2314" s="289" t="n">
        <x:v>3214</x:v>
      </x:c>
    </x:row>
    <x:row r="2315" s="117" customFormat="1" hidden="1">
      <x:c r="A2315" s="184" t="inlineStr">
        <x:is>
          <x:t xml:space="preserve">PDTPLA001003</x:t>
        </x:is>
      </x:c>
      <x:c r="B2315" s="184" t="inlineStr">
        <x:is>
          <x:t xml:space="preserve">CAJA DE REVOSE FRP VINILESTER</x:t>
        </x:is>
      </x:c>
      <x:c r="C2315" s="184" t="n">
        <x:v>0</x:v>
      </x:c>
      <x:c r="D2315" s="184" t="n">
        <x:v>0</x:v>
      </x:c>
      <x:c r="E2315" s="184" t="n">
        <x:v>0</x:v>
      </x:c>
      <x:c r="F2315" s="184" t="n">
        <x:v>0</x:v>
      </x:c>
      <x:c r="G2315" s="184" t="n">
        <x:v>0</x:v>
      </x:c>
      <x:c r="H2315" s="193" t="n">
        <x:v>0</x:v>
      </x:c>
      <x:c r="I2315" s="185" t="n">
        <x:v>0</x:v>
      </x:c>
      <x:c r="J2315" s="185" t="n">
        <x:v>0</x:v>
      </x:c>
      <x:c r="K2315" s="289" t="n">
        <x:v>5928</x:v>
      </x:c>
    </x:row>
    <x:row r="2316" s="117" customFormat="1" hidden="1">
      <x:c r="A2316" s="184" t="inlineStr">
        <x:is>
          <x:t xml:space="preserve">PDTPLA001004</x:t>
        </x:is>
      </x:c>
      <x:c r="B2316" s="184" t="inlineStr">
        <x:is>
          <x:t xml:space="preserve">SOPORTE CADENA MANTOS BLANCOS</x:t>
        </x:is>
      </x:c>
      <x:c r="C2316" s="184" t="n">
        <x:v>0</x:v>
      </x:c>
      <x:c r="D2316" s="184" t="n">
        <x:v>0</x:v>
      </x:c>
      <x:c r="E2316" s="184" t="n">
        <x:v>0</x:v>
      </x:c>
      <x:c r="F2316" s="184" t="n">
        <x:v>0</x:v>
      </x:c>
      <x:c r="G2316" s="184" t="n">
        <x:v>0</x:v>
      </x:c>
      <x:c r="H2316" s="193" t="n">
        <x:v>0</x:v>
      </x:c>
      <x:c r="I2316" s="185" t="n">
        <x:v>0</x:v>
      </x:c>
      <x:c r="J2316" s="185" t="n">
        <x:v>0</x:v>
      </x:c>
      <x:c r="K2316" s="289" t="n">
        <x:v>25000</x:v>
      </x:c>
    </x:row>
    <x:row r="2317" s="117" customFormat="1" hidden="1">
      <x:c r="A2317" s="184" t="inlineStr">
        <x:is>
          <x:t xml:space="preserve">PDTPLA001005</x:t>
        </x:is>
      </x:c>
      <x:c r="B2317" s="184" t="inlineStr">
        <x:is>
          <x:t xml:space="preserve">SOPRTE CELDA PESAJE LOMAS BAYAS</x:t>
        </x:is>
      </x:c>
      <x:c r="C2317" s="184" t="n">
        <x:v>0</x:v>
      </x:c>
      <x:c r="D2317" s="184" t="n">
        <x:v>0</x:v>
      </x:c>
      <x:c r="E2317" s="184" t="n">
        <x:v>0</x:v>
      </x:c>
      <x:c r="F2317" s="184" t="n">
        <x:v>0</x:v>
      </x:c>
      <x:c r="G2317" s="184" t="n">
        <x:v>0</x:v>
      </x:c>
      <x:c r="H2317" s="193" t="n">
        <x:v>0</x:v>
      </x:c>
      <x:c r="I2317" s="185" t="n">
        <x:v>0</x:v>
      </x:c>
      <x:c r="J2317" s="185" t="n">
        <x:v>0</x:v>
      </x:c>
      <x:c r="K2317" s="289" t="n">
        <x:v>25000</x:v>
      </x:c>
    </x:row>
    <x:row r="2318" s="117" customFormat="1" hidden="1">
      <x:c r="A2318" s="184" t="inlineStr">
        <x:is>
          <x:t xml:space="preserve">PDTPLA001006</x:t>
        </x:is>
      </x:c>
      <x:c r="B2318" s="184" t="inlineStr">
        <x:is>
          <x:t xml:space="preserve">PLACA  DE FRP PARA PLETINAS DE VENTANAS RESINA VINILESTER 1700MM X4000 MM</x:t>
        </x:is>
      </x:c>
      <x:c r="C2318" s="184" t="n">
        <x:v>0</x:v>
      </x:c>
      <x:c r="D2318" s="184" t="n">
        <x:v>0</x:v>
      </x:c>
      <x:c r="E2318" s="184" t="n">
        <x:v>0</x:v>
      </x:c>
      <x:c r="F2318" s="184" t="n">
        <x:v>0</x:v>
      </x:c>
      <x:c r="G2318" s="184" t="n">
        <x:v>0</x:v>
      </x:c>
      <x:c r="H2318" s="193" t="n">
        <x:v>0</x:v>
      </x:c>
      <x:c r="I2318" s="185" t="n">
        <x:v>0</x:v>
      </x:c>
      <x:c r="J2318" s="185" t="n">
        <x:v>0</x:v>
      </x:c>
      <x:c r="K2318" s="289" t="n">
        <x:v>17692.307692</x:v>
      </x:c>
    </x:row>
    <x:row r="2319" s="117" customFormat="1" hidden="1">
      <x:c r="A2319" s="184" t="inlineStr">
        <x:is>
          <x:t xml:space="preserve">PDTPLA001007</x:t>
        </x:is>
      </x:c>
      <x:c r="B2319" s="184" t="inlineStr">
        <x:is>
          <x:t xml:space="preserve">DISCO POLIAMIDA TENIENTE</x:t>
        </x:is>
      </x:c>
      <x:c r="C2319" s="184" t="n">
        <x:v>0</x:v>
      </x:c>
      <x:c r="D2319" s="184" t="n">
        <x:v>0</x:v>
      </x:c>
      <x:c r="E2319" s="184" t="n">
        <x:v>0</x:v>
      </x:c>
      <x:c r="F2319" s="184" t="n">
        <x:v>0</x:v>
      </x:c>
      <x:c r="G2319" s="184" t="n">
        <x:v>0</x:v>
      </x:c>
      <x:c r="H2319" s="193" t="n">
        <x:v>0</x:v>
      </x:c>
      <x:c r="I2319" s="185" t="n">
        <x:v>0</x:v>
      </x:c>
      <x:c r="J2319" s="185" t="n">
        <x:v>0</x:v>
      </x:c>
      <x:c r="K2319" s="289" t="n">
        <x:v>5000</x:v>
      </x:c>
    </x:row>
    <x:row r="2320" s="117" customFormat="1" hidden="1">
      <x:c r="A2320" s="184" t="inlineStr">
        <x:is>
          <x:t xml:space="preserve">PDTPLA001008</x:t>
        </x:is>
      </x:c>
      <x:c r="B2320" s="184" t="inlineStr">
        <x:is>
          <x:t xml:space="preserve">CUCHILLO RASPADOR DE CATODO LOMAS BAYAS TRIXALON</x:t>
        </x:is>
      </x:c>
      <x:c r="C2320" s="184" t="n">
        <x:v>0</x:v>
      </x:c>
      <x:c r="D2320" s="184" t="n">
        <x:v>0</x:v>
      </x:c>
      <x:c r="E2320" s="184" t="n">
        <x:v>0</x:v>
      </x:c>
      <x:c r="F2320" s="184" t="n">
        <x:v>0</x:v>
      </x:c>
      <x:c r="G2320" s="184" t="n">
        <x:v>0</x:v>
      </x:c>
      <x:c r="H2320" s="193" t="n">
        <x:v>0</x:v>
      </x:c>
      <x:c r="I2320" s="185" t="n">
        <x:v>0</x:v>
      </x:c>
      <x:c r="J2320" s="185" t="n">
        <x:v>0</x:v>
      </x:c>
      <x:c r="K2320" s="289" t="n">
        <x:v>31571</x:v>
      </x:c>
    </x:row>
    <x:row r="2321" s="117" customFormat="1" hidden="1">
      <x:c r="A2321" s="184" t="inlineStr">
        <x:is>
          <x:t xml:space="preserve">PDTPLA001009</x:t>
        </x:is>
      </x:c>
      <x:c r="B2321" s="184" t="inlineStr">
        <x:is>
          <x:t xml:space="preserve">POSTE ALUMBRADO 5 MTS CON BRAZO 5-PTB</x:t>
        </x:is>
      </x:c>
      <x:c r="C2321" s="184" t="n">
        <x:v>0</x:v>
      </x:c>
      <x:c r="D2321" s="184" t="n">
        <x:v>0</x:v>
      </x:c>
      <x:c r="E2321" s="184" t="n">
        <x:v>0</x:v>
      </x:c>
      <x:c r="F2321" s="184" t="n">
        <x:v>0</x:v>
      </x:c>
      <x:c r="G2321" s="184" t="n">
        <x:v>0</x:v>
      </x:c>
      <x:c r="H2321" s="193" t="n">
        <x:v>0</x:v>
      </x:c>
      <x:c r="I2321" s="185" t="n">
        <x:v>0</x:v>
      </x:c>
      <x:c r="J2321" s="185" t="n">
        <x:v>0</x:v>
      </x:c>
      <x:c r="K2321" s="289" t="n">
        <x:v>185241</x:v>
      </x:c>
    </x:row>
    <x:row r="2322" s="117" customFormat="1" hidden="1">
      <x:c r="A2322" s="184" t="inlineStr">
        <x:is>
          <x:t xml:space="preserve">PDTPLA001010</x:t>
        </x:is>
      </x:c>
      <x:c r="B2322" s="184" t="inlineStr">
        <x:is>
          <x:t xml:space="preserve">POSTE ALUMBRADO 6 MTS CON BRAZO 6-PTB</x:t>
        </x:is>
      </x:c>
      <x:c r="C2322" s="184" t="n">
        <x:v>0</x:v>
      </x:c>
      <x:c r="D2322" s="184" t="n">
        <x:v>0</x:v>
      </x:c>
      <x:c r="E2322" s="184" t="n">
        <x:v>0</x:v>
      </x:c>
      <x:c r="F2322" s="184" t="n">
        <x:v>0</x:v>
      </x:c>
      <x:c r="G2322" s="184" t="n">
        <x:v>0</x:v>
      </x:c>
      <x:c r="H2322" s="193" t="n">
        <x:v>0</x:v>
      </x:c>
      <x:c r="I2322" s="185" t="n">
        <x:v>0</x:v>
      </x:c>
      <x:c r="J2322" s="185" t="n">
        <x:v>0</x:v>
      </x:c>
      <x:c r="K2322" s="289" t="n">
        <x:v>218346</x:v>
      </x:c>
    </x:row>
    <x:row r="2323" s="117" customFormat="1" hidden="1">
      <x:c r="A2323" s="184" t="inlineStr">
        <x:is>
          <x:t xml:space="preserve">PDTPLA001011</x:t>
        </x:is>
      </x:c>
      <x:c r="B2323" s="184" t="inlineStr">
        <x:is>
          <x:t xml:space="preserve">BASE POSTE FRP</x:t>
        </x:is>
      </x:c>
      <x:c r="C2323" s="184" t="n">
        <x:v>0</x:v>
      </x:c>
      <x:c r="D2323" s="184" t="n">
        <x:v>0</x:v>
      </x:c>
      <x:c r="E2323" s="184" t="n">
        <x:v>0</x:v>
      </x:c>
      <x:c r="F2323" s="184" t="n">
        <x:v>0</x:v>
      </x:c>
      <x:c r="G2323" s="184" t="n">
        <x:v>0</x:v>
      </x:c>
      <x:c r="H2323" s="193" t="n">
        <x:v>0</x:v>
      </x:c>
      <x:c r="I2323" s="185" t="n">
        <x:v>0</x:v>
      </x:c>
      <x:c r="J2323" s="185" t="n">
        <x:v>0</x:v>
      </x:c>
      <x:c r="K2323" s="289" t="n">
        <x:v>30990</x:v>
      </x:c>
    </x:row>
    <x:row r="2324" s="117" customFormat="1" hidden="1">
      <x:c r="A2324" s="184" t="inlineStr">
        <x:is>
          <x:t xml:space="preserve">PDTPLA001012</x:t>
        </x:is>
      </x:c>
      <x:c r="B2324" s="184" t="inlineStr">
        <x:is>
          <x:t xml:space="preserve">POSTE DISTRIBUCION 10 MTS 10-350P</x:t>
        </x:is>
      </x:c>
      <x:c r="C2324" s="184" t="n">
        <x:v>0</x:v>
      </x:c>
      <x:c r="D2324" s="184" t="n">
        <x:v>0</x:v>
      </x:c>
      <x:c r="E2324" s="184" t="n">
        <x:v>0</x:v>
      </x:c>
      <x:c r="F2324" s="184" t="n">
        <x:v>0</x:v>
      </x:c>
      <x:c r="G2324" s="184" t="n">
        <x:v>0</x:v>
      </x:c>
      <x:c r="H2324" s="193" t="n">
        <x:v>0</x:v>
      </x:c>
      <x:c r="I2324" s="185" t="n">
        <x:v>0</x:v>
      </x:c>
      <x:c r="J2324" s="185" t="n">
        <x:v>0</x:v>
      </x:c>
      <x:c r="K2324" s="289" t="n">
        <x:v>243702</x:v>
      </x:c>
    </x:row>
    <x:row r="2325" s="117" customFormat="1" hidden="1">
      <x:c r="A2325" s="184" t="inlineStr">
        <x:is>
          <x:t xml:space="preserve">PDTPLA001013</x:t>
        </x:is>
      </x:c>
      <x:c r="B2325" s="184" t="inlineStr">
        <x:is>
          <x:t xml:space="preserve">CRUSETA PARA POSTE FRP 1000</x:t>
        </x:is>
      </x:c>
      <x:c r="C2325" s="184" t="n">
        <x:v>0</x:v>
      </x:c>
      <x:c r="D2325" s="184" t="n">
        <x:v>0</x:v>
      </x:c>
      <x:c r="E2325" s="184" t="n">
        <x:v>0</x:v>
      </x:c>
      <x:c r="F2325" s="184" t="n">
        <x:v>0</x:v>
      </x:c>
      <x:c r="G2325" s="184" t="n">
        <x:v>0</x:v>
      </x:c>
      <x:c r="H2325" s="193" t="n">
        <x:v>0</x:v>
      </x:c>
      <x:c r="I2325" s="185" t="n">
        <x:v>0</x:v>
      </x:c>
      <x:c r="J2325" s="185" t="n">
        <x:v>0</x:v>
      </x:c>
      <x:c r="K2325" s="289" t="n">
        <x:v>1</x:v>
      </x:c>
    </x:row>
    <x:row r="2326" s="117" customFormat="1" hidden="1">
      <x:c r="A2326" s="184" t="inlineStr">
        <x:is>
          <x:t xml:space="preserve">PDTPLA001014</x:t>
        </x:is>
      </x:c>
      <x:c r="B2326" s="184" t="inlineStr">
        <x:is>
          <x:t xml:space="preserve">CRUSETA PARA POSTE FRP 1200</x:t>
        </x:is>
      </x:c>
      <x:c r="C2326" s="184" t="n">
        <x:v>0</x:v>
      </x:c>
      <x:c r="D2326" s="184" t="n">
        <x:v>0</x:v>
      </x:c>
      <x:c r="E2326" s="184" t="n">
        <x:v>0</x:v>
      </x:c>
      <x:c r="F2326" s="184" t="n">
        <x:v>0</x:v>
      </x:c>
      <x:c r="G2326" s="184" t="n">
        <x:v>0</x:v>
      </x:c>
      <x:c r="H2326" s="193" t="n">
        <x:v>0</x:v>
      </x:c>
      <x:c r="I2326" s="185" t="n">
        <x:v>0</x:v>
      </x:c>
      <x:c r="J2326" s="185" t="n">
        <x:v>0</x:v>
      </x:c>
      <x:c r="K2326" s="289" t="n">
        <x:v>1</x:v>
      </x:c>
    </x:row>
    <x:row r="2327" s="117" customFormat="1" hidden="1">
      <x:c r="A2327" s="184" t="inlineStr">
        <x:is>
          <x:t xml:space="preserve">PDTPLA001015</x:t>
        </x:is>
      </x:c>
      <x:c r="B2327" s="184" t="inlineStr">
        <x:is>
          <x:t xml:space="preserve">POSTE FRP PRUEBA</x:t>
        </x:is>
      </x:c>
      <x:c r="C2327" s="184" t="n">
        <x:v>0</x:v>
      </x:c>
      <x:c r="D2327" s="184" t="n">
        <x:v>0</x:v>
      </x:c>
      <x:c r="E2327" s="184" t="n">
        <x:v>0</x:v>
      </x:c>
      <x:c r="F2327" s="184" t="n">
        <x:v>0</x:v>
      </x:c>
      <x:c r="G2327" s="184" t="n">
        <x:v>0</x:v>
      </x:c>
      <x:c r="H2327" s="193" t="n">
        <x:v>0</x:v>
      </x:c>
      <x:c r="I2327" s="185" t="n">
        <x:v>0</x:v>
      </x:c>
      <x:c r="J2327" s="185" t="n">
        <x:v>0</x:v>
      </x:c>
      <x:c r="K2327" s="289" t="n">
        <x:v>1</x:v>
      </x:c>
    </x:row>
    <x:row r="2328" s="117" customFormat="1" hidden="1">
      <x:c r="A2328" s="184" t="inlineStr">
        <x:is>
          <x:t xml:space="preserve">PDTPLA001016</x:t>
        </x:is>
      </x:c>
      <x:c r="B2328" s="184" t="inlineStr">
        <x:is>
          <x:t xml:space="preserve">POSTE DISTRIBUCION 8.7 MTS 8.7-40P</x:t>
        </x:is>
      </x:c>
      <x:c r="C2328" s="184" t="n">
        <x:v>0</x:v>
      </x:c>
      <x:c r="D2328" s="184" t="n">
        <x:v>0</x:v>
      </x:c>
      <x:c r="E2328" s="184" t="n">
        <x:v>0</x:v>
      </x:c>
      <x:c r="F2328" s="184" t="n">
        <x:v>0</x:v>
      </x:c>
      <x:c r="G2328" s="184" t="n">
        <x:v>0</x:v>
      </x:c>
      <x:c r="H2328" s="193" t="n">
        <x:v>0</x:v>
      </x:c>
      <x:c r="I2328" s="185" t="n">
        <x:v>0</x:v>
      </x:c>
      <x:c r="J2328" s="185" t="n">
        <x:v>0</x:v>
      </x:c>
      <x:c r="K2328" s="289" t="n">
        <x:v>222570</x:v>
      </x:c>
    </x:row>
    <x:row r="2329" s="117" customFormat="1" hidden="1">
      <x:c r="A2329" s="184" t="inlineStr">
        <x:is>
          <x:t xml:space="preserve">PDTPLA001017</x:t>
        </x:is>
      </x:c>
      <x:c r="B2329" s="184" t="inlineStr">
        <x:is>
          <x:t xml:space="preserve">POSTE DISTRIBUCION 10 MTS 10-35P SECCIONADO</x:t>
        </x:is>
      </x:c>
      <x:c r="C2329" s="184" t="n">
        <x:v>0</x:v>
      </x:c>
      <x:c r="D2329" s="184" t="n">
        <x:v>0</x:v>
      </x:c>
      <x:c r="E2329" s="184" t="n">
        <x:v>0</x:v>
      </x:c>
      <x:c r="F2329" s="184" t="n">
        <x:v>0</x:v>
      </x:c>
      <x:c r="G2329" s="184" t="n">
        <x:v>0</x:v>
      </x:c>
      <x:c r="H2329" s="193" t="n">
        <x:v>0</x:v>
      </x:c>
      <x:c r="I2329" s="185" t="n">
        <x:v>0</x:v>
      </x:c>
      <x:c r="J2329" s="185" t="n">
        <x:v>0</x:v>
      </x:c>
      <x:c r="K2329" s="289" t="n">
        <x:v>271173</x:v>
      </x:c>
    </x:row>
    <x:row r="2330" s="117" customFormat="1" hidden="1">
      <x:c r="A2330" s="184" t="inlineStr">
        <x:is>
          <x:t xml:space="preserve">PDTPLA001018</x:t>
        </x:is>
      </x:c>
      <x:c r="B2330" s="184" t="inlineStr">
        <x:is>
          <x:t xml:space="preserve">POSTE ALUMBRADO 5 MTS SIN BRAZO 5-PT</x:t>
        </x:is>
      </x:c>
      <x:c r="C2330" s="184" t="n">
        <x:v>0</x:v>
      </x:c>
      <x:c r="D2330" s="184" t="n">
        <x:v>0</x:v>
      </x:c>
      <x:c r="E2330" s="184" t="n">
        <x:v>0</x:v>
      </x:c>
      <x:c r="F2330" s="184" t="n">
        <x:v>0</x:v>
      </x:c>
      <x:c r="G2330" s="184" t="n">
        <x:v>-1</x:v>
      </x:c>
      <x:c r="H2330" s="193" t="n">
        <x:v>0</x:v>
      </x:c>
      <x:c r="I2330" s="185" t="n">
        <x:v>0</x:v>
      </x:c>
      <x:c r="J2330" s="185" t="n">
        <x:v>-1</x:v>
      </x:c>
      <x:c r="K2330" s="289" t="n">
        <x:v>68327.94444399999</x:v>
      </x:c>
    </x:row>
    <x:row r="2331" s="117" customFormat="1" hidden="1">
      <x:c r="A2331" s="184" t="inlineStr">
        <x:is>
          <x:t xml:space="preserve">PDTPLA001019</x:t>
        </x:is>
      </x:c>
      <x:c r="B2331" s="184" t="inlineStr">
        <x:is>
          <x:t xml:space="preserve">POSTE ALUMBRADO 6 MTS SIN BRAZO 6-PT</x:t>
        </x:is>
      </x:c>
      <x:c r="C2331" s="184" t="n">
        <x:v>0</x:v>
      </x:c>
      <x:c r="D2331" s="184" t="n">
        <x:v>0</x:v>
      </x:c>
      <x:c r="E2331" s="184" t="n">
        <x:v>0</x:v>
      </x:c>
      <x:c r="F2331" s="184" t="n">
        <x:v>0</x:v>
      </x:c>
      <x:c r="G2331" s="184" t="n">
        <x:v>0</x:v>
      </x:c>
      <x:c r="H2331" s="193" t="n">
        <x:v>0</x:v>
      </x:c>
      <x:c r="I2331" s="185" t="n">
        <x:v>0</x:v>
      </x:c>
      <x:c r="J2331" s="185" t="n">
        <x:v>0</x:v>
      </x:c>
      <x:c r="K2331" s="289" t="n">
        <x:v>182424</x:v>
      </x:c>
    </x:row>
    <x:row r="2332" s="117" customFormat="1" hidden="1">
      <x:c r="A2332" s="184" t="inlineStr">
        <x:is>
          <x:t xml:space="preserve">PDTPLA001020</x:t>
        </x:is>
      </x:c>
      <x:c r="B2332" s="184" t="inlineStr">
        <x:is>
          <x:t xml:space="preserve">SOPORTE CADENA UHMW 76X57X46X33 EMMB 4052098</x:t>
        </x:is>
      </x:c>
      <x:c r="C2332" s="184" t="n">
        <x:v>0</x:v>
      </x:c>
      <x:c r="D2332" s="184" t="n">
        <x:v>0</x:v>
      </x:c>
      <x:c r="E2332" s="184" t="n">
        <x:v>0</x:v>
      </x:c>
      <x:c r="F2332" s="184" t="n">
        <x:v>0</x:v>
      </x:c>
      <x:c r="G2332" s="184" t="n">
        <x:v>0</x:v>
      </x:c>
      <x:c r="H2332" s="193" t="n">
        <x:v>0</x:v>
      </x:c>
      <x:c r="I2332" s="185" t="n">
        <x:v>0</x:v>
      </x:c>
      <x:c r="J2332" s="185" t="n">
        <x:v>0</x:v>
      </x:c>
      <x:c r="K2332" s="289" t="n">
        <x:v>9051</x:v>
      </x:c>
    </x:row>
    <x:row r="2333" s="117" customFormat="1" hidden="1">
      <x:c r="A2333" s="184" t="inlineStr">
        <x:is>
          <x:t xml:space="preserve">PDTPLA001021</x:t>
        </x:is>
      </x:c>
      <x:c r="B2333" s="184" t="inlineStr">
        <x:is>
          <x:t xml:space="preserve">SOPORTE CELDA PESAJE MATERIAL TRIXALON INCLUYE BUJE METALICO COD.351775</x:t>
        </x:is>
      </x:c>
      <x:c r="C2333" s="184" t="n">
        <x:v>0</x:v>
      </x:c>
      <x:c r="D2333" s="184" t="n">
        <x:v>0</x:v>
      </x:c>
      <x:c r="E2333" s="184" t="n">
        <x:v>0</x:v>
      </x:c>
      <x:c r="F2333" s="184" t="n">
        <x:v>0</x:v>
      </x:c>
      <x:c r="G2333" s="184" t="n">
        <x:v>0</x:v>
      </x:c>
      <x:c r="H2333" s="193" t="n">
        <x:v>0</x:v>
      </x:c>
      <x:c r="I2333" s="185" t="n">
        <x:v>0</x:v>
      </x:c>
      <x:c r="J2333" s="185" t="n">
        <x:v>0</x:v>
      </x:c>
      <x:c r="K2333" s="289" t="n">
        <x:v>27440</x:v>
      </x:c>
    </x:row>
    <x:row r="2334" s="117" customFormat="1" hidden="1">
      <x:c r="A2334" s="184" t="inlineStr">
        <x:is>
          <x:t xml:space="preserve">PDTPLA001022</x:t>
        </x:is>
      </x:c>
      <x:c r="B2334" s="184" t="inlineStr">
        <x:is>
          <x:t xml:space="preserve">RING JOPY J2756 CODIGO 1274595 ( ASIENTO VALVULA CHUQUICAMATA)</x:t>
        </x:is>
      </x:c>
      <x:c r="C2334" s="184" t="n">
        <x:v>0</x:v>
      </x:c>
      <x:c r="D2334" s="184" t="n">
        <x:v>0</x:v>
      </x:c>
      <x:c r="E2334" s="184" t="n">
        <x:v>0</x:v>
      </x:c>
      <x:c r="F2334" s="184" t="n">
        <x:v>0</x:v>
      </x:c>
      <x:c r="G2334" s="184" t="n">
        <x:v>0</x:v>
      </x:c>
      <x:c r="H2334" s="193" t="n">
        <x:v>0</x:v>
      </x:c>
      <x:c r="I2334" s="185" t="n">
        <x:v>0</x:v>
      </x:c>
      <x:c r="J2334" s="185" t="n">
        <x:v>0</x:v>
      </x:c>
      <x:c r="K2334" s="289" t="n">
        <x:v>46818</x:v>
      </x:c>
    </x:row>
    <x:row r="2335" s="117" customFormat="1" hidden="1">
      <x:c r="A2335" s="184" t="inlineStr">
        <x:is>
          <x:t xml:space="preserve">PDTPLA001023</x:t>
        </x:is>
      </x:c>
      <x:c r="B2335" s="184" t="inlineStr">
        <x:is>
          <x:t xml:space="preserve">DISCO DIAMANTE (100MM X 15MM PTFE)</x:t>
        </x:is>
      </x:c>
      <x:c r="C2335" s="184" t="n">
        <x:v>0</x:v>
      </x:c>
      <x:c r="D2335" s="184" t="n">
        <x:v>0</x:v>
      </x:c>
      <x:c r="E2335" s="184" t="n">
        <x:v>0</x:v>
      </x:c>
      <x:c r="F2335" s="184" t="n">
        <x:v>0</x:v>
      </x:c>
      <x:c r="G2335" s="184" t="n">
        <x:v>0</x:v>
      </x:c>
      <x:c r="H2335" s="193" t="n">
        <x:v>0</x:v>
      </x:c>
      <x:c r="I2335" s="185" t="n">
        <x:v>0</x:v>
      </x:c>
      <x:c r="J2335" s="185" t="n">
        <x:v>0</x:v>
      </x:c>
      <x:c r="K2335" s="289" t="n">
        <x:v>6750</x:v>
      </x:c>
    </x:row>
    <x:row r="2336" s="117" customFormat="1" hidden="1">
      <x:c r="A2336" s="184" t="inlineStr">
        <x:is>
          <x:t xml:space="preserve">PDTPLA001024</x:t>
        </x:is>
      </x:c>
      <x:c r="B2336" s="184" t="inlineStr">
        <x:is>
          <x:t xml:space="preserve">PIEZA NYLON SEGUIN PLANO G3577-T11-8900</x:t>
        </x:is>
      </x:c>
      <x:c r="C2336" s="184" t="n">
        <x:v>0</x:v>
      </x:c>
      <x:c r="D2336" s="184" t="n">
        <x:v>0</x:v>
      </x:c>
      <x:c r="E2336" s="184" t="n">
        <x:v>0</x:v>
      </x:c>
      <x:c r="F2336" s="184" t="n">
        <x:v>0</x:v>
      </x:c>
      <x:c r="G2336" s="184" t="n">
        <x:v>0</x:v>
      </x:c>
      <x:c r="H2336" s="193" t="n">
        <x:v>0</x:v>
      </x:c>
      <x:c r="I2336" s="185" t="n">
        <x:v>0</x:v>
      </x:c>
      <x:c r="J2336" s="185" t="n">
        <x:v>0</x:v>
      </x:c>
      <x:c r="K2336" s="289" t="n">
        <x:v>47949</x:v>
      </x:c>
    </x:row>
    <x:row r="2337" s="117" customFormat="1" hidden="1">
      <x:c r="A2337" s="184" t="inlineStr">
        <x:is>
          <x:t xml:space="preserve">PDTPLA001025</x:t>
        </x:is>
      </x:c>
      <x:c r="B2337" s="184" t="inlineStr">
        <x:is>
          <x:t xml:space="preserve">CORTINA LIMPIEZA PLANO CMP A-63-092 REV-4 MATERIAL PVC CODIGO 50125105</x:t>
        </x:is>
      </x:c>
      <x:c r="C2337" s="184" t="n">
        <x:v>0</x:v>
      </x:c>
      <x:c r="D2337" s="184" t="n">
        <x:v>0</x:v>
      </x:c>
      <x:c r="E2337" s="184" t="n">
        <x:v>0</x:v>
      </x:c>
      <x:c r="F2337" s="184" t="n">
        <x:v>0</x:v>
      </x:c>
      <x:c r="G2337" s="184" t="n">
        <x:v>0</x:v>
      </x:c>
      <x:c r="H2337" s="193" t="n">
        <x:v>0</x:v>
      </x:c>
      <x:c r="I2337" s="185" t="n">
        <x:v>0</x:v>
      </x:c>
      <x:c r="J2337" s="185" t="n">
        <x:v>0</x:v>
      </x:c>
      <x:c r="K2337" s="289" t="n">
        <x:v>75862</x:v>
      </x:c>
    </x:row>
    <x:row r="2338" s="117" customFormat="1" hidden="1">
      <x:c r="A2338" s="184" t="inlineStr">
        <x:is>
          <x:t xml:space="preserve">PDTPLA001026</x:t>
        </x:is>
      </x:c>
      <x:c r="B2338" s="184" t="inlineStr">
        <x:is>
          <x:t xml:space="preserve">JUEGO HOJAS RASPADOR (8 HOJAS POR JUEGO)PLANO PCONO20600 CODIGO 11012195</x:t>
        </x:is>
      </x:c>
      <x:c r="C2338" s="184" t="n">
        <x:v>0</x:v>
      </x:c>
      <x:c r="D2338" s="184" t="n">
        <x:v>0</x:v>
      </x:c>
      <x:c r="E2338" s="184" t="n">
        <x:v>0</x:v>
      </x:c>
      <x:c r="F2338" s="184" t="n">
        <x:v>0</x:v>
      </x:c>
      <x:c r="G2338" s="184" t="n">
        <x:v>0</x:v>
      </x:c>
      <x:c r="H2338" s="193" t="n">
        <x:v>0</x:v>
      </x:c>
      <x:c r="I2338" s="185" t="n">
        <x:v>0</x:v>
      </x:c>
      <x:c r="J2338" s="185" t="n">
        <x:v>0</x:v>
      </x:c>
      <x:c r="K2338" s="289" t="n">
        <x:v>847723</x:v>
      </x:c>
    </x:row>
    <x:row r="2339" s="117" customFormat="1" hidden="1">
      <x:c r="A2339" s="184" t="inlineStr">
        <x:is>
          <x:t xml:space="preserve">PDTPLA001027</x:t>
        </x:is>
      </x:c>
      <x:c r="B2339" s="184" t="inlineStr">
        <x:is>
          <x:t xml:space="preserve">CUCHILLO RASPADOR PARA MAQUINA DESPEGADORA DE CATODOS S/PLANO(DIVISIO RADOMIRO TOMIC) MUESTRA</x:t>
        </x:is>
      </x:c>
      <x:c r="C2339" s="184" t="n">
        <x:v>0</x:v>
      </x:c>
      <x:c r="D2339" s="184" t="n">
        <x:v>0</x:v>
      </x:c>
      <x:c r="E2339" s="184" t="n">
        <x:v>0</x:v>
      </x:c>
      <x:c r="F2339" s="184" t="n">
        <x:v>0</x:v>
      </x:c>
      <x:c r="G2339" s="184" t="n">
        <x:v>0</x:v>
      </x:c>
      <x:c r="H2339" s="193" t="n">
        <x:v>0</x:v>
      </x:c>
      <x:c r="I2339" s="185" t="n">
        <x:v>0</x:v>
      </x:c>
      <x:c r="J2339" s="185" t="n">
        <x:v>0</x:v>
      </x:c>
      <x:c r="K2339" s="289" t="n">
        <x:v>63950</x:v>
      </x:c>
    </x:row>
    <x:row r="2340" s="117" customFormat="1" hidden="1">
      <x:c r="A2340" s="184" t="inlineStr">
        <x:is>
          <x:t xml:space="preserve">PDTPLA001028</x:t>
        </x:is>
      </x:c>
      <x:c r="B2340" s="184" t="inlineStr">
        <x:is>
          <x:t xml:space="preserve">FUELLE TEFLON PARA FILTRO SUNDS DIAM.90 MM S/PLANO 88290008 CMPC</x:t>
        </x:is>
      </x:c>
      <x:c r="C2340" s="184" t="n">
        <x:v>0</x:v>
      </x:c>
      <x:c r="D2340" s="184" t="n">
        <x:v>0</x:v>
      </x:c>
      <x:c r="E2340" s="184" t="n">
        <x:v>0</x:v>
      </x:c>
      <x:c r="F2340" s="184" t="n">
        <x:v>0</x:v>
      </x:c>
      <x:c r="G2340" s="184" t="n">
        <x:v>0</x:v>
      </x:c>
      <x:c r="H2340" s="193" t="n">
        <x:v>0</x:v>
      </x:c>
      <x:c r="I2340" s="185" t="n">
        <x:v>0</x:v>
      </x:c>
      <x:c r="J2340" s="185" t="n">
        <x:v>0</x:v>
      </x:c>
      <x:c r="K2340" s="289" t="n">
        <x:v>219288</x:v>
      </x:c>
    </x:row>
    <x:row r="2341" s="117" customFormat="1" hidden="1">
      <x:c r="A2341" s="184" t="inlineStr">
        <x:is>
          <x:t xml:space="preserve">PDTPLA001029</x:t>
        </x:is>
      </x:c>
      <x:c r="B2341" s="184" t="inlineStr">
        <x:is>
          <x:t xml:space="preserve">KIT PLACA INFERIOR FILTRO SUNDS MATERIAL ECTFE CODIGO 88290050</x:t>
        </x:is>
      </x:c>
      <x:c r="C2341" s="184" t="n">
        <x:v>0</x:v>
      </x:c>
      <x:c r="D2341" s="184" t="n">
        <x:v>0</x:v>
      </x:c>
      <x:c r="E2341" s="184" t="n">
        <x:v>0</x:v>
      </x:c>
      <x:c r="F2341" s="184" t="n">
        <x:v>0</x:v>
      </x:c>
      <x:c r="G2341" s="184" t="n">
        <x:v>0</x:v>
      </x:c>
      <x:c r="H2341" s="193" t="n">
        <x:v>0</x:v>
      </x:c>
      <x:c r="I2341" s="185" t="n">
        <x:v>0</x:v>
      </x:c>
      <x:c r="J2341" s="185" t="n">
        <x:v>0</x:v>
      </x:c>
      <x:c r="K2341" s="289" t="n">
        <x:v>472898</x:v>
      </x:c>
    </x:row>
    <x:row r="2342" s="117" customFormat="1" hidden="1">
      <x:c r="A2342" s="184" t="inlineStr">
        <x:is>
          <x:t xml:space="preserve">PDTPLA001030</x:t>
        </x:is>
      </x:c>
      <x:c r="B2342" s="184" t="inlineStr">
        <x:is>
          <x:t xml:space="preserve">VACUM BOX SEAL STRIP 4034X180X50 MM UHME-PE CERAM-P</x:t>
        </x:is>
      </x:c>
      <x:c r="C2342" s="184" t="n">
        <x:v>0</x:v>
      </x:c>
      <x:c r="D2342" s="184" t="n">
        <x:v>0</x:v>
      </x:c>
      <x:c r="E2342" s="184" t="n">
        <x:v>0</x:v>
      </x:c>
      <x:c r="F2342" s="184" t="n">
        <x:v>0</x:v>
      </x:c>
      <x:c r="G2342" s="184" t="n">
        <x:v>0</x:v>
      </x:c>
      <x:c r="H2342" s="193" t="n">
        <x:v>0</x:v>
      </x:c>
      <x:c r="I2342" s="185" t="n">
        <x:v>0</x:v>
      </x:c>
      <x:c r="J2342" s="185" t="n">
        <x:v>0</x:v>
      </x:c>
      <x:c r="K2342" s="289" t="n">
        <x:v>485268</x:v>
      </x:c>
    </x:row>
    <x:row r="2343" s="117" customFormat="1" hidden="1">
      <x:c r="A2343" s="184" t="inlineStr">
        <x:is>
          <x:t xml:space="preserve">PDTPLA001031</x:t>
        </x:is>
      </x:c>
      <x:c r="B2343" s="184" t="inlineStr">
        <x:is>
          <x:t xml:space="preserve">JUEGO HOJA RASPADOR TRIXALON (6 TIPOS DE HOJA) CODIGO 11012194 PCONO20610 PELAMBRES</x:t>
        </x:is>
      </x:c>
      <x:c r="C2343" s="184" t="n">
        <x:v>0</x:v>
      </x:c>
      <x:c r="D2343" s="184" t="n">
        <x:v>0</x:v>
      </x:c>
      <x:c r="E2343" s="184" t="n">
        <x:v>0</x:v>
      </x:c>
      <x:c r="F2343" s="184" t="n">
        <x:v>0</x:v>
      </x:c>
      <x:c r="G2343" s="184" t="n">
        <x:v>0</x:v>
      </x:c>
      <x:c r="H2343" s="193" t="n">
        <x:v>0</x:v>
      </x:c>
      <x:c r="I2343" s="185" t="n">
        <x:v>0</x:v>
      </x:c>
      <x:c r="J2343" s="185" t="n">
        <x:v>0</x:v>
      </x:c>
      <x:c r="K2343" s="289" t="n">
        <x:v>754788</x:v>
      </x:c>
    </x:row>
    <x:row r="2344" s="117" customFormat="1" hidden="1">
      <x:c r="A2344" s="184" t="inlineStr">
        <x:is>
          <x:t xml:space="preserve">PDTPLA001032</x:t>
        </x:is>
      </x:c>
      <x:c r="B2344" s="184" t="inlineStr">
        <x:is>
          <x:t xml:space="preserve">BUJE TIPO CAMISA VASTAGO ACCIONAMIENTO SENSOR DE POSICION</x:t>
        </x:is>
      </x:c>
      <x:c r="C2344" s="184" t="n">
        <x:v>0</x:v>
      </x:c>
      <x:c r="D2344" s="184" t="n">
        <x:v>0</x:v>
      </x:c>
      <x:c r="E2344" s="184" t="n">
        <x:v>0</x:v>
      </x:c>
      <x:c r="F2344" s="184" t="n">
        <x:v>0</x:v>
      </x:c>
      <x:c r="G2344" s="184" t="n">
        <x:v>0</x:v>
      </x:c>
      <x:c r="H2344" s="193" t="n">
        <x:v>0</x:v>
      </x:c>
      <x:c r="I2344" s="185" t="n">
        <x:v>0</x:v>
      </x:c>
      <x:c r="J2344" s="185" t="n">
        <x:v>0</x:v>
      </x:c>
      <x:c r="K2344" s="289" t="n">
        <x:v>25590</x:v>
      </x:c>
    </x:row>
    <x:row r="2345" s="117" customFormat="1" hidden="1">
      <x:c r="A2345" s="184" t="inlineStr">
        <x:is>
          <x:t xml:space="preserve">PDTPLA001033</x:t>
        </x:is>
      </x:c>
      <x:c r="B2345" s="184" t="inlineStr">
        <x:is>
          <x:t xml:space="preserve">BUJE DI 45MM , DE 65MM ,LG 55 MM MAT,PVDF ESP. 10 MM PESTAÑA 4 MM CILINDROP PEINETA</x:t>
        </x:is>
      </x:c>
      <x:c r="C2345" s="184" t="n">
        <x:v>0</x:v>
      </x:c>
      <x:c r="D2345" s="184" t="n">
        <x:v>0</x:v>
      </x:c>
      <x:c r="E2345" s="184" t="n">
        <x:v>0</x:v>
      </x:c>
      <x:c r="F2345" s="184" t="n">
        <x:v>0</x:v>
      </x:c>
      <x:c r="G2345" s="184" t="n">
        <x:v>0</x:v>
      </x:c>
      <x:c r="H2345" s="193" t="n">
        <x:v>0</x:v>
      </x:c>
      <x:c r="I2345" s="185" t="n">
        <x:v>0</x:v>
      </x:c>
      <x:c r="J2345" s="185" t="n">
        <x:v>0</x:v>
      </x:c>
      <x:c r="K2345" s="289" t="n">
        <x:v>16361</x:v>
      </x:c>
    </x:row>
    <x:row r="2346" s="117" customFormat="1" hidden="1">
      <x:c r="A2346" s="184" t="inlineStr">
        <x:is>
          <x:t xml:space="preserve">PDTPLA001034</x:t>
        </x:is>
      </x:c>
      <x:c r="B2346" s="184" t="inlineStr">
        <x:is>
          <x:t xml:space="preserve">NIPLE3 PARA VALARGAMIENTO EN TOBERA FABRICADO EN PP DIAM 58 MM LGO 60 MM S/PLANO</x:t>
        </x:is>
      </x:c>
      <x:c r="C2346" s="184" t="n">
        <x:v>0</x:v>
      </x:c>
      <x:c r="D2346" s="184" t="n">
        <x:v>0</x:v>
      </x:c>
      <x:c r="E2346" s="184" t="n">
        <x:v>0</x:v>
      </x:c>
      <x:c r="F2346" s="184" t="n">
        <x:v>0</x:v>
      </x:c>
      <x:c r="G2346" s="184" t="n">
        <x:v>0</x:v>
      </x:c>
      <x:c r="H2346" s="193" t="n">
        <x:v>0</x:v>
      </x:c>
      <x:c r="I2346" s="185" t="n">
        <x:v>0</x:v>
      </x:c>
      <x:c r="J2346" s="185" t="n">
        <x:v>0</x:v>
      </x:c>
      <x:c r="K2346" s="289" t="n">
        <x:v>2487</x:v>
      </x:c>
    </x:row>
    <x:row r="2347">
      <x:c r="A2347" s="184" t="inlineStr">
        <x:is>
          <x:t xml:space="preserve">PDTPLA001035</x:t>
        </x:is>
      </x:c>
      <x:c r="B2347" s="184" t="inlineStr">
        <x:is>
          <x:t xml:space="preserve">FUELLE EN TEFLON PURO CON FLANGE DE AC.INOX 316 SEGUN PLANO 200/04-5328 CC-88290029</x:t>
        </x:is>
      </x:c>
      <x:c r="C2347" s="184" t="n">
        <x:v>0</x:v>
      </x:c>
      <x:c r="D2347" s="184" t="n">
        <x:v>0</x:v>
      </x:c>
      <x:c r="E2347" s="184" t="n">
        <x:v>0</x:v>
      </x:c>
      <x:c r="F2347" s="184" t="n">
        <x:v>0</x:v>
      </x:c>
      <x:c r="G2347" s="184" t="n">
        <x:v>0</x:v>
      </x:c>
      <x:c r="H2347" s="193" t="n">
        <x:v>0</x:v>
      </x:c>
      <x:c r="I2347" s="185" t="n">
        <x:v>0</x:v>
      </x:c>
      <x:c r="J2347" s="185" t="n">
        <x:v>0</x:v>
      </x:c>
      <x:c r="K2347" s="289" t="n">
        <x:v>1229205</x:v>
      </x:c>
    </x:row>
    <x:row r="2348" s="117" customFormat="1" hidden="1">
      <x:c r="A2348" s="184" t="inlineStr">
        <x:is>
          <x:t xml:space="preserve">PDTPLA001036</x:t>
        </x:is>
      </x:c>
      <x:c r="B2348" s="184" t="inlineStr">
        <x:is>
          <x:t xml:space="preserve">550 MCR PISTA  RODAMIENO EXTERIOR P/DISCO ROTATORIO DIAM.EXT.1166 MM DIAM.INT.1110 MM PL A2-MV-REV.0</x:t>
        </x:is>
      </x:c>
      <x:c r="C2348" s="184" t="n">
        <x:v>0</x:v>
      </x:c>
      <x:c r="D2348" s="184" t="n">
        <x:v>0</x:v>
      </x:c>
      <x:c r="E2348" s="184" t="n">
        <x:v>0</x:v>
      </x:c>
      <x:c r="F2348" s="184" t="n">
        <x:v>0</x:v>
      </x:c>
      <x:c r="G2348" s="184" t="n">
        <x:v>0</x:v>
      </x:c>
      <x:c r="H2348" s="193" t="n">
        <x:v>0</x:v>
      </x:c>
      <x:c r="I2348" s="185" t="n">
        <x:v>0</x:v>
      </x:c>
      <x:c r="J2348" s="185" t="n">
        <x:v>0</x:v>
      </x:c>
      <x:c r="K2348" s="289" t="n">
        <x:v>469209</x:v>
      </x:c>
    </x:row>
    <x:row r="2349" s="117" customFormat="1" hidden="1">
      <x:c r="A2349" s="184" t="inlineStr">
        <x:is>
          <x:t xml:space="preserve">PDTPLA001037</x:t>
        </x:is>
      </x:c>
      <x:c r="B2349" s="184" t="inlineStr">
        <x:is>
          <x:t xml:space="preserve">550 MCR PISTA  RODAMIENO INT. P/DISCO ROTATORIO DIAM.EXT.916 MM DIAM.INT.860 MM PL A2-MV-6192-4 R.0</x:t>
        </x:is>
      </x:c>
      <x:c r="C2349" s="184" t="n">
        <x:v>0</x:v>
      </x:c>
      <x:c r="D2349" s="184" t="n">
        <x:v>0</x:v>
      </x:c>
      <x:c r="E2349" s="184" t="n">
        <x:v>0</x:v>
      </x:c>
      <x:c r="F2349" s="184" t="n">
        <x:v>0</x:v>
      </x:c>
      <x:c r="G2349" s="184" t="n">
        <x:v>0</x:v>
      </x:c>
      <x:c r="H2349" s="193" t="n">
        <x:v>0</x:v>
      </x:c>
      <x:c r="I2349" s="185" t="n">
        <x:v>0</x:v>
      </x:c>
      <x:c r="J2349" s="185" t="n">
        <x:v>0</x:v>
      </x:c>
      <x:c r="K2349" s="289" t="n">
        <x:v>383898</x:v>
      </x:c>
    </x:row>
    <x:row r="2350" s="117" customFormat="1" hidden="1">
      <x:c r="A2350" s="184" t="inlineStr">
        <x:is>
          <x:t xml:space="preserve">PDTPLA001038</x:t>
        </x:is>
      </x:c>
      <x:c r="B2350" s="184" t="inlineStr">
        <x:is>
          <x:t xml:space="preserve">MIRILLA RECTANGULAR SEGUN PLANO 2019-025-01-21 MATERIAL ACRILICO DIM.140 X 415 X 50 MM</x:t>
        </x:is>
      </x:c>
      <x:c r="C2350" s="184" t="n">
        <x:v>0</x:v>
      </x:c>
      <x:c r="D2350" s="184" t="n">
        <x:v>0</x:v>
      </x:c>
      <x:c r="E2350" s="184" t="n">
        <x:v>0</x:v>
      </x:c>
      <x:c r="F2350" s="184" t="n">
        <x:v>0</x:v>
      </x:c>
      <x:c r="G2350" s="184" t="n">
        <x:v>0</x:v>
      </x:c>
      <x:c r="H2350" s="193" t="n">
        <x:v>0</x:v>
      </x:c>
      <x:c r="I2350" s="185" t="n">
        <x:v>0</x:v>
      </x:c>
      <x:c r="J2350" s="185" t="n">
        <x:v>0</x:v>
      </x:c>
      <x:c r="K2350" s="289" t="n">
        <x:v>106852</x:v>
      </x:c>
    </x:row>
    <x:row r="2351" s="117" customFormat="1" hidden="1">
      <x:c r="A2351" s="184" t="inlineStr">
        <x:is>
          <x:t xml:space="preserve">PDTPLA001039</x:t>
        </x:is>
      </x:c>
      <x:c r="B2351" s="184" t="inlineStr">
        <x:is>
          <x:t xml:space="preserve">MIRILLA CIRCUNFERENCIAL  SEGUN PLANO 2019-025-01-22 MATERIAL ACRILICO DIM.140 X 50 MM</x:t>
        </x:is>
      </x:c>
      <x:c r="C2351" s="184" t="n">
        <x:v>0</x:v>
      </x:c>
      <x:c r="D2351" s="184" t="n">
        <x:v>0</x:v>
      </x:c>
      <x:c r="E2351" s="184" t="n">
        <x:v>0</x:v>
      </x:c>
      <x:c r="F2351" s="184" t="n">
        <x:v>0</x:v>
      </x:c>
      <x:c r="G2351" s="184" t="n">
        <x:v>0</x:v>
      </x:c>
      <x:c r="H2351" s="193" t="n">
        <x:v>0</x:v>
      </x:c>
      <x:c r="I2351" s="185" t="n">
        <x:v>0</x:v>
      </x:c>
      <x:c r="J2351" s="185" t="n">
        <x:v>0</x:v>
      </x:c>
      <x:c r="K2351" s="289" t="n">
        <x:v>78185</x:v>
      </x:c>
    </x:row>
    <x:row r="2352" s="117" customFormat="1" hidden="1">
      <x:c r="A2352" s="184" t="inlineStr">
        <x:is>
          <x:t xml:space="preserve">PDTPLA001040</x:t>
        </x:is>
      </x:c>
      <x:c r="B2352" s="184" t="inlineStr">
        <x:is>
          <x:t xml:space="preserve">4005000 SOPORTE PLASTICO TRANSFERIDOR 60° PARA MAQUINA DESPAGADORA DE CATODOS 435669</x:t>
        </x:is>
      </x:c>
      <x:c r="C2352" s="184" t="n">
        <x:v>0</x:v>
      </x:c>
      <x:c r="D2352" s="184" t="n">
        <x:v>0</x:v>
      </x:c>
      <x:c r="E2352" s="184" t="n">
        <x:v>0</x:v>
      </x:c>
      <x:c r="F2352" s="184" t="n">
        <x:v>0</x:v>
      </x:c>
      <x:c r="G2352" s="184" t="n">
        <x:v>0</x:v>
      </x:c>
      <x:c r="H2352" s="193" t="n">
        <x:v>0</x:v>
      </x:c>
      <x:c r="I2352" s="185" t="n">
        <x:v>0</x:v>
      </x:c>
      <x:c r="J2352" s="185" t="n">
        <x:v>0</x:v>
      </x:c>
      <x:c r="K2352" s="289" t="n">
        <x:v>11989</x:v>
      </x:c>
    </x:row>
    <x:row r="2353" s="117" customFormat="1" hidden="1">
      <x:c r="A2353" s="184" t="inlineStr">
        <x:is>
          <x:t xml:space="preserve">PDTPLA001041</x:t>
        </x:is>
      </x:c>
      <x:c r="B2353" s="184" t="inlineStr">
        <x:is>
          <x:t xml:space="preserve">4052097 SOPORTE CADENA UHMW 76X57X46X43</x:t>
        </x:is>
      </x:c>
      <x:c r="C2353" s="184" t="n">
        <x:v>0</x:v>
      </x:c>
      <x:c r="D2353" s="184" t="n">
        <x:v>0</x:v>
      </x:c>
      <x:c r="E2353" s="184" t="n">
        <x:v>0</x:v>
      </x:c>
      <x:c r="F2353" s="184" t="n">
        <x:v>0</x:v>
      </x:c>
      <x:c r="G2353" s="184" t="n">
        <x:v>0</x:v>
      </x:c>
      <x:c r="H2353" s="193" t="n">
        <x:v>0</x:v>
      </x:c>
      <x:c r="I2353" s="185" t="n">
        <x:v>0</x:v>
      </x:c>
      <x:c r="J2353" s="185" t="n">
        <x:v>0</x:v>
      </x:c>
      <x:c r="K2353" s="289" t="n">
        <x:v>9051</x:v>
      </x:c>
    </x:row>
    <x:row r="2354" s="117" customFormat="1" hidden="1">
      <x:c r="A2354" s="184" t="inlineStr">
        <x:is>
          <x:t xml:space="preserve">PDTPLA001042</x:t>
        </x:is>
      </x:c>
      <x:c r="B2354" s="184" t="inlineStr">
        <x:is>
          <x:t xml:space="preserve">WEAR PLATE CERAM-P 330X250X50 MM S/PLANO</x:t>
        </x:is>
      </x:c>
      <x:c r="C2354" s="184" t="n">
        <x:v>0</x:v>
      </x:c>
      <x:c r="D2354" s="184" t="n">
        <x:v>0</x:v>
      </x:c>
      <x:c r="E2354" s="184" t="n">
        <x:v>0</x:v>
      </x:c>
      <x:c r="F2354" s="184" t="n">
        <x:v>0</x:v>
      </x:c>
      <x:c r="G2354" s="184" t="n">
        <x:v>0</x:v>
      </x:c>
      <x:c r="H2354" s="193" t="n">
        <x:v>0</x:v>
      </x:c>
      <x:c r="I2354" s="185" t="n">
        <x:v>0</x:v>
      </x:c>
      <x:c r="J2354" s="185" t="n">
        <x:v>0</x:v>
      </x:c>
      <x:c r="K2354" s="289" t="n">
        <x:v>203077</x:v>
      </x:c>
    </x:row>
    <x:row r="2355" s="117" customFormat="1" hidden="1">
      <x:c r="A2355" s="184" t="inlineStr">
        <x:is>
          <x:t xml:space="preserve">PDTPLA001043</x:t>
        </x:is>
      </x:c>
      <x:c r="B2355" s="184" t="inlineStr">
        <x:is>
          <x:t xml:space="preserve">TUBO FILTRADO CON 6 AGUJEROS (TUBO PEAD) S/PLANO CPM # C-71-348 REV-1 CODIGO 50122684</x:t>
        </x:is>
      </x:c>
      <x:c r="C2355" s="184" t="n">
        <x:v>0</x:v>
      </x:c>
      <x:c r="D2355" s="184" t="n">
        <x:v>0</x:v>
      </x:c>
      <x:c r="E2355" s="184" t="n">
        <x:v>0</x:v>
      </x:c>
      <x:c r="F2355" s="184" t="n">
        <x:v>0</x:v>
      </x:c>
      <x:c r="G2355" s="184" t="n">
        <x:v>0</x:v>
      </x:c>
      <x:c r="H2355" s="193" t="n">
        <x:v>0</x:v>
      </x:c>
      <x:c r="I2355" s="185" t="n">
        <x:v>0</x:v>
      </x:c>
      <x:c r="J2355" s="185" t="n">
        <x:v>0</x:v>
      </x:c>
      <x:c r="K2355" s="289" t="n">
        <x:v>229462</x:v>
      </x:c>
    </x:row>
    <x:row r="2356" s="117" customFormat="1" hidden="1">
      <x:c r="A2356" s="184" t="inlineStr">
        <x:is>
          <x:t xml:space="preserve">PDTPLA001044</x:t>
        </x:is>
      </x:c>
      <x:c r="B2356" s="184" t="inlineStr">
        <x:is>
          <x:t xml:space="preserve">1137858 SUJETADOR ESTACION DE MARTILLEO MATERIAL TRIXALON CODIGO 305391</x:t>
        </x:is>
      </x:c>
      <x:c r="C2356" s="184" t="n">
        <x:v>0</x:v>
      </x:c>
      <x:c r="D2356" s="184" t="n">
        <x:v>0</x:v>
      </x:c>
      <x:c r="E2356" s="184" t="n">
        <x:v>0</x:v>
      </x:c>
      <x:c r="F2356" s="184" t="n">
        <x:v>0</x:v>
      </x:c>
      <x:c r="G2356" s="184" t="n">
        <x:v>0</x:v>
      </x:c>
      <x:c r="H2356" s="193" t="n">
        <x:v>0</x:v>
      </x:c>
      <x:c r="I2356" s="185" t="n">
        <x:v>0</x:v>
      </x:c>
      <x:c r="J2356" s="185" t="n">
        <x:v>0</x:v>
      </x:c>
      <x:c r="K2356" s="289" t="n">
        <x:v>9050</x:v>
      </x:c>
    </x:row>
    <x:row r="2357" s="117" customFormat="1" hidden="1">
      <x:c r="A2357" s="184" t="inlineStr">
        <x:is>
          <x:t xml:space="preserve">PDTPLA001045</x:t>
        </x:is>
      </x:c>
      <x:c r="B2357" s="184" t="inlineStr">
        <x:is>
          <x:t xml:space="preserve">BOQUILLA ESPECIAL PARA ACOPLE DE MANGUERA DE 2 PLG X 225 MM EN POLIPROPILENO</x:t>
        </x:is>
      </x:c>
      <x:c r="C2357" s="184" t="n">
        <x:v>0</x:v>
      </x:c>
      <x:c r="D2357" s="184" t="n">
        <x:v>0</x:v>
      </x:c>
      <x:c r="E2357" s="184" t="n">
        <x:v>0</x:v>
      </x:c>
      <x:c r="F2357" s="184" t="n">
        <x:v>0</x:v>
      </x:c>
      <x:c r="G2357" s="184" t="n">
        <x:v>0</x:v>
      </x:c>
      <x:c r="H2357" s="193" t="n">
        <x:v>0</x:v>
      </x:c>
      <x:c r="I2357" s="185" t="n">
        <x:v>0</x:v>
      </x:c>
      <x:c r="J2357" s="185" t="n">
        <x:v>0</x:v>
      </x:c>
      <x:c r="K2357" s="289" t="n">
        <x:v>37490</x:v>
      </x:c>
    </x:row>
    <x:row r="2358" s="117" customFormat="1" hidden="1">
      <x:c r="A2358" s="184" t="inlineStr">
        <x:is>
          <x:t xml:space="preserve">PDTPLA001046</x:t>
        </x:is>
      </x:c>
      <x:c r="B2358" s="184" t="inlineStr">
        <x:is>
          <x:t xml:space="preserve">TUBO PORTA BOQUILLA FOGGINS DIAM.32 MM X 1760 MM POLIPROPILENO</x:t>
        </x:is>
      </x:c>
      <x:c r="C2358" s="184" t="n">
        <x:v>0</x:v>
      </x:c>
      <x:c r="D2358" s="184" t="n">
        <x:v>0</x:v>
      </x:c>
      <x:c r="E2358" s="184" t="n">
        <x:v>0</x:v>
      </x:c>
      <x:c r="F2358" s="184" t="n">
        <x:v>0</x:v>
      </x:c>
      <x:c r="G2358" s="184" t="n">
        <x:v>0</x:v>
      </x:c>
      <x:c r="H2358" s="193" t="n">
        <x:v>0</x:v>
      </x:c>
      <x:c r="I2358" s="185" t="n">
        <x:v>0</x:v>
      </x:c>
      <x:c r="J2358" s="185" t="n">
        <x:v>0</x:v>
      </x:c>
      <x:c r="K2358" s="289" t="n">
        <x:v>123607</x:v>
      </x:c>
    </x:row>
    <x:row r="2359" s="117" customFormat="1" hidden="1">
      <x:c r="A2359" s="184" t="inlineStr">
        <x:is>
          <x:t xml:space="preserve">PDTPLA001047</x:t>
        </x:is>
      </x:c>
      <x:c r="B2359" s="184" t="inlineStr">
        <x:is>
          <x:t xml:space="preserve">BOQUILLA FOGGING CON SALIDA 120° DIMENSIONES DIAM 21 X 32 MM POLIPROPILENO</x:t>
        </x:is>
      </x:c>
      <x:c r="C2359" s="184" t="n">
        <x:v>0</x:v>
      </x:c>
      <x:c r="D2359" s="184" t="n">
        <x:v>0</x:v>
      </x:c>
      <x:c r="E2359" s="184" t="n">
        <x:v>0</x:v>
      </x:c>
      <x:c r="F2359" s="184" t="n">
        <x:v>0</x:v>
      </x:c>
      <x:c r="G2359" s="184" t="n">
        <x:v>0</x:v>
      </x:c>
      <x:c r="H2359" s="193" t="n">
        <x:v>0</x:v>
      </x:c>
      <x:c r="I2359" s="185" t="n">
        <x:v>0</x:v>
      </x:c>
      <x:c r="J2359" s="185" t="n">
        <x:v>0</x:v>
      </x:c>
      <x:c r="K2359" s="289" t="n">
        <x:v>24244</x:v>
      </x:c>
    </x:row>
    <x:row r="2360" s="117" customFormat="1" hidden="1">
      <x:c r="A2360" s="184" t="inlineStr">
        <x:is>
          <x:t xml:space="preserve">PDTPLA001048</x:t>
        </x:is>
      </x:c>
      <x:c r="B2360" s="184" t="inlineStr">
        <x:is>
          <x:t xml:space="preserve">BOQUILLA PULVERISACION SPRAY STRIPPER  EN PVDF  INCLUYE ADAPTADOR</x:t>
        </x:is>
      </x:c>
      <x:c r="C2360" s="184" t="n">
        <x:v>0</x:v>
      </x:c>
      <x:c r="D2360" s="184" t="n">
        <x:v>0</x:v>
      </x:c>
      <x:c r="E2360" s="184" t="n">
        <x:v>0</x:v>
      </x:c>
      <x:c r="F2360" s="184" t="n">
        <x:v>0</x:v>
      </x:c>
      <x:c r="G2360" s="184" t="n">
        <x:v>0</x:v>
      </x:c>
      <x:c r="H2360" s="193" t="n">
        <x:v>0</x:v>
      </x:c>
      <x:c r="I2360" s="185" t="n">
        <x:v>0</x:v>
      </x:c>
      <x:c r="J2360" s="185" t="n">
        <x:v>0</x:v>
      </x:c>
      <x:c r="K2360" s="289" t="n">
        <x:v>57303</x:v>
      </x:c>
    </x:row>
    <x:row r="2361" s="117" customFormat="1" hidden="1">
      <x:c r="A2361" s="184" t="inlineStr">
        <x:is>
          <x:t xml:space="preserve">PDTPLA001049</x:t>
        </x:is>
      </x:c>
      <x:c r="B2361" s="184" t="inlineStr">
        <x:is>
          <x:t xml:space="preserve">JUNTA EXPANSION DIAM 3  PLG FLANGEADA NORMA  ANSI</x:t>
        </x:is>
      </x:c>
      <x:c r="C2361" s="184" t="n">
        <x:v>0</x:v>
      </x:c>
      <x:c r="D2361" s="184" t="n">
        <x:v>0</x:v>
      </x:c>
      <x:c r="E2361" s="184" t="n">
        <x:v>0</x:v>
      </x:c>
      <x:c r="F2361" s="184" t="n">
        <x:v>0</x:v>
      </x:c>
      <x:c r="G2361" s="184" t="n">
        <x:v>0</x:v>
      </x:c>
      <x:c r="H2361" s="193" t="n">
        <x:v>0</x:v>
      </x:c>
      <x:c r="I2361" s="185" t="n">
        <x:v>0</x:v>
      </x:c>
      <x:c r="J2361" s="185" t="n">
        <x:v>0</x:v>
      </x:c>
      <x:c r="K2361" s="289" t="n">
        <x:v>68000</x:v>
      </x:c>
    </x:row>
    <x:row r="2362" s="117" customFormat="1" hidden="1">
      <x:c r="A2362" s="184" t="inlineStr">
        <x:is>
          <x:t xml:space="preserve">PDTPLA001050</x:t>
        </x:is>
      </x:c>
      <x:c r="B2362" s="184" t="inlineStr">
        <x:is>
          <x:t xml:space="preserve">752947 ESTANQUE CILINDRICO VERTICAL PARA AGUA EN HDPE 20.000 LTS VENTEO PVC</x:t>
        </x:is>
      </x:c>
      <x:c r="C2362" s="184" t="n">
        <x:v>0</x:v>
      </x:c>
      <x:c r="D2362" s="184" t="n">
        <x:v>0</x:v>
      </x:c>
      <x:c r="E2362" s="184" t="n">
        <x:v>0</x:v>
      </x:c>
      <x:c r="F2362" s="184" t="n">
        <x:v>0</x:v>
      </x:c>
      <x:c r="G2362" s="184" t="n">
        <x:v>0</x:v>
      </x:c>
      <x:c r="H2362" s="193" t="n">
        <x:v>0</x:v>
      </x:c>
      <x:c r="I2362" s="185" t="n">
        <x:v>0</x:v>
      </x:c>
      <x:c r="J2362" s="185" t="n">
        <x:v>0</x:v>
      </x:c>
      <x:c r="K2362" s="289" t="n">
        <x:v>1541456</x:v>
      </x:c>
    </x:row>
    <x:row r="2363" s="117" customFormat="1" hidden="1">
      <x:c r="A2363" s="184" t="inlineStr">
        <x:is>
          <x:t xml:space="preserve">PDTPLA001051</x:t>
        </x:is>
      </x:c>
      <x:c r="B2363" s="184" t="inlineStr">
        <x:is>
          <x:t xml:space="preserve">CHIMENEA DIAMETRO 200 MM X 10000 MM EN POLIPROPILENO S/PLANO (ENERCOM)</x:t>
        </x:is>
      </x:c>
      <x:c r="C2363" s="184" t="n">
        <x:v>0</x:v>
      </x:c>
      <x:c r="D2363" s="184" t="n">
        <x:v>0</x:v>
      </x:c>
      <x:c r="E2363" s="184" t="n">
        <x:v>0</x:v>
      </x:c>
      <x:c r="F2363" s="184" t="n">
        <x:v>0</x:v>
      </x:c>
      <x:c r="G2363" s="184" t="n">
        <x:v>0</x:v>
      </x:c>
      <x:c r="H2363" s="193" t="n">
        <x:v>0</x:v>
      </x:c>
      <x:c r="I2363" s="185" t="n">
        <x:v>0</x:v>
      </x:c>
      <x:c r="J2363" s="185" t="n">
        <x:v>0</x:v>
      </x:c>
      <x:c r="K2363" s="289" t="n">
        <x:v>492054</x:v>
      </x:c>
    </x:row>
    <x:row r="2364" s="117" customFormat="1" hidden="1">
      <x:c r="A2364" s="184" t="inlineStr">
        <x:is>
          <x:t xml:space="preserve">PDTPLA001052</x:t>
        </x:is>
      </x:c>
      <x:c r="B2364" s="184" t="inlineStr">
        <x:is>
          <x:t xml:space="preserve">37714170 REDUCCION CONCENTRICA 1.1/2 X 1 PLG AC CARB REVESTIDO PTFE 2,5 MM NORMA ANSI</x:t>
        </x:is>
      </x:c>
      <x:c r="C2364" s="184" t="n">
        <x:v>0</x:v>
      </x:c>
      <x:c r="D2364" s="184" t="n">
        <x:v>0</x:v>
      </x:c>
      <x:c r="E2364" s="184" t="n">
        <x:v>0</x:v>
      </x:c>
      <x:c r="F2364" s="184" t="n">
        <x:v>0</x:v>
      </x:c>
      <x:c r="G2364" s="184" t="n">
        <x:v>0</x:v>
      </x:c>
      <x:c r="H2364" s="193" t="n">
        <x:v>0</x:v>
      </x:c>
      <x:c r="I2364" s="185" t="n">
        <x:v>0</x:v>
      </x:c>
      <x:c r="J2364" s="185" t="n">
        <x:v>0</x:v>
      </x:c>
      <x:c r="K2364" s="289" t="n">
        <x:v>99500</x:v>
      </x:c>
    </x:row>
    <x:row r="2365" s="117" customFormat="1" hidden="1">
      <x:c r="A2365" s="184" t="inlineStr">
        <x:is>
          <x:t xml:space="preserve">PDTPLA001053</x:t>
        </x:is>
      </x:c>
      <x:c r="B2365" s="184" t="inlineStr">
        <x:is>
          <x:t xml:space="preserve">RODAMIENTO AXIAL INTERIOR 450MCR A4VP1X1829-7P60</x:t>
        </x:is>
      </x:c>
      <x:c r="C2365" s="184" t="n">
        <x:v>0</x:v>
      </x:c>
      <x:c r="D2365" s="184" t="n">
        <x:v>0</x:v>
      </x:c>
      <x:c r="E2365" s="184" t="n">
        <x:v>0</x:v>
      </x:c>
      <x:c r="F2365" s="184" t="n">
        <x:v>0</x:v>
      </x:c>
      <x:c r="G2365" s="184" t="n">
        <x:v>0</x:v>
      </x:c>
      <x:c r="H2365" s="193" t="n">
        <x:v>0</x:v>
      </x:c>
      <x:c r="I2365" s="185" t="n">
        <x:v>0</x:v>
      </x:c>
      <x:c r="J2365" s="185" t="n">
        <x:v>0</x:v>
      </x:c>
      <x:c r="K2365" s="289" t="n">
        <x:v>352369</x:v>
      </x:c>
    </x:row>
    <x:row r="2366" s="117" customFormat="1" hidden="1">
      <x:c r="A2366" s="184" t="inlineStr">
        <x:is>
          <x:t xml:space="preserve">PDTPLA001054</x:t>
        </x:is>
      </x:c>
      <x:c r="B2366" s="184" t="inlineStr">
        <x:is>
          <x:t xml:space="preserve">RODAMIENTO AXIAL EXTERIOR 450MCR A4VP1X1829-4P60</x:t>
        </x:is>
      </x:c>
      <x:c r="C2366" s="184" t="n">
        <x:v>0</x:v>
      </x:c>
      <x:c r="D2366" s="184" t="n">
        <x:v>0</x:v>
      </x:c>
      <x:c r="E2366" s="184" t="n">
        <x:v>0</x:v>
      </x:c>
      <x:c r="F2366" s="184" t="n">
        <x:v>0</x:v>
      </x:c>
      <x:c r="G2366" s="184" t="n">
        <x:v>0</x:v>
      </x:c>
      <x:c r="H2366" s="193" t="n">
        <x:v>0</x:v>
      </x:c>
      <x:c r="I2366" s="185" t="n">
        <x:v>0</x:v>
      </x:c>
      <x:c r="J2366" s="185" t="n">
        <x:v>0</x:v>
      </x:c>
      <x:c r="K2366" s="289" t="n">
        <x:v>445856</x:v>
      </x:c>
    </x:row>
    <x:row r="2367" s="117" customFormat="1" hidden="1">
      <x:c r="A2367" s="184" t="inlineStr">
        <x:is>
          <x:t xml:space="preserve">PDTPLA001055</x:t>
        </x:is>
      </x:c>
      <x:c r="B2367" s="184" t="inlineStr">
        <x:is>
          <x:t xml:space="preserve">RODAMIENTO AXIAL INTERIOR 450MCR A4VP1X1829-7P60 (REPOS)</x:t>
        </x:is>
      </x:c>
      <x:c r="C2367" s="184" t="n">
        <x:v>0</x:v>
      </x:c>
      <x:c r="D2367" s="184" t="n">
        <x:v>0</x:v>
      </x:c>
      <x:c r="E2367" s="184" t="n">
        <x:v>0</x:v>
      </x:c>
      <x:c r="F2367" s="184" t="n">
        <x:v>0</x:v>
      </x:c>
      <x:c r="G2367" s="184" t="n">
        <x:v>0</x:v>
      </x:c>
      <x:c r="H2367" s="193" t="n">
        <x:v>0</x:v>
      </x:c>
      <x:c r="I2367" s="185" t="n">
        <x:v>0</x:v>
      </x:c>
      <x:c r="J2367" s="185" t="n">
        <x:v>0</x:v>
      </x:c>
      <x:c r="K2367" s="289" t="n">
        <x:v>1066960</x:v>
      </x:c>
    </x:row>
    <x:row r="2368" s="117" customFormat="1" hidden="1">
      <x:c r="A2368" s="184" t="inlineStr">
        <x:is>
          <x:t xml:space="preserve">PDTPLA001056</x:t>
        </x:is>
      </x:c>
      <x:c r="B2368" s="184" t="inlineStr">
        <x:is>
          <x:t xml:space="preserve">SEAL STRIP 3034X172X50 S/PLANO 55FTV-SK01 RIEL DOBLE</x:t>
        </x:is>
      </x:c>
      <x:c r="C2368" s="184" t="n">
        <x:v>0</x:v>
      </x:c>
      <x:c r="D2368" s="184" t="n">
        <x:v>0</x:v>
      </x:c>
      <x:c r="E2368" s="184" t="n">
        <x:v>0</x:v>
      </x:c>
      <x:c r="F2368" s="184" t="n">
        <x:v>0</x:v>
      </x:c>
      <x:c r="G2368" s="184" t="n">
        <x:v>0</x:v>
      </x:c>
      <x:c r="H2368" s="193" t="n">
        <x:v>0</x:v>
      </x:c>
      <x:c r="I2368" s="185" t="n">
        <x:v>0</x:v>
      </x:c>
      <x:c r="J2368" s="185" t="n">
        <x:v>0</x:v>
      </x:c>
      <x:c r="K2368" s="289" t="n">
        <x:v>361442</x:v>
      </x:c>
    </x:row>
    <x:row r="2369" s="117" customFormat="1" hidden="1">
      <x:c r="A2369" s="184" t="inlineStr">
        <x:is>
          <x:t xml:space="preserve">PDTPLA001057</x:t>
        </x:is>
      </x:c>
      <x:c r="B2369" s="184" t="inlineStr">
        <x:is>
          <x:t xml:space="preserve">PIPING DE CONEXION ESTACION DE ACIDULADO EN HDPE PE-100 SEGUN PLANO</x:t>
        </x:is>
      </x:c>
      <x:c r="C2369" s="184" t="n">
        <x:v>0</x:v>
      </x:c>
      <x:c r="D2369" s="184" t="n">
        <x:v>0</x:v>
      </x:c>
      <x:c r="E2369" s="184" t="n">
        <x:v>0</x:v>
      </x:c>
      <x:c r="F2369" s="184" t="n">
        <x:v>0</x:v>
      </x:c>
      <x:c r="G2369" s="184" t="n">
        <x:v>0</x:v>
      </x:c>
      <x:c r="H2369" s="193" t="n">
        <x:v>0</x:v>
      </x:c>
      <x:c r="I2369" s="185" t="n">
        <x:v>0</x:v>
      </x:c>
      <x:c r="J2369" s="185" t="n">
        <x:v>0</x:v>
      </x:c>
      <x:c r="K2369" s="289" t="n">
        <x:v>5095400</x:v>
      </x:c>
    </x:row>
    <x:row r="2370" s="117" customFormat="1" hidden="1">
      <x:c r="A2370" s="184" t="inlineStr">
        <x:is>
          <x:t xml:space="preserve">PDTPLA001058</x:t>
        </x:is>
      </x:c>
      <x:c r="B2370" s="184" t="inlineStr">
        <x:is>
          <x:t xml:space="preserve">CARRETE EN POLIPROPILENO 1800MM DIAMETRO X 450 MM  PPT074PPO002</x:t>
        </x:is>
      </x:c>
      <x:c r="C2370" s="184" t="n">
        <x:v>0</x:v>
      </x:c>
      <x:c r="D2370" s="184" t="n">
        <x:v>0</x:v>
      </x:c>
      <x:c r="E2370" s="184" t="n">
        <x:v>0</x:v>
      </x:c>
      <x:c r="F2370" s="184" t="n">
        <x:v>0</x:v>
      </x:c>
      <x:c r="G2370" s="184" t="n">
        <x:v>0</x:v>
      </x:c>
      <x:c r="H2370" s="193" t="n">
        <x:v>0</x:v>
      </x:c>
      <x:c r="I2370" s="185" t="n">
        <x:v>0</x:v>
      </x:c>
      <x:c r="J2370" s="185" t="n">
        <x:v>0</x:v>
      </x:c>
      <x:c r="K2370" s="289" t="n">
        <x:v>637799</x:v>
      </x:c>
    </x:row>
    <x:row r="2371" s="117" customFormat="1" hidden="1">
      <x:c r="A2371" s="184" t="inlineStr">
        <x:is>
          <x:t xml:space="preserve">PDTPLA001059</x:t>
        </x:is>
      </x:c>
      <x:c r="B2371" s="184" t="inlineStr">
        <x:is>
          <x:t xml:space="preserve">BOQUILLA ATOMIZADOR PRINCIPAL LAVADOR FLUJO RADIAL UHMW BOQ.248X316 MM DIAM</x:t>
        </x:is>
      </x:c>
      <x:c r="C2371" s="184" t="n">
        <x:v>0</x:v>
      </x:c>
      <x:c r="D2371" s="184" t="n">
        <x:v>0</x:v>
      </x:c>
      <x:c r="E2371" s="184" t="n">
        <x:v>0</x:v>
      </x:c>
      <x:c r="F2371" s="184" t="n">
        <x:v>0</x:v>
      </x:c>
      <x:c r="G2371" s="184" t="n">
        <x:v>0</x:v>
      </x:c>
      <x:c r="H2371" s="193" t="n">
        <x:v>0</x:v>
      </x:c>
      <x:c r="I2371" s="185" t="n">
        <x:v>0</x:v>
      </x:c>
      <x:c r="J2371" s="185" t="n">
        <x:v>0</x:v>
      </x:c>
      <x:c r="K2371" s="289" t="n">
        <x:v>1060000</x:v>
      </x:c>
    </x:row>
    <x:row r="2372" s="117" customFormat="1" hidden="1">
      <x:c r="A2372" s="184" t="inlineStr">
        <x:is>
          <x:t xml:space="preserve">PDTPLA001060</x:t>
        </x:is>
      </x:c>
      <x:c r="B2372" s="184" t="inlineStr">
        <x:is>
          <x:t xml:space="preserve">PPT090PPO023 TOBERA EN PP DIAM 32 MM  CHAGRES</x:t>
        </x:is>
      </x:c>
      <x:c r="C2372" s="184" t="n">
        <x:v>0</x:v>
      </x:c>
      <x:c r="D2372" s="184" t="n">
        <x:v>0</x:v>
      </x:c>
      <x:c r="E2372" s="184" t="n">
        <x:v>0</x:v>
      </x:c>
      <x:c r="F2372" s="184" t="n">
        <x:v>0</x:v>
      </x:c>
      <x:c r="G2372" s="184" t="n">
        <x:v>0</x:v>
      </x:c>
      <x:c r="H2372" s="193" t="n">
        <x:v>0</x:v>
      </x:c>
      <x:c r="I2372" s="185" t="n">
        <x:v>0</x:v>
      </x:c>
      <x:c r="J2372" s="185" t="n">
        <x:v>0</x:v>
      </x:c>
      <x:c r="K2372" s="289" t="n">
        <x:v>11450</x:v>
      </x:c>
    </x:row>
    <x:row r="2373" s="117" customFormat="1" hidden="1">
      <x:c r="A2373" s="184" t="inlineStr">
        <x:is>
          <x:t xml:space="preserve">PDTPLA001061</x:t>
        </x:is>
      </x:c>
      <x:c r="B2373" s="184" t="inlineStr">
        <x:is>
          <x:t xml:space="preserve">RECEPTACULO DUCHAS DE EMERGENCIA HDPE 1100 X 1000 X 80 MM TTE</x:t>
        </x:is>
      </x:c>
      <x:c r="C2373" s="184" t="n">
        <x:v>0</x:v>
      </x:c>
      <x:c r="D2373" s="184" t="n">
        <x:v>0</x:v>
      </x:c>
      <x:c r="E2373" s="184" t="n">
        <x:v>0</x:v>
      </x:c>
      <x:c r="F2373" s="184" t="n">
        <x:v>0</x:v>
      </x:c>
      <x:c r="G2373" s="184" t="n">
        <x:v>0</x:v>
      </x:c>
      <x:c r="H2373" s="193" t="n">
        <x:v>0</x:v>
      </x:c>
      <x:c r="I2373" s="185" t="n">
        <x:v>0</x:v>
      </x:c>
      <x:c r="J2373" s="185" t="n">
        <x:v>0</x:v>
      </x:c>
      <x:c r="K2373" s="289" t="n">
        <x:v>99861</x:v>
      </x:c>
    </x:row>
    <x:row r="2374" s="117" customFormat="1" hidden="1">
      <x:c r="A2374" s="184" t="inlineStr">
        <x:is>
          <x:t xml:space="preserve">PDTPLA001062</x:t>
        </x:is>
      </x:c>
      <x:c r="B2374" s="184" t="inlineStr">
        <x:is>
          <x:t xml:space="preserve">FABFRICACION DE MANTO DIAM.300 MM PP 6 MM MAT.CLIENTE</x:t>
        </x:is>
      </x:c>
      <x:c r="C2374" s="184" t="n">
        <x:v>0</x:v>
      </x:c>
      <x:c r="D2374" s="184" t="n">
        <x:v>0</x:v>
      </x:c>
      <x:c r="E2374" s="184" t="n">
        <x:v>0</x:v>
      </x:c>
      <x:c r="F2374" s="184" t="n">
        <x:v>0</x:v>
      </x:c>
      <x:c r="G2374" s="184" t="n">
        <x:v>0</x:v>
      </x:c>
      <x:c r="H2374" s="193" t="n">
        <x:v>0</x:v>
      </x:c>
      <x:c r="I2374" s="185" t="n">
        <x:v>0</x:v>
      </x:c>
      <x:c r="J2374" s="185" t="n">
        <x:v>0</x:v>
      </x:c>
      <x:c r="K2374" s="289" t="n">
        <x:v>730000</x:v>
      </x:c>
    </x:row>
    <x:row r="2375" s="117" customFormat="1" hidden="1">
      <x:c r="A2375" s="184" t="inlineStr">
        <x:is>
          <x:t xml:space="preserve">PDTPLA001063</x:t>
        </x:is>
      </x:c>
      <x:c r="B2375" s="184" t="inlineStr">
        <x:is>
          <x:t xml:space="preserve">INYECTOR 20 X 1835 PP PARA PRECIPITADOR M102 4197068</x:t>
        </x:is>
      </x:c>
      <x:c r="C2375" s="184" t="n">
        <x:v>0</x:v>
      </x:c>
      <x:c r="D2375" s="184" t="n">
        <x:v>0</x:v>
      </x:c>
      <x:c r="E2375" s="184" t="n">
        <x:v>0</x:v>
      </x:c>
      <x:c r="F2375" s="184" t="n">
        <x:v>0</x:v>
      </x:c>
      <x:c r="G2375" s="184" t="n">
        <x:v>0</x:v>
      </x:c>
      <x:c r="H2375" s="193" t="n">
        <x:v>0</x:v>
      </x:c>
      <x:c r="I2375" s="185" t="n">
        <x:v>0</x:v>
      </x:c>
      <x:c r="J2375" s="185" t="n">
        <x:v>0</x:v>
      </x:c>
      <x:c r="K2375" s="289" t="n">
        <x:v>56804</x:v>
      </x:c>
    </x:row>
    <x:row r="2376" s="117" customFormat="1" hidden="1">
      <x:c r="A2376" s="184" t="inlineStr">
        <x:is>
          <x:t xml:space="preserve">PDTPLA001064</x:t>
        </x:is>
      </x:c>
      <x:c r="B2376" s="184" t="inlineStr">
        <x:is>
          <x:t xml:space="preserve">4201080 CONJUNTO TOBERA PL PPT090PPO018-DWG-000</x:t>
        </x:is>
      </x:c>
      <x:c r="C2376" s="184" t="n">
        <x:v>0</x:v>
      </x:c>
      <x:c r="D2376" s="184" t="n">
        <x:v>0</x:v>
      </x:c>
      <x:c r="E2376" s="184" t="n">
        <x:v>0</x:v>
      </x:c>
      <x:c r="F2376" s="184" t="n">
        <x:v>0</x:v>
      </x:c>
      <x:c r="G2376" s="184" t="n">
        <x:v>0</x:v>
      </x:c>
      <x:c r="H2376" s="193" t="n">
        <x:v>0</x:v>
      </x:c>
      <x:c r="I2376" s="185" t="n">
        <x:v>0</x:v>
      </x:c>
      <x:c r="J2376" s="185" t="n">
        <x:v>0</x:v>
      </x:c>
      <x:c r="K2376" s="289" t="n">
        <x:v>1105741</x:v>
      </x:c>
    </x:row>
    <x:row r="2377" s="117" customFormat="1" hidden="1">
      <x:c r="A2377" s="184" t="inlineStr">
        <x:is>
          <x:t xml:space="preserve">PDTPLA001065</x:t>
        </x:is>
      </x:c>
      <x:c r="B2377" s="184" t="inlineStr">
        <x:is>
          <x:t xml:space="preserve">D-CLD1507-THK-101 BLOQUE GUIA COLUMNA CENTRAL -THK 50 200X145X68</x:t>
        </x:is>
      </x:c>
      <x:c r="C2377" s="184" t="n">
        <x:v>0</x:v>
      </x:c>
      <x:c r="D2377" s="184" t="n">
        <x:v>0</x:v>
      </x:c>
      <x:c r="E2377" s="184" t="n">
        <x:v>0</x:v>
      </x:c>
      <x:c r="F2377" s="184" t="n">
        <x:v>0</x:v>
      </x:c>
      <x:c r="G2377" s="184" t="n">
        <x:v>0</x:v>
      </x:c>
      <x:c r="H2377" s="193" t="n">
        <x:v>0</x:v>
      </x:c>
      <x:c r="I2377" s="185" t="n">
        <x:v>0</x:v>
      </x:c>
      <x:c r="J2377" s="185" t="n">
        <x:v>0</x:v>
      </x:c>
      <x:c r="K2377" s="289" t="n">
        <x:v>99444</x:v>
      </x:c>
    </x:row>
    <x:row r="2378" s="117" customFormat="1" hidden="1">
      <x:c r="A2378" s="184" t="inlineStr">
        <x:is>
          <x:t xml:space="preserve">PDTPLA001066</x:t>
        </x:is>
      </x:c>
      <x:c r="B2378" s="184" t="inlineStr">
        <x:is>
          <x:t xml:space="preserve">TOBERA REBOSE PP DN40 PL.0700-07-46PL-00035  PPT090PPO025</x:t>
        </x:is>
      </x:c>
      <x:c r="C2378" s="184" t="n">
        <x:v>0</x:v>
      </x:c>
      <x:c r="D2378" s="184" t="n">
        <x:v>0</x:v>
      </x:c>
      <x:c r="E2378" s="184" t="n">
        <x:v>0</x:v>
      </x:c>
      <x:c r="F2378" s="184" t="n">
        <x:v>0</x:v>
      </x:c>
      <x:c r="G2378" s="184" t="n">
        <x:v>0</x:v>
      </x:c>
      <x:c r="H2378" s="193" t="n">
        <x:v>0</x:v>
      </x:c>
      <x:c r="I2378" s="185" t="n">
        <x:v>0</x:v>
      </x:c>
      <x:c r="J2378" s="185" t="n">
        <x:v>0</x:v>
      </x:c>
      <x:c r="K2378" s="289" t="n">
        <x:v>97542</x:v>
      </x:c>
    </x:row>
    <x:row r="2379" s="117" customFormat="1" hidden="1">
      <x:c r="A2379" s="184" t="inlineStr">
        <x:is>
          <x:t xml:space="preserve">PDTPLA001067</x:t>
        </x:is>
      </x:c>
      <x:c r="B2379" s="184" t="inlineStr">
        <x:is>
          <x:t xml:space="preserve">SOPORTE PARA TUBERIA INTERIOR DE CELDAS HDPE PL.EMMB-DWG-450-PD-1014</x:t>
        </x:is>
      </x:c>
      <x:c r="C2379" s="184" t="n">
        <x:v>0</x:v>
      </x:c>
      <x:c r="D2379" s="184" t="n">
        <x:v>0</x:v>
      </x:c>
      <x:c r="E2379" s="184" t="n">
        <x:v>0</x:v>
      </x:c>
      <x:c r="F2379" s="184" t="n">
        <x:v>0</x:v>
      </x:c>
      <x:c r="G2379" s="184" t="n">
        <x:v>0</x:v>
      </x:c>
      <x:c r="H2379" s="193" t="n">
        <x:v>0</x:v>
      </x:c>
      <x:c r="I2379" s="185" t="n">
        <x:v>0</x:v>
      </x:c>
      <x:c r="J2379" s="185" t="n">
        <x:v>0</x:v>
      </x:c>
      <x:c r="K2379" s="289" t="n">
        <x:v>8000</x:v>
      </x:c>
    </x:row>
    <x:row r="2380" s="117" customFormat="1" hidden="1">
      <x:c r="A2380" s="184" t="inlineStr">
        <x:is>
          <x:t xml:space="preserve">PDTPLA001068</x:t>
        </x:is>
      </x:c>
      <x:c r="B2380" s="184" t="inlineStr">
        <x:is>
          <x:t xml:space="preserve">FABRICACION DE DUCTO DI 1219 MM ECTFE S/MP</x:t>
        </x:is>
      </x:c>
      <x:c r="C2380" s="184" t="n">
        <x:v>0</x:v>
      </x:c>
      <x:c r="D2380" s="184" t="n">
        <x:v>0</x:v>
      </x:c>
      <x:c r="E2380" s="184" t="n">
        <x:v>0</x:v>
      </x:c>
      <x:c r="F2380" s="184" t="n">
        <x:v>0</x:v>
      </x:c>
      <x:c r="G2380" s="184" t="n">
        <x:v>0</x:v>
      </x:c>
      <x:c r="H2380" s="193" t="n">
        <x:v>0</x:v>
      </x:c>
      <x:c r="I2380" s="185" t="n">
        <x:v>0</x:v>
      </x:c>
      <x:c r="J2380" s="185" t="n">
        <x:v>0</x:v>
      </x:c>
      <x:c r="K2380" s="289" t="n">
        <x:v>64009</x:v>
      </x:c>
    </x:row>
    <x:row r="2381" s="117" customFormat="1" hidden="1">
      <x:c r="A2381" s="184" t="inlineStr">
        <x:is>
          <x:t xml:space="preserve">PDTPLA001069</x:t>
        </x:is>
      </x:c>
      <x:c r="B2381" s="184" t="inlineStr">
        <x:is>
          <x:t xml:space="preserve">116882 BUJE PORTARODAMIENTO PL.18-16-006/98 TRIXALON</x:t>
        </x:is>
      </x:c>
      <x:c r="C2381" s="184" t="n">
        <x:v>0</x:v>
      </x:c>
      <x:c r="D2381" s="184" t="n">
        <x:v>0</x:v>
      </x:c>
      <x:c r="E2381" s="184" t="n">
        <x:v>0</x:v>
      </x:c>
      <x:c r="F2381" s="184" t="n">
        <x:v>0</x:v>
      </x:c>
      <x:c r="G2381" s="184" t="n">
        <x:v>0</x:v>
      </x:c>
      <x:c r="H2381" s="193" t="n">
        <x:v>0</x:v>
      </x:c>
      <x:c r="I2381" s="185" t="n">
        <x:v>0</x:v>
      </x:c>
      <x:c r="J2381" s="185" t="n">
        <x:v>0</x:v>
      </x:c>
      <x:c r="K2381" s="289" t="n">
        <x:v>15385</x:v>
      </x:c>
    </x:row>
    <x:row r="2382" s="117" customFormat="1" hidden="1">
      <x:c r="A2382" s="184" t="inlineStr">
        <x:is>
          <x:t xml:space="preserve">PDTPLA001070</x:t>
        </x:is>
      </x:c>
      <x:c r="B2382" s="184" t="inlineStr">
        <x:is>
          <x:t xml:space="preserve">FABRICACION DUCTO DIAM 1380 ECTFE MAT.CLIENTE</x:t>
        </x:is>
      </x:c>
      <x:c r="C2382" s="184" t="n">
        <x:v>0</x:v>
      </x:c>
      <x:c r="D2382" s="184" t="n">
        <x:v>0</x:v>
      </x:c>
      <x:c r="E2382" s="184" t="n">
        <x:v>0</x:v>
      </x:c>
      <x:c r="F2382" s="184" t="n">
        <x:v>0</x:v>
      </x:c>
      <x:c r="G2382" s="184" t="n">
        <x:v>0</x:v>
      </x:c>
      <x:c r="H2382" s="193" t="n">
        <x:v>0</x:v>
      </x:c>
      <x:c r="I2382" s="185" t="n">
        <x:v>0</x:v>
      </x:c>
      <x:c r="J2382" s="185" t="n">
        <x:v>0</x:v>
      </x:c>
      <x:c r="K2382" s="289" t="n">
        <x:v>532000</x:v>
      </x:c>
    </x:row>
    <x:row r="2383" s="117" customFormat="1" hidden="1">
      <x:c r="A2383" s="184" t="inlineStr">
        <x:is>
          <x:t xml:space="preserve">PDTPLA001071</x:t>
        </x:is>
      </x:c>
      <x:c r="B2383" s="184" t="inlineStr">
        <x:is>
          <x:t xml:space="preserve">SEAL STRIP SEGMENT HBF-FH-001  ( PPT090CEP0059</x:t>
        </x:is>
      </x:c>
      <x:c r="C2383" s="184" t="n">
        <x:v>0</x:v>
      </x:c>
      <x:c r="D2383" s="184" t="n">
        <x:v>0</x:v>
      </x:c>
      <x:c r="E2383" s="184" t="n">
        <x:v>0</x:v>
      </x:c>
      <x:c r="F2383" s="184" t="n">
        <x:v>0</x:v>
      </x:c>
      <x:c r="G2383" s="184" t="n">
        <x:v>0</x:v>
      </x:c>
      <x:c r="H2383" s="193" t="n">
        <x:v>0</x:v>
      </x:c>
      <x:c r="I2383" s="185" t="n">
        <x:v>0</x:v>
      </x:c>
      <x:c r="J2383" s="185" t="n">
        <x:v>0</x:v>
      </x:c>
      <x:c r="K2383" s="289" t="n">
        <x:v>493598</x:v>
      </x:c>
    </x:row>
    <x:row r="2384" s="117" customFormat="1" hidden="1">
      <x:c r="A2384" s="184" t="inlineStr">
        <x:is>
          <x:t xml:space="preserve">PDTPLA001072</x:t>
        </x:is>
      </x:c>
      <x:c r="B2384" s="184" t="inlineStr">
        <x:is>
          <x:t xml:space="preserve">SEAL STRIP END PAD .  FEED SIDE HBF-FH-002 (PPT090CEP006)</x:t>
        </x:is>
      </x:c>
      <x:c r="C2384" s="184" t="n">
        <x:v>0</x:v>
      </x:c>
      <x:c r="D2384" s="184" t="n">
        <x:v>0</x:v>
      </x:c>
      <x:c r="E2384" s="184" t="n">
        <x:v>0</x:v>
      </x:c>
      <x:c r="F2384" s="184" t="n">
        <x:v>0</x:v>
      </x:c>
      <x:c r="G2384" s="184" t="n">
        <x:v>0</x:v>
      </x:c>
      <x:c r="H2384" s="193" t="n">
        <x:v>0</x:v>
      </x:c>
      <x:c r="I2384" s="185" t="n">
        <x:v>0</x:v>
      </x:c>
      <x:c r="J2384" s="185" t="n">
        <x:v>0</x:v>
      </x:c>
      <x:c r="K2384" s="289" t="n">
        <x:v>85563</x:v>
      </x:c>
    </x:row>
    <x:row r="2385" s="117" customFormat="1" hidden="1">
      <x:c r="A2385" s="184" t="inlineStr">
        <x:is>
          <x:t xml:space="preserve">PDTPLA001073</x:t>
        </x:is>
      </x:c>
      <x:c r="B2385" s="184" t="inlineStr">
        <x:is>
          <x:t xml:space="preserve">SEAL STRIP END PAD DISCHARGE SIDE HBF-FH-003 (PPT090CEP007)</x:t>
        </x:is>
      </x:c>
      <x:c r="C2385" s="184" t="n">
        <x:v>0</x:v>
      </x:c>
      <x:c r="D2385" s="184" t="n">
        <x:v>0</x:v>
      </x:c>
      <x:c r="E2385" s="184" t="n">
        <x:v>0</x:v>
      </x:c>
      <x:c r="F2385" s="184" t="n">
        <x:v>0</x:v>
      </x:c>
      <x:c r="G2385" s="184" t="n">
        <x:v>0</x:v>
      </x:c>
      <x:c r="H2385" s="193" t="n">
        <x:v>0</x:v>
      </x:c>
      <x:c r="I2385" s="185" t="n">
        <x:v>0</x:v>
      </x:c>
      <x:c r="J2385" s="185" t="n">
        <x:v>0</x:v>
      </x:c>
      <x:c r="K2385" s="289" t="n">
        <x:v>78809</x:v>
      </x:c>
    </x:row>
    <x:row r="2386" s="117" customFormat="1" hidden="1">
      <x:c r="A2386" s="184" t="inlineStr">
        <x:is>
          <x:t xml:space="preserve">PDTPLA001074</x:t>
        </x:is>
      </x:c>
      <x:c r="B2386" s="184" t="inlineStr">
        <x:is>
          <x:t xml:space="preserve">SEAL STRIP HALF MOON SLIDE HBF-FX-001(PPT090CEP008)</x:t>
        </x:is>
      </x:c>
      <x:c r="C2386" s="184" t="n">
        <x:v>0</x:v>
      </x:c>
      <x:c r="D2386" s="184" t="n">
        <x:v>0</x:v>
      </x:c>
      <x:c r="E2386" s="184" t="n">
        <x:v>0</x:v>
      </x:c>
      <x:c r="F2386" s="184" t="n">
        <x:v>0</x:v>
      </x:c>
      <x:c r="G2386" s="184" t="n">
        <x:v>0</x:v>
      </x:c>
      <x:c r="H2386" s="193" t="n">
        <x:v>0</x:v>
      </x:c>
      <x:c r="I2386" s="185" t="n">
        <x:v>0</x:v>
      </x:c>
      <x:c r="J2386" s="185" t="n">
        <x:v>0</x:v>
      </x:c>
      <x:c r="K2386" s="289" t="n">
        <x:v>2878364</x:v>
      </x:c>
    </x:row>
    <x:row r="2387" s="117" customFormat="1" hidden="1">
      <x:c r="A2387" s="184" t="inlineStr">
        <x:is>
          <x:t xml:space="preserve">PDTPLA001075</x:t>
        </x:is>
      </x:c>
      <x:c r="B2387" s="184" t="inlineStr">
        <x:is>
          <x:t xml:space="preserve">ENSAYO TRACCION  MUESTRAS DE PE</x:t>
        </x:is>
      </x:c>
      <x:c r="C2387" s="184" t="n">
        <x:v>0</x:v>
      </x:c>
      <x:c r="D2387" s="184" t="n">
        <x:v>0</x:v>
      </x:c>
      <x:c r="E2387" s="184" t="n">
        <x:v>0</x:v>
      </x:c>
      <x:c r="F2387" s="184" t="n">
        <x:v>0</x:v>
      </x:c>
      <x:c r="G2387" s="184" t="n">
        <x:v>0</x:v>
      </x:c>
      <x:c r="H2387" s="193" t="n">
        <x:v>0</x:v>
      </x:c>
      <x:c r="I2387" s="185" t="n">
        <x:v>0</x:v>
      </x:c>
      <x:c r="J2387" s="185" t="n">
        <x:v>0</x:v>
      </x:c>
      <x:c r="K2387" s="289" t="n">
        <x:v>268618</x:v>
      </x:c>
    </x:row>
    <x:row r="2388" s="117" customFormat="1" hidden="1">
      <x:c r="A2388" s="184" t="inlineStr">
        <x:is>
          <x:t xml:space="preserve">PDTPLA001076</x:t>
        </x:is>
      </x:c>
      <x:c r="B2388" s="184" t="inlineStr">
        <x:is>
          <x:t xml:space="preserve">ENSAYO TRACCION MUESTRA DE FRP</x:t>
        </x:is>
      </x:c>
      <x:c r="C2388" s="184" t="n">
        <x:v>0</x:v>
      </x:c>
      <x:c r="D2388" s="184" t="n">
        <x:v>0</x:v>
      </x:c>
      <x:c r="E2388" s="184" t="n">
        <x:v>0</x:v>
      </x:c>
      <x:c r="F2388" s="184" t="n">
        <x:v>0</x:v>
      </x:c>
      <x:c r="G2388" s="184" t="n">
        <x:v>0</x:v>
      </x:c>
      <x:c r="H2388" s="193" t="n">
        <x:v>0</x:v>
      </x:c>
      <x:c r="I2388" s="185" t="n">
        <x:v>0</x:v>
      </x:c>
      <x:c r="J2388" s="185" t="n">
        <x:v>0</x:v>
      </x:c>
      <x:c r="K2388" s="289" t="n">
        <x:v>138872</x:v>
      </x:c>
    </x:row>
    <x:row r="2389" s="117" customFormat="1" hidden="1">
      <x:c r="A2389" s="184" t="inlineStr">
        <x:is>
          <x:t xml:space="preserve">PDTPLA001077</x:t>
        </x:is>
      </x:c>
      <x:c r="B2389" s="184" t="inlineStr">
        <x:is>
          <x:t xml:space="preserve">CORTE DE PROBETAS DE FRP</x:t>
        </x:is>
      </x:c>
      <x:c r="C2389" s="184" t="n">
        <x:v>0</x:v>
      </x:c>
      <x:c r="D2389" s="184" t="n">
        <x:v>0</x:v>
      </x:c>
      <x:c r="E2389" s="184" t="n">
        <x:v>0</x:v>
      </x:c>
      <x:c r="F2389" s="184" t="n">
        <x:v>0</x:v>
      </x:c>
      <x:c r="G2389" s="184" t="n">
        <x:v>0</x:v>
      </x:c>
      <x:c r="H2389" s="193" t="n">
        <x:v>0</x:v>
      </x:c>
      <x:c r="I2389" s="185" t="n">
        <x:v>0</x:v>
      </x:c>
      <x:c r="J2389" s="185" t="n">
        <x:v>0</x:v>
      </x:c>
      <x:c r="K2389" s="289" t="n">
        <x:v>8313</x:v>
      </x:c>
    </x:row>
    <x:row r="2390" s="117" customFormat="1" hidden="1">
      <x:c r="A2390" s="184" t="inlineStr">
        <x:is>
          <x:t xml:space="preserve">PDTPLA001078</x:t>
        </x:is>
      </x:c>
      <x:c r="B2390" s="184" t="inlineStr">
        <x:is>
          <x:t xml:space="preserve">116815 GOLILLA PLANA EMPUJE ARANDELA AUTOJET PPT090TFV006</x:t>
        </x:is>
      </x:c>
      <x:c r="C2390" s="184" t="n">
        <x:v>0</x:v>
      </x:c>
      <x:c r="D2390" s="184" t="n">
        <x:v>0</x:v>
      </x:c>
      <x:c r="E2390" s="184" t="n">
        <x:v>0</x:v>
      </x:c>
      <x:c r="F2390" s="184" t="n">
        <x:v>0</x:v>
      </x:c>
      <x:c r="G2390" s="184" t="n">
        <x:v>0</x:v>
      </x:c>
      <x:c r="H2390" s="193" t="n">
        <x:v>0</x:v>
      </x:c>
      <x:c r="I2390" s="185" t="n">
        <x:v>0</x:v>
      </x:c>
      <x:c r="J2390" s="185" t="n">
        <x:v>0</x:v>
      </x:c>
      <x:c r="K2390" s="289" t="n">
        <x:v>29344</x:v>
      </x:c>
    </x:row>
    <x:row r="2391" s="117" customFormat="1" hidden="1">
      <x:c r="A2391" s="184" t="inlineStr">
        <x:is>
          <x:t xml:space="preserve">PDTPLA001079</x:t>
        </x:is>
      </x:c>
      <x:c r="B2391" s="184" t="inlineStr">
        <x:is>
          <x:t xml:space="preserve">116826 ANILLO RETANCION V 11-810-15 PPT090TFV005</x:t>
        </x:is>
      </x:c>
      <x:c r="C2391" s="184" t="n">
        <x:v>0</x:v>
      </x:c>
      <x:c r="D2391" s="184" t="n">
        <x:v>0</x:v>
      </x:c>
      <x:c r="E2391" s="184" t="n">
        <x:v>0</x:v>
      </x:c>
      <x:c r="F2391" s="184" t="n">
        <x:v>0</x:v>
      </x:c>
      <x:c r="G2391" s="184" t="n">
        <x:v>0</x:v>
      </x:c>
      <x:c r="H2391" s="193" t="n">
        <x:v>0</x:v>
      </x:c>
      <x:c r="I2391" s="185" t="n">
        <x:v>0</x:v>
      </x:c>
      <x:c r="J2391" s="185" t="n">
        <x:v>0</x:v>
      </x:c>
      <x:c r="K2391" s="289" t="n">
        <x:v>71065</x:v>
      </x:c>
    </x:row>
    <x:row r="2392" s="117" customFormat="1" hidden="1">
      <x:c r="A2392" s="184" t="inlineStr">
        <x:is>
          <x:t xml:space="preserve">PDTPLA001080</x:t>
        </x:is>
      </x:c>
      <x:c r="B2392" s="184" t="inlineStr">
        <x:is>
          <x:t xml:space="preserve">116800 JUEGO RODAMIENTO TENSOR RANA INT AUTOJET 11-816-17</x:t>
        </x:is>
      </x:c>
      <x:c r="C2392" s="184" t="n">
        <x:v>0</x:v>
      </x:c>
      <x:c r="D2392" s="184" t="n">
        <x:v>0</x:v>
      </x:c>
      <x:c r="E2392" s="184" t="n">
        <x:v>0</x:v>
      </x:c>
      <x:c r="F2392" s="184" t="n">
        <x:v>0</x:v>
      </x:c>
      <x:c r="G2392" s="184" t="n">
        <x:v>0</x:v>
      </x:c>
      <x:c r="H2392" s="193" t="n">
        <x:v>0</x:v>
      </x:c>
      <x:c r="I2392" s="185" t="n">
        <x:v>0</x:v>
      </x:c>
      <x:c r="J2392" s="185" t="n">
        <x:v>0</x:v>
      </x:c>
      <x:c r="K2392" s="289" t="n">
        <x:v>97749</x:v>
      </x:c>
    </x:row>
    <x:row r="2393" s="117" customFormat="1" hidden="1">
      <x:c r="A2393" s="184" t="inlineStr">
        <x:is>
          <x:t xml:space="preserve">PDTPLA001081</x:t>
        </x:is>
      </x:c>
      <x:c r="B2393" s="184" t="inlineStr">
        <x:is>
          <x:t xml:space="preserve">116801 RODAMIENTO AUTOJET 11-810-23</x:t>
        </x:is>
      </x:c>
      <x:c r="C2393" s="184" t="n">
        <x:v>0</x:v>
      </x:c>
      <x:c r="D2393" s="184" t="n">
        <x:v>0</x:v>
      </x:c>
      <x:c r="E2393" s="184" t="n">
        <x:v>0</x:v>
      </x:c>
      <x:c r="F2393" s="184" t="n">
        <x:v>0</x:v>
      </x:c>
      <x:c r="G2393" s="184" t="n">
        <x:v>0</x:v>
      </x:c>
      <x:c r="H2393" s="193" t="n">
        <x:v>0</x:v>
      </x:c>
      <x:c r="I2393" s="185" t="n">
        <x:v>0</x:v>
      </x:c>
      <x:c r="J2393" s="185" t="n">
        <x:v>0</x:v>
      </x:c>
      <x:c r="K2393" s="289" t="n">
        <x:v>95989</x:v>
      </x:c>
    </x:row>
    <x:row r="2394" s="117" customFormat="1" hidden="1">
      <x:c r="A2394" s="184" t="inlineStr">
        <x:is>
          <x:t xml:space="preserve">PDTPLA001082</x:t>
        </x:is>
      </x:c>
      <x:c r="B2394" s="184" t="inlineStr">
        <x:is>
          <x:t xml:space="preserve">116802 RODAMIENTO EXTERIOR AUTOJET 11-810-22</x:t>
        </x:is>
      </x:c>
      <x:c r="C2394" s="184" t="n">
        <x:v>0</x:v>
      </x:c>
      <x:c r="D2394" s="184" t="n">
        <x:v>0</x:v>
      </x:c>
      <x:c r="E2394" s="184" t="n">
        <x:v>0</x:v>
      </x:c>
      <x:c r="F2394" s="184" t="n">
        <x:v>0</x:v>
      </x:c>
      <x:c r="G2394" s="184" t="n">
        <x:v>0</x:v>
      </x:c>
      <x:c r="H2394" s="193" t="n">
        <x:v>0</x:v>
      </x:c>
      <x:c r="I2394" s="185" t="n">
        <x:v>0</x:v>
      </x:c>
      <x:c r="J2394" s="185" t="n">
        <x:v>0</x:v>
      </x:c>
      <x:c r="K2394" s="289" t="n">
        <x:v>124484</x:v>
      </x:c>
    </x:row>
    <x:row r="2395" s="117" customFormat="1" hidden="1">
      <x:c r="A2395" s="184" t="inlineStr">
        <x:is>
          <x:t xml:space="preserve">PDTPLA001083</x:t>
        </x:is>
      </x:c>
      <x:c r="B2395" s="184" t="inlineStr">
        <x:is>
          <x:t xml:space="preserve">116843 JUEGO RODAMIENTO TENSOR RANA  EXT AUTOJET 11-816-17A</x:t>
        </x:is>
      </x:c>
      <x:c r="C2395" s="184" t="n">
        <x:v>0</x:v>
      </x:c>
      <x:c r="D2395" s="184" t="n">
        <x:v>0</x:v>
      </x:c>
      <x:c r="E2395" s="184" t="n">
        <x:v>0</x:v>
      </x:c>
      <x:c r="F2395" s="184" t="n">
        <x:v>0</x:v>
      </x:c>
      <x:c r="G2395" s="184" t="n">
        <x:v>0</x:v>
      </x:c>
      <x:c r="H2395" s="193" t="n">
        <x:v>0</x:v>
      </x:c>
      <x:c r="I2395" s="185" t="n">
        <x:v>0</x:v>
      </x:c>
      <x:c r="J2395" s="185" t="n">
        <x:v>0</x:v>
      </x:c>
      <x:c r="K2395" s="289" t="n">
        <x:v>66438</x:v>
      </x:c>
    </x:row>
    <x:row r="2396" s="117" customFormat="1" hidden="1">
      <x:c r="A2396" s="184" t="inlineStr">
        <x:is>
          <x:t xml:space="preserve">PDTPLA001084</x:t>
        </x:is>
      </x:c>
      <x:c r="B2396" s="184" t="inlineStr">
        <x:is>
          <x:t xml:space="preserve">CARRETE DIA 450 X 6000 MM LGO PN20 PE100 C/STUB EMB Y FLANGE AC.INOX 316</x:t>
        </x:is>
      </x:c>
      <x:c r="C2396" s="184" t="n">
        <x:v>0</x:v>
      </x:c>
      <x:c r="D2396" s="184" t="n">
        <x:v>0</x:v>
      </x:c>
      <x:c r="E2396" s="184" t="n">
        <x:v>0</x:v>
      </x:c>
      <x:c r="F2396" s="184" t="n">
        <x:v>0</x:v>
      </x:c>
      <x:c r="G2396" s="184" t="n">
        <x:v>0</x:v>
      </x:c>
      <x:c r="H2396" s="193" t="n">
        <x:v>0</x:v>
      </x:c>
      <x:c r="I2396" s="185" t="n">
        <x:v>0</x:v>
      </x:c>
      <x:c r="J2396" s="185" t="n">
        <x:v>0</x:v>
      </x:c>
      <x:c r="K2396" s="289" t="n">
        <x:v>4823229</x:v>
      </x:c>
    </x:row>
    <x:row r="2397" s="117" customFormat="1" hidden="1">
      <x:c r="A2397" s="184" t="inlineStr">
        <x:is>
          <x:t xml:space="preserve">PDTPLA001085</x:t>
        </x:is>
      </x:c>
      <x:c r="B2397" s="184" t="inlineStr">
        <x:is>
          <x:t xml:space="preserve">STUB END HDPE  PE100 DIA 450 MM</x:t>
        </x:is>
      </x:c>
      <x:c r="C2397" s="184" t="n">
        <x:v>0</x:v>
      </x:c>
      <x:c r="D2397" s="184" t="n">
        <x:v>0</x:v>
      </x:c>
      <x:c r="E2397" s="184" t="n">
        <x:v>0</x:v>
      </x:c>
      <x:c r="F2397" s="184" t="n">
        <x:v>0</x:v>
      </x:c>
      <x:c r="G2397" s="184" t="n">
        <x:v>0</x:v>
      </x:c>
      <x:c r="H2397" s="193" t="n">
        <x:v>0</x:v>
      </x:c>
      <x:c r="I2397" s="185" t="n">
        <x:v>0</x:v>
      </x:c>
      <x:c r="J2397" s="185" t="n">
        <x:v>0</x:v>
      </x:c>
      <x:c r="K2397" s="289" t="n">
        <x:v>120832</x:v>
      </x:c>
    </x:row>
    <x:row r="2398" s="117" customFormat="1" hidden="1">
      <x:c r="A2398" s="184" t="inlineStr">
        <x:is>
          <x:t xml:space="preserve">PDTPLA001086</x:t>
        </x:is>
      </x:c>
      <x:c r="B2398" s="184" t="inlineStr">
        <x:is>
          <x:t xml:space="preserve">FLANGE AC.INOX 316 18 PLG CLASE 300 RFSO</x:t>
        </x:is>
      </x:c>
      <x:c r="C2398" s="184" t="n">
        <x:v>0</x:v>
      </x:c>
      <x:c r="D2398" s="184" t="n">
        <x:v>0</x:v>
      </x:c>
      <x:c r="E2398" s="184" t="n">
        <x:v>0</x:v>
      </x:c>
      <x:c r="F2398" s="184" t="n">
        <x:v>0</x:v>
      </x:c>
      <x:c r="G2398" s="184" t="n">
        <x:v>0</x:v>
      </x:c>
      <x:c r="H2398" s="193" t="n">
        <x:v>0</x:v>
      </x:c>
      <x:c r="I2398" s="185" t="n">
        <x:v>0</x:v>
      </x:c>
      <x:c r="J2398" s="185" t="n">
        <x:v>0</x:v>
      </x:c>
      <x:c r="K2398" s="289" t="n">
        <x:v>1157978</x:v>
      </x:c>
    </x:row>
    <x:row r="2399" s="117" customFormat="1" hidden="1">
      <x:c r="A2399" s="184" t="inlineStr">
        <x:is>
          <x:t xml:space="preserve">PDTPLA001087</x:t>
        </x:is>
      </x:c>
      <x:c r="B2399" s="184" t="inlineStr">
        <x:is>
          <x:t xml:space="preserve">FABRICACION E INSTALACION DE CAMISAS DE POLIMERO A ROLLERS</x:t>
        </x:is>
      </x:c>
      <x:c r="C2399" s="184" t="n">
        <x:v>0</x:v>
      </x:c>
      <x:c r="D2399" s="184" t="n">
        <x:v>0</x:v>
      </x:c>
      <x:c r="E2399" s="184" t="n">
        <x:v>0</x:v>
      </x:c>
      <x:c r="F2399" s="184" t="n">
        <x:v>0</x:v>
      </x:c>
      <x:c r="G2399" s="184" t="n">
        <x:v>0</x:v>
      </x:c>
      <x:c r="H2399" s="193" t="n">
        <x:v>0</x:v>
      </x:c>
      <x:c r="I2399" s="185" t="n">
        <x:v>0</x:v>
      </x:c>
      <x:c r="J2399" s="185" t="n">
        <x:v>0</x:v>
      </x:c>
      <x:c r="K2399" s="289" t="n">
        <x:v>311748</x:v>
      </x:c>
    </x:row>
    <x:row r="2400" s="117" customFormat="1" hidden="1">
      <x:c r="A2400" s="184" t="inlineStr">
        <x:is>
          <x:t xml:space="preserve">PDTPLA001088</x:t>
        </x:is>
      </x:c>
      <x:c r="B2400" s="184" t="inlineStr">
        <x:is>
          <x:t xml:space="preserve">SERVICION DE ENSAYO DESGASTE 4 MUESTRAS DE POLIMERO (50UF)</x:t>
        </x:is>
      </x:c>
      <x:c r="C2400" s="184" t="n">
        <x:v>0</x:v>
      </x:c>
      <x:c r="D2400" s="184" t="n">
        <x:v>0</x:v>
      </x:c>
      <x:c r="E2400" s="184" t="n">
        <x:v>0</x:v>
      </x:c>
      <x:c r="F2400" s="184" t="n">
        <x:v>0</x:v>
      </x:c>
      <x:c r="G2400" s="184" t="n">
        <x:v>0</x:v>
      </x:c>
      <x:c r="H2400" s="193" t="n">
        <x:v>0</x:v>
      </x:c>
      <x:c r="I2400" s="185" t="n">
        <x:v>0</x:v>
      </x:c>
      <x:c r="J2400" s="185" t="n">
        <x:v>0</x:v>
      </x:c>
      <x:c r="K2400" s="289" t="n">
        <x:v>484977</x:v>
      </x:c>
    </x:row>
    <x:row r="2401" s="117" customFormat="1" hidden="1">
      <x:c r="A2401" s="184" t="inlineStr">
        <x:is>
          <x:t xml:space="preserve">PDTPLA001089</x:t>
        </x:is>
      </x:c>
      <x:c r="B2401" s="184" t="inlineStr">
        <x:is>
          <x:t xml:space="preserve">SERVICIO DE DIBUJO ,MEMORIA DE CALCULOS Y PLANOS DE FABRICACION OFI1221-NV0006</x:t>
        </x:is>
      </x:c>
      <x:c r="C2401" s="184" t="n">
        <x:v>0</x:v>
      </x:c>
      <x:c r="D2401" s="184" t="n">
        <x:v>0</x:v>
      </x:c>
      <x:c r="E2401" s="184" t="n">
        <x:v>0</x:v>
      </x:c>
      <x:c r="F2401" s="184" t="n">
        <x:v>0</x:v>
      </x:c>
      <x:c r="G2401" s="184" t="n">
        <x:v>0</x:v>
      </x:c>
      <x:c r="H2401" s="193" t="n">
        <x:v>0</x:v>
      </x:c>
      <x:c r="I2401" s="185" t="n">
        <x:v>0</x:v>
      </x:c>
      <x:c r="J2401" s="185" t="n">
        <x:v>0</x:v>
      </x:c>
      <x:c r="K2401" s="289" t="n">
        <x:v>3500000</x:v>
      </x:c>
    </x:row>
    <x:row r="2402" s="117" customFormat="1" hidden="1">
      <x:c r="A2402" s="184" t="inlineStr">
        <x:is>
          <x:t xml:space="preserve">PDTPLA001090</x:t>
        </x:is>
      </x:c>
      <x:c r="B2402" s="184" t="inlineStr">
        <x:is>
          <x:t xml:space="preserve">PLACA FILTRO DECANTADOR INCLUYE MONTAJE</x:t>
        </x:is>
      </x:c>
      <x:c r="C2402" s="184" t="n">
        <x:v>0</x:v>
      </x:c>
      <x:c r="D2402" s="184" t="n">
        <x:v>0</x:v>
      </x:c>
      <x:c r="E2402" s="184" t="n">
        <x:v>0</x:v>
      </x:c>
      <x:c r="F2402" s="184" t="n">
        <x:v>0</x:v>
      </x:c>
      <x:c r="G2402" s="184" t="n">
        <x:v>0</x:v>
      </x:c>
      <x:c r="H2402" s="193" t="n">
        <x:v>0</x:v>
      </x:c>
      <x:c r="I2402" s="185" t="n">
        <x:v>0</x:v>
      </x:c>
      <x:c r="J2402" s="185" t="n">
        <x:v>0</x:v>
      </x:c>
      <x:c r="K2402" s="289" t="n">
        <x:v>305370</x:v>
      </x:c>
    </x:row>
    <x:row r="2403" s="117" customFormat="1" hidden="1">
      <x:c r="A2403" s="184" t="inlineStr">
        <x:is>
          <x:t xml:space="preserve">PDTPLA001091</x:t>
        </x:is>
      </x:c>
      <x:c r="B2403" s="184" t="inlineStr">
        <x:is>
          <x:t xml:space="preserve">PIEZAA DE AJUSTE DIA EXT 220 DIAM INT 150 ESP 60</x:t>
        </x:is>
      </x:c>
      <x:c r="C2403" s="184" t="n">
        <x:v>0</x:v>
      </x:c>
      <x:c r="D2403" s="184" t="n">
        <x:v>0</x:v>
      </x:c>
      <x:c r="E2403" s="184" t="n">
        <x:v>0</x:v>
      </x:c>
      <x:c r="F2403" s="184" t="n">
        <x:v>0</x:v>
      </x:c>
      <x:c r="G2403" s="184" t="n">
        <x:v>0</x:v>
      </x:c>
      <x:c r="H2403" s="193" t="n">
        <x:v>0</x:v>
      </x:c>
      <x:c r="I2403" s="185" t="n">
        <x:v>0</x:v>
      </x:c>
      <x:c r="J2403" s="185" t="n">
        <x:v>0</x:v>
      </x:c>
      <x:c r="K2403" s="289" t="n">
        <x:v>9102</x:v>
      </x:c>
    </x:row>
    <x:row r="2404" s="117" customFormat="1" hidden="1">
      <x:c r="A2404" s="184" t="inlineStr">
        <x:is>
          <x:t xml:space="preserve">PDTPLA001092</x:t>
        </x:is>
      </x:c>
      <x:c r="B2404" s="184" t="inlineStr">
        <x:is>
          <x:t xml:space="preserve">PIEZAS ESPECIALES DN80 PTFE 1 BOQUILLA DN80X1500 LGO Y CARETE REDUCTORDN80 A DN40 PPT090TPU011</x:t>
        </x:is>
      </x:c>
      <x:c r="C2404" s="184" t="n">
        <x:v>0</x:v>
      </x:c>
      <x:c r="D2404" s="184" t="n">
        <x:v>0</x:v>
      </x:c>
      <x:c r="E2404" s="184" t="n">
        <x:v>0</x:v>
      </x:c>
      <x:c r="F2404" s="184" t="n">
        <x:v>0</x:v>
      </x:c>
      <x:c r="G2404" s="184" t="n">
        <x:v>0</x:v>
      </x:c>
      <x:c r="H2404" s="193" t="n">
        <x:v>0</x:v>
      </x:c>
      <x:c r="I2404" s="185" t="n">
        <x:v>0</x:v>
      </x:c>
      <x:c r="J2404" s="185" t="n">
        <x:v>0</x:v>
      </x:c>
      <x:c r="K2404" s="289" t="n">
        <x:v>2190000</x:v>
      </x:c>
    </x:row>
    <x:row r="2405" s="117" customFormat="1" hidden="1">
      <x:c r="A2405" s="184" t="inlineStr">
        <x:is>
          <x:t xml:space="preserve">PDTPLA001093</x:t>
        </x:is>
      </x:c>
      <x:c r="B2405" s="184" t="inlineStr">
        <x:is>
          <x:t xml:space="preserve">ENSAYO A MUESTRAS DE HDPE  OFI1222-NV0013</x:t>
        </x:is>
      </x:c>
      <x:c r="C2405" s="184" t="n">
        <x:v>0</x:v>
      </x:c>
      <x:c r="D2405" s="184" t="n">
        <x:v>0</x:v>
      </x:c>
      <x:c r="E2405" s="184" t="n">
        <x:v>0</x:v>
      </x:c>
      <x:c r="F2405" s="184" t="n">
        <x:v>0</x:v>
      </x:c>
      <x:c r="G2405" s="184" t="n">
        <x:v>0</x:v>
      </x:c>
      <x:c r="H2405" s="193" t="n">
        <x:v>0</x:v>
      </x:c>
      <x:c r="I2405" s="185" t="n">
        <x:v>0</x:v>
      </x:c>
      <x:c r="J2405" s="185" t="n">
        <x:v>0</x:v>
      </x:c>
      <x:c r="K2405" s="289" t="n">
        <x:v>194883</x:v>
      </x:c>
    </x:row>
    <x:row r="2406" s="117" customFormat="1" hidden="1">
      <x:c r="A2406" s="184" t="inlineStr">
        <x:is>
          <x:t xml:space="preserve">PDTPLA001094</x:t>
        </x:is>
      </x:c>
      <x:c r="B2406" s="184" t="inlineStr">
        <x:is>
          <x:t xml:space="preserve">19539 TOBERA APAGADO DE GASES LANZA 157MM X 759 MM PL 072-2013 REV.0</x:t>
        </x:is>
      </x:c>
      <x:c r="C2406" s="184" t="n">
        <x:v>0</x:v>
      </x:c>
      <x:c r="D2406" s="184" t="n">
        <x:v>0</x:v>
      </x:c>
      <x:c r="E2406" s="184" t="n">
        <x:v>0</x:v>
      </x:c>
      <x:c r="F2406" s="184" t="n">
        <x:v>0</x:v>
      </x:c>
      <x:c r="G2406" s="184" t="n">
        <x:v>0</x:v>
      </x:c>
      <x:c r="H2406" s="193" t="n">
        <x:v>0</x:v>
      </x:c>
      <x:c r="I2406" s="185" t="n">
        <x:v>0</x:v>
      </x:c>
      <x:c r="J2406" s="185" t="n">
        <x:v>0</x:v>
      </x:c>
      <x:c r="K2406" s="289" t="n">
        <x:v>1860373</x:v>
      </x:c>
    </x:row>
    <x:row r="2407" s="117" customFormat="1" hidden="1">
      <x:c r="A2407" s="184" t="inlineStr">
        <x:is>
          <x:t xml:space="preserve">PDTPLA001095</x:t>
        </x:is>
      </x:c>
      <x:c r="B2407" s="184" t="inlineStr">
        <x:is>
          <x:t xml:space="preserve">19540 TOBERA APAGADO GASES PP/FRP Y PORTA TOBERA PTFE TORRE PAS Nª 2</x:t>
        </x:is>
      </x:c>
      <x:c r="C2407" s="184" t="n">
        <x:v>0</x:v>
      </x:c>
      <x:c r="D2407" s="184" t="n">
        <x:v>0</x:v>
      </x:c>
      <x:c r="E2407" s="184" t="n">
        <x:v>0</x:v>
      </x:c>
      <x:c r="F2407" s="184" t="n">
        <x:v>0</x:v>
      </x:c>
      <x:c r="G2407" s="184" t="n">
        <x:v>0</x:v>
      </x:c>
      <x:c r="H2407" s="193" t="n">
        <x:v>0</x:v>
      </x:c>
      <x:c r="I2407" s="185" t="n">
        <x:v>0</x:v>
      </x:c>
      <x:c r="J2407" s="185" t="n">
        <x:v>0</x:v>
      </x:c>
      <x:c r="K2407" s="289" t="n">
        <x:v>702987</x:v>
      </x:c>
    </x:row>
    <x:row r="2408" s="117" customFormat="1" hidden="1">
      <x:c r="A2408" s="184" t="inlineStr">
        <x:is>
          <x:t xml:space="preserve">PDTPLA001096</x:t>
        </x:is>
      </x:c>
      <x:c r="B2408" s="184" t="inlineStr">
        <x:is>
          <x:t xml:space="preserve">TAPON PARA TUBO COLECTOR DE PPEE DIAM.235 MM C/BASE ES DE 24 MM POLIPROPILENO PPT090PPO031</x:t>
        </x:is>
      </x:c>
      <x:c r="C2408" s="184" t="n">
        <x:v>0</x:v>
      </x:c>
      <x:c r="D2408" s="184" t="n">
        <x:v>0</x:v>
      </x:c>
      <x:c r="E2408" s="184" t="n">
        <x:v>0</x:v>
      </x:c>
      <x:c r="F2408" s="184" t="n">
        <x:v>0</x:v>
      </x:c>
      <x:c r="G2408" s="184" t="n">
        <x:v>0</x:v>
      </x:c>
      <x:c r="H2408" s="193" t="n">
        <x:v>0</x:v>
      </x:c>
      <x:c r="I2408" s="185" t="n">
        <x:v>0</x:v>
      </x:c>
      <x:c r="J2408" s="185" t="n">
        <x:v>0</x:v>
      </x:c>
      <x:c r="K2408" s="289" t="n">
        <x:v>31865</x:v>
      </x:c>
    </x:row>
    <x:row r="2409" s="117" customFormat="1" hidden="1">
      <x:c r="A2409" s="184" t="inlineStr">
        <x:is>
          <x:t xml:space="preserve">PDTPLA001097</x:t>
        </x:is>
      </x:c>
      <x:c r="B2409" s="184" t="inlineStr">
        <x:is>
          <x:t xml:space="preserve">TOBERA CENTRAL LAVADOR DE FLUJO RADIAL T112-122 DIA 288X588 MM 1390841</x:t>
        </x:is>
      </x:c>
      <x:c r="C2409" s="184" t="n">
        <x:v>0</x:v>
      </x:c>
      <x:c r="D2409" s="184" t="n">
        <x:v>0</x:v>
      </x:c>
      <x:c r="E2409" s="184" t="n">
        <x:v>0</x:v>
      </x:c>
      <x:c r="F2409" s="184" t="n">
        <x:v>0</x:v>
      </x:c>
      <x:c r="G2409" s="184" t="n">
        <x:v>0</x:v>
      </x:c>
      <x:c r="H2409" s="193" t="n">
        <x:v>0</x:v>
      </x:c>
      <x:c r="I2409" s="185" t="n">
        <x:v>0</x:v>
      </x:c>
      <x:c r="J2409" s="185" t="n">
        <x:v>0</x:v>
      </x:c>
      <x:c r="K2409" s="289" t="n">
        <x:v>3063000</x:v>
      </x:c>
    </x:row>
    <x:row r="2410" s="117" customFormat="1" hidden="1">
      <x:c r="A2410" s="184" t="inlineStr">
        <x:is>
          <x:t xml:space="preserve">PDTPLA001098</x:t>
        </x:is>
      </x:c>
      <x:c r="B2410" s="184" t="inlineStr">
        <x:is>
          <x:t xml:space="preserve">VACUM BOX SEAL STRIP S/PLANO HBF-FH-42-001 REV0 DIMENS 4034 X 183 X 50 MM PPT090CEP001</x:t>
        </x:is>
      </x:c>
      <x:c r="C2410" s="184" t="n">
        <x:v>0</x:v>
      </x:c>
      <x:c r="D2410" s="184" t="n">
        <x:v>0</x:v>
      </x:c>
      <x:c r="E2410" s="184" t="n">
        <x:v>0</x:v>
      </x:c>
      <x:c r="F2410" s="184" t="n">
        <x:v>0</x:v>
      </x:c>
      <x:c r="G2410" s="184" t="n">
        <x:v>0</x:v>
      </x:c>
      <x:c r="H2410" s="193" t="n">
        <x:v>0</x:v>
      </x:c>
      <x:c r="I2410" s="185" t="n">
        <x:v>0</x:v>
      </x:c>
      <x:c r="J2410" s="185" t="n">
        <x:v>0</x:v>
      </x:c>
      <x:c r="K2410" s="289" t="n">
        <x:v>522521</x:v>
      </x:c>
    </x:row>
    <x:row r="2411" s="117" customFormat="1" hidden="1">
      <x:c r="A2411" s="184" t="inlineStr">
        <x:is>
          <x:t xml:space="preserve">PDTPLA001099</x:t>
        </x:is>
      </x:c>
      <x:c r="B2411" s="184" t="inlineStr">
        <x:is>
          <x:t xml:space="preserve">END SEAL STRIP 2000X154X63 MM S/PLANO F207-62 MKA</x:t>
        </x:is>
      </x:c>
      <x:c r="C2411" s="184" t="n">
        <x:v>0</x:v>
      </x:c>
      <x:c r="D2411" s="184" t="n">
        <x:v>0</x:v>
      </x:c>
      <x:c r="E2411" s="184" t="n">
        <x:v>0</x:v>
      </x:c>
      <x:c r="F2411" s="184" t="n">
        <x:v>0</x:v>
      </x:c>
      <x:c r="G2411" s="184" t="n">
        <x:v>0</x:v>
      </x:c>
      <x:c r="H2411" s="193" t="n">
        <x:v>0</x:v>
      </x:c>
      <x:c r="I2411" s="185" t="n">
        <x:v>0</x:v>
      </x:c>
      <x:c r="J2411" s="185" t="n">
        <x:v>0</x:v>
      </x:c>
      <x:c r="K2411" s="289" t="n">
        <x:v>911268</x:v>
      </x:c>
    </x:row>
    <x:row r="2412" s="117" customFormat="1" hidden="1">
      <x:c r="A2412" s="184" t="inlineStr">
        <x:is>
          <x:t xml:space="preserve">PDTPLA001100</x:t>
        </x:is>
      </x:c>
      <x:c r="B2412" s="184" t="inlineStr">
        <x:is>
          <x:t xml:space="preserve">CONJUNTO TOBERA INYECCION SIMONA 100409PP02 CODIGO 4115880</x:t>
        </x:is>
      </x:c>
      <x:c r="C2412" s="184" t="n">
        <x:v>0</x:v>
      </x:c>
      <x:c r="D2412" s="184" t="n">
        <x:v>0</x:v>
      </x:c>
      <x:c r="E2412" s="184" t="n">
        <x:v>0</x:v>
      </x:c>
      <x:c r="F2412" s="184" t="n">
        <x:v>0</x:v>
      </x:c>
      <x:c r="G2412" s="184" t="n">
        <x:v>0</x:v>
      </x:c>
      <x:c r="H2412" s="193" t="n">
        <x:v>0</x:v>
      </x:c>
      <x:c r="I2412" s="185" t="n">
        <x:v>0</x:v>
      </x:c>
      <x:c r="J2412" s="185" t="n">
        <x:v>0</x:v>
      </x:c>
      <x:c r="K2412" s="289" t="n">
        <x:v>646840</x:v>
      </x:c>
    </x:row>
    <x:row r="2413" s="117" customFormat="1" hidden="1">
      <x:c r="A2413" s="184" t="inlineStr">
        <x:is>
          <x:t xml:space="preserve">PDTPLA001101</x:t>
        </x:is>
      </x:c>
      <x:c r="B2413" s="184" t="inlineStr">
        <x:is>
          <x:t xml:space="preserve">CONJUNTO LANZA BOQILLA MINISTRO HALES 4 BOQUILLAS</x:t>
        </x:is>
      </x:c>
      <x:c r="C2413" s="184" t="n">
        <x:v>0</x:v>
      </x:c>
      <x:c r="D2413" s="184" t="n">
        <x:v>0</x:v>
      </x:c>
      <x:c r="E2413" s="184" t="n">
        <x:v>0</x:v>
      </x:c>
      <x:c r="F2413" s="184" t="n">
        <x:v>0</x:v>
      </x:c>
      <x:c r="G2413" s="184" t="n">
        <x:v>0</x:v>
      </x:c>
      <x:c r="H2413" s="193" t="n">
        <x:v>0</x:v>
      </x:c>
      <x:c r="I2413" s="185" t="n">
        <x:v>0</x:v>
      </x:c>
      <x:c r="J2413" s="185" t="n">
        <x:v>0</x:v>
      </x:c>
      <x:c r="K2413" s="289" t="n">
        <x:v>1074880</x:v>
      </x:c>
    </x:row>
    <x:row r="2414" s="117" customFormat="1" hidden="1">
      <x:c r="A2414" s="184" t="inlineStr">
        <x:is>
          <x:t xml:space="preserve">PDTPLA001102</x:t>
        </x:is>
      </x:c>
      <x:c r="B2414" s="184" t="inlineStr">
        <x:is>
          <x:t xml:space="preserve">TOBERA PORTA INYECTOR DIA 90 MM LARGO 1735 MM</x:t>
        </x:is>
      </x:c>
      <x:c r="C2414" s="184" t="n">
        <x:v>0</x:v>
      </x:c>
      <x:c r="D2414" s="184" t="n">
        <x:v>0</x:v>
      </x:c>
      <x:c r="E2414" s="184" t="n">
        <x:v>0</x:v>
      </x:c>
      <x:c r="F2414" s="184" t="n">
        <x:v>0</x:v>
      </x:c>
      <x:c r="G2414" s="184" t="n">
        <x:v>0</x:v>
      </x:c>
      <x:c r="H2414" s="193" t="n">
        <x:v>0</x:v>
      </x:c>
      <x:c r="I2414" s="185" t="n">
        <x:v>0</x:v>
      </x:c>
      <x:c r="J2414" s="185" t="n">
        <x:v>0</x:v>
      </x:c>
      <x:c r="K2414" s="289" t="n">
        <x:v>382422</x:v>
      </x:c>
    </x:row>
    <x:row r="2415" s="117" customFormat="1" hidden="1">
      <x:c r="A2415" s="184" t="inlineStr">
        <x:is>
          <x:t xml:space="preserve">PDTPLA001103</x:t>
        </x:is>
      </x:c>
      <x:c r="B2415" s="184" t="inlineStr">
        <x:is>
          <x:t xml:space="preserve">KIT MIRILLAS MARCA MAXOS SELLOS</x:t>
        </x:is>
      </x:c>
      <x:c r="C2415" s="184" t="n">
        <x:v>0</x:v>
      </x:c>
      <x:c r="D2415" s="184" t="n">
        <x:v>0</x:v>
      </x:c>
      <x:c r="E2415" s="184" t="n">
        <x:v>0</x:v>
      </x:c>
      <x:c r="F2415" s="184" t="n">
        <x:v>0</x:v>
      </x:c>
      <x:c r="G2415" s="184" t="n">
        <x:v>0</x:v>
      </x:c>
      <x:c r="H2415" s="193" t="n">
        <x:v>0</x:v>
      </x:c>
      <x:c r="I2415" s="185" t="n">
        <x:v>0</x:v>
      </x:c>
      <x:c r="J2415" s="185" t="n">
        <x:v>0</x:v>
      </x:c>
      <x:c r="K2415" s="289" t="n">
        <x:v>1725845</x:v>
      </x:c>
    </x:row>
    <x:row r="2416" s="117" customFormat="1" hidden="1">
      <x:c r="A2416" s="184" t="inlineStr">
        <x:is>
          <x:t xml:space="preserve">PDTPLA001104</x:t>
        </x:is>
      </x:c>
      <x:c r="B2416" s="184" t="inlineStr">
        <x:is>
          <x:t xml:space="preserve">4217006 PARRILLA DIFUSORA SUPERIOR A PPEE PP DIAM 4.320 MM</x:t>
        </x:is>
      </x:c>
      <x:c r="C2416" s="184" t="n">
        <x:v>0</x:v>
      </x:c>
      <x:c r="D2416" s="184" t="n">
        <x:v>0</x:v>
      </x:c>
      <x:c r="E2416" s="184" t="n">
        <x:v>0</x:v>
      </x:c>
      <x:c r="F2416" s="184" t="n">
        <x:v>0</x:v>
      </x:c>
      <x:c r="G2416" s="184" t="n">
        <x:v>0</x:v>
      </x:c>
      <x:c r="H2416" s="193" t="n">
        <x:v>0</x:v>
      </x:c>
      <x:c r="I2416" s="185" t="n">
        <x:v>0</x:v>
      </x:c>
      <x:c r="J2416" s="185" t="n">
        <x:v>0</x:v>
      </x:c>
      <x:c r="K2416" s="289" t="n">
        <x:v>7497629</x:v>
      </x:c>
    </x:row>
    <x:row r="2417" s="117" customFormat="1" hidden="1">
      <x:c r="A2417" s="184" t="inlineStr">
        <x:is>
          <x:t xml:space="preserve">PDTPLA001105</x:t>
        </x:is>
      </x:c>
      <x:c r="B2417" s="184" t="inlineStr">
        <x:is>
          <x:t xml:space="preserve">4217007 PARRILLA DIF SUPERIOR B PPEE PP DIAM 6.460</x:t>
        </x:is>
      </x:c>
      <x:c r="C2417" s="184" t="n">
        <x:v>0</x:v>
      </x:c>
      <x:c r="D2417" s="184" t="n">
        <x:v>0</x:v>
      </x:c>
      <x:c r="E2417" s="184" t="n">
        <x:v>0</x:v>
      </x:c>
      <x:c r="F2417" s="184" t="n">
        <x:v>0</x:v>
      </x:c>
      <x:c r="G2417" s="184" t="n">
        <x:v>0</x:v>
      </x:c>
      <x:c r="H2417" s="193" t="n">
        <x:v>0</x:v>
      </x:c>
      <x:c r="I2417" s="185" t="n">
        <x:v>0</x:v>
      </x:c>
      <x:c r="J2417" s="185" t="n">
        <x:v>0</x:v>
      </x:c>
      <x:c r="K2417" s="289" t="n">
        <x:v>10065956</x:v>
      </x:c>
    </x:row>
    <x:row r="2418" s="117" customFormat="1" hidden="1">
      <x:c r="A2418" s="184" t="inlineStr">
        <x:is>
          <x:t xml:space="preserve">PDTPLA001106</x:t>
        </x:is>
      </x:c>
      <x:c r="B2418" s="184" t="inlineStr">
        <x:is>
          <x:t xml:space="preserve">CONJUNTO RODETE Y EJE PP AC/INOX S/PL 310823RODIMSOP-DWG-000_CL</x:t>
        </x:is>
      </x:c>
      <x:c r="C2418" s="184" t="n">
        <x:v>0</x:v>
      </x:c>
      <x:c r="D2418" s="184" t="n">
        <x:v>0</x:v>
      </x:c>
      <x:c r="E2418" s="184" t="n">
        <x:v>0</x:v>
      </x:c>
      <x:c r="F2418" s="184" t="n">
        <x:v>0</x:v>
      </x:c>
      <x:c r="G2418" s="184" t="n">
        <x:v>0</x:v>
      </x:c>
      <x:c r="H2418" s="193" t="n">
        <x:v>0</x:v>
      </x:c>
      <x:c r="I2418" s="185" t="n">
        <x:v>0</x:v>
      </x:c>
      <x:c r="J2418" s="185" t="n">
        <x:v>0</x:v>
      </x:c>
      <x:c r="K2418" s="289" t="n">
        <x:v>2064390</x:v>
      </x:c>
    </x:row>
    <x:row r="2419" s="117" customFormat="1" hidden="1">
      <x:c r="A2419" s="184" t="inlineStr">
        <x:is>
          <x:t xml:space="preserve">PDTPLA001107</x:t>
        </x:is>
      </x:c>
      <x:c r="B2419" s="184" t="inlineStr">
        <x:is>
          <x:t xml:space="preserve">4220211 CONTRAPESO ELECTRODOS PRECIPITADORES CJTO PLNPP080124DWG000</x:t>
        </x:is>
      </x:c>
      <x:c r="C2419" s="184" t="n">
        <x:v>0</x:v>
      </x:c>
      <x:c r="D2419" s="184" t="n">
        <x:v>0</x:v>
      </x:c>
      <x:c r="E2419" s="184" t="n">
        <x:v>0</x:v>
      </x:c>
      <x:c r="F2419" s="184" t="n">
        <x:v>0</x:v>
      </x:c>
      <x:c r="G2419" s="184" t="n">
        <x:v>0</x:v>
      </x:c>
      <x:c r="H2419" s="193" t="n">
        <x:v>0</x:v>
      </x:c>
      <x:c r="I2419" s="185" t="n">
        <x:v>0</x:v>
      </x:c>
      <x:c r="J2419" s="185" t="n">
        <x:v>0</x:v>
      </x:c>
      <x:c r="K2419" s="289" t="n">
        <x:v>12497</x:v>
      </x:c>
    </x:row>
    <x:row r="2420" s="117" customFormat="1" hidden="1">
      <x:c r="A2420" s="184" t="inlineStr">
        <x:is>
          <x:t xml:space="preserve">PDTPLA001108</x:t>
        </x:is>
      </x:c>
      <x:c r="B2420" s="184" t="inlineStr">
        <x:is>
          <x:t xml:space="preserve">PL DESGASTE T-88 UHMW 13MM ESP.X800X2000 MM 146340</x:t>
        </x:is>
      </x:c>
      <x:c r="C2420" s="184" t="n">
        <x:v>0</x:v>
      </x:c>
      <x:c r="D2420" s="184" t="n">
        <x:v>0</x:v>
      </x:c>
      <x:c r="E2420" s="184" t="n">
        <x:v>0</x:v>
      </x:c>
      <x:c r="F2420" s="184" t="n">
        <x:v>0</x:v>
      </x:c>
      <x:c r="G2420" s="184" t="n">
        <x:v>0</x:v>
      </x:c>
      <x:c r="H2420" s="193" t="n">
        <x:v>0</x:v>
      </x:c>
      <x:c r="I2420" s="185" t="n">
        <x:v>0</x:v>
      </x:c>
      <x:c r="J2420" s="185" t="n">
        <x:v>0</x:v>
      </x:c>
      <x:c r="K2420" s="289" t="n">
        <x:v>305679</x:v>
      </x:c>
    </x:row>
    <x:row r="2421" s="117" customFormat="1" hidden="1">
      <x:c r="A2421" s="184" t="inlineStr">
        <x:is>
          <x:t xml:space="preserve">PDTPLA001109</x:t>
        </x:is>
      </x:c>
      <x:c r="B2421" s="184" t="inlineStr">
        <x:is>
          <x:t xml:space="preserve">30031099 PROTECTOR PLASTICO DE HILO M10 AZUL</x:t>
        </x:is>
      </x:c>
      <x:c r="C2421" s="184" t="n">
        <x:v>0</x:v>
      </x:c>
      <x:c r="D2421" s="184" t="n">
        <x:v>0</x:v>
      </x:c>
      <x:c r="E2421" s="184" t="n">
        <x:v>0</x:v>
      </x:c>
      <x:c r="F2421" s="184" t="n">
        <x:v>0</x:v>
      </x:c>
      <x:c r="G2421" s="184" t="n">
        <x:v>0</x:v>
      </x:c>
      <x:c r="H2421" s="193" t="n">
        <x:v>0</x:v>
      </x:c>
      <x:c r="I2421" s="185" t="n">
        <x:v>0</x:v>
      </x:c>
      <x:c r="J2421" s="185" t="n">
        <x:v>0</x:v>
      </x:c>
      <x:c r="K2421" s="289" t="n">
        <x:v>48</x:v>
      </x:c>
    </x:row>
    <x:row r="2422" s="117" customFormat="1" hidden="1">
      <x:c r="A2422" s="184" t="inlineStr">
        <x:is>
          <x:t xml:space="preserve">PDTPLA001110</x:t>
        </x:is>
      </x:c>
      <x:c r="B2422" s="184" t="inlineStr">
        <x:is>
          <x:t xml:space="preserve">SEAL STRIP 3030X70X50MM CLD 2432.00.03.10.20 PPT090CEP014</x:t>
        </x:is>
      </x:c>
      <x:c r="C2422" s="184" t="n">
        <x:v>0</x:v>
      </x:c>
      <x:c r="D2422" s="184" t="n">
        <x:v>0</x:v>
      </x:c>
      <x:c r="E2422" s="184" t="n">
        <x:v>0</x:v>
      </x:c>
      <x:c r="F2422" s="184" t="n">
        <x:v>0</x:v>
      </x:c>
      <x:c r="G2422" s="184" t="n">
        <x:v>0</x:v>
      </x:c>
      <x:c r="H2422" s="193" t="n">
        <x:v>0</x:v>
      </x:c>
      <x:c r="I2422" s="185" t="n">
        <x:v>0</x:v>
      </x:c>
      <x:c r="J2422" s="185" t="n">
        <x:v>0</x:v>
      </x:c>
      <x:c r="K2422" s="289" t="n">
        <x:v>250616</x:v>
      </x:c>
    </x:row>
    <x:row r="2423" s="117" customFormat="1" hidden="1">
      <x:c r="A2423" s="184" t="inlineStr">
        <x:is>
          <x:t xml:space="preserve">PDTPLA001111</x:t>
        </x:is>
      </x:c>
      <x:c r="B2423" s="184" t="inlineStr">
        <x:is>
          <x:t xml:space="preserve">END PAD HEAD END 315X170X53 CLD 2432.00.03.10.20 PPT090CEP015</x:t>
        </x:is>
      </x:c>
      <x:c r="C2423" s="184" t="n">
        <x:v>0</x:v>
      </x:c>
      <x:c r="D2423" s="184" t="n">
        <x:v>0</x:v>
      </x:c>
      <x:c r="E2423" s="184" t="n">
        <x:v>0</x:v>
      </x:c>
      <x:c r="F2423" s="184" t="n">
        <x:v>0</x:v>
      </x:c>
      <x:c r="G2423" s="184" t="n">
        <x:v>0</x:v>
      </x:c>
      <x:c r="H2423" s="193" t="n">
        <x:v>0</x:v>
      </x:c>
      <x:c r="I2423" s="185" t="n">
        <x:v>0</x:v>
      </x:c>
      <x:c r="J2423" s="185" t="n">
        <x:v>0</x:v>
      </x:c>
      <x:c r="K2423" s="289" t="n">
        <x:v>126569</x:v>
      </x:c>
    </x:row>
    <x:row r="2424" s="117" customFormat="1" hidden="1">
      <x:c r="A2424" s="184" t="inlineStr">
        <x:is>
          <x:t xml:space="preserve">PDTPLA001112</x:t>
        </x:is>
      </x:c>
      <x:c r="B2424" s="184" t="inlineStr">
        <x:is>
          <x:t xml:space="preserve">END PAD TAIL END 515X170X53 MM CLD 2432.00.03.10.20 PPT090CEP016</x:t>
        </x:is>
      </x:c>
      <x:c r="C2424" s="184" t="n">
        <x:v>0</x:v>
      </x:c>
      <x:c r="D2424" s="184" t="n">
        <x:v>0</x:v>
      </x:c>
      <x:c r="E2424" s="184" t="n">
        <x:v>0</x:v>
      </x:c>
      <x:c r="F2424" s="184" t="n">
        <x:v>0</x:v>
      </x:c>
      <x:c r="G2424" s="184" t="n">
        <x:v>0</x:v>
      </x:c>
      <x:c r="H2424" s="193" t="n">
        <x:v>0</x:v>
      </x:c>
      <x:c r="I2424" s="185" t="n">
        <x:v>0</x:v>
      </x:c>
      <x:c r="J2424" s="185" t="n">
        <x:v>0</x:v>
      </x:c>
      <x:c r="K2424" s="289" t="n">
        <x:v>134827</x:v>
      </x:c>
    </x:row>
    <x:row r="2425" s="117" customFormat="1" hidden="1">
      <x:c r="A2425" s="184" t="inlineStr">
        <x:is>
          <x:t xml:space="preserve">PDTPLA001113</x:t>
        </x:is>
      </x:c>
      <x:c r="B2425" s="184" t="inlineStr">
        <x:is>
          <x:t xml:space="preserve">END SLIDE R200X80 MM CLD 2432.00.03.10.20 PPT090CEP017</x:t>
        </x:is>
      </x:c>
      <x:c r="C2425" s="184" t="n">
        <x:v>0</x:v>
      </x:c>
      <x:c r="D2425" s="184" t="n">
        <x:v>0</x:v>
      </x:c>
      <x:c r="E2425" s="184" t="n">
        <x:v>0</x:v>
      </x:c>
      <x:c r="F2425" s="184" t="n">
        <x:v>0</x:v>
      </x:c>
      <x:c r="G2425" s="184" t="n">
        <x:v>0</x:v>
      </x:c>
      <x:c r="H2425" s="193" t="n">
        <x:v>0</x:v>
      </x:c>
      <x:c r="I2425" s="185" t="n">
        <x:v>0</x:v>
      </x:c>
      <x:c r="J2425" s="185" t="n">
        <x:v>0</x:v>
      </x:c>
      <x:c r="K2425" s="289" t="n">
        <x:v>132976</x:v>
      </x:c>
    </x:row>
    <x:row r="2426" s="117" customFormat="1" hidden="1">
      <x:c r="A2426" s="184" t="inlineStr">
        <x:is>
          <x:t xml:space="preserve">PDTPLA001114</x:t>
        </x:is>
      </x:c>
      <x:c r="B2426" s="184" t="inlineStr">
        <x:is>
          <x:t xml:space="preserve">JUEGO DE 3 PIEZAS PTFE PURO S/PLANO TECN.REUNIDAS</x:t>
        </x:is>
      </x:c>
      <x:c r="C2426" s="184" t="n">
        <x:v>0</x:v>
      </x:c>
      <x:c r="D2426" s="184" t="n">
        <x:v>0</x:v>
      </x:c>
      <x:c r="E2426" s="184" t="n">
        <x:v>0</x:v>
      </x:c>
      <x:c r="F2426" s="184" t="n">
        <x:v>0</x:v>
      </x:c>
      <x:c r="G2426" s="184" t="n">
        <x:v>0</x:v>
      </x:c>
      <x:c r="H2426" s="193" t="n">
        <x:v>0</x:v>
      </x:c>
      <x:c r="I2426" s="185" t="n">
        <x:v>0</x:v>
      </x:c>
      <x:c r="J2426" s="185" t="n">
        <x:v>0</x:v>
      </x:c>
      <x:c r="K2426" s="289" t="n">
        <x:v>230000</x:v>
      </x:c>
    </x:row>
    <x:row r="2427" s="117" customFormat="1" hidden="1">
      <x:c r="A2427" s="184" t="inlineStr">
        <x:is>
          <x:t xml:space="preserve">PDTPLA001115</x:t>
        </x:is>
      </x:c>
      <x:c r="B2427" s="184" t="inlineStr">
        <x:is>
          <x:t xml:space="preserve">D-30810-HBF-27 END PAD HEAD  (PPT090CEP015)</x:t>
        </x:is>
      </x:c>
      <x:c r="C2427" s="184" t="n">
        <x:v>0</x:v>
      </x:c>
      <x:c r="D2427" s="184" t="n">
        <x:v>0</x:v>
      </x:c>
      <x:c r="E2427" s="184" t="n">
        <x:v>0</x:v>
      </x:c>
      <x:c r="F2427" s="184" t="n">
        <x:v>0</x:v>
      </x:c>
      <x:c r="G2427" s="184" t="n">
        <x:v>0</x:v>
      </x:c>
      <x:c r="H2427" s="193" t="n">
        <x:v>0</x:v>
      </x:c>
      <x:c r="I2427" s="185" t="n">
        <x:v>0</x:v>
      </x:c>
      <x:c r="J2427" s="185" t="n">
        <x:v>0</x:v>
      </x:c>
      <x:c r="K2427" s="289" t="n">
        <x:v>85513</x:v>
      </x:c>
    </x:row>
    <x:row r="2428" s="117" customFormat="1" hidden="1">
      <x:c r="A2428" s="184" t="inlineStr">
        <x:is>
          <x:t xml:space="preserve">PDTPLA001116</x:t>
        </x:is>
      </x:c>
      <x:c r="B2428" s="184" t="inlineStr">
        <x:is>
          <x:t xml:space="preserve">D-8702-HBF-21 END SLIDE (PPT090CEP018)</x:t>
        </x:is>
      </x:c>
      <x:c r="C2428" s="184" t="n">
        <x:v>0</x:v>
      </x:c>
      <x:c r="D2428" s="184" t="n">
        <x:v>0</x:v>
      </x:c>
      <x:c r="E2428" s="184" t="n">
        <x:v>0</x:v>
      </x:c>
      <x:c r="F2428" s="184" t="n">
        <x:v>0</x:v>
      </x:c>
      <x:c r="G2428" s="184" t="n">
        <x:v>0</x:v>
      </x:c>
      <x:c r="H2428" s="193" t="n">
        <x:v>0</x:v>
      </x:c>
      <x:c r="I2428" s="185" t="n">
        <x:v>0</x:v>
      </x:c>
      <x:c r="J2428" s="185" t="n">
        <x:v>0</x:v>
      </x:c>
      <x:c r="K2428" s="289" t="n">
        <x:v>315090</x:v>
      </x:c>
    </x:row>
    <x:row r="2429" s="117" customFormat="1" hidden="1">
      <x:c r="A2429" s="184" t="inlineStr">
        <x:is>
          <x:t xml:space="preserve">PDTPLA001117</x:t>
        </x:is>
      </x:c>
      <x:c r="B2429" s="184" t="inlineStr">
        <x:is>
          <x:t xml:space="preserve">30031107 PROTECTOR PLASTICO HILO M36 AZUL</x:t>
        </x:is>
      </x:c>
      <x:c r="C2429" s="184" t="n">
        <x:v>0</x:v>
      </x:c>
      <x:c r="D2429" s="184" t="n">
        <x:v>0</x:v>
      </x:c>
      <x:c r="E2429" s="184" t="n">
        <x:v>0</x:v>
      </x:c>
      <x:c r="F2429" s="184" t="n">
        <x:v>0</x:v>
      </x:c>
      <x:c r="G2429" s="184" t="n">
        <x:v>0</x:v>
      </x:c>
      <x:c r="H2429" s="193" t="n">
        <x:v>0</x:v>
      </x:c>
      <x:c r="I2429" s="185" t="n">
        <x:v>0</x:v>
      </x:c>
      <x:c r="J2429" s="185" t="n">
        <x:v>0</x:v>
      </x:c>
      <x:c r="K2429" s="289" t="n">
        <x:v>97</x:v>
      </x:c>
    </x:row>
    <x:row r="2430" s="117" customFormat="1" hidden="1">
      <x:c r="A2430" s="184" t="inlineStr">
        <x:is>
          <x:t xml:space="preserve">PDTPLA001118</x:t>
        </x:is>
      </x:c>
      <x:c r="B2430" s="184" t="inlineStr">
        <x:is>
          <x:t xml:space="preserve">30031101 PROTECTOR PLASTICO DE HILO M36 AZUL</x:t>
        </x:is>
      </x:c>
      <x:c r="C2430" s="184" t="n">
        <x:v>0</x:v>
      </x:c>
      <x:c r="D2430" s="184" t="n">
        <x:v>0</x:v>
      </x:c>
      <x:c r="E2430" s="184" t="n">
        <x:v>0</x:v>
      </x:c>
      <x:c r="F2430" s="184" t="n">
        <x:v>0</x:v>
      </x:c>
      <x:c r="G2430" s="184" t="n">
        <x:v>0</x:v>
      </x:c>
      <x:c r="H2430" s="193" t="n">
        <x:v>0</x:v>
      </x:c>
      <x:c r="I2430" s="185" t="n">
        <x:v>0</x:v>
      </x:c>
      <x:c r="J2430" s="185" t="n">
        <x:v>0</x:v>
      </x:c>
      <x:c r="K2430" s="289" t="n">
        <x:v>83</x:v>
      </x:c>
    </x:row>
    <x:row r="2431" s="117" customFormat="1" hidden="1">
      <x:c r="A2431" s="184" t="inlineStr">
        <x:is>
          <x:t xml:space="preserve">PDTPLA001119</x:t>
        </x:is>
      </x:c>
      <x:c r="B2431" s="184" t="inlineStr">
        <x:is>
          <x:t xml:space="preserve">4225770 CONTRAPESO ELECTRODOS PARA PPEE PTG VONTRAPESO CIL OLNCPPETG280324DWG000</x:t>
        </x:is>
      </x:c>
      <x:c r="C2431" s="184" t="n">
        <x:v>0</x:v>
      </x:c>
      <x:c r="D2431" s="184" t="n">
        <x:v>0</x:v>
      </x:c>
      <x:c r="E2431" s="184" t="n">
        <x:v>0</x:v>
      </x:c>
      <x:c r="F2431" s="184" t="n">
        <x:v>0</x:v>
      </x:c>
      <x:c r="G2431" s="184" t="n">
        <x:v>0</x:v>
      </x:c>
      <x:c r="H2431" s="193" t="n">
        <x:v>0</x:v>
      </x:c>
      <x:c r="I2431" s="185" t="n">
        <x:v>0</x:v>
      </x:c>
      <x:c r="J2431" s="185" t="n">
        <x:v>0</x:v>
      </x:c>
      <x:c r="K2431" s="289" t="n">
        <x:v>121228</x:v>
      </x:c>
    </x:row>
    <x:row r="2432" s="117" customFormat="1" hidden="1">
      <x:c r="A2432" s="184" t="inlineStr">
        <x:is>
          <x:t xml:space="preserve">PDTPLA001120</x:t>
        </x:is>
      </x:c>
      <x:c r="B2432" s="184" t="inlineStr">
        <x:is>
          <x:t xml:space="preserve">SET SEAL STRIP CADA SET 22 SS+1 END PAD TAIL+1 END PAD HEAD X 4 END SLIDES</x:t>
        </x:is>
      </x:c>
      <x:c r="C2432" s="184" t="n">
        <x:v>0</x:v>
      </x:c>
      <x:c r="D2432" s="184" t="n">
        <x:v>0</x:v>
      </x:c>
      <x:c r="E2432" s="184" t="n">
        <x:v>0</x:v>
      </x:c>
      <x:c r="F2432" s="184" t="n">
        <x:v>0</x:v>
      </x:c>
      <x:c r="G2432" s="184" t="n">
        <x:v>0</x:v>
      </x:c>
      <x:c r="H2432" s="193" t="n">
        <x:v>0</x:v>
      </x:c>
      <x:c r="I2432" s="185" t="n">
        <x:v>0</x:v>
      </x:c>
      <x:c r="J2432" s="185" t="n">
        <x:v>0</x:v>
      </x:c>
      <x:c r="K2432" s="289" t="n">
        <x:v>5527667</x:v>
      </x:c>
    </x:row>
    <x:row r="2433" s="117" customFormat="1" hidden="1">
      <x:c r="A2433" s="184" t="inlineStr">
        <x:is>
          <x:t xml:space="preserve">PDTPLA001121</x:t>
        </x:is>
      </x:c>
      <x:c r="B2433" s="184" t="inlineStr">
        <x:is>
          <x:t xml:space="preserve">4217216 PARRILLA SUP PLNGP2SK763</x:t>
        </x:is>
      </x:c>
      <x:c r="C2433" s="184" t="n">
        <x:v>0</x:v>
      </x:c>
      <x:c r="D2433" s="184" t="n">
        <x:v>0</x:v>
      </x:c>
      <x:c r="E2433" s="184" t="n">
        <x:v>0</x:v>
      </x:c>
      <x:c r="F2433" s="184" t="n">
        <x:v>0</x:v>
      </x:c>
      <x:c r="G2433" s="184" t="n">
        <x:v>0</x:v>
      </x:c>
      <x:c r="H2433" s="193" t="n">
        <x:v>0</x:v>
      </x:c>
      <x:c r="I2433" s="185" t="n">
        <x:v>0</x:v>
      </x:c>
      <x:c r="J2433" s="185" t="n">
        <x:v>0</x:v>
      </x:c>
      <x:c r="K2433" s="289" t="n">
        <x:v>12216359</x:v>
      </x:c>
    </x:row>
    <x:row r="2434" s="117" customFormat="1" hidden="1">
      <x:c r="A2434" s="184" t="inlineStr">
        <x:is>
          <x:t xml:space="preserve">PDTPLA001122</x:t>
        </x:is>
      </x:c>
      <x:c r="B2434" s="184" t="inlineStr">
        <x:is>
          <x:t xml:space="preserve">4217217 PARRILLA INFERIOR PLNGP2SK762</x:t>
        </x:is>
      </x:c>
      <x:c r="C2434" s="184" t="n">
        <x:v>0</x:v>
      </x:c>
      <x:c r="D2434" s="184" t="n">
        <x:v>0</x:v>
      </x:c>
      <x:c r="E2434" s="184" t="n">
        <x:v>0</x:v>
      </x:c>
      <x:c r="F2434" s="184" t="n">
        <x:v>0</x:v>
      </x:c>
      <x:c r="G2434" s="184" t="n">
        <x:v>0</x:v>
      </x:c>
      <x:c r="H2434" s="193" t="n">
        <x:v>0</x:v>
      </x:c>
      <x:c r="I2434" s="185" t="n">
        <x:v>0</x:v>
      </x:c>
      <x:c r="J2434" s="185" t="n">
        <x:v>0</x:v>
      </x:c>
      <x:c r="K2434" s="289" t="n">
        <x:v>8799478</x:v>
      </x:c>
    </x:row>
    <x:row r="2435" s="117" customFormat="1" hidden="1">
      <x:c r="A2435" s="184" t="inlineStr">
        <x:is>
          <x:t xml:space="preserve">PDTPLA001123</x:t>
        </x:is>
      </x:c>
      <x:c r="B2435" s="184" t="inlineStr">
        <x:is>
          <x:t xml:space="preserve">TAPA ALMACENADOR ACICO SULFIRICO PP 280MM X 25 MM ESP C/PERNOS Y ASAS AC.INOX</x:t>
        </x:is>
      </x:c>
      <x:c r="C2435" s="184" t="n">
        <x:v>0</x:v>
      </x:c>
      <x:c r="D2435" s="184" t="n">
        <x:v>0</x:v>
      </x:c>
      <x:c r="E2435" s="184" t="n">
        <x:v>0</x:v>
      </x:c>
      <x:c r="F2435" s="184" t="n">
        <x:v>0</x:v>
      </x:c>
      <x:c r="G2435" s="184" t="n">
        <x:v>0</x:v>
      </x:c>
      <x:c r="H2435" s="193" t="n">
        <x:v>0</x:v>
      </x:c>
      <x:c r="I2435" s="185" t="n">
        <x:v>0</x:v>
      </x:c>
      <x:c r="J2435" s="185" t="n">
        <x:v>0</x:v>
      </x:c>
      <x:c r="K2435" s="289" t="n">
        <x:v>130960</x:v>
      </x:c>
    </x:row>
    <x:row r="2436" s="117" customFormat="1" hidden="1">
      <x:c r="A2436" s="184" t="inlineStr">
        <x:is>
          <x:t xml:space="preserve">PDTPLA001194</x:t>
        </x:is>
      </x:c>
      <x:c r="B2436" s="184" t="inlineStr">
        <x:is>
          <x:t xml:space="preserve">JUEGO VISERAS TIPO 1 Y 2 ACRILICO TRANSPARENTE 5 PIEZAS ORAFTI</x:t>
        </x:is>
      </x:c>
      <x:c r="C2436" s="184" t="n">
        <x:v>0</x:v>
      </x:c>
      <x:c r="D2436" s="184" t="n">
        <x:v>0</x:v>
      </x:c>
      <x:c r="E2436" s="184" t="n">
        <x:v>0</x:v>
      </x:c>
      <x:c r="F2436" s="184" t="n">
        <x:v>0</x:v>
      </x:c>
      <x:c r="G2436" s="184" t="n">
        <x:v>0</x:v>
      </x:c>
      <x:c r="H2436" s="193" t="n">
        <x:v>0</x:v>
      </x:c>
      <x:c r="I2436" s="185" t="n">
        <x:v>0</x:v>
      </x:c>
      <x:c r="J2436" s="185" t="n">
        <x:v>0</x:v>
      </x:c>
      <x:c r="K2436" s="289" t="n">
        <x:v>82424</x:v>
      </x:c>
    </x:row>
    <x:row r="2437" s="117" customFormat="1" hidden="1">
      <x:c r="A2437" s="184" t="inlineStr">
        <x:is>
          <x:t xml:space="preserve">PDTPLA001195</x:t>
        </x:is>
      </x:c>
      <x:c r="B2437" s="184" t="inlineStr">
        <x:is>
          <x:t xml:space="preserve">TRANSICION TF PE100 PN16 D= 110 X 4` HE HILO BSP PPT022BDPEDN4</x:t>
        </x:is>
      </x:c>
      <x:c r="C2437" s="184" t="n">
        <x:v>0</x:v>
      </x:c>
      <x:c r="D2437" s="184" t="n">
        <x:v>0</x:v>
      </x:c>
      <x:c r="E2437" s="184" t="n">
        <x:v>0</x:v>
      </x:c>
      <x:c r="F2437" s="184" t="n">
        <x:v>0</x:v>
      </x:c>
      <x:c r="G2437" s="184" t="n">
        <x:v>0</x:v>
      </x:c>
      <x:c r="H2437" s="193" t="n">
        <x:v>0</x:v>
      </x:c>
      <x:c r="I2437" s="185" t="n">
        <x:v>0</x:v>
      </x:c>
      <x:c r="J2437" s="185" t="n">
        <x:v>0</x:v>
      </x:c>
      <x:c r="K2437" s="289" t="n">
        <x:v>100304</x:v>
      </x:c>
    </x:row>
    <x:row r="2438" s="117" customFormat="1" hidden="1">
      <x:c r="A2438" s="184" t="inlineStr">
        <x:is>
          <x:t xml:space="preserve">PDTPLA001196</x:t>
        </x:is>
      </x:c>
      <x:c r="B2438" s="184" t="inlineStr">
        <x:is>
          <x:t xml:space="preserve">TAPA GORRO CALVANIZADO DN 110 HILO BSP PPT022ACERDN4</x:t>
        </x:is>
      </x:c>
      <x:c r="C2438" s="184" t="n">
        <x:v>0</x:v>
      </x:c>
      <x:c r="D2438" s="184" t="n">
        <x:v>0</x:v>
      </x:c>
      <x:c r="E2438" s="184" t="n">
        <x:v>0</x:v>
      </x:c>
      <x:c r="F2438" s="184" t="n">
        <x:v>0</x:v>
      </x:c>
      <x:c r="G2438" s="184" t="n">
        <x:v>0</x:v>
      </x:c>
      <x:c r="H2438" s="193" t="n">
        <x:v>0</x:v>
      </x:c>
      <x:c r="I2438" s="185" t="n">
        <x:v>0</x:v>
      </x:c>
      <x:c r="J2438" s="185" t="n">
        <x:v>0</x:v>
      </x:c>
      <x:c r="K2438" s="289" t="n">
        <x:v>23646</x:v>
      </x:c>
    </x:row>
    <x:row r="2439" s="117" customFormat="1" hidden="1">
      <x:c r="A2439" s="184" t="inlineStr">
        <x:is>
          <x:t xml:space="preserve">PDTPLA001197</x:t>
        </x:is>
      </x:c>
      <x:c r="B2439" s="184" t="inlineStr">
        <x:is>
          <x:t xml:space="preserve">SEAL STRIP 3030X190X50 PLANO 1-24-07-4-10 PPT090CEP020</x:t>
        </x:is>
      </x:c>
      <x:c r="C2439" s="184" t="n">
        <x:v>0</x:v>
      </x:c>
      <x:c r="D2439" s="184" t="n">
        <x:v>0</x:v>
      </x:c>
      <x:c r="E2439" s="184" t="n">
        <x:v>0</x:v>
      </x:c>
      <x:c r="F2439" s="184" t="n">
        <x:v>0</x:v>
      </x:c>
      <x:c r="G2439" s="184" t="n">
        <x:v>0</x:v>
      </x:c>
      <x:c r="H2439" s="193" t="n">
        <x:v>0</x:v>
      </x:c>
      <x:c r="I2439" s="185" t="n">
        <x:v>0</x:v>
      </x:c>
      <x:c r="J2439" s="185" t="n">
        <x:v>0</x:v>
      </x:c>
      <x:c r="K2439" s="289" t="n">
        <x:v>506741</x:v>
      </x:c>
    </x:row>
    <x:row r="2440" s="117" customFormat="1" hidden="1">
      <x:c r="A2440" s="184" t="inlineStr">
        <x:is>
          <x:t xml:space="preserve">PDTPLA001198</x:t>
        </x:is>
      </x:c>
      <x:c r="B2440" s="184" t="inlineStr">
        <x:is>
          <x:t xml:space="preserve">END PAD HEAD END 315X190X53 SEGUN PLANO 1-24-07-3-101 PPT090CEP021</x:t>
        </x:is>
      </x:c>
      <x:c r="C2440" s="184" t="n">
        <x:v>0</x:v>
      </x:c>
      <x:c r="D2440" s="184" t="n">
        <x:v>0</x:v>
      </x:c>
      <x:c r="E2440" s="184" t="n">
        <x:v>0</x:v>
      </x:c>
      <x:c r="F2440" s="184" t="n">
        <x:v>0</x:v>
      </x:c>
      <x:c r="G2440" s="184" t="n">
        <x:v>0</x:v>
      </x:c>
      <x:c r="H2440" s="193" t="n">
        <x:v>0</x:v>
      </x:c>
      <x:c r="I2440" s="185" t="n">
        <x:v>0</x:v>
      </x:c>
      <x:c r="J2440" s="185" t="n">
        <x:v>0</x:v>
      </x:c>
      <x:c r="K2440" s="289" t="n">
        <x:v>179661</x:v>
      </x:c>
    </x:row>
    <x:row r="2441" s="117" customFormat="1" hidden="1">
      <x:c r="A2441" s="184" t="inlineStr">
        <x:is>
          <x:t xml:space="preserve">PDTPLA001199</x:t>
        </x:is>
      </x:c>
      <x:c r="B2441" s="184" t="inlineStr">
        <x:is>
          <x:t xml:space="preserve">END PAD TAIL END 515X190X53 SEGUN PLANO 1-24-07-3-100 PPT090CEP022</x:t>
        </x:is>
      </x:c>
      <x:c r="C2441" s="184" t="n">
        <x:v>0</x:v>
      </x:c>
      <x:c r="D2441" s="184" t="n">
        <x:v>0</x:v>
      </x:c>
      <x:c r="E2441" s="184" t="n">
        <x:v>0</x:v>
      </x:c>
      <x:c r="F2441" s="184" t="n">
        <x:v>0</x:v>
      </x:c>
      <x:c r="G2441" s="184" t="n">
        <x:v>0</x:v>
      </x:c>
      <x:c r="H2441" s="193" t="n">
        <x:v>0</x:v>
      </x:c>
      <x:c r="I2441" s="185" t="n">
        <x:v>0</x:v>
      </x:c>
      <x:c r="J2441" s="185" t="n">
        <x:v>0</x:v>
      </x:c>
      <x:c r="K2441" s="289" t="n">
        <x:v>167105</x:v>
      </x:c>
    </x:row>
    <x:row r="2442" s="117" customFormat="1" hidden="1">
      <x:c r="A2442" s="184" t="inlineStr">
        <x:is>
          <x:t xml:space="preserve">PDTPLA001200</x:t>
        </x:is>
      </x:c>
      <x:c r="B2442" s="184" t="inlineStr">
        <x:is>
          <x:t xml:space="preserve">SEAL STRIP END PAD TAIL END (FEED)  PL-142-HBF-FH-42-002</x:t>
        </x:is>
      </x:c>
      <x:c r="C2442" s="184" t="n">
        <x:v>0</x:v>
      </x:c>
      <x:c r="D2442" s="184" t="n">
        <x:v>0</x:v>
      </x:c>
      <x:c r="E2442" s="184" t="n">
        <x:v>0</x:v>
      </x:c>
      <x:c r="F2442" s="184" t="n">
        <x:v>0</x:v>
      </x:c>
      <x:c r="G2442" s="184" t="n">
        <x:v>0</x:v>
      </x:c>
      <x:c r="H2442" s="193" t="n">
        <x:v>0</x:v>
      </x:c>
      <x:c r="I2442" s="185" t="n">
        <x:v>0</x:v>
      </x:c>
      <x:c r="J2442" s="185" t="n">
        <x:v>0</x:v>
      </x:c>
      <x:c r="K2442" s="289" t="n">
        <x:v>105591</x:v>
      </x:c>
    </x:row>
    <x:row r="2443" s="117" customFormat="1" hidden="1">
      <x:c r="A2443" s="184" t="inlineStr">
        <x:is>
          <x:t xml:space="preserve">PDTPLA001201</x:t>
        </x:is>
      </x:c>
      <x:c r="B2443" s="184" t="inlineStr">
        <x:is>
          <x:t xml:space="preserve">ESPARRAGO  HILO 1/2-13X1 G2 GV</x:t>
        </x:is>
      </x:c>
      <x:c r="C2443" s="184" t="n">
        <x:v>0</x:v>
      </x:c>
      <x:c r="D2443" s="184" t="n">
        <x:v>0</x:v>
      </x:c>
      <x:c r="E2443" s="184" t="n">
        <x:v>0</x:v>
      </x:c>
      <x:c r="F2443" s="184" t="n">
        <x:v>0</x:v>
      </x:c>
      <x:c r="G2443" s="184" t="n">
        <x:v>0</x:v>
      </x:c>
      <x:c r="H2443" s="193" t="n">
        <x:v>0</x:v>
      </x:c>
      <x:c r="I2443" s="185" t="n">
        <x:v>0</x:v>
      </x:c>
      <x:c r="J2443" s="185" t="n">
        <x:v>0</x:v>
      </x:c>
      <x:c r="K2443" s="289" t="n">
        <x:v>2230</x:v>
      </x:c>
    </x:row>
    <x:row r="2444" s="117" customFormat="1" hidden="1">
      <x:c r="A2444" s="184" t="inlineStr">
        <x:is>
          <x:t xml:space="preserve">PDTPLA001202</x:t>
        </x:is>
      </x:c>
      <x:c r="B2444" s="184" t="inlineStr">
        <x:is>
          <x:t xml:space="preserve">ESPARRAGO G2 GV 1/2 X250</x:t>
        </x:is>
      </x:c>
      <x:c r="C2444" s="184" t="n">
        <x:v>0</x:v>
      </x:c>
      <x:c r="D2444" s="184" t="n">
        <x:v>0</x:v>
      </x:c>
      <x:c r="E2444" s="184" t="n">
        <x:v>0</x:v>
      </x:c>
      <x:c r="F2444" s="184" t="n">
        <x:v>0</x:v>
      </x:c>
      <x:c r="G2444" s="184" t="n">
        <x:v>0</x:v>
      </x:c>
      <x:c r="H2444" s="193" t="n">
        <x:v>0</x:v>
      </x:c>
      <x:c r="I2444" s="185" t="n">
        <x:v>0</x:v>
      </x:c>
      <x:c r="J2444" s="185" t="n">
        <x:v>0</x:v>
      </x:c>
      <x:c r="K2444" s="289" t="n">
        <x:v>850</x:v>
      </x:c>
    </x:row>
    <x:row r="2445" s="117" customFormat="1" hidden="1">
      <x:c r="A2445" s="184" t="inlineStr">
        <x:is>
          <x:t xml:space="preserve">PDTPLA001203</x:t>
        </x:is>
      </x:c>
      <x:c r="B2445" s="184" t="inlineStr">
        <x:is>
          <x:t xml:space="preserve">GOLILLA PRESION 1/2 GV</x:t>
        </x:is>
      </x:c>
      <x:c r="C2445" s="184" t="n">
        <x:v>0</x:v>
      </x:c>
      <x:c r="D2445" s="184" t="n">
        <x:v>0</x:v>
      </x:c>
      <x:c r="E2445" s="184" t="n">
        <x:v>0</x:v>
      </x:c>
      <x:c r="F2445" s="184" t="n">
        <x:v>0</x:v>
      </x:c>
      <x:c r="G2445" s="184" t="n">
        <x:v>0</x:v>
      </x:c>
      <x:c r="H2445" s="193" t="n">
        <x:v>0</x:v>
      </x:c>
      <x:c r="I2445" s="185" t="n">
        <x:v>0</x:v>
      </x:c>
      <x:c r="J2445" s="185" t="n">
        <x:v>0</x:v>
      </x:c>
      <x:c r="K2445" s="289" t="n">
        <x:v>29</x:v>
      </x:c>
    </x:row>
    <x:row r="2446" s="117" customFormat="1" hidden="1">
      <x:c r="A2446" s="184" t="inlineStr">
        <x:is>
          <x:t xml:space="preserve">PDTPLA001204</x:t>
        </x:is>
      </x:c>
      <x:c r="B2446" s="184" t="inlineStr">
        <x:is>
          <x:t xml:space="preserve">4223459 CARRETE DIAM.2700 MM AVANCE 450 MM</x:t>
        </x:is>
      </x:c>
      <x:c r="C2446" s="184" t="n">
        <x:v>1</x:v>
      </x:c>
      <x:c r="D2446" s="184" t="n">
        <x:v>0</x:v>
      </x:c>
      <x:c r="E2446" s="184" t="n">
        <x:v>0</x:v>
      </x:c>
      <x:c r="F2446" s="184" t="n">
        <x:v>1</x:v>
      </x:c>
      <x:c r="G2446" s="184" t="n">
        <x:v>1849884</x:v>
      </x:c>
      <x:c r="H2446" s="193" t="n">
        <x:v>0</x:v>
      </x:c>
      <x:c r="I2446" s="185" t="n">
        <x:v>0</x:v>
      </x:c>
      <x:c r="J2446" s="185" t="n">
        <x:v>1849884</x:v>
      </x:c>
      <x:c r="K2446" s="289" t="n">
        <x:v>1849884</x:v>
      </x:c>
    </x:row>
    <x:row r="2447" s="117" customFormat="1" hidden="1">
      <x:c r="A2447" s="184" t="inlineStr">
        <x:is>
          <x:t xml:space="preserve">PDTPLA001205</x:t>
        </x:is>
      </x:c>
      <x:c r="B2447" s="184" t="inlineStr">
        <x:is>
          <x:t xml:space="preserve">TUERCA HEXAGONAL 1/2 - 13 HILOS GALVANIZADA</x:t>
        </x:is>
      </x:c>
      <x:c r="C2447" s="184" t="n">
        <x:v>0</x:v>
      </x:c>
      <x:c r="D2447" s="184" t="n">
        <x:v>0</x:v>
      </x:c>
      <x:c r="E2447" s="184" t="n">
        <x:v>0</x:v>
      </x:c>
      <x:c r="F2447" s="184" t="n">
        <x:v>0</x:v>
      </x:c>
      <x:c r="G2447" s="184" t="n">
        <x:v>0</x:v>
      </x:c>
      <x:c r="H2447" s="193" t="n">
        <x:v>0</x:v>
      </x:c>
      <x:c r="I2447" s="185" t="n">
        <x:v>0</x:v>
      </x:c>
      <x:c r="J2447" s="185" t="n">
        <x:v>0</x:v>
      </x:c>
      <x:c r="K2447" s="289" t="n">
        <x:v>75</x:v>
      </x:c>
    </x:row>
    <x:row r="2448" s="117" customFormat="1" hidden="1">
      <x:c r="A2448" s="184" t="inlineStr">
        <x:is>
          <x:t xml:space="preserve">PDTPRO001001</x:t>
        </x:is>
      </x:c>
      <x:c r="B2448" s="184" t="inlineStr">
        <x:is>
          <x:t xml:space="preserve">PROTECTOR DE FANGES TEFLON  CXLASE 150 DE 16</x:t>
        </x:is>
      </x:c>
      <x:c r="C2448" s="184" t="n">
        <x:v>0</x:v>
      </x:c>
      <x:c r="D2448" s="184" t="n">
        <x:v>0</x:v>
      </x:c>
      <x:c r="E2448" s="184" t="n">
        <x:v>0</x:v>
      </x:c>
      <x:c r="F2448" s="184" t="n">
        <x:v>0</x:v>
      </x:c>
      <x:c r="G2448" s="184" t="n">
        <x:v>0</x:v>
      </x:c>
      <x:c r="H2448" s="193" t="n">
        <x:v>0</x:v>
      </x:c>
      <x:c r="I2448" s="185" t="n">
        <x:v>0</x:v>
      </x:c>
      <x:c r="J2448" s="185" t="n">
        <x:v>0</x:v>
      </x:c>
      <x:c r="K2448" s="289" t="n">
        <x:v>40047.7</x:v>
      </x:c>
    </x:row>
    <x:row r="2449" s="117" customFormat="1" hidden="1">
      <x:c r="A2449" s="184" t="inlineStr">
        <x:is>
          <x:t xml:space="preserve">PDTPRO001002</x:t>
        </x:is>
      </x:c>
      <x:c r="B2449" s="184" t="inlineStr">
        <x:is>
          <x:t xml:space="preserve">PROTECTOR DE FANGES TEFLON  CLASE 150 DE 20 PLG</x:t>
        </x:is>
      </x:c>
      <x:c r="C2449" s="184" t="n">
        <x:v>0</x:v>
      </x:c>
      <x:c r="D2449" s="184" t="n">
        <x:v>0</x:v>
      </x:c>
      <x:c r="E2449" s="184" t="n">
        <x:v>0</x:v>
      </x:c>
      <x:c r="F2449" s="184" t="n">
        <x:v>0</x:v>
      </x:c>
      <x:c r="G2449" s="184" t="n">
        <x:v>0</x:v>
      </x:c>
      <x:c r="H2449" s="193" t="n">
        <x:v>0</x:v>
      </x:c>
      <x:c r="I2449" s="185" t="n">
        <x:v>0</x:v>
      </x:c>
      <x:c r="J2449" s="185" t="n">
        <x:v>0</x:v>
      </x:c>
      <x:c r="K2449" s="289" t="n">
        <x:v>51353.68</x:v>
      </x:c>
    </x:row>
    <x:row r="2450" s="117" customFormat="1" hidden="1">
      <x:c r="A2450" s="184" t="inlineStr">
        <x:is>
          <x:t xml:space="preserve">PDTPRO001003</x:t>
        </x:is>
      </x:c>
      <x:c r="B2450" s="184" t="inlineStr">
        <x:is>
          <x:t xml:space="preserve">PROTECTOR DE FANGES TEFLON  CLASE 150 DE 24 PLG</x:t>
        </x:is>
      </x:c>
      <x:c r="C2450" s="184" t="n">
        <x:v>0</x:v>
      </x:c>
      <x:c r="D2450" s="184" t="n">
        <x:v>0</x:v>
      </x:c>
      <x:c r="E2450" s="184" t="n">
        <x:v>0</x:v>
      </x:c>
      <x:c r="F2450" s="184" t="n">
        <x:v>0</x:v>
      </x:c>
      <x:c r="G2450" s="184" t="n">
        <x:v>0</x:v>
      </x:c>
      <x:c r="H2450" s="193" t="n">
        <x:v>0</x:v>
      </x:c>
      <x:c r="I2450" s="185" t="n">
        <x:v>0</x:v>
      </x:c>
      <x:c r="J2450" s="185" t="n">
        <x:v>0</x:v>
      </x:c>
      <x:c r="K2450" s="289" t="n">
        <x:v>60457.49</x:v>
      </x:c>
    </x:row>
    <x:row r="2451" s="117" customFormat="1" hidden="1">
      <x:c r="A2451" s="184" t="inlineStr">
        <x:is>
          <x:t xml:space="preserve">PDTPRO001004</x:t>
        </x:is>
      </x:c>
      <x:c r="B2451" s="184" t="inlineStr">
        <x:is>
          <x:t xml:space="preserve">PROTECTOR DE FANGES TEFLON  CLASE 150 DE 28 PLG</x:t>
        </x:is>
      </x:c>
      <x:c r="C2451" s="184" t="n">
        <x:v>0</x:v>
      </x:c>
      <x:c r="D2451" s="184" t="n">
        <x:v>0</x:v>
      </x:c>
      <x:c r="E2451" s="184" t="n">
        <x:v>0</x:v>
      </x:c>
      <x:c r="F2451" s="184" t="n">
        <x:v>0</x:v>
      </x:c>
      <x:c r="G2451" s="184" t="n">
        <x:v>0</x:v>
      </x:c>
      <x:c r="H2451" s="193" t="n">
        <x:v>0</x:v>
      </x:c>
      <x:c r="I2451" s="185" t="n">
        <x:v>0</x:v>
      </x:c>
      <x:c r="J2451" s="185" t="n">
        <x:v>0</x:v>
      </x:c>
      <x:c r="K2451" s="289" t="n">
        <x:v>71059.69</x:v>
      </x:c>
    </x:row>
    <x:row r="2452" s="117" customFormat="1" hidden="1">
      <x:c r="A2452" s="184" t="inlineStr">
        <x:is>
          <x:t xml:space="preserve">PDTPRO001005</x:t>
        </x:is>
      </x:c>
      <x:c r="B2452" s="184" t="inlineStr">
        <x:is>
          <x:t xml:space="preserve">PROTECTOR DE FANGES TEFLON  CLASE 150 DE 32 PLG</x:t>
        </x:is>
      </x:c>
      <x:c r="C2452" s="184" t="n">
        <x:v>0</x:v>
      </x:c>
      <x:c r="D2452" s="184" t="n">
        <x:v>0</x:v>
      </x:c>
      <x:c r="E2452" s="184" t="n">
        <x:v>0</x:v>
      </x:c>
      <x:c r="F2452" s="184" t="n">
        <x:v>0</x:v>
      </x:c>
      <x:c r="G2452" s="184" t="n">
        <x:v>0</x:v>
      </x:c>
      <x:c r="H2452" s="193" t="n">
        <x:v>0</x:v>
      </x:c>
      <x:c r="I2452" s="185" t="n">
        <x:v>0</x:v>
      </x:c>
      <x:c r="J2452" s="185" t="n">
        <x:v>0</x:v>
      </x:c>
      <x:c r="K2452" s="289" t="n">
        <x:v>132319.35</x:v>
      </x:c>
    </x:row>
    <x:row r="2453" s="117" customFormat="1" hidden="1">
      <x:c r="A2453" s="184" t="inlineStr">
        <x:is>
          <x:t xml:space="preserve">PDTPROELE001</x:t>
        </x:is>
      </x:c>
      <x:c r="B2453" s="184" t="inlineStr">
        <x:is>
          <x:t xml:space="preserve">(I0607659) Cable RZ1-K 25 mm2 0.6/1KV  (GOBANTES)</x:t>
        </x:is>
      </x:c>
      <x:c r="C2453" s="184" t="n">
        <x:v>45</x:v>
      </x:c>
      <x:c r="D2453" s="184" t="n">
        <x:v>0</x:v>
      </x:c>
      <x:c r="E2453" s="184" t="n">
        <x:v>0</x:v>
      </x:c>
      <x:c r="F2453" s="184" t="n">
        <x:v>45</x:v>
      </x:c>
      <x:c r="G2453" s="184" t="n">
        <x:v>163440</x:v>
      </x:c>
      <x:c r="H2453" s="193" t="n">
        <x:v>0</x:v>
      </x:c>
      <x:c r="I2453" s="185" t="n">
        <x:v>0</x:v>
      </x:c>
      <x:c r="J2453" s="185" t="n">
        <x:v>163440</x:v>
      </x:c>
      <x:c r="K2453" s="289" t="n">
        <x:v>3632</x:v>
      </x:c>
    </x:row>
    <x:row r="2454" s="117" customFormat="1" hidden="1">
      <x:c r="A2454" s="184" t="inlineStr">
        <x:is>
          <x:t xml:space="preserve">PDTPROELE002</x:t>
        </x:is>
      </x:c>
      <x:c r="B2454" s="184" t="inlineStr">
        <x:is>
          <x:t xml:space="preserve">(N0199886) Repartidor Modular 4P 125A 6M (GOBANTES)</x:t>
        </x:is>
      </x:c>
      <x:c r="C2454" s="184" t="n">
        <x:v>1</x:v>
      </x:c>
      <x:c r="D2454" s="184" t="n">
        <x:v>0</x:v>
      </x:c>
      <x:c r="E2454" s="184" t="n">
        <x:v>0</x:v>
      </x:c>
      <x:c r="F2454" s="184" t="n">
        <x:v>1</x:v>
      </x:c>
      <x:c r="G2454" s="184" t="n">
        <x:v>34772</x:v>
      </x:c>
      <x:c r="H2454" s="193" t="n">
        <x:v>0</x:v>
      </x:c>
      <x:c r="I2454" s="185" t="n">
        <x:v>0</x:v>
      </x:c>
      <x:c r="J2454" s="185" t="n">
        <x:v>34772</x:v>
      </x:c>
      <x:c r="K2454" s="289" t="n">
        <x:v>34772</x:v>
      </x:c>
    </x:row>
    <x:row r="2455" s="117" customFormat="1" hidden="1">
      <x:c r="A2455" s="184" t="inlineStr">
        <x:is>
          <x:t xml:space="preserve">PDTPROELE003</x:t>
        </x:is>
      </x:c>
      <x:c r="B2455" s="184" t="inlineStr">
        <x:is>
          <x:t xml:space="preserve">(I0609536) Regleta Distribución 10P Verde Cubierta Plástico Ekoline</x:t>
        </x:is>
      </x:c>
      <x:c r="C2455" s="184" t="n">
        <x:v>1</x:v>
      </x:c>
      <x:c r="D2455" s="184" t="n">
        <x:v>0</x:v>
      </x:c>
      <x:c r="E2455" s="184" t="n">
        <x:v>0</x:v>
      </x:c>
      <x:c r="F2455" s="184" t="n">
        <x:v>1</x:v>
      </x:c>
      <x:c r="G2455" s="184" t="n">
        <x:v>3710</x:v>
      </x:c>
      <x:c r="H2455" s="193" t="n">
        <x:v>0</x:v>
      </x:c>
      <x:c r="I2455" s="185" t="n">
        <x:v>0</x:v>
      </x:c>
      <x:c r="J2455" s="185" t="n">
        <x:v>3710</x:v>
      </x:c>
      <x:c r="K2455" s="289" t="n">
        <x:v>3710</x:v>
      </x:c>
    </x:row>
    <x:row r="2456" s="117" customFormat="1" hidden="1">
      <x:c r="A2456" s="184" t="inlineStr">
        <x:is>
          <x:t xml:space="preserve">PDTPROELE004</x:t>
        </x:is>
      </x:c>
      <x:c r="B2456" s="184" t="inlineStr">
        <x:is>
          <x:t xml:space="preserve">(N0270015) Terminal 30041 Cobre Estañado 3/0 AWG (1 Perforacion 9.53 mm)</x:t>
        </x:is>
      </x:c>
      <x:c r="C2456" s="184" t="n">
        <x:v>7</x:v>
      </x:c>
      <x:c r="D2456" s="184" t="n">
        <x:v>0</x:v>
      </x:c>
      <x:c r="E2456" s="184" t="n">
        <x:v>0</x:v>
      </x:c>
      <x:c r="F2456" s="184" t="n">
        <x:v>7</x:v>
      </x:c>
      <x:c r="G2456" s="184" t="n">
        <x:v>36358</x:v>
      </x:c>
      <x:c r="H2456" s="193" t="n">
        <x:v>0</x:v>
      </x:c>
      <x:c r="I2456" s="185" t="n">
        <x:v>0</x:v>
      </x:c>
      <x:c r="J2456" s="185" t="n">
        <x:v>36358</x:v>
      </x:c>
      <x:c r="K2456" s="289" t="n">
        <x:v>5194</x:v>
      </x:c>
    </x:row>
    <x:row r="2457" s="117" customFormat="1" hidden="1">
      <x:c r="A2457" s="184" t="inlineStr">
        <x:is>
          <x:t xml:space="preserve">PDTPROELE005</x:t>
        </x:is>
      </x:c>
      <x:c r="B2457" s="184" t="inlineStr">
        <x:is>
          <x:t xml:space="preserve">(I0607503) Terminal Pin 25 mm2 Negro Ekoline (BOLSA DE 100un)</x:t>
        </x:is>
      </x:c>
      <x:c r="C2457" s="184" t="n">
        <x:v>100</x:v>
      </x:c>
      <x:c r="D2457" s="184" t="n">
        <x:v>0</x:v>
      </x:c>
      <x:c r="E2457" s="184" t="n">
        <x:v>0</x:v>
      </x:c>
      <x:c r="F2457" s="184" t="n">
        <x:v>100</x:v>
      </x:c>
      <x:c r="G2457" s="184" t="n">
        <x:v>31600</x:v>
      </x:c>
      <x:c r="H2457" s="193" t="n">
        <x:v>0</x:v>
      </x:c>
      <x:c r="I2457" s="185" t="n">
        <x:v>0</x:v>
      </x:c>
      <x:c r="J2457" s="185" t="n">
        <x:v>31600</x:v>
      </x:c>
      <x:c r="K2457" s="289" t="n">
        <x:v>316</x:v>
      </x:c>
    </x:row>
    <x:row r="2458" s="117" customFormat="1" hidden="1">
      <x:c r="A2458" s="184" t="inlineStr">
        <x:is>
          <x:t xml:space="preserve">PDTPROELE006</x:t>
        </x:is>
      </x:c>
      <x:c r="B2458" s="184" t="inlineStr">
        <x:is>
          <x:t xml:space="preserve">(N0263135) Cinta Temflex 165 19 mm x 18 mt azul</x:t>
        </x:is>
      </x:c>
      <x:c r="C2458" s="184" t="n">
        <x:v>1</x:v>
      </x:c>
      <x:c r="D2458" s="184" t="n">
        <x:v>0</x:v>
      </x:c>
      <x:c r="E2458" s="184" t="n">
        <x:v>0</x:v>
      </x:c>
      <x:c r="F2458" s="184" t="n">
        <x:v>1</x:v>
      </x:c>
      <x:c r="G2458" s="184" t="n">
        <x:v>1422</x:v>
      </x:c>
      <x:c r="H2458" s="193" t="n">
        <x:v>0</x:v>
      </x:c>
      <x:c r="I2458" s="185" t="n">
        <x:v>0</x:v>
      </x:c>
      <x:c r="J2458" s="185" t="n">
        <x:v>1422</x:v>
      </x:c>
      <x:c r="K2458" s="289" t="n">
        <x:v>1422</x:v>
      </x:c>
    </x:row>
    <x:row r="2459" s="117" customFormat="1" hidden="1">
      <x:c r="A2459" s="184" t="inlineStr">
        <x:is>
          <x:t xml:space="preserve">PDTPROELE007</x:t>
        </x:is>
      </x:c>
      <x:c r="B2459" s="184" t="inlineStr">
        <x:is>
          <x:t xml:space="preserve">(N0263134) Cinta Temflex 165 19 mm x 18 mt roja</x:t>
        </x:is>
      </x:c>
      <x:c r="C2459" s="184" t="n">
        <x:v>1</x:v>
      </x:c>
      <x:c r="D2459" s="184" t="n">
        <x:v>0</x:v>
      </x:c>
      <x:c r="E2459" s="184" t="n">
        <x:v>0</x:v>
      </x:c>
      <x:c r="F2459" s="184" t="n">
        <x:v>1</x:v>
      </x:c>
      <x:c r="G2459" s="184" t="n">
        <x:v>1422</x:v>
      </x:c>
      <x:c r="H2459" s="193" t="n">
        <x:v>0</x:v>
      </x:c>
      <x:c r="I2459" s="185" t="n">
        <x:v>0</x:v>
      </x:c>
      <x:c r="J2459" s="185" t="n">
        <x:v>1422</x:v>
      </x:c>
      <x:c r="K2459" s="289" t="n">
        <x:v>1422</x:v>
      </x:c>
    </x:row>
    <x:row r="2460" s="117" customFormat="1" hidden="1">
      <x:c r="A2460" s="184" t="inlineStr">
        <x:is>
          <x:t xml:space="preserve">PDTPROELE008</x:t>
        </x:is>
      </x:c>
      <x:c r="B2460" s="184" t="inlineStr">
        <x:is>
          <x:t xml:space="preserve">(N0263132) Cinta Temflex 165 19 mm x 18 mt blanca</x:t>
        </x:is>
      </x:c>
      <x:c r="C2460" s="184" t="n">
        <x:v>1</x:v>
      </x:c>
      <x:c r="D2460" s="184" t="n">
        <x:v>0</x:v>
      </x:c>
      <x:c r="E2460" s="184" t="n">
        <x:v>0</x:v>
      </x:c>
      <x:c r="F2460" s="184" t="n">
        <x:v>1</x:v>
      </x:c>
      <x:c r="G2460" s="184" t="n">
        <x:v>1422</x:v>
      </x:c>
      <x:c r="H2460" s="193" t="n">
        <x:v>0</x:v>
      </x:c>
      <x:c r="I2460" s="185" t="n">
        <x:v>0</x:v>
      </x:c>
      <x:c r="J2460" s="185" t="n">
        <x:v>1422</x:v>
      </x:c>
      <x:c r="K2460" s="289" t="n">
        <x:v>1422</x:v>
      </x:c>
    </x:row>
    <x:row r="2461" s="117" customFormat="1" hidden="1">
      <x:c r="A2461" s="184" t="inlineStr">
        <x:is>
          <x:t xml:space="preserve">PDTPROELE009</x:t>
        </x:is>
      </x:c>
      <x:c r="B2461" s="184" t="inlineStr">
        <x:is>
          <x:t xml:space="preserve">(N0263133) Cinta Temflex 165 19 mm x 18 mt verde</x:t>
        </x:is>
      </x:c>
      <x:c r="C2461" s="184" t="n">
        <x:v>1</x:v>
      </x:c>
      <x:c r="D2461" s="184" t="n">
        <x:v>0</x:v>
      </x:c>
      <x:c r="E2461" s="184" t="n">
        <x:v>0</x:v>
      </x:c>
      <x:c r="F2461" s="184" t="n">
        <x:v>1</x:v>
      </x:c>
      <x:c r="G2461" s="184" t="n">
        <x:v>1422</x:v>
      </x:c>
      <x:c r="H2461" s="193" t="n">
        <x:v>0</x:v>
      </x:c>
      <x:c r="I2461" s="185" t="n">
        <x:v>0</x:v>
      </x:c>
      <x:c r="J2461" s="185" t="n">
        <x:v>1422</x:v>
      </x:c>
      <x:c r="K2461" s="289" t="n">
        <x:v>1422</x:v>
      </x:c>
    </x:row>
    <x:row r="2462" s="117" customFormat="1" hidden="1">
      <x:c r="A2462" s="184" t="inlineStr">
        <x:is>
          <x:t xml:space="preserve">PDTPROELE010</x:t>
        </x:is>
      </x:c>
      <x:c r="B2462" s="184" t="inlineStr">
        <x:is>
          <x:t xml:space="preserve">(I0608164) Base P/Mini Rele Universal 8 Pines Ekoline</x:t>
        </x:is>
      </x:c>
      <x:c r="C2462" s="184" t="n">
        <x:v>2</x:v>
      </x:c>
      <x:c r="D2462" s="184" t="n">
        <x:v>0</x:v>
      </x:c>
      <x:c r="E2462" s="184" t="n">
        <x:v>0</x:v>
      </x:c>
      <x:c r="F2462" s="184" t="n">
        <x:v>2</x:v>
      </x:c>
      <x:c r="G2462" s="184" t="n">
        <x:v>5026</x:v>
      </x:c>
      <x:c r="H2462" s="193" t="n">
        <x:v>0</x:v>
      </x:c>
      <x:c r="I2462" s="185" t="n">
        <x:v>0</x:v>
      </x:c>
      <x:c r="J2462" s="185" t="n">
        <x:v>5026</x:v>
      </x:c>
      <x:c r="K2462" s="289" t="n">
        <x:v>2513</x:v>
      </x:c>
    </x:row>
    <x:row r="2463" s="117" customFormat="1" hidden="1">
      <x:c r="A2463" s="184" t="inlineStr">
        <x:is>
          <x:t xml:space="preserve">PDTPROELE011</x:t>
        </x:is>
      </x:c>
      <x:c r="B2463" s="184" t="inlineStr">
        <x:is>
          <x:t xml:space="preserve">(I0608595) Cable RV-K 5 x 25 mm2 0.6/1KV</x:t>
        </x:is>
      </x:c>
      <x:c r="C2463" s="184" t="n">
        <x:v>0</x:v>
      </x:c>
      <x:c r="D2463" s="184" t="n">
        <x:v>0</x:v>
      </x:c>
      <x:c r="E2463" s="184" t="n">
        <x:v>0</x:v>
      </x:c>
      <x:c r="F2463" s="184" t="n">
        <x:v>0</x:v>
      </x:c>
      <x:c r="G2463" s="184" t="n">
        <x:v>0</x:v>
      </x:c>
      <x:c r="H2463" s="193" t="n">
        <x:v>0</x:v>
      </x:c>
      <x:c r="I2463" s="185" t="n">
        <x:v>0</x:v>
      </x:c>
      <x:c r="J2463" s="185" t="n">
        <x:v>0</x:v>
      </x:c>
      <x:c r="K2463" s="289" t="n">
        <x:v>20381</x:v>
      </x:c>
    </x:row>
    <x:row r="2464" s="117" customFormat="1" hidden="1">
      <x:c r="A2464" s="184" t="inlineStr">
        <x:is>
          <x:t xml:space="preserve">PDTPROELE012</x:t>
        </x:is>
      </x:c>
      <x:c r="B2464" s="184" t="inlineStr">
        <x:is>
          <x:t xml:space="preserve">(I0607063) Cable RV-K 4 x 25 mm2 0.6/1KV</x:t>
        </x:is>
      </x:c>
      <x:c r="C2464" s="184" t="n">
        <x:v>0</x:v>
      </x:c>
      <x:c r="D2464" s="184" t="n">
        <x:v>0</x:v>
      </x:c>
      <x:c r="E2464" s="184" t="n">
        <x:v>0</x:v>
      </x:c>
      <x:c r="F2464" s="184" t="n">
        <x:v>0</x:v>
      </x:c>
      <x:c r="G2464" s="184" t="n">
        <x:v>0</x:v>
      </x:c>
      <x:c r="H2464" s="193" t="n">
        <x:v>0</x:v>
      </x:c>
      <x:c r="I2464" s="185" t="n">
        <x:v>0</x:v>
      </x:c>
      <x:c r="J2464" s="185" t="n">
        <x:v>0</x:v>
      </x:c>
      <x:c r="K2464" s="289" t="n">
        <x:v>15847</x:v>
      </x:c>
    </x:row>
    <x:row r="2465" s="117" customFormat="1" hidden="1">
      <x:c r="A2465" s="184" t="inlineStr">
        <x:is>
          <x:t xml:space="preserve">PDTPROELE013</x:t>
        </x:is>
      </x:c>
      <x:c r="B2465" s="184" t="inlineStr">
        <x:is>
          <x:t xml:space="preserve">(I0608323) Macho Volante 3P+N+T 16A 380V IP44 KB015 Ekoline</x:t>
        </x:is>
      </x:c>
      <x:c r="C2465" s="184" t="n">
        <x:v>1</x:v>
      </x:c>
      <x:c r="D2465" s="184" t="n">
        <x:v>0</x:v>
      </x:c>
      <x:c r="E2465" s="184" t="n">
        <x:v>0</x:v>
      </x:c>
      <x:c r="F2465" s="184" t="n">
        <x:v>1</x:v>
      </x:c>
      <x:c r="G2465" s="184" t="n">
        <x:v>2550</x:v>
      </x:c>
      <x:c r="H2465" s="193" t="n">
        <x:v>0</x:v>
      </x:c>
      <x:c r="I2465" s="185" t="n">
        <x:v>0</x:v>
      </x:c>
      <x:c r="J2465" s="185" t="n">
        <x:v>2550</x:v>
      </x:c>
      <x:c r="K2465" s="289" t="n">
        <x:v>2550</x:v>
      </x:c>
    </x:row>
    <x:row r="2466" s="117" customFormat="1" hidden="1">
      <x:c r="A2466" s="184" t="inlineStr">
        <x:is>
          <x:t xml:space="preserve">PDTPROELE014</x:t>
        </x:is>
      </x:c>
      <x:c r="B2466" s="184" t="inlineStr">
        <x:is>
          <x:t xml:space="preserve">(I0609973) Interruptor Automatico 3 x 16A  10K Curva C Ekoline</x:t>
        </x:is>
      </x:c>
      <x:c r="C2466" s="184" t="n">
        <x:v>1</x:v>
      </x:c>
      <x:c r="D2466" s="184" t="n">
        <x:v>0</x:v>
      </x:c>
      <x:c r="E2466" s="184" t="n">
        <x:v>0</x:v>
      </x:c>
      <x:c r="F2466" s="184" t="n">
        <x:v>1</x:v>
      </x:c>
      <x:c r="G2466" s="184" t="n">
        <x:v>9665</x:v>
      </x:c>
      <x:c r="H2466" s="193" t="n">
        <x:v>0</x:v>
      </x:c>
      <x:c r="I2466" s="185" t="n">
        <x:v>0</x:v>
      </x:c>
      <x:c r="J2466" s="185" t="n">
        <x:v>9665</x:v>
      </x:c>
      <x:c r="K2466" s="289" t="n">
        <x:v>9665</x:v>
      </x:c>
    </x:row>
    <x:row r="2467" s="117" customFormat="1" hidden="1">
      <x:c r="A2467" s="184" t="inlineStr">
        <x:is>
          <x:t xml:space="preserve">PDTPROELE015</x:t>
        </x:is>
      </x:c>
      <x:c r="B2467" s="184" t="inlineStr">
        <x:is>
          <x:t xml:space="preserve">(I0606663) Contactor DMC32B 25A Bobina 220V 2A2C 11KW Donga</x:t>
        </x:is>
      </x:c>
      <x:c r="C2467" s="184" t="n">
        <x:v>4</x:v>
      </x:c>
      <x:c r="D2467" s="184" t="n">
        <x:v>0</x:v>
      </x:c>
      <x:c r="E2467" s="184" t="n">
        <x:v>0</x:v>
      </x:c>
      <x:c r="F2467" s="184" t="n">
        <x:v>4</x:v>
      </x:c>
      <x:c r="G2467" s="184" t="n">
        <x:v>139352</x:v>
      </x:c>
      <x:c r="H2467" s="193" t="n">
        <x:v>0</x:v>
      </x:c>
      <x:c r="I2467" s="185" t="n">
        <x:v>0</x:v>
      </x:c>
      <x:c r="J2467" s="185" t="n">
        <x:v>139352</x:v>
      </x:c>
      <x:c r="K2467" s="289" t="n">
        <x:v>34838</x:v>
      </x:c>
    </x:row>
    <x:row r="2468" s="117" customFormat="1" hidden="1">
      <x:c r="A2468" s="184" t="inlineStr">
        <x:is>
          <x:t xml:space="preserve">PDTPROELE016</x:t>
        </x:is>
      </x:c>
      <x:c r="B2468" s="184" t="inlineStr">
        <x:is>
          <x:t xml:space="preserve">(I0607089) Parada Emergencia 30 mm 1NC Rojo Ekoline</x:t>
        </x:is>
      </x:c>
      <x:c r="C2468" s="184" t="n">
        <x:v>1</x:v>
      </x:c>
      <x:c r="D2468" s="184" t="n">
        <x:v>0</x:v>
      </x:c>
      <x:c r="E2468" s="184" t="n">
        <x:v>0</x:v>
      </x:c>
      <x:c r="F2468" s="184" t="n">
        <x:v>1</x:v>
      </x:c>
      <x:c r="G2468" s="184" t="n">
        <x:v>6252</x:v>
      </x:c>
      <x:c r="H2468" s="193" t="n">
        <x:v>0</x:v>
      </x:c>
      <x:c r="I2468" s="185" t="n">
        <x:v>0</x:v>
      </x:c>
      <x:c r="J2468" s="185" t="n">
        <x:v>6252</x:v>
      </x:c>
      <x:c r="K2468" s="289" t="n">
        <x:v>6252</x:v>
      </x:c>
    </x:row>
    <x:row r="2469" s="117" customFormat="1" hidden="1">
      <x:c r="A2469" s="184" t="inlineStr">
        <x:is>
          <x:t xml:space="preserve">PDTPROELE017</x:t>
        </x:is>
      </x:c>
      <x:c r="B2469" s="184" t="inlineStr">
        <x:is>
          <x:t xml:space="preserve">(I0607087) Pulsador Luminoso Verde 3A 220V 1NA-1NC Ekoline</x:t>
        </x:is>
      </x:c>
      <x:c r="C2469" s="184" t="n">
        <x:v>2</x:v>
      </x:c>
      <x:c r="D2469" s="184" t="n">
        <x:v>0</x:v>
      </x:c>
      <x:c r="E2469" s="184" t="n">
        <x:v>0</x:v>
      </x:c>
      <x:c r="F2469" s="184" t="n">
        <x:v>2</x:v>
      </x:c>
      <x:c r="G2469" s="184" t="n">
        <x:v>18218</x:v>
      </x:c>
      <x:c r="H2469" s="193" t="n">
        <x:v>0</x:v>
      </x:c>
      <x:c r="I2469" s="185" t="n">
        <x:v>0</x:v>
      </x:c>
      <x:c r="J2469" s="185" t="n">
        <x:v>18218</x:v>
      </x:c>
      <x:c r="K2469" s="289" t="n">
        <x:v>9109</x:v>
      </x:c>
    </x:row>
    <x:row r="2470" s="117" customFormat="1" hidden="1">
      <x:c r="A2470" s="184" t="inlineStr">
        <x:is>
          <x:t xml:space="preserve">PDTPROELE018</x:t>
        </x:is>
      </x:c>
      <x:c r="B2470" s="184" t="inlineStr">
        <x:is>
          <x:t xml:space="preserve">(I0607088) Pulsador Luminoso Rojo 3A 220V 1NA-1NC Ekoline</x:t>
        </x:is>
      </x:c>
      <x:c r="C2470" s="184" t="n">
        <x:v>2</x:v>
      </x:c>
      <x:c r="D2470" s="184" t="n">
        <x:v>0</x:v>
      </x:c>
      <x:c r="E2470" s="184" t="n">
        <x:v>0</x:v>
      </x:c>
      <x:c r="F2470" s="184" t="n">
        <x:v>2</x:v>
      </x:c>
      <x:c r="G2470" s="184" t="n">
        <x:v>18218</x:v>
      </x:c>
      <x:c r="H2470" s="193" t="n">
        <x:v>0</x:v>
      </x:c>
      <x:c r="I2470" s="185" t="n">
        <x:v>0</x:v>
      </x:c>
      <x:c r="J2470" s="185" t="n">
        <x:v>18218</x:v>
      </x:c>
      <x:c r="K2470" s="289" t="n">
        <x:v>9109</x:v>
      </x:c>
    </x:row>
    <x:row r="2471" s="117" customFormat="1" hidden="1">
      <x:c r="A2471" s="184" t="inlineStr">
        <x:is>
          <x:t xml:space="preserve">PDTPROELE019</x:t>
        </x:is>
      </x:c>
      <x:c r="B2471" s="184" t="inlineStr">
        <x:is>
          <x:t xml:space="preserve">(I0610179) Guardamotor EKO GM16 Reg.9-14A 15KA Ekoline</x:t>
        </x:is>
      </x:c>
      <x:c r="C2471" s="184" t="n">
        <x:v>1</x:v>
      </x:c>
      <x:c r="D2471" s="184" t="n">
        <x:v>0</x:v>
      </x:c>
      <x:c r="E2471" s="184" t="n">
        <x:v>0</x:v>
      </x:c>
      <x:c r="F2471" s="184" t="n">
        <x:v>1</x:v>
      </x:c>
      <x:c r="G2471" s="184" t="n">
        <x:v>24994</x:v>
      </x:c>
      <x:c r="H2471" s="193" t="n">
        <x:v>0</x:v>
      </x:c>
      <x:c r="I2471" s="185" t="n">
        <x:v>0</x:v>
      </x:c>
      <x:c r="J2471" s="185" t="n">
        <x:v>24994</x:v>
      </x:c>
      <x:c r="K2471" s="289" t="n">
        <x:v>24994</x:v>
      </x:c>
    </x:row>
    <x:row r="2472" s="117" customFormat="1" hidden="1">
      <x:c r="A2472" s="184" t="inlineStr">
        <x:is>
          <x:t xml:space="preserve">PDTPROELE020</x:t>
        </x:is>
      </x:c>
      <x:c r="B2472" s="184" t="inlineStr">
        <x:is>
          <x:t xml:space="preserve">(I0610175) Guardamotor EKO GM07  Reg.1.6-2.5A 100KA Ekoline</x:t>
        </x:is>
      </x:c>
      <x:c r="C2472" s="184" t="n">
        <x:v>3</x:v>
      </x:c>
      <x:c r="D2472" s="184" t="n">
        <x:v>0</x:v>
      </x:c>
      <x:c r="E2472" s="184" t="n">
        <x:v>0</x:v>
      </x:c>
      <x:c r="F2472" s="184" t="n">
        <x:v>3</x:v>
      </x:c>
      <x:c r="G2472" s="184" t="n">
        <x:v>61782</x:v>
      </x:c>
      <x:c r="H2472" s="193" t="n">
        <x:v>0</x:v>
      </x:c>
      <x:c r="I2472" s="185" t="n">
        <x:v>0</x:v>
      </x:c>
      <x:c r="J2472" s="185" t="n">
        <x:v>61782</x:v>
      </x:c>
      <x:c r="K2472" s="289" t="n">
        <x:v>20594</x:v>
      </x:c>
    </x:row>
    <x:row r="2473" s="117" customFormat="1" hidden="1">
      <x:c r="A2473" s="184" t="inlineStr">
        <x:is>
          <x:t xml:space="preserve">PDTPROELE021</x:t>
        </x:is>
      </x:c>
      <x:c r="B2473" s="184" t="inlineStr">
        <x:is>
          <x:t xml:space="preserve">(I0606732) Rele Termico DTH-22 (1.6-2.5A) Donga</x:t>
        </x:is>
      </x:c>
      <x:c r="C2473" s="184" t="n">
        <x:v>3</x:v>
      </x:c>
      <x:c r="D2473" s="184" t="n">
        <x:v>0</x:v>
      </x:c>
      <x:c r="E2473" s="184" t="n">
        <x:v>0</x:v>
      </x:c>
      <x:c r="F2473" s="184" t="n">
        <x:v>3</x:v>
      </x:c>
      <x:c r="G2473" s="184" t="n">
        <x:v>61251</x:v>
      </x:c>
      <x:c r="H2473" s="193" t="n">
        <x:v>0</x:v>
      </x:c>
      <x:c r="I2473" s="185" t="n">
        <x:v>0</x:v>
      </x:c>
      <x:c r="J2473" s="185" t="n">
        <x:v>61251</x:v>
      </x:c>
      <x:c r="K2473" s="289" t="n">
        <x:v>20417</x:v>
      </x:c>
    </x:row>
    <x:row r="2474" s="117" customFormat="1" hidden="1">
      <x:c r="A2474" s="184" t="inlineStr">
        <x:is>
          <x:t xml:space="preserve">PDTPROELE022</x:t>
        </x:is>
      </x:c>
      <x:c r="B2474" s="184" t="inlineStr">
        <x:is>
          <x:t xml:space="preserve">(I0606742) Rele Termico DTH-40 (9-13A) Donga</x:t>
        </x:is>
      </x:c>
      <x:c r="C2474" s="184" t="n">
        <x:v>1</x:v>
      </x:c>
      <x:c r="D2474" s="184" t="n">
        <x:v>0</x:v>
      </x:c>
      <x:c r="E2474" s="184" t="n">
        <x:v>0</x:v>
      </x:c>
      <x:c r="F2474" s="184" t="n">
        <x:v>1</x:v>
      </x:c>
      <x:c r="G2474" s="184" t="n">
        <x:v>21355</x:v>
      </x:c>
      <x:c r="H2474" s="193" t="n">
        <x:v>0</x:v>
      </x:c>
      <x:c r="I2474" s="185" t="n">
        <x:v>0</x:v>
      </x:c>
      <x:c r="J2474" s="185" t="n">
        <x:v>21355</x:v>
      </x:c>
      <x:c r="K2474" s="289" t="n">
        <x:v>21355</x:v>
      </x:c>
    </x:row>
    <x:row r="2475" s="117" customFormat="1" hidden="1">
      <x:c r="A2475" s="184" t="inlineStr">
        <x:is>
          <x:t xml:space="preserve">PDTPROELE023</x:t>
        </x:is>
      </x:c>
      <x:c r="B2475" s="184" t="inlineStr">
        <x:is>
          <x:t xml:space="preserve">(I0609947) Interruptor Automatico 1 x 2A 10K Curva C Ekoline</x:t>
        </x:is>
      </x:c>
      <x:c r="C2475" s="184" t="n">
        <x:v>2</x:v>
      </x:c>
      <x:c r="D2475" s="184" t="n">
        <x:v>0</x:v>
      </x:c>
      <x:c r="E2475" s="184" t="n">
        <x:v>0</x:v>
      </x:c>
      <x:c r="F2475" s="184" t="n">
        <x:v>2</x:v>
      </x:c>
      <x:c r="G2475" s="184" t="n">
        <x:v>7122</x:v>
      </x:c>
      <x:c r="H2475" s="193" t="n">
        <x:v>0</x:v>
      </x:c>
      <x:c r="I2475" s="185" t="n">
        <x:v>0</x:v>
      </x:c>
      <x:c r="J2475" s="185" t="n">
        <x:v>7122</x:v>
      </x:c>
      <x:c r="K2475" s="289" t="n">
        <x:v>3561</x:v>
      </x:c>
    </x:row>
    <x:row r="2476" s="117" customFormat="1" hidden="1">
      <x:c r="A2476" s="184" t="inlineStr">
        <x:is>
          <x:t xml:space="preserve">PDTPROELE024</x:t>
        </x:is>
      </x:c>
      <x:c r="B2476" s="184" t="inlineStr">
        <x:is>
          <x:t xml:space="preserve">(I0607070) Cable RV-K 5 x 2.5 mm2 0.6/1KV</x:t>
        </x:is>
      </x:c>
      <x:c r="C2476" s="184" t="n">
        <x:v>20</x:v>
      </x:c>
      <x:c r="D2476" s="184" t="n">
        <x:v>0</x:v>
      </x:c>
      <x:c r="E2476" s="184" t="n">
        <x:v>0</x:v>
      </x:c>
      <x:c r="F2476" s="184" t="n">
        <x:v>20</x:v>
      </x:c>
      <x:c r="G2476" s="184" t="n">
        <x:v>42000</x:v>
      </x:c>
      <x:c r="H2476" s="193" t="n">
        <x:v>0</x:v>
      </x:c>
      <x:c r="I2476" s="185" t="n">
        <x:v>0</x:v>
      </x:c>
      <x:c r="J2476" s="185" t="n">
        <x:v>42000</x:v>
      </x:c>
      <x:c r="K2476" s="289" t="n">
        <x:v>2100</x:v>
      </x:c>
    </x:row>
    <x:row r="2477" s="117" customFormat="1" hidden="1">
      <x:c r="A2477" s="184" t="inlineStr">
        <x:is>
          <x:t xml:space="preserve">PDTPROELE025</x:t>
        </x:is>
      </x:c>
      <x:c r="B2477" s="184" t="inlineStr">
        <x:is>
          <x:t xml:space="preserve">(I0607058) Cable RV-K 4 x 2.5 mm2 0.6/1KV</x:t>
        </x:is>
      </x:c>
      <x:c r="C2477" s="184" t="n">
        <x:v>40</x:v>
      </x:c>
      <x:c r="D2477" s="184" t="n">
        <x:v>0</x:v>
      </x:c>
      <x:c r="E2477" s="184" t="n">
        <x:v>0</x:v>
      </x:c>
      <x:c r="F2477" s="184" t="n">
        <x:v>40</x:v>
      </x:c>
      <x:c r="G2477" s="184" t="n">
        <x:v>67200</x:v>
      </x:c>
      <x:c r="H2477" s="193" t="n">
        <x:v>0</x:v>
      </x:c>
      <x:c r="I2477" s="185" t="n">
        <x:v>0</x:v>
      </x:c>
      <x:c r="J2477" s="185" t="n">
        <x:v>67200</x:v>
      </x:c>
      <x:c r="K2477" s="289" t="n">
        <x:v>1680</x:v>
      </x:c>
    </x:row>
    <x:row r="2478" s="117" customFormat="1" hidden="1">
      <x:c r="A2478" s="184" t="inlineStr">
        <x:is>
          <x:t xml:space="preserve">PDTSEF001001</x:t>
        </x:is>
      </x:c>
      <x:c r="B2478" s="184" t="inlineStr">
        <x:is>
          <x:t xml:space="preserve">KIT EMPAQUETADURA INVENIO ESTILO 430 SECCION 7/8 PLG GFO CANDELARIA 4029397 6 ANILLO X KIT 3,6 KG KI</x:t>
        </x:is>
      </x:c>
      <x:c r="C2478" s="184" t="n">
        <x:v>11</x:v>
      </x:c>
      <x:c r="D2478" s="184" t="n">
        <x:v>0</x:v>
      </x:c>
      <x:c r="E2478" s="184" t="n">
        <x:v>0</x:v>
      </x:c>
      <x:c r="F2478" s="184" t="n">
        <x:v>11</x:v>
      </x:c>
      <x:c r="G2478" s="184" t="n">
        <x:v>1823382</x:v>
      </x:c>
      <x:c r="H2478" s="193" t="n">
        <x:v>0</x:v>
      </x:c>
      <x:c r="I2478" s="185" t="n">
        <x:v>0</x:v>
      </x:c>
      <x:c r="J2478" s="185" t="n">
        <x:v>1823382</x:v>
      </x:c>
      <x:c r="K2478" s="289" t="n">
        <x:v>165762</x:v>
      </x:c>
    </x:row>
    <x:row r="2479" s="117" customFormat="1" hidden="1">
      <x:c r="A2479" s="184" t="inlineStr">
        <x:is>
          <x:t xml:space="preserve">PDTSEF001002</x:t>
        </x:is>
      </x:c>
      <x:c r="B2479" s="184" t="inlineStr">
        <x:is>
          <x:t xml:space="preserve">PLANCHA EMPAQUETADURA 1/8PLGX1850MMX3200MM  CMPC  91032580</x:t>
        </x:is>
      </x:c>
      <x:c r="C2479" s="184" t="n">
        <x:v>0</x:v>
      </x:c>
      <x:c r="D2479" s="184" t="n">
        <x:v>0</x:v>
      </x:c>
      <x:c r="E2479" s="184" t="n">
        <x:v>0</x:v>
      </x:c>
      <x:c r="F2479" s="184" t="n">
        <x:v>0</x:v>
      </x:c>
      <x:c r="G2479" s="184" t="n">
        <x:v>0</x:v>
      </x:c>
      <x:c r="H2479" s="193" t="n">
        <x:v>0</x:v>
      </x:c>
      <x:c r="I2479" s="185" t="n">
        <x:v>0</x:v>
      </x:c>
      <x:c r="J2479" s="185" t="n">
        <x:v>0</x:v>
      </x:c>
      <x:c r="K2479" s="289" t="n">
        <x:v>430920</x:v>
      </x:c>
    </x:row>
    <x:row r="2480" s="117" customFormat="1" hidden="1">
      <x:c r="A2480" s="184" t="inlineStr">
        <x:is>
          <x:t xml:space="preserve">PDTSEF001003</x:t>
        </x:is>
      </x:c>
      <x:c r="B2480" s="184" t="inlineStr">
        <x:is>
          <x:t xml:space="preserve">SUMINISTRO EPDM MAS COVERNIL AZUL 250X4000 MM PARA JUNTA EXPANSION</x:t>
        </x:is>
      </x:c>
      <x:c r="C2480" s="184" t="n">
        <x:v>0</x:v>
      </x:c>
      <x:c r="D2480" s="184" t="n">
        <x:v>0</x:v>
      </x:c>
      <x:c r="E2480" s="184" t="n">
        <x:v>0</x:v>
      </x:c>
      <x:c r="F2480" s="184" t="n">
        <x:v>0</x:v>
      </x:c>
      <x:c r="G2480" s="184" t="n">
        <x:v>0</x:v>
      </x:c>
      <x:c r="H2480" s="193" t="n">
        <x:v>0</x:v>
      </x:c>
      <x:c r="I2480" s="185" t="n">
        <x:v>0</x:v>
      </x:c>
      <x:c r="J2480" s="185" t="n">
        <x:v>0</x:v>
      </x:c>
      <x:c r="K2480" s="289" t="n">
        <x:v>104032</x:v>
      </x:c>
    </x:row>
    <x:row r="2481" s="117" customFormat="1" hidden="1">
      <x:c r="A2481" s="184" t="inlineStr">
        <x:is>
          <x:t xml:space="preserve">PDTSEF001004</x:t>
        </x:is>
      </x:c>
      <x:c r="B2481" s="184" t="inlineStr">
        <x:is>
          <x:t xml:space="preserve">4058688 CUBRE FLANGE DIAM 2 PLG CLASE 150 TELA COVERNIL NARANJO C/CINTA TRANSPARENTE</x:t>
        </x:is>
      </x:c>
      <x:c r="C2481" s="184" t="n">
        <x:v>0</x:v>
      </x:c>
      <x:c r="D2481" s="184" t="n">
        <x:v>0</x:v>
      </x:c>
      <x:c r="E2481" s="184" t="n">
        <x:v>0</x:v>
      </x:c>
      <x:c r="F2481" s="184" t="n">
        <x:v>0</x:v>
      </x:c>
      <x:c r="G2481" s="184" t="n">
        <x:v>0</x:v>
      </x:c>
      <x:c r="H2481" s="193" t="n">
        <x:v>0</x:v>
      </x:c>
      <x:c r="I2481" s="185" t="n">
        <x:v>0</x:v>
      </x:c>
      <x:c r="J2481" s="185" t="n">
        <x:v>0</x:v>
      </x:c>
      <x:c r="K2481" s="289" t="n">
        <x:v>4500</x:v>
      </x:c>
    </x:row>
    <x:row r="2482" s="117" customFormat="1" hidden="1">
      <x:c r="A2482" s="184" t="inlineStr">
        <x:is>
          <x:t xml:space="preserve">PDTSEF001005</x:t>
        </x:is>
      </x:c>
      <x:c r="B2482" s="184" t="inlineStr">
        <x:is>
          <x:t xml:space="preserve">4058689CUBRE FLANGE DIAM 4 PLG CLASE 150 TELA COVERNIL NARANJO C/CINTA TRANSPARENTE</x:t>
        </x:is>
      </x:c>
      <x:c r="C2482" s="184" t="n">
        <x:v>0</x:v>
      </x:c>
      <x:c r="D2482" s="184" t="n">
        <x:v>0</x:v>
      </x:c>
      <x:c r="E2482" s="184" t="n">
        <x:v>0</x:v>
      </x:c>
      <x:c r="F2482" s="184" t="n">
        <x:v>0</x:v>
      </x:c>
      <x:c r="G2482" s="184" t="n">
        <x:v>0</x:v>
      </x:c>
      <x:c r="H2482" s="193" t="n">
        <x:v>0</x:v>
      </x:c>
      <x:c r="I2482" s="185" t="n">
        <x:v>0</x:v>
      </x:c>
      <x:c r="J2482" s="185" t="n">
        <x:v>0</x:v>
      </x:c>
      <x:c r="K2482" s="289" t="n">
        <x:v>9829</x:v>
      </x:c>
    </x:row>
    <x:row r="2483" s="117" customFormat="1" hidden="1">
      <x:c r="A2483" s="184" t="inlineStr">
        <x:is>
          <x:t xml:space="preserve">PDTSEF001006</x:t>
        </x:is>
      </x:c>
      <x:c r="B2483" s="184" t="inlineStr">
        <x:is>
          <x:t xml:space="preserve">4058690 CUBRE FLANGE DIAM 6 PLG CLASE 150 TELA COVERNIL NARANJO C/CINTA TRANSPARENTE</x:t>
        </x:is>
      </x:c>
      <x:c r="C2483" s="184" t="n">
        <x:v>0</x:v>
      </x:c>
      <x:c r="D2483" s="184" t="n">
        <x:v>0</x:v>
      </x:c>
      <x:c r="E2483" s="184" t="n">
        <x:v>0</x:v>
      </x:c>
      <x:c r="F2483" s="184" t="n">
        <x:v>0</x:v>
      </x:c>
      <x:c r="G2483" s="184" t="n">
        <x:v>0</x:v>
      </x:c>
      <x:c r="H2483" s="193" t="n">
        <x:v>0</x:v>
      </x:c>
      <x:c r="I2483" s="185" t="n">
        <x:v>0</x:v>
      </x:c>
      <x:c r="J2483" s="185" t="n">
        <x:v>0</x:v>
      </x:c>
      <x:c r="K2483" s="289" t="n">
        <x:v>10900</x:v>
      </x:c>
    </x:row>
    <x:row r="2484" s="117" customFormat="1" hidden="1">
      <x:c r="A2484" s="184" t="inlineStr">
        <x:is>
          <x:t xml:space="preserve">PDTSEF001007</x:t>
        </x:is>
      </x:c>
      <x:c r="B2484" s="184" t="inlineStr">
        <x:is>
          <x:t xml:space="preserve">4058691 CUBRE FLANGE DIAM 10 PLG CLASE 150 TELA COVERNIL NARANJO C/CINTA TRANSPARENTE</x:t>
        </x:is>
      </x:c>
      <x:c r="C2484" s="184" t="n">
        <x:v>0</x:v>
      </x:c>
      <x:c r="D2484" s="184" t="n">
        <x:v>0</x:v>
      </x:c>
      <x:c r="E2484" s="184" t="n">
        <x:v>0</x:v>
      </x:c>
      <x:c r="F2484" s="184" t="n">
        <x:v>0</x:v>
      </x:c>
      <x:c r="G2484" s="184" t="n">
        <x:v>0</x:v>
      </x:c>
      <x:c r="H2484" s="193" t="n">
        <x:v>0</x:v>
      </x:c>
      <x:c r="I2484" s="185" t="n">
        <x:v>0</x:v>
      </x:c>
      <x:c r="J2484" s="185" t="n">
        <x:v>0</x:v>
      </x:c>
      <x:c r="K2484" s="289" t="n">
        <x:v>16000</x:v>
      </x:c>
    </x:row>
    <x:row r="2485" s="117" customFormat="1" hidden="1">
      <x:c r="A2485" s="184" t="inlineStr">
        <x:is>
          <x:t xml:space="preserve">PDTSEF001008</x:t>
        </x:is>
      </x:c>
      <x:c r="B2485" s="184" t="inlineStr">
        <x:is>
          <x:t xml:space="preserve">AISLACION TERMICA PARA POZOS DE DRENAJE (JUEGO) CODIGO 657775</x:t>
        </x:is>
      </x:c>
      <x:c r="C2485" s="184" t="n">
        <x:v>0</x:v>
      </x:c>
      <x:c r="D2485" s="184" t="n">
        <x:v>0</x:v>
      </x:c>
      <x:c r="E2485" s="184" t="n">
        <x:v>0</x:v>
      </x:c>
      <x:c r="F2485" s="184" t="n">
        <x:v>0</x:v>
      </x:c>
      <x:c r="G2485" s="184" t="n">
        <x:v>0</x:v>
      </x:c>
      <x:c r="H2485" s="193" t="n">
        <x:v>0</x:v>
      </x:c>
      <x:c r="I2485" s="185" t="n">
        <x:v>0</x:v>
      </x:c>
      <x:c r="J2485" s="185" t="n">
        <x:v>0</x:v>
      </x:c>
      <x:c r="K2485" s="289" t="n">
        <x:v>789200</x:v>
      </x:c>
    </x:row>
    <x:row r="2486" s="117" customFormat="1" hidden="1">
      <x:c r="A2486" s="184" t="inlineStr">
        <x:is>
          <x:t xml:space="preserve">PDTSEF001009</x:t>
        </x:is>
      </x:c>
      <x:c r="B2486" s="184" t="inlineStr">
        <x:is>
          <x:t xml:space="preserve">FABRICACION E INSTALACION  DE FUELLES PARA JUNTAS DE EXPANSION 700 MM S/PLANO IASER-ACF1-220-M-1705-</x:t>
        </x:is>
      </x:c>
      <x:c r="C2486" s="184" t="n">
        <x:v>0</x:v>
      </x:c>
      <x:c r="D2486" s="184" t="n">
        <x:v>0</x:v>
      </x:c>
      <x:c r="E2486" s="184" t="n">
        <x:v>0</x:v>
      </x:c>
      <x:c r="F2486" s="184" t="n">
        <x:v>0</x:v>
      </x:c>
      <x:c r="G2486" s="184" t="n">
        <x:v>0</x:v>
      </x:c>
      <x:c r="H2486" s="193" t="n">
        <x:v>0</x:v>
      </x:c>
      <x:c r="I2486" s="185" t="n">
        <x:v>0</x:v>
      </x:c>
      <x:c r="J2486" s="185" t="n">
        <x:v>0</x:v>
      </x:c>
      <x:c r="K2486" s="289" t="n">
        <x:v>500066</x:v>
      </x:c>
    </x:row>
    <x:row r="2487" s="117" customFormat="1" hidden="1">
      <x:c r="A2487" s="184" t="inlineStr">
        <x:is>
          <x:t xml:space="preserve">PDTSEF001010</x:t>
        </x:is>
      </x:c>
      <x:c r="B2487" s="184" t="inlineStr">
        <x:is>
          <x:t xml:space="preserve">CINTA DE ZETEX 2 PLG ANCHO X 1/4 PLG ESP, 1005812</x:t>
        </x:is>
      </x:c>
      <x:c r="C2487" s="184" t="n">
        <x:v>0</x:v>
      </x:c>
      <x:c r="D2487" s="184" t="n">
        <x:v>0</x:v>
      </x:c>
      <x:c r="E2487" s="184" t="n">
        <x:v>0</x:v>
      </x:c>
      <x:c r="F2487" s="184" t="n">
        <x:v>0</x:v>
      </x:c>
      <x:c r="G2487" s="184" t="n">
        <x:v>0</x:v>
      </x:c>
      <x:c r="H2487" s="193" t="n">
        <x:v>0</x:v>
      </x:c>
      <x:c r="I2487" s="185" t="n">
        <x:v>0</x:v>
      </x:c>
      <x:c r="J2487" s="185" t="n">
        <x:v>0</x:v>
      </x:c>
      <x:c r="K2487" s="289" t="n">
        <x:v>4180</x:v>
      </x:c>
    </x:row>
    <x:row r="2488" s="117" customFormat="1" hidden="1">
      <x:c r="A2488" s="184" t="inlineStr">
        <x:is>
          <x:t xml:space="preserve">PDTSEF001011</x:t>
        </x:is>
      </x:c>
      <x:c r="B2488" s="184" t="inlineStr">
        <x:is>
          <x:t xml:space="preserve">FABRICACION E INSTALACION DE 2 FUELLES PARA JUNTA DE EXPANSION  T 150° C</x:t>
        </x:is>
      </x:c>
      <x:c r="C2488" s="184" t="n">
        <x:v>0</x:v>
      </x:c>
      <x:c r="D2488" s="184" t="n">
        <x:v>0</x:v>
      </x:c>
      <x:c r="E2488" s="184" t="n">
        <x:v>0</x:v>
      </x:c>
      <x:c r="F2488" s="184" t="n">
        <x:v>0</x:v>
      </x:c>
      <x:c r="G2488" s="184" t="n">
        <x:v>0</x:v>
      </x:c>
      <x:c r="H2488" s="193" t="n">
        <x:v>0</x:v>
      </x:c>
      <x:c r="I2488" s="185" t="n">
        <x:v>0</x:v>
      </x:c>
      <x:c r="J2488" s="185" t="n">
        <x:v>0</x:v>
      </x:c>
      <x:c r="K2488" s="289" t="n">
        <x:v>99000</x:v>
      </x:c>
    </x:row>
    <x:row r="2489" s="117" customFormat="1" hidden="1">
      <x:c r="A2489" s="184" t="inlineStr">
        <x:is>
          <x:t xml:space="preserve">PDTSEF001012</x:t>
        </x:is>
      </x:c>
      <x:c r="B2489" s="184" t="inlineStr">
        <x:is>
          <x:t xml:space="preserve">TUBERIA AISLANTEALUMINIO PARA CAÑERIA 3/4 FORMATO 2 MTS</x:t>
        </x:is>
      </x:c>
      <x:c r="C2489" s="184" t="n">
        <x:v>80</x:v>
      </x:c>
      <x:c r="D2489" s="184" t="n">
        <x:v>0</x:v>
      </x:c>
      <x:c r="E2489" s="184" t="n">
        <x:v>0</x:v>
      </x:c>
      <x:c r="F2489" s="184" t="n">
        <x:v>80</x:v>
      </x:c>
      <x:c r="G2489" s="184" t="n">
        <x:v>534000</x:v>
      </x:c>
      <x:c r="H2489" s="193" t="n">
        <x:v>0</x:v>
      </x:c>
      <x:c r="I2489" s="185" t="n">
        <x:v>0</x:v>
      </x:c>
      <x:c r="J2489" s="185" t="n">
        <x:v>534000</x:v>
      </x:c>
      <x:c r="K2489" s="289" t="n">
        <x:v>6675</x:v>
      </x:c>
    </x:row>
    <x:row r="2490" s="117" customFormat="1" hidden="1">
      <x:c r="A2490" s="184" t="inlineStr">
        <x:is>
          <x:t xml:space="preserve">PDTSEF001013</x:t>
        </x:is>
      </x:c>
      <x:c r="B2490" s="184" t="inlineStr">
        <x:is>
          <x:t xml:space="preserve">TUBERIA AISLANTEALUMINIO PARA CAÑERIA 1 PLG FORMATO 2 MTS</x:t>
        </x:is>
      </x:c>
      <x:c r="C2490" s="184" t="n">
        <x:v>0</x:v>
      </x:c>
      <x:c r="D2490" s="184" t="n">
        <x:v>0</x:v>
      </x:c>
      <x:c r="E2490" s="184" t="n">
        <x:v>0</x:v>
      </x:c>
      <x:c r="F2490" s="184" t="n">
        <x:v>0</x:v>
      </x:c>
      <x:c r="G2490" s="184" t="n">
        <x:v>0</x:v>
      </x:c>
      <x:c r="H2490" s="193" t="n">
        <x:v>0</x:v>
      </x:c>
      <x:c r="I2490" s="185" t="n">
        <x:v>0</x:v>
      </x:c>
      <x:c r="J2490" s="185" t="n">
        <x:v>0</x:v>
      </x:c>
      <x:c r="K2490" s="289" t="n">
        <x:v>7747</x:v>
      </x:c>
    </x:row>
    <x:row r="2491" s="117" customFormat="1" hidden="1">
      <x:c r="A2491" s="184" t="inlineStr">
        <x:is>
          <x:t xml:space="preserve">PDTSEF001014</x:t>
        </x:is>
      </x:c>
      <x:c r="B2491" s="184" t="inlineStr">
        <x:is>
          <x:t xml:space="preserve">803552 EMPAQUETADURA NITRILO 36 PLG X 1 MT X 1/8 PLG ESP.</x:t>
        </x:is>
      </x:c>
      <x:c r="C2491" s="184" t="n">
        <x:v>0</x:v>
      </x:c>
      <x:c r="D2491" s="184" t="n">
        <x:v>0</x:v>
      </x:c>
      <x:c r="E2491" s="184" t="n">
        <x:v>0</x:v>
      </x:c>
      <x:c r="F2491" s="184" t="n">
        <x:v>0</x:v>
      </x:c>
      <x:c r="G2491" s="184" t="n">
        <x:v>0</x:v>
      </x:c>
      <x:c r="H2491" s="193" t="n">
        <x:v>0</x:v>
      </x:c>
      <x:c r="I2491" s="185" t="n">
        <x:v>0</x:v>
      </x:c>
      <x:c r="J2491" s="185" t="n">
        <x:v>0</x:v>
      </x:c>
      <x:c r="K2491" s="289" t="n">
        <x:v>17190</x:v>
      </x:c>
    </x:row>
    <x:row r="2492" s="117" customFormat="1" hidden="1">
      <x:c r="A2492" s="184" t="inlineStr">
        <x:is>
          <x:t xml:space="preserve">PDTSEF001015</x:t>
        </x:is>
      </x:c>
      <x:c r="B2492" s="184" t="inlineStr">
        <x:is>
          <x:t xml:space="preserve">10927388CUBRE VALVULA ANSI CL 150 10 PLG COVERNYL NARANJA C/VISOR NP CVINV10150</x:t>
        </x:is>
      </x:c>
      <x:c r="C2492" s="184" t="n">
        <x:v>0</x:v>
      </x:c>
      <x:c r="D2492" s="184" t="n">
        <x:v>0</x:v>
      </x:c>
      <x:c r="E2492" s="184" t="n">
        <x:v>0</x:v>
      </x:c>
      <x:c r="F2492" s="184" t="n">
        <x:v>0</x:v>
      </x:c>
      <x:c r="G2492" s="184" t="n">
        <x:v>0</x:v>
      </x:c>
      <x:c r="H2492" s="193" t="n">
        <x:v>0</x:v>
      </x:c>
      <x:c r="I2492" s="185" t="n">
        <x:v>0</x:v>
      </x:c>
      <x:c r="J2492" s="185" t="n">
        <x:v>0</x:v>
      </x:c>
      <x:c r="K2492" s="289" t="n">
        <x:v>18000</x:v>
      </x:c>
    </x:row>
    <x:row r="2493" s="117" customFormat="1" hidden="1">
      <x:c r="A2493" s="184" t="inlineStr">
        <x:is>
          <x:t xml:space="preserve">PDTSEF001016</x:t>
        </x:is>
      </x:c>
      <x:c r="B2493" s="184" t="inlineStr">
        <x:is>
          <x:t xml:space="preserve">10927387CUBRE VALVULA ANSI CL 150 12 PLG COVERNYL NARANJA C/VISOR NP CVINV12150</x:t>
        </x:is>
      </x:c>
      <x:c r="C2493" s="184" t="n">
        <x:v>0</x:v>
      </x:c>
      <x:c r="D2493" s="184" t="n">
        <x:v>0</x:v>
      </x:c>
      <x:c r="E2493" s="184" t="n">
        <x:v>0</x:v>
      </x:c>
      <x:c r="F2493" s="184" t="n">
        <x:v>0</x:v>
      </x:c>
      <x:c r="G2493" s="184" t="n">
        <x:v>0</x:v>
      </x:c>
      <x:c r="H2493" s="193" t="n">
        <x:v>0</x:v>
      </x:c>
      <x:c r="I2493" s="185" t="n">
        <x:v>0</x:v>
      </x:c>
      <x:c r="J2493" s="185" t="n">
        <x:v>0</x:v>
      </x:c>
      <x:c r="K2493" s="289" t="n">
        <x:v>20000</x:v>
      </x:c>
    </x:row>
    <x:row r="2494" s="117" customFormat="1" hidden="1">
      <x:c r="A2494" s="184" t="inlineStr">
        <x:is>
          <x:t xml:space="preserve">PDTSEF001017</x:t>
        </x:is>
      </x:c>
      <x:c r="B2494" s="184" t="inlineStr">
        <x:is>
          <x:t xml:space="preserve">10927385CUBRE VALVULA ANSI CL 150 3 PLG COVERNYL NARANJA C/VISOR NP CVINV03150</x:t>
        </x:is>
      </x:c>
      <x:c r="C2494" s="184" t="n">
        <x:v>0</x:v>
      </x:c>
      <x:c r="D2494" s="184" t="n">
        <x:v>0</x:v>
      </x:c>
      <x:c r="E2494" s="184" t="n">
        <x:v>0</x:v>
      </x:c>
      <x:c r="F2494" s="184" t="n">
        <x:v>0</x:v>
      </x:c>
      <x:c r="G2494" s="184" t="n">
        <x:v>0</x:v>
      </x:c>
      <x:c r="H2494" s="193" t="n">
        <x:v>0</x:v>
      </x:c>
      <x:c r="I2494" s="185" t="n">
        <x:v>0</x:v>
      </x:c>
      <x:c r="J2494" s="185" t="n">
        <x:v>0</x:v>
      </x:c>
      <x:c r="K2494" s="289" t="n">
        <x:v>35880</x:v>
      </x:c>
    </x:row>
    <x:row r="2495" s="117" customFormat="1" hidden="1">
      <x:c r="A2495" s="184" t="inlineStr">
        <x:is>
          <x:t xml:space="preserve">PDTSEF001018</x:t>
        </x:is>
      </x:c>
      <x:c r="B2495" s="184" t="inlineStr">
        <x:is>
          <x:t xml:space="preserve">10927371 CUBRE FLANGE  ANSI CL 150 12 PLG COVERNYL NARANJA C/VISOR NP CFINV12150</x:t>
        </x:is>
      </x:c>
      <x:c r="C2495" s="184" t="n">
        <x:v>0</x:v>
      </x:c>
      <x:c r="D2495" s="184" t="n">
        <x:v>0</x:v>
      </x:c>
      <x:c r="E2495" s="184" t="n">
        <x:v>0</x:v>
      </x:c>
      <x:c r="F2495" s="184" t="n">
        <x:v>0</x:v>
      </x:c>
      <x:c r="G2495" s="184" t="n">
        <x:v>0</x:v>
      </x:c>
      <x:c r="H2495" s="193" t="n">
        <x:v>0</x:v>
      </x:c>
      <x:c r="I2495" s="185" t="n">
        <x:v>0</x:v>
      </x:c>
      <x:c r="J2495" s="185" t="n">
        <x:v>0</x:v>
      </x:c>
      <x:c r="K2495" s="289" t="n">
        <x:v>10500</x:v>
      </x:c>
    </x:row>
    <x:row r="2496" s="117" customFormat="1" hidden="1">
      <x:c r="A2496" s="184" t="inlineStr">
        <x:is>
          <x:t xml:space="preserve">PDTSEF001019</x:t>
        </x:is>
      </x:c>
      <x:c r="B2496" s="184" t="inlineStr">
        <x:is>
          <x:t xml:space="preserve">10927368  CUBRE FLANGE  ANSI CL 150 10 PLG COVERNYL NARANJA C/VISOR NP CFINV10150</x:t>
        </x:is>
      </x:c>
      <x:c r="C2496" s="184" t="n">
        <x:v>0</x:v>
      </x:c>
      <x:c r="D2496" s="184" t="n">
        <x:v>0</x:v>
      </x:c>
      <x:c r="E2496" s="184" t="n">
        <x:v>0</x:v>
      </x:c>
      <x:c r="F2496" s="184" t="n">
        <x:v>0</x:v>
      </x:c>
      <x:c r="G2496" s="184" t="n">
        <x:v>0</x:v>
      </x:c>
      <x:c r="H2496" s="193" t="n">
        <x:v>0</x:v>
      </x:c>
      <x:c r="I2496" s="185" t="n">
        <x:v>0</x:v>
      </x:c>
      <x:c r="J2496" s="185" t="n">
        <x:v>0</x:v>
      </x:c>
      <x:c r="K2496" s="289" t="n">
        <x:v>9600</x:v>
      </x:c>
    </x:row>
    <x:row r="2497" s="117" customFormat="1" hidden="1">
      <x:c r="A2497" s="184" t="inlineStr">
        <x:is>
          <x:t xml:space="preserve">PDTSEF001020</x:t>
        </x:is>
      </x:c>
      <x:c r="B2497" s="184" t="inlineStr">
        <x:is>
          <x:t xml:space="preserve">10927367  CUBRE FLANGE  ANSI CL 150 1 PLG COVERNYL NARANJA C/VISOR NP CFINV01150</x:t>
        </x:is>
      </x:c>
      <x:c r="C2497" s="184" t="n">
        <x:v>0</x:v>
      </x:c>
      <x:c r="D2497" s="184" t="n">
        <x:v>0</x:v>
      </x:c>
      <x:c r="E2497" s="184" t="n">
        <x:v>0</x:v>
      </x:c>
      <x:c r="F2497" s="184" t="n">
        <x:v>0</x:v>
      </x:c>
      <x:c r="G2497" s="184" t="n">
        <x:v>0</x:v>
      </x:c>
      <x:c r="H2497" s="193" t="n">
        <x:v>0</x:v>
      </x:c>
      <x:c r="I2497" s="185" t="n">
        <x:v>0</x:v>
      </x:c>
      <x:c r="J2497" s="185" t="n">
        <x:v>0</x:v>
      </x:c>
      <x:c r="K2497" s="289" t="n">
        <x:v>3200</x:v>
      </x:c>
    </x:row>
    <x:row r="2498" s="117" customFormat="1" hidden="1">
      <x:c r="A2498" s="184" t="inlineStr">
        <x:is>
          <x:t xml:space="preserve">PDTSEF001021</x:t>
        </x:is>
      </x:c>
      <x:c r="B2498" s="184" t="inlineStr">
        <x:is>
          <x:t xml:space="preserve">10927366  CUBRE FLANGE  ANSI CL 150 3 PLG COVERNYL NARANJA C/VISOR NP CFINV03150</x:t>
        </x:is>
      </x:c>
      <x:c r="C2498" s="184" t="n">
        <x:v>0</x:v>
      </x:c>
      <x:c r="D2498" s="184" t="n">
        <x:v>0</x:v>
      </x:c>
      <x:c r="E2498" s="184" t="n">
        <x:v>0</x:v>
      </x:c>
      <x:c r="F2498" s="184" t="n">
        <x:v>0</x:v>
      </x:c>
      <x:c r="G2498" s="184" t="n">
        <x:v>0</x:v>
      </x:c>
      <x:c r="H2498" s="193" t="n">
        <x:v>0</x:v>
      </x:c>
      <x:c r="I2498" s="185" t="n">
        <x:v>0</x:v>
      </x:c>
      <x:c r="J2498" s="185" t="n">
        <x:v>0</x:v>
      </x:c>
      <x:c r="K2498" s="289" t="n">
        <x:v>4500</x:v>
      </x:c>
    </x:row>
    <x:row r="2499" s="117" customFormat="1" hidden="1">
      <x:c r="A2499" s="184" t="inlineStr">
        <x:is>
          <x:t xml:space="preserve">PDTSEF001022</x:t>
        </x:is>
      </x:c>
      <x:c r="B2499" s="184" t="inlineStr">
        <x:is>
          <x:t xml:space="preserve">10927365  CUBRE FLANGE  ANSI CL 150 2 PLG COVERNYL NARANJA C/VISOR NP CFINV02150</x:t>
        </x:is>
      </x:c>
      <x:c r="C2499" s="184" t="n">
        <x:v>0</x:v>
      </x:c>
      <x:c r="D2499" s="184" t="n">
        <x:v>0</x:v>
      </x:c>
      <x:c r="E2499" s="184" t="n">
        <x:v>0</x:v>
      </x:c>
      <x:c r="F2499" s="184" t="n">
        <x:v>0</x:v>
      </x:c>
      <x:c r="G2499" s="184" t="n">
        <x:v>0</x:v>
      </x:c>
      <x:c r="H2499" s="193" t="n">
        <x:v>0</x:v>
      </x:c>
      <x:c r="I2499" s="185" t="n">
        <x:v>0</x:v>
      </x:c>
      <x:c r="J2499" s="185" t="n">
        <x:v>0</x:v>
      </x:c>
      <x:c r="K2499" s="289" t="n">
        <x:v>3800</x:v>
      </x:c>
    </x:row>
    <x:row r="2500" s="117" customFormat="1" hidden="1">
      <x:c r="A2500" s="184" t="inlineStr">
        <x:is>
          <x:t xml:space="preserve">PDTSEF001023</x:t>
        </x:is>
      </x:c>
      <x:c r="B2500" s="184" t="inlineStr">
        <x:is>
          <x:t xml:space="preserve">109274424 CUBRE VALVULA ANSI CL 150 2 PLG COVERNYL NARANJA C/VISOR NP CVINV02150</x:t>
        </x:is>
      </x:c>
      <x:c r="C2500" s="184" t="n">
        <x:v>0</x:v>
      </x:c>
      <x:c r="D2500" s="184" t="n">
        <x:v>0</x:v>
      </x:c>
      <x:c r="E2500" s="184" t="n">
        <x:v>0</x:v>
      </x:c>
      <x:c r="F2500" s="184" t="n">
        <x:v>0</x:v>
      </x:c>
      <x:c r="G2500" s="184" t="n">
        <x:v>0</x:v>
      </x:c>
      <x:c r="H2500" s="193" t="n">
        <x:v>0</x:v>
      </x:c>
      <x:c r="I2500" s="185" t="n">
        <x:v>0</x:v>
      </x:c>
      <x:c r="J2500" s="185" t="n">
        <x:v>0</x:v>
      </x:c>
      <x:c r="K2500" s="289" t="n">
        <x:v>7600</x:v>
      </x:c>
    </x:row>
    <x:row r="2501" s="117" customFormat="1" hidden="1">
      <x:c r="A2501" s="184" t="inlineStr">
        <x:is>
          <x:t xml:space="preserve">PDTSEF001024</x:t>
        </x:is>
      </x:c>
      <x:c r="B2501" s="184" t="inlineStr">
        <x:is>
          <x:t xml:space="preserve">no usarEMPAQ.PUERTA DE RETORTA C/ALMA DE SILICONA (TRAMOS DE 6.5 MTS) N° PARTE ET30CJ1900 COD 107296</x:t>
        </x:is>
      </x:c>
      <x:c r="C2501" s="184" t="n">
        <x:v>0</x:v>
      </x:c>
      <x:c r="D2501" s="184" t="n">
        <x:v>0</x:v>
      </x:c>
      <x:c r="E2501" s="184" t="n">
        <x:v>0</x:v>
      </x:c>
      <x:c r="F2501" s="184" t="n">
        <x:v>0</x:v>
      </x:c>
      <x:c r="G2501" s="184" t="n">
        <x:v>0</x:v>
      </x:c>
      <x:c r="H2501" s="193" t="n">
        <x:v>0</x:v>
      </x:c>
      <x:c r="I2501" s="185" t="n">
        <x:v>0</x:v>
      </x:c>
      <x:c r="J2501" s="185" t="n">
        <x:v>0</x:v>
      </x:c>
      <x:c r="K2501" s="289" t="n">
        <x:v>69769</x:v>
      </x:c>
    </x:row>
    <x:row r="2502" s="117" customFormat="1" hidden="1">
      <x:c r="A2502" s="184" t="inlineStr">
        <x:is>
          <x:t xml:space="preserve">PDTSEF001025</x:t>
        </x:is>
      </x:c>
      <x:c r="B2502" s="184" t="inlineStr">
        <x:is>
          <x:t xml:space="preserve">92798 EMPAQUETADURA SECCION CUADRADA ESTILO 55-55 3/4 X 112 PLG(CELULOSA)</x:t>
        </x:is>
      </x:c>
      <x:c r="C2502" s="184" t="n">
        <x:v>0</x:v>
      </x:c>
      <x:c r="D2502" s="184" t="n">
        <x:v>0</x:v>
      </x:c>
      <x:c r="E2502" s="184" t="n">
        <x:v>0</x:v>
      </x:c>
      <x:c r="F2502" s="184" t="n">
        <x:v>0</x:v>
      </x:c>
      <x:c r="G2502" s="184" t="n">
        <x:v>0</x:v>
      </x:c>
      <x:c r="H2502" s="193" t="n">
        <x:v>0</x:v>
      </x:c>
      <x:c r="I2502" s="185" t="n">
        <x:v>0</x:v>
      </x:c>
      <x:c r="J2502" s="185" t="n">
        <x:v>0</x:v>
      </x:c>
      <x:c r="K2502" s="289" t="n">
        <x:v>23223</x:v>
      </x:c>
    </x:row>
    <x:row r="2503" s="117" customFormat="1" hidden="1">
      <x:c r="A2503" s="184" t="inlineStr">
        <x:is>
          <x:t xml:space="preserve">PDTSEF001026</x:t>
        </x:is>
      </x:c>
      <x:c r="B2503" s="184" t="inlineStr">
        <x:is>
          <x:t xml:space="preserve">FUELLE JUNTA DE EXPANSION DIAM 700 X 500 MM</x:t>
        </x:is>
      </x:c>
      <x:c r="C2503" s="184" t="n">
        <x:v>0</x:v>
      </x:c>
      <x:c r="D2503" s="184" t="n">
        <x:v>0</x:v>
      </x:c>
      <x:c r="E2503" s="184" t="n">
        <x:v>0</x:v>
      </x:c>
      <x:c r="F2503" s="184" t="n">
        <x:v>0</x:v>
      </x:c>
      <x:c r="G2503" s="184" t="n">
        <x:v>0</x:v>
      </x:c>
      <x:c r="H2503" s="193" t="n">
        <x:v>0</x:v>
      </x:c>
      <x:c r="I2503" s="185" t="n">
        <x:v>0</x:v>
      </x:c>
      <x:c r="J2503" s="185" t="n">
        <x:v>0</x:v>
      </x:c>
      <x:c r="K2503" s="289" t="n">
        <x:v>1154244</x:v>
      </x:c>
    </x:row>
    <x:row r="2504" s="117" customFormat="1" hidden="1">
      <x:c r="A2504" s="184" t="inlineStr">
        <x:is>
          <x:t xml:space="preserve">PDTSEF001027</x:t>
        </x:is>
      </x:c>
      <x:c r="B2504" s="184" t="inlineStr">
        <x:is>
          <x:t xml:space="preserve">CAUCHO EPDM ESPESOR 1/8” (3.2MM) ANCHO 1MT</x:t>
        </x:is>
      </x:c>
      <x:c r="C2504" s="184" t="n">
        <x:v>50.7</x:v>
      </x:c>
      <x:c r="D2504" s="184" t="n">
        <x:v>0</x:v>
      </x:c>
      <x:c r="E2504" s="184" t="n">
        <x:v>5</x:v>
      </x:c>
      <x:c r="F2504" s="184" t="n">
        <x:v>45.7</x:v>
      </x:c>
      <x:c r="G2504" s="184" t="n">
        <x:v>559152</x:v>
      </x:c>
      <x:c r="H2504" s="193" t="n">
        <x:v>0</x:v>
      </x:c>
      <x:c r="I2504" s="185" t="n">
        <x:v>55143</x:v>
      </x:c>
      <x:c r="J2504" s="185" t="n">
        <x:v>504009</x:v>
      </x:c>
      <x:c r="K2504" s="289" t="n">
        <x:v>11028.62424824</x:v>
      </x:c>
    </x:row>
    <x:row r="2505" s="117" customFormat="1" hidden="1">
      <x:c r="A2505" s="184" t="inlineStr">
        <x:is>
          <x:t xml:space="preserve">PDTSEF001028</x:t>
        </x:is>
      </x:c>
      <x:c r="B2505" s="184" t="inlineStr">
        <x:is>
          <x:t xml:space="preserve">EPDM ESPESOR 1/4” (6.4MM) ANCHO 1MT</x:t>
        </x:is>
      </x:c>
      <x:c r="C2505" s="184" t="n">
        <x:v>3.8</x:v>
      </x:c>
      <x:c r="D2505" s="184" t="n">
        <x:v>0</x:v>
      </x:c>
      <x:c r="E2505" s="184" t="n">
        <x:v>0</x:v>
      </x:c>
      <x:c r="F2505" s="184" t="n">
        <x:v>3.8</x:v>
      </x:c>
      <x:c r="G2505" s="184" t="n">
        <x:v>82376</x:v>
      </x:c>
      <x:c r="H2505" s="193" t="n">
        <x:v>0</x:v>
      </x:c>
      <x:c r="I2505" s="185" t="n">
        <x:v>0</x:v>
      </x:c>
      <x:c r="J2505" s="185" t="n">
        <x:v>82376</x:v>
      </x:c>
      <x:c r="K2505" s="289" t="n">
        <x:v>21678</x:v>
      </x:c>
    </x:row>
    <x:row r="2506" s="117" customFormat="1" hidden="1">
      <x:c r="A2506" s="184" t="inlineStr">
        <x:is>
          <x:t xml:space="preserve">PDTSEF001029</x:t>
        </x:is>
      </x:c>
      <x:c r="B2506" s="184" t="inlineStr">
        <x:is>
          <x:t xml:space="preserve">10406252 KIT DE SISTEMA FIJACION Y SELLO SPOOL 006 DN914.4</x:t>
        </x:is>
      </x:c>
      <x:c r="C2506" s="184" t="n">
        <x:v>0</x:v>
      </x:c>
      <x:c r="D2506" s="184" t="n">
        <x:v>3</x:v>
      </x:c>
      <x:c r="E2506" s="184" t="n">
        <x:v>3</x:v>
      </x:c>
      <x:c r="F2506" s="184" t="n">
        <x:v>0</x:v>
      </x:c>
      <x:c r="G2506" s="184" t="n">
        <x:v>0</x:v>
      </x:c>
      <x:c r="H2506" s="193" t="n">
        <x:v>312222</x:v>
      </x:c>
      <x:c r="I2506" s="185" t="n">
        <x:v>312222</x:v>
      </x:c>
      <x:c r="J2506" s="185" t="n">
        <x:v>0</x:v>
      </x:c>
      <x:c r="K2506" s="289" t="n">
        <x:v>104074</x:v>
      </x:c>
    </x:row>
    <x:row r="2507" s="117" customFormat="1" hidden="1">
      <x:c r="A2507" s="184" t="inlineStr">
        <x:is>
          <x:t xml:space="preserve">PDTSEF001030</x:t>
        </x:is>
      </x:c>
      <x:c r="B2507" s="184" t="inlineStr">
        <x:is>
          <x:t xml:space="preserve">11406346 KIT DE SISTEMA FIJACION Y SELLO SPOOL 030 DN1000</x:t>
        </x:is>
      </x:c>
      <x:c r="C2507" s="184" t="n">
        <x:v>0</x:v>
      </x:c>
      <x:c r="D2507" s="184" t="n">
        <x:v>0</x:v>
      </x:c>
      <x:c r="E2507" s="184" t="n">
        <x:v>0</x:v>
      </x:c>
      <x:c r="F2507" s="184" t="n">
        <x:v>0</x:v>
      </x:c>
      <x:c r="G2507" s="184" t="n">
        <x:v>0</x:v>
      </x:c>
      <x:c r="H2507" s="193" t="n">
        <x:v>0</x:v>
      </x:c>
      <x:c r="I2507" s="185" t="n">
        <x:v>0</x:v>
      </x:c>
      <x:c r="J2507" s="185" t="n">
        <x:v>0</x:v>
      </x:c>
      <x:c r="K2507" s="289" t="n">
        <x:v>126859</x:v>
      </x:c>
    </x:row>
    <x:row r="2508" s="117" customFormat="1" hidden="1">
      <x:c r="A2508" s="184" t="inlineStr">
        <x:is>
          <x:t xml:space="preserve">PDTSEF001031</x:t>
        </x:is>
      </x:c>
      <x:c r="B2508" s="184" t="inlineStr">
        <x:is>
          <x:t xml:space="preserve">11406316 KIT DE SISTEMA FIJACION Y SELLO SPOOL 010 DN1000</x:t>
        </x:is>
      </x:c>
      <x:c r="C2508" s="184" t="n">
        <x:v>0</x:v>
      </x:c>
      <x:c r="D2508" s="184" t="n">
        <x:v>0</x:v>
      </x:c>
      <x:c r="E2508" s="184" t="n">
        <x:v>0</x:v>
      </x:c>
      <x:c r="F2508" s="184" t="n">
        <x:v>0</x:v>
      </x:c>
      <x:c r="G2508" s="184" t="n">
        <x:v>0</x:v>
      </x:c>
      <x:c r="H2508" s="193" t="n">
        <x:v>0</x:v>
      </x:c>
      <x:c r="I2508" s="185" t="n">
        <x:v>0</x:v>
      </x:c>
      <x:c r="J2508" s="185" t="n">
        <x:v>0</x:v>
      </x:c>
      <x:c r="K2508" s="289" t="n">
        <x:v>72739</x:v>
      </x:c>
    </x:row>
    <x:row r="2509" s="117" customFormat="1" hidden="1">
      <x:c r="A2509" s="184" t="inlineStr">
        <x:is>
          <x:t xml:space="preserve">PDTSEF001033</x:t>
        </x:is>
      </x:c>
      <x:c r="B2509" s="184" t="inlineStr">
        <x:is>
          <x:t xml:space="preserve">11406326 KIT DE SISTEMA FIJACION Y SELLO SPOOL 010 DN1000</x:t>
        </x:is>
      </x:c>
      <x:c r="C2509" s="184" t="n">
        <x:v>0</x:v>
      </x:c>
      <x:c r="D2509" s="184" t="n">
        <x:v>0</x:v>
      </x:c>
      <x:c r="E2509" s="184" t="n">
        <x:v>0</x:v>
      </x:c>
      <x:c r="F2509" s="184" t="n">
        <x:v>0</x:v>
      </x:c>
      <x:c r="G2509" s="184" t="n">
        <x:v>0</x:v>
      </x:c>
      <x:c r="H2509" s="193" t="n">
        <x:v>0</x:v>
      </x:c>
      <x:c r="I2509" s="185" t="n">
        <x:v>0</x:v>
      </x:c>
      <x:c r="J2509" s="185" t="n">
        <x:v>0</x:v>
      </x:c>
      <x:c r="K2509" s="289" t="n">
        <x:v>126859</x:v>
      </x:c>
    </x:row>
    <x:row r="2510" s="117" customFormat="1" hidden="1">
      <x:c r="A2510" s="184" t="inlineStr">
        <x:is>
          <x:t xml:space="preserve">PDTSEF001034</x:t>
        </x:is>
      </x:c>
      <x:c r="B2510" s="184" t="inlineStr">
        <x:is>
          <x:t xml:space="preserve">EMPAQUETADURA PUERTA DE RETORTAC/ALMA DE SILICONA N° PARTE ET30JC1900 COD 107296</x:t>
        </x:is>
      </x:c>
      <x:c r="C2510" s="184" t="n">
        <x:v>77</x:v>
      </x:c>
      <x:c r="D2510" s="184" t="n">
        <x:v>0</x:v>
      </x:c>
      <x:c r="E2510" s="184" t="n">
        <x:v>0</x:v>
      </x:c>
      <x:c r="F2510" s="184" t="n">
        <x:v>77</x:v>
      </x:c>
      <x:c r="G2510" s="184" t="n">
        <x:v>464051</x:v>
      </x:c>
      <x:c r="H2510" s="193" t="n">
        <x:v>0</x:v>
      </x:c>
      <x:c r="I2510" s="185" t="n">
        <x:v>0</x:v>
      </x:c>
      <x:c r="J2510" s="185" t="n">
        <x:v>464051</x:v>
      </x:c>
      <x:c r="K2510" s="289" t="n">
        <x:v>6026.63692308</x:v>
      </x:c>
    </x:row>
    <x:row r="2511" s="117" customFormat="1" hidden="1">
      <x:c r="A2511" s="184" t="inlineStr">
        <x:is>
          <x:t xml:space="preserve">PDTSEF001035</x:t>
        </x:is>
      </x:c>
      <x:c r="B2511" s="184" t="inlineStr">
        <x:is>
          <x:t xml:space="preserve">BANDA ESPUMA ASFALTICA,WD 1900XLG 2000 MM POLIURETANO,COMPRIBABND CODIGO 1094578</x:t>
        </x:is>
      </x:c>
      <x:c r="C2511" s="184" t="n">
        <x:v>0</x:v>
      </x:c>
      <x:c r="D2511" s="184" t="n">
        <x:v>0</x:v>
      </x:c>
      <x:c r="E2511" s="184" t="n">
        <x:v>0</x:v>
      </x:c>
      <x:c r="F2511" s="184" t="n">
        <x:v>0</x:v>
      </x:c>
      <x:c r="G2511" s="184" t="n">
        <x:v>0</x:v>
      </x:c>
      <x:c r="H2511" s="193" t="n">
        <x:v>0</x:v>
      </x:c>
      <x:c r="I2511" s="185" t="n">
        <x:v>0</x:v>
      </x:c>
      <x:c r="J2511" s="185" t="n">
        <x:v>0</x:v>
      </x:c>
      <x:c r="K2511" s="289" t="n">
        <x:v>82000</x:v>
      </x:c>
    </x:row>
    <x:row r="2512" s="117" customFormat="1" hidden="1">
      <x:c r="A2512" s="184" t="inlineStr">
        <x:is>
          <x:t xml:space="preserve">PDTSEF001036</x:t>
        </x:is>
      </x:c>
      <x:c r="B2512" s="184" t="inlineStr">
        <x:is>
          <x:t xml:space="preserve">CONJUNTO DE MANTAS IGNIFUGAS  OC-4500069066 RLS0723-NV0005</x:t>
        </x:is>
      </x:c>
      <x:c r="C2512" s="184" t="n">
        <x:v>0</x:v>
      </x:c>
      <x:c r="D2512" s="184" t="n">
        <x:v>0</x:v>
      </x:c>
      <x:c r="E2512" s="184" t="n">
        <x:v>0</x:v>
      </x:c>
      <x:c r="F2512" s="184" t="n">
        <x:v>0</x:v>
      </x:c>
      <x:c r="G2512" s="184" t="n">
        <x:v>0</x:v>
      </x:c>
      <x:c r="H2512" s="193" t="n">
        <x:v>0</x:v>
      </x:c>
      <x:c r="I2512" s="185" t="n">
        <x:v>0</x:v>
      </x:c>
      <x:c r="J2512" s="185" t="n">
        <x:v>0</x:v>
      </x:c>
      <x:c r="K2512" s="289" t="n">
        <x:v>4678750</x:v>
      </x:c>
    </x:row>
    <x:row r="2513" s="117" customFormat="1" hidden="1">
      <x:c r="A2513" s="184" t="inlineStr">
        <x:is>
          <x:t xml:space="preserve">PDTSEF001037</x:t>
        </x:is>
      </x:c>
      <x:c r="B2513" s="184" t="inlineStr">
        <x:is>
          <x:t xml:space="preserve">PL EPDM 1200 MM X 1 MTS X 6 MM ESP</x:t>
        </x:is>
      </x:c>
      <x:c r="C2513" s="184" t="n">
        <x:v>0</x:v>
      </x:c>
      <x:c r="D2513" s="184" t="n">
        <x:v>0</x:v>
      </x:c>
      <x:c r="E2513" s="184" t="n">
        <x:v>0</x:v>
      </x:c>
      <x:c r="F2513" s="184" t="n">
        <x:v>0</x:v>
      </x:c>
      <x:c r="G2513" s="184" t="n">
        <x:v>0</x:v>
      </x:c>
      <x:c r="H2513" s="193" t="n">
        <x:v>0</x:v>
      </x:c>
      <x:c r="I2513" s="185" t="n">
        <x:v>0</x:v>
      </x:c>
      <x:c r="J2513" s="185" t="n">
        <x:v>0</x:v>
      </x:c>
      <x:c r="K2513" s="289" t="n">
        <x:v>51000</x:v>
      </x:c>
    </x:row>
    <x:row r="2514" s="117" customFormat="1" hidden="1">
      <x:c r="A2514" s="184" t="inlineStr">
        <x:is>
          <x:t xml:space="preserve">PDTSEF001038</x:t>
        </x:is>
      </x:c>
      <x:c r="B2514" s="184" t="inlineStr">
        <x:is>
          <x:t xml:space="preserve">92796 EMPAQUETADURA INVENIO ESTILO 55.55 3/4 X 105 PLG</x:t>
        </x:is>
      </x:c>
      <x:c r="C2514" s="184" t="n">
        <x:v>0</x:v>
      </x:c>
      <x:c r="D2514" s="184" t="n">
        <x:v>0</x:v>
      </x:c>
      <x:c r="E2514" s="184" t="n">
        <x:v>0</x:v>
      </x:c>
      <x:c r="F2514" s="184" t="n">
        <x:v>0</x:v>
      </x:c>
      <x:c r="G2514" s="184" t="n">
        <x:v>0</x:v>
      </x:c>
      <x:c r="H2514" s="193" t="n">
        <x:v>0</x:v>
      </x:c>
      <x:c r="I2514" s="185" t="n">
        <x:v>0</x:v>
      </x:c>
      <x:c r="J2514" s="185" t="n">
        <x:v>0</x:v>
      </x:c>
      <x:c r="K2514" s="289" t="n">
        <x:v>21597</x:v>
      </x:c>
    </x:row>
    <x:row r="2515" s="117" customFormat="1" hidden="1">
      <x:c r="A2515" s="184" t="inlineStr">
        <x:is>
          <x:t xml:space="preserve">PDTSEF001039</x:t>
        </x:is>
      </x:c>
      <x:c r="B2515" s="184" t="inlineStr">
        <x:is>
          <x:t xml:space="preserve">FUELLE JUNTA DE EXPANSION PPT410TFB000 SFL0024-NV0027</x:t>
        </x:is>
      </x:c>
      <x:c r="C2515" s="184" t="n">
        <x:v>0</x:v>
      </x:c>
      <x:c r="D2515" s="184" t="n">
        <x:v>0</x:v>
      </x:c>
      <x:c r="E2515" s="184" t="n">
        <x:v>0</x:v>
      </x:c>
      <x:c r="F2515" s="184" t="n">
        <x:v>0</x:v>
      </x:c>
      <x:c r="G2515" s="184" t="n">
        <x:v>0</x:v>
      </x:c>
      <x:c r="H2515" s="193" t="n">
        <x:v>0</x:v>
      </x:c>
      <x:c r="I2515" s="185" t="n">
        <x:v>0</x:v>
      </x:c>
      <x:c r="J2515" s="185" t="n">
        <x:v>0</x:v>
      </x:c>
      <x:c r="K2515" s="289" t="n">
        <x:v>1114950</x:v>
      </x:c>
    </x:row>
    <x:row r="2516" s="117" customFormat="1" hidden="1">
      <x:c r="A2516" s="184" t="inlineStr">
        <x:is>
          <x:t xml:space="preserve">PDTSEF001040</x:t>
        </x:is>
      </x:c>
      <x:c r="B2516" s="184" t="inlineStr">
        <x:is>
          <x:t xml:space="preserve">CONJUNTO NIVEL CALDERA FENCO CHAGRES</x:t>
        </x:is>
      </x:c>
      <x:c r="C2516" s="184" t="n">
        <x:v>0</x:v>
      </x:c>
      <x:c r="D2516" s="184" t="n">
        <x:v>0</x:v>
      </x:c>
      <x:c r="E2516" s="184" t="n">
        <x:v>0</x:v>
      </x:c>
      <x:c r="F2516" s="184" t="n">
        <x:v>0</x:v>
      </x:c>
      <x:c r="G2516" s="184" t="n">
        <x:v>0</x:v>
      </x:c>
      <x:c r="H2516" s="193" t="n">
        <x:v>0</x:v>
      </x:c>
      <x:c r="I2516" s="185" t="n">
        <x:v>0</x:v>
      </x:c>
      <x:c r="J2516" s="185" t="n">
        <x:v>0</x:v>
      </x:c>
      <x:c r="K2516" s="289" t="n">
        <x:v>20232372</x:v>
      </x:c>
    </x:row>
    <x:row r="2517" s="117" customFormat="1" hidden="1">
      <x:c r="A2517" s="184" t="inlineStr">
        <x:is>
          <x:t xml:space="preserve">PDTSEF001041</x:t>
        </x:is>
      </x:c>
      <x:c r="B2517" s="184" t="inlineStr">
        <x:is>
          <x:t xml:space="preserve">KIT FLANGE CIEGO Y EMPAQ.DN25 PVC PN10 ASME 16,5 PPT022PVC025</x:t>
        </x:is>
      </x:c>
      <x:c r="C2517" s="184" t="n">
        <x:v>0</x:v>
      </x:c>
      <x:c r="D2517" s="184" t="n">
        <x:v>0</x:v>
      </x:c>
      <x:c r="E2517" s="184" t="n">
        <x:v>0</x:v>
      </x:c>
      <x:c r="F2517" s="184" t="n">
        <x:v>0</x:v>
      </x:c>
      <x:c r="G2517" s="184" t="n">
        <x:v>0</x:v>
      </x:c>
      <x:c r="H2517" s="193" t="n">
        <x:v>0</x:v>
      </x:c>
      <x:c r="I2517" s="185" t="n">
        <x:v>0</x:v>
      </x:c>
      <x:c r="J2517" s="185" t="n">
        <x:v>0</x:v>
      </x:c>
      <x:c r="K2517" s="289" t="n">
        <x:v>15990</x:v>
      </x:c>
    </x:row>
    <x:row r="2518" s="117" customFormat="1" hidden="1">
      <x:c r="A2518" s="184" t="inlineStr">
        <x:is>
          <x:t xml:space="preserve">PDTSEF001042</x:t>
        </x:is>
      </x:c>
      <x:c r="B2518" s="184" t="inlineStr">
        <x:is>
          <x:t xml:space="preserve">CONJUNTO MANTA IGNIFUGA OC-4500074905 RLS0424-NV0001 (1)</x:t>
        </x:is>
      </x:c>
      <x:c r="C2518" s="184" t="n">
        <x:v>0</x:v>
      </x:c>
      <x:c r="D2518" s="184" t="n">
        <x:v>0</x:v>
      </x:c>
      <x:c r="E2518" s="184" t="n">
        <x:v>0</x:v>
      </x:c>
      <x:c r="F2518" s="184" t="n">
        <x:v>0</x:v>
      </x:c>
      <x:c r="G2518" s="184" t="n">
        <x:v>0</x:v>
      </x:c>
      <x:c r="H2518" s="193" t="n">
        <x:v>0</x:v>
      </x:c>
      <x:c r="I2518" s="185" t="n">
        <x:v>0</x:v>
      </x:c>
      <x:c r="J2518" s="185" t="n">
        <x:v>0</x:v>
      </x:c>
      <x:c r="K2518" s="289" t="n">
        <x:v>10993760</x:v>
      </x:c>
    </x:row>
    <x:row r="2519" s="117" customFormat="1" hidden="1">
      <x:c r="A2519" s="184" t="inlineStr">
        <x:is>
          <x:t xml:space="preserve">PDTSEF001043</x:t>
        </x:is>
      </x:c>
      <x:c r="B2519" s="184" t="inlineStr">
        <x:is>
          <x:t xml:space="preserve">CONJUNTO MANTA IGNIFUGA OC-4500074905 RLS0424-NV0001 (2)</x:t>
        </x:is>
      </x:c>
      <x:c r="C2519" s="184" t="n">
        <x:v>0</x:v>
      </x:c>
      <x:c r="D2519" s="184" t="n">
        <x:v>0</x:v>
      </x:c>
      <x:c r="E2519" s="184" t="n">
        <x:v>0</x:v>
      </x:c>
      <x:c r="F2519" s="184" t="n">
        <x:v>0</x:v>
      </x:c>
      <x:c r="G2519" s="184" t="n">
        <x:v>0</x:v>
      </x:c>
      <x:c r="H2519" s="193" t="n">
        <x:v>0</x:v>
      </x:c>
      <x:c r="I2519" s="185" t="n">
        <x:v>0</x:v>
      </x:c>
      <x:c r="J2519" s="185" t="n">
        <x:v>0</x:v>
      </x:c>
      <x:c r="K2519" s="289" t="n">
        <x:v>15262132</x:v>
      </x:c>
    </x:row>
    <x:row r="2520" s="117" customFormat="1" hidden="1">
      <x:c r="A2520" s="184" t="inlineStr">
        <x:is>
          <x:t xml:space="preserve">PDTSEF001044</x:t>
        </x:is>
      </x:c>
      <x:c r="B2520" s="184" t="inlineStr">
        <x:is>
          <x:t xml:space="preserve">EPDM ESPESOR 3/16” (4.7MM) ANCHO 1MT</x:t>
        </x:is>
      </x:c>
      <x:c r="C2520" s="184" t="n">
        <x:v>69</x:v>
      </x:c>
      <x:c r="D2520" s="184" t="n">
        <x:v>0</x:v>
      </x:c>
      <x:c r="E2520" s="184" t="n">
        <x:v>0</x:v>
      </x:c>
      <x:c r="F2520" s="184" t="n">
        <x:v>69</x:v>
      </x:c>
      <x:c r="G2520" s="184" t="n">
        <x:v>1053078</x:v>
      </x:c>
      <x:c r="H2520" s="193" t="n">
        <x:v>0</x:v>
      </x:c>
      <x:c r="I2520" s="185" t="n">
        <x:v>0</x:v>
      </x:c>
      <x:c r="J2520" s="185" t="n">
        <x:v>1053078</x:v>
      </x:c>
      <x:c r="K2520" s="289" t="n">
        <x:v>15262</x:v>
      </x:c>
    </x:row>
    <x:row r="2521" s="117" customFormat="1" hidden="1">
      <x:c r="A2521" s="184" t="inlineStr">
        <x:is>
          <x:t xml:space="preserve">PDTSEF001045</x:t>
        </x:is>
      </x:c>
      <x:c r="B2521" s="184" t="inlineStr">
        <x:is>
          <x:t xml:space="preserve">EPDM ESPESOR 3/8” (9.6 MM) ANCHO 1MT</x:t>
        </x:is>
      </x:c>
      <x:c r="C2521" s="184" t="n">
        <x:v>42</x:v>
      </x:c>
      <x:c r="D2521" s="184" t="n">
        <x:v>0</x:v>
      </x:c>
      <x:c r="E2521" s="184" t="n">
        <x:v>0</x:v>
      </x:c>
      <x:c r="F2521" s="184" t="n">
        <x:v>42</x:v>
      </x:c>
      <x:c r="G2521" s="184" t="n">
        <x:v>1778705</x:v>
      </x:c>
      <x:c r="H2521" s="193" t="n">
        <x:v>0</x:v>
      </x:c>
      <x:c r="I2521" s="185" t="n">
        <x:v>0</x:v>
      </x:c>
      <x:c r="J2521" s="185" t="n">
        <x:v>1778705</x:v>
      </x:c>
      <x:c r="K2521" s="289" t="n">
        <x:v>42350.10495579</x:v>
      </x:c>
    </x:row>
    <x:row r="2522" s="117" customFormat="1" hidden="1">
      <x:c r="A2522" s="184" t="inlineStr">
        <x:is>
          <x:t xml:space="preserve">PDTSEF001046</x:t>
        </x:is>
      </x:c>
      <x:c r="B2522" s="184" t="inlineStr">
        <x:is>
          <x:t xml:space="preserve">BRIDA CIEGA MATERIAL PVC DN 1 PLG  ASME B16,5 PN 10 PTT060PVCDN1</x:t>
        </x:is>
      </x:c>
      <x:c r="C2522" s="184" t="n">
        <x:v>0</x:v>
      </x:c>
      <x:c r="D2522" s="184" t="n">
        <x:v>0</x:v>
      </x:c>
      <x:c r="E2522" s="184" t="n">
        <x:v>0</x:v>
      </x:c>
      <x:c r="F2522" s="184" t="n">
        <x:v>0</x:v>
      </x:c>
      <x:c r="G2522" s="184" t="n">
        <x:v>0</x:v>
      </x:c>
      <x:c r="H2522" s="193" t="n">
        <x:v>0</x:v>
      </x:c>
      <x:c r="I2522" s="185" t="n">
        <x:v>0</x:v>
      </x:c>
      <x:c r="J2522" s="185" t="n">
        <x:v>0</x:v>
      </x:c>
      <x:c r="K2522" s="289" t="n">
        <x:v>13000</x:v>
      </x:c>
    </x:row>
    <x:row r="2523" s="117" customFormat="1" hidden="1">
      <x:c r="A2523" s="184" t="inlineStr">
        <x:is>
          <x:t xml:space="preserve">PDTSEF001047</x:t>
        </x:is>
      </x:c>
      <x:c r="B2523" s="184" t="inlineStr">
        <x:is>
          <x:t xml:space="preserve">BRIDA CIEGA MATERIAL PVC DN 2 PLG  ASME B16,5 PN 10 PTT060PVCDN2</x:t>
        </x:is>
      </x:c>
      <x:c r="C2523" s="184" t="n">
        <x:v>0</x:v>
      </x:c>
      <x:c r="D2523" s="184" t="n">
        <x:v>0</x:v>
      </x:c>
      <x:c r="E2523" s="184" t="n">
        <x:v>0</x:v>
      </x:c>
      <x:c r="F2523" s="184" t="n">
        <x:v>0</x:v>
      </x:c>
      <x:c r="G2523" s="184" t="n">
        <x:v>0</x:v>
      </x:c>
      <x:c r="H2523" s="193" t="n">
        <x:v>0</x:v>
      </x:c>
      <x:c r="I2523" s="185" t="n">
        <x:v>0</x:v>
      </x:c>
      <x:c r="J2523" s="185" t="n">
        <x:v>0</x:v>
      </x:c>
      <x:c r="K2523" s="289" t="n">
        <x:v>20000</x:v>
      </x:c>
    </x:row>
    <x:row r="2524" s="117" customFormat="1" hidden="1">
      <x:c r="A2524" s="184" t="inlineStr">
        <x:is>
          <x:t xml:space="preserve">PDTSEF001048</x:t>
        </x:is>
      </x:c>
      <x:c r="B2524" s="184" t="inlineStr">
        <x:is>
          <x:t xml:space="preserve">FLANGE GIEGO PVC ANSI CLASE 150 DN 1.1/2</x:t>
        </x:is>
      </x:c>
      <x:c r="C2524" s="184" t="n">
        <x:v>0</x:v>
      </x:c>
      <x:c r="D2524" s="184" t="n">
        <x:v>0</x:v>
      </x:c>
      <x:c r="E2524" s="184" t="n">
        <x:v>0</x:v>
      </x:c>
      <x:c r="F2524" s="184" t="n">
        <x:v>0</x:v>
      </x:c>
      <x:c r="G2524" s="184" t="n">
        <x:v>0</x:v>
      </x:c>
      <x:c r="H2524" s="193" t="n">
        <x:v>0</x:v>
      </x:c>
      <x:c r="I2524" s="185" t="n">
        <x:v>0</x:v>
      </x:c>
      <x:c r="J2524" s="185" t="n">
        <x:v>0</x:v>
      </x:c>
      <x:c r="K2524" s="289" t="n">
        <x:v>17170</x:v>
      </x:c>
    </x:row>
    <x:row r="2525" s="117" customFormat="1" hidden="1">
      <x:c r="A2525" s="184" t="inlineStr">
        <x:is>
          <x:t xml:space="preserve">PDTSEF001049</x:t>
        </x:is>
      </x:c>
      <x:c r="B2525" s="184" t="inlineStr">
        <x:is>
          <x:t xml:space="preserve">4089996 MANTA TERMICA CALENTADOR AGUA PPT030MTT006</x:t>
        </x:is>
      </x:c>
      <x:c r="C2525" s="184" t="n">
        <x:v>0</x:v>
      </x:c>
      <x:c r="D2525" s="184" t="n">
        <x:v>0</x:v>
      </x:c>
      <x:c r="E2525" s="184" t="n">
        <x:v>0</x:v>
      </x:c>
      <x:c r="F2525" s="184" t="n">
        <x:v>0</x:v>
      </x:c>
      <x:c r="G2525" s="184" t="n">
        <x:v>0</x:v>
      </x:c>
      <x:c r="H2525" s="193" t="n">
        <x:v>0</x:v>
      </x:c>
      <x:c r="I2525" s="185" t="n">
        <x:v>0</x:v>
      </x:c>
      <x:c r="J2525" s="185" t="n">
        <x:v>0</x:v>
      </x:c>
      <x:c r="K2525" s="289" t="n">
        <x:v>3201780</x:v>
      </x:c>
    </x:row>
    <x:row r="2526" s="117" customFormat="1" hidden="1">
      <x:c r="A2526" s="184" t="inlineStr">
        <x:is>
          <x:t xml:space="preserve">PDTSEF001050</x:t>
        </x:is>
      </x:c>
      <x:c r="B2526" s="184" t="inlineStr">
        <x:is>
          <x:t xml:space="preserve">4089990 MANTA TERMICA TUBO 8 PLG X 500 MM PPT030MTT000</x:t>
        </x:is>
      </x:c>
      <x:c r="C2526" s="184" t="n">
        <x:v>0</x:v>
      </x:c>
      <x:c r="D2526" s="184" t="n">
        <x:v>0</x:v>
      </x:c>
      <x:c r="E2526" s="184" t="n">
        <x:v>0</x:v>
      </x:c>
      <x:c r="F2526" s="184" t="n">
        <x:v>0</x:v>
      </x:c>
      <x:c r="G2526" s="184" t="n">
        <x:v>0</x:v>
      </x:c>
      <x:c r="H2526" s="193" t="n">
        <x:v>0</x:v>
      </x:c>
      <x:c r="I2526" s="185" t="n">
        <x:v>0</x:v>
      </x:c>
      <x:c r="J2526" s="185" t="n">
        <x:v>0</x:v>
      </x:c>
      <x:c r="K2526" s="289" t="n">
        <x:v>37179</x:v>
      </x:c>
    </x:row>
    <x:row r="2527" s="117" customFormat="1" hidden="1">
      <x:c r="A2527" s="184" t="inlineStr">
        <x:is>
          <x:t xml:space="preserve">PDTSEF001051</x:t>
        </x:is>
      </x:c>
      <x:c r="B2527" s="184" t="inlineStr">
        <x:is>
          <x:t xml:space="preserve">4089993 CODO TERMICO 90° 8 PLG PPT030MTT003</x:t>
        </x:is>
      </x:c>
      <x:c r="C2527" s="184" t="n">
        <x:v>0</x:v>
      </x:c>
      <x:c r="D2527" s="184" t="n">
        <x:v>0</x:v>
      </x:c>
      <x:c r="E2527" s="184" t="n">
        <x:v>0</x:v>
      </x:c>
      <x:c r="F2527" s="184" t="n">
        <x:v>0</x:v>
      </x:c>
      <x:c r="G2527" s="184" t="n">
        <x:v>0</x:v>
      </x:c>
      <x:c r="H2527" s="193" t="n">
        <x:v>0</x:v>
      </x:c>
      <x:c r="I2527" s="185" t="n">
        <x:v>0</x:v>
      </x:c>
      <x:c r="J2527" s="185" t="n">
        <x:v>0</x:v>
      </x:c>
      <x:c r="K2527" s="289" t="n">
        <x:v>76500</x:v>
      </x:c>
    </x:row>
    <x:row r="2528" s="117" customFormat="1" hidden="1">
      <x:c r="A2528" s="184" t="inlineStr">
        <x:is>
          <x:t xml:space="preserve">PDTSEF001052</x:t>
        </x:is>
      </x:c>
      <x:c r="B2528" s="184" t="inlineStr">
        <x:is>
          <x:t xml:space="preserve">4086780MANTA IGNIFUGA 2000MM X 2000 MM PPT030MIG000</x:t>
        </x:is>
      </x:c>
      <x:c r="C2528" s="184" t="n">
        <x:v>0</x:v>
      </x:c>
      <x:c r="D2528" s="184" t="n">
        <x:v>0</x:v>
      </x:c>
      <x:c r="E2528" s="184" t="n">
        <x:v>0</x:v>
      </x:c>
      <x:c r="F2528" s="184" t="n">
        <x:v>0</x:v>
      </x:c>
      <x:c r="G2528" s="184" t="n">
        <x:v>0</x:v>
      </x:c>
      <x:c r="H2528" s="193" t="n">
        <x:v>0</x:v>
      </x:c>
      <x:c r="I2528" s="185" t="n">
        <x:v>0</x:v>
      </x:c>
      <x:c r="J2528" s="185" t="n">
        <x:v>0</x:v>
      </x:c>
      <x:c r="K2528" s="289" t="n">
        <x:v>196400</x:v>
      </x:c>
    </x:row>
    <x:row r="2529" s="117" customFormat="1" hidden="1">
      <x:c r="A2529" s="184" t="inlineStr">
        <x:is>
          <x:t xml:space="preserve">PDTSEF001053</x:t>
        </x:is>
      </x:c>
      <x:c r="B2529" s="184" t="inlineStr">
        <x:is>
          <x:t xml:space="preserve">4089995 TEE TERMICA REDUCCION  8 X 6 PLG PPT030MTT005</x:t>
        </x:is>
      </x:c>
      <x:c r="C2529" s="184" t="n">
        <x:v>0</x:v>
      </x:c>
      <x:c r="D2529" s="184" t="n">
        <x:v>0</x:v>
      </x:c>
      <x:c r="E2529" s="184" t="n">
        <x:v>0</x:v>
      </x:c>
      <x:c r="F2529" s="184" t="n">
        <x:v>0</x:v>
      </x:c>
      <x:c r="G2529" s="184" t="n">
        <x:v>0</x:v>
      </x:c>
      <x:c r="H2529" s="193" t="n">
        <x:v>0</x:v>
      </x:c>
      <x:c r="I2529" s="185" t="n">
        <x:v>0</x:v>
      </x:c>
      <x:c r="J2529" s="185" t="n">
        <x:v>0</x:v>
      </x:c>
      <x:c r="K2529" s="289" t="n">
        <x:v>86700</x:v>
      </x:c>
    </x:row>
    <x:row r="2530" s="117" customFormat="1" hidden="1">
      <x:c r="A2530" s="184" t="inlineStr">
        <x:is>
          <x:t xml:space="preserve">PDTSEF001054</x:t>
        </x:is>
      </x:c>
      <x:c r="B2530" s="184" t="inlineStr">
        <x:is>
          <x:t xml:space="preserve">4089991 MANTA TERMICA TUBO 8 PLG X 1000 MM  PPT030MTT001</x:t>
        </x:is>
      </x:c>
      <x:c r="C2530" s="184" t="n">
        <x:v>0</x:v>
      </x:c>
      <x:c r="D2530" s="184" t="n">
        <x:v>0</x:v>
      </x:c>
      <x:c r="E2530" s="184" t="n">
        <x:v>0</x:v>
      </x:c>
      <x:c r="F2530" s="184" t="n">
        <x:v>0</x:v>
      </x:c>
      <x:c r="G2530" s="184" t="n">
        <x:v>0</x:v>
      </x:c>
      <x:c r="H2530" s="193" t="n">
        <x:v>0</x:v>
      </x:c>
      <x:c r="I2530" s="185" t="n">
        <x:v>0</x:v>
      </x:c>
      <x:c r="J2530" s="185" t="n">
        <x:v>0</x:v>
      </x:c>
      <x:c r="K2530" s="289" t="n">
        <x:v>74358</x:v>
      </x:c>
    </x:row>
    <x:row r="2531" s="117" customFormat="1" hidden="1">
      <x:c r="A2531" s="184" t="inlineStr">
        <x:is>
          <x:t xml:space="preserve">PDTSEF001055</x:t>
        </x:is>
      </x:c>
      <x:c r="B2531" s="184" t="inlineStr">
        <x:is>
          <x:t xml:space="preserve">4089994 TEE TERMICA 8 PLG PPT030MTT004</x:t>
        </x:is>
      </x:c>
      <x:c r="C2531" s="184" t="n">
        <x:v>0</x:v>
      </x:c>
      <x:c r="D2531" s="184" t="n">
        <x:v>0</x:v>
      </x:c>
      <x:c r="E2531" s="184" t="n">
        <x:v>0</x:v>
      </x:c>
      <x:c r="F2531" s="184" t="n">
        <x:v>0</x:v>
      </x:c>
      <x:c r="G2531" s="184" t="n">
        <x:v>0</x:v>
      </x:c>
      <x:c r="H2531" s="193" t="n">
        <x:v>0</x:v>
      </x:c>
      <x:c r="I2531" s="185" t="n">
        <x:v>0</x:v>
      </x:c>
      <x:c r="J2531" s="185" t="n">
        <x:v>0</x:v>
      </x:c>
      <x:c r="K2531" s="289" t="n">
        <x:v>86700</x:v>
      </x:c>
    </x:row>
    <x:row r="2532" s="117" customFormat="1" hidden="1">
      <x:c r="A2532" s="184" t="inlineStr">
        <x:is>
          <x:t xml:space="preserve">PDTSEF001056</x:t>
        </x:is>
      </x:c>
      <x:c r="B2532" s="184" t="inlineStr">
        <x:is>
          <x:t xml:space="preserve">4089992 MANTA TERMICA TUBO 2000 MM PPT030MTT002</x:t>
        </x:is>
      </x:c>
      <x:c r="C2532" s="184" t="n">
        <x:v>0</x:v>
      </x:c>
      <x:c r="D2532" s="184" t="n">
        <x:v>0</x:v>
      </x:c>
      <x:c r="E2532" s="184" t="n">
        <x:v>0</x:v>
      </x:c>
      <x:c r="F2532" s="184" t="n">
        <x:v>0</x:v>
      </x:c>
      <x:c r="G2532" s="184" t="n">
        <x:v>0</x:v>
      </x:c>
      <x:c r="H2532" s="193" t="n">
        <x:v>0</x:v>
      </x:c>
      <x:c r="I2532" s="185" t="n">
        <x:v>0</x:v>
      </x:c>
      <x:c r="J2532" s="185" t="n">
        <x:v>0</x:v>
      </x:c>
      <x:c r="K2532" s="289" t="n">
        <x:v>148716</x:v>
      </x:c>
    </x:row>
    <x:row r="2533" s="117" customFormat="1" hidden="1">
      <x:c r="A2533" s="184" t="inlineStr">
        <x:is>
          <x:t xml:space="preserve">PDTSEF001057</x:t>
        </x:is>
      </x:c>
      <x:c r="B2533" s="184" t="inlineStr">
        <x:is>
          <x:t xml:space="preserve">4089997 MANTA TERMICA INTERCAMBIADOR  DE CALOR PPT030MTT007</x:t>
        </x:is>
      </x:c>
      <x:c r="C2533" s="184" t="n">
        <x:v>0</x:v>
      </x:c>
      <x:c r="D2533" s="184" t="n">
        <x:v>0</x:v>
      </x:c>
      <x:c r="E2533" s="184" t="n">
        <x:v>0</x:v>
      </x:c>
      <x:c r="F2533" s="184" t="n">
        <x:v>0</x:v>
      </x:c>
      <x:c r="G2533" s="184" t="n">
        <x:v>0</x:v>
      </x:c>
      <x:c r="H2533" s="193" t="n">
        <x:v>0</x:v>
      </x:c>
      <x:c r="I2533" s="185" t="n">
        <x:v>0</x:v>
      </x:c>
      <x:c r="J2533" s="185" t="n">
        <x:v>0</x:v>
      </x:c>
      <x:c r="K2533" s="289" t="n">
        <x:v>2552040</x:v>
      </x:c>
    </x:row>
    <x:row r="2534" s="117" customFormat="1" hidden="1">
      <x:c r="A2534" s="184" t="inlineStr">
        <x:is>
          <x:t xml:space="preserve">PDTSEF001058</x:t>
        </x:is>
      </x:c>
      <x:c r="B2534" s="184" t="inlineStr">
        <x:is>
          <x:t xml:space="preserve">COPLA TRANSICION PVC DN 32 X 1 PLG MARCA GF COD 721913108</x:t>
        </x:is>
      </x:c>
      <x:c r="C2534" s="184" t="n">
        <x:v>0</x:v>
      </x:c>
      <x:c r="D2534" s="184" t="n">
        <x:v>0</x:v>
      </x:c>
      <x:c r="E2534" s="184" t="n">
        <x:v>0</x:v>
      </x:c>
      <x:c r="F2534" s="184" t="n">
        <x:v>0</x:v>
      </x:c>
      <x:c r="G2534" s="184" t="n">
        <x:v>0</x:v>
      </x:c>
      <x:c r="H2534" s="193" t="n">
        <x:v>0</x:v>
      </x:c>
      <x:c r="I2534" s="185" t="n">
        <x:v>0</x:v>
      </x:c>
      <x:c r="J2534" s="185" t="n">
        <x:v>0</x:v>
      </x:c>
      <x:c r="K2534" s="289" t="n">
        <x:v>1790</x:v>
      </x:c>
    </x:row>
    <x:row r="2535" s="117" customFormat="1" hidden="1">
      <x:c r="A2535" s="184" t="inlineStr">
        <x:is>
          <x:t xml:space="preserve">PDTSEF001059</x:t>
        </x:is>
      </x:c>
      <x:c r="B2535" s="184" t="inlineStr">
        <x:is>
          <x:t xml:space="preserve">COPLA TRANSICION PVC DN 40 X 1 .1/4  PLG MARCA GF COD 72191309</x:t>
        </x:is>
      </x:c>
      <x:c r="C2535" s="184" t="n">
        <x:v>0</x:v>
      </x:c>
      <x:c r="D2535" s="184" t="n">
        <x:v>0</x:v>
      </x:c>
      <x:c r="E2535" s="184" t="n">
        <x:v>0</x:v>
      </x:c>
      <x:c r="F2535" s="184" t="n">
        <x:v>0</x:v>
      </x:c>
      <x:c r="G2535" s="184" t="n">
        <x:v>0</x:v>
      </x:c>
      <x:c r="H2535" s="193" t="n">
        <x:v>0</x:v>
      </x:c>
      <x:c r="I2535" s="185" t="n">
        <x:v>0</x:v>
      </x:c>
      <x:c r="J2535" s="185" t="n">
        <x:v>0</x:v>
      </x:c>
      <x:c r="K2535" s="289" t="n">
        <x:v>4194</x:v>
      </x:c>
    </x:row>
    <x:row r="2536" s="117" customFormat="1" hidden="1">
      <x:c r="A2536" s="184" t="inlineStr">
        <x:is>
          <x:t xml:space="preserve">PDTSEF001060</x:t>
        </x:is>
      </x:c>
      <x:c r="B2536" s="184" t="inlineStr">
        <x:is>
          <x:t xml:space="preserve">EMPAQUETADURA DE EPDM 6 MM Y KIT ELEMENTOS FIJACION FLANGE DN500  PPT22KITEPDKI</x:t>
        </x:is>
      </x:c>
      <x:c r="C2536" s="184" t="n">
        <x:v>0</x:v>
      </x:c>
      <x:c r="D2536" s="184" t="n">
        <x:v>0</x:v>
      </x:c>
      <x:c r="E2536" s="184" t="n">
        <x:v>0</x:v>
      </x:c>
      <x:c r="F2536" s="184" t="n">
        <x:v>0</x:v>
      </x:c>
      <x:c r="G2536" s="184" t="n">
        <x:v>0</x:v>
      </x:c>
      <x:c r="H2536" s="193" t="n">
        <x:v>0</x:v>
      </x:c>
      <x:c r="I2536" s="185" t="n">
        <x:v>0</x:v>
      </x:c>
      <x:c r="J2536" s="185" t="n">
        <x:v>0</x:v>
      </x:c>
      <x:c r="K2536" s="289" t="n">
        <x:v>188858</x:v>
      </x:c>
    </x:row>
    <x:row r="2537" s="117" customFormat="1" hidden="1">
      <x:c r="A2537" s="184" t="inlineStr">
        <x:is>
          <x:t xml:space="preserve">PDTSEF001061</x:t>
        </x:is>
      </x:c>
      <x:c r="B2537" s="184" t="inlineStr">
        <x:is>
          <x:t xml:space="preserve">VALVULA CONO MATERIAL PVC DN 4 PN 16 PTT022VALPDN4</x:t>
        </x:is>
      </x:c>
      <x:c r="C2537" s="184" t="n">
        <x:v>0</x:v>
      </x:c>
      <x:c r="D2537" s="184" t="n">
        <x:v>0</x:v>
      </x:c>
      <x:c r="E2537" s="184" t="n">
        <x:v>0</x:v>
      </x:c>
      <x:c r="F2537" s="184" t="n">
        <x:v>0</x:v>
      </x:c>
      <x:c r="G2537" s="184" t="n">
        <x:v>0</x:v>
      </x:c>
      <x:c r="H2537" s="193" t="n">
        <x:v>0</x:v>
      </x:c>
      <x:c r="I2537" s="185" t="n">
        <x:v>0</x:v>
      </x:c>
      <x:c r="J2537" s="185" t="n">
        <x:v>0</x:v>
      </x:c>
      <x:c r="K2537" s="289" t="n">
        <x:v>433000</x:v>
      </x:c>
    </x:row>
    <x:row r="2538" s="117" customFormat="1" hidden="1">
      <x:c r="A2538" s="184" t="inlineStr">
        <x:is>
          <x:t xml:space="preserve">PDTSEF001062</x:t>
        </x:is>
      </x:c>
      <x:c r="B2538" s="184" t="inlineStr">
        <x:is>
          <x:t xml:space="preserve">4217311 EMPAQUETADURA AJUSTE VITON B 6X800MM</x:t>
        </x:is>
      </x:c>
      <x:c r="C2538" s="184" t="n">
        <x:v>0</x:v>
      </x:c>
      <x:c r="D2538" s="184" t="n">
        <x:v>0</x:v>
      </x:c>
      <x:c r="E2538" s="184" t="n">
        <x:v>0</x:v>
      </x:c>
      <x:c r="F2538" s="184" t="n">
        <x:v>0</x:v>
      </x:c>
      <x:c r="G2538" s="184" t="n">
        <x:v>0</x:v>
      </x:c>
      <x:c r="H2538" s="193" t="n">
        <x:v>0</x:v>
      </x:c>
      <x:c r="I2538" s="185" t="n">
        <x:v>0</x:v>
      </x:c>
      <x:c r="J2538" s="185" t="n">
        <x:v>0</x:v>
      </x:c>
      <x:c r="K2538" s="289" t="n">
        <x:v>242900</x:v>
      </x:c>
    </x:row>
    <x:row r="2539" s="117" customFormat="1" hidden="1">
      <x:c r="A2539" s="184" t="inlineStr">
        <x:is>
          <x:t xml:space="preserve">PDTSEF001063</x:t>
        </x:is>
      </x:c>
      <x:c r="B2539" s="184" t="inlineStr">
        <x:is>
          <x:t xml:space="preserve">4217312 EMPAQUETADURA AJUSTE VITON B 6X1170 MM PTTP022VTB01</x:t>
        </x:is>
      </x:c>
      <x:c r="C2539" s="184" t="n">
        <x:v>0</x:v>
      </x:c>
      <x:c r="D2539" s="184" t="n">
        <x:v>0</x:v>
      </x:c>
      <x:c r="E2539" s="184" t="n">
        <x:v>0</x:v>
      </x:c>
      <x:c r="F2539" s="184" t="n">
        <x:v>0</x:v>
      </x:c>
      <x:c r="G2539" s="184" t="n">
        <x:v>0</x:v>
      </x:c>
      <x:c r="H2539" s="193" t="n">
        <x:v>0</x:v>
      </x:c>
      <x:c r="I2539" s="185" t="n">
        <x:v>0</x:v>
      </x:c>
      <x:c r="J2539" s="185" t="n">
        <x:v>0</x:v>
      </x:c>
      <x:c r="K2539" s="289" t="n">
        <x:v>304111</x:v>
      </x:c>
    </x:row>
    <x:row r="2540" s="117" customFormat="1" hidden="1">
      <x:c r="A2540" s="184" t="inlineStr">
        <x:is>
          <x:t xml:space="preserve">PDTSEF001064</x:t>
        </x:is>
      </x:c>
      <x:c r="B2540" s="184" t="inlineStr">
        <x:is>
          <x:t xml:space="preserve">VALVULA DE MARIPOSA DN4 C/ACTUADOR MODELO 567</x:t>
        </x:is>
      </x:c>
      <x:c r="C2540" s="184" t="n">
        <x:v>0</x:v>
      </x:c>
      <x:c r="D2540" s="184" t="n">
        <x:v>0</x:v>
      </x:c>
      <x:c r="E2540" s="184" t="n">
        <x:v>0</x:v>
      </x:c>
      <x:c r="F2540" s="184" t="n">
        <x:v>0</x:v>
      </x:c>
      <x:c r="G2540" s="184" t="n">
        <x:v>0</x:v>
      </x:c>
      <x:c r="H2540" s="193" t="n">
        <x:v>0</x:v>
      </x:c>
      <x:c r="I2540" s="185" t="n">
        <x:v>0</x:v>
      </x:c>
      <x:c r="J2540" s="185" t="n">
        <x:v>0</x:v>
      </x:c>
      <x:c r="K2540" s="289" t="n">
        <x:v>239000</x:v>
      </x:c>
    </x:row>
    <x:row r="2541" s="117" customFormat="1" hidden="1">
      <x:c r="A2541" s="184" t="inlineStr">
        <x:is>
          <x:t xml:space="preserve">PDTSEF001065</x:t>
        </x:is>
      </x:c>
      <x:c r="B2541" s="184" t="inlineStr">
        <x:is>
          <x:t xml:space="preserve">ROTAMETRO VAFM 1500L/H 335 PVC-U/EPDM D40DN32 COD:19933500 MARCA GF PPT199335000</x:t>
        </x:is>
      </x:c>
      <x:c r="C2541" s="184" t="n">
        <x:v>0</x:v>
      </x:c>
      <x:c r="D2541" s="184" t="n">
        <x:v>0</x:v>
      </x:c>
      <x:c r="E2541" s="184" t="n">
        <x:v>0</x:v>
      </x:c>
      <x:c r="F2541" s="184" t="n">
        <x:v>0</x:v>
      </x:c>
      <x:c r="G2541" s="184" t="n">
        <x:v>0</x:v>
      </x:c>
      <x:c r="H2541" s="193" t="n">
        <x:v>0</x:v>
      </x:c>
      <x:c r="I2541" s="185" t="n">
        <x:v>0</x:v>
      </x:c>
      <x:c r="J2541" s="185" t="n">
        <x:v>0</x:v>
      </x:c>
      <x:c r="K2541" s="289" t="n">
        <x:v>521780</x:v>
      </x:c>
    </x:row>
    <x:row r="2542" s="117" customFormat="1" hidden="1">
      <x:c r="A2542" s="184" t="inlineStr">
        <x:is>
          <x:t xml:space="preserve">PDTSEF001066</x:t>
        </x:is>
      </x:c>
      <x:c r="B2542" s="184" t="inlineStr">
        <x:is>
          <x:t xml:space="preserve">4029398 KIT EMPAQ.TRENZADA  430 3/4 6 ANILLOS</x:t>
        </x:is>
      </x:c>
      <x:c r="C2542" s="184" t="n">
        <x:v>0</x:v>
      </x:c>
      <x:c r="D2542" s="184" t="n">
        <x:v>0</x:v>
      </x:c>
      <x:c r="E2542" s="184" t="n">
        <x:v>0</x:v>
      </x:c>
      <x:c r="F2542" s="184" t="n">
        <x:v>0</x:v>
      </x:c>
      <x:c r="G2542" s="184" t="n">
        <x:v>0</x:v>
      </x:c>
      <x:c r="H2542" s="193" t="n">
        <x:v>0</x:v>
      </x:c>
      <x:c r="I2542" s="185" t="n">
        <x:v>0</x:v>
      </x:c>
      <x:c r="J2542" s="185" t="n">
        <x:v>0</x:v>
      </x:c>
      <x:c r="K2542" s="289" t="n">
        <x:v>138855</x:v>
      </x:c>
    </x:row>
    <x:row r="2543" s="117" customFormat="1" hidden="1">
      <x:c r="A2543" s="184" t="inlineStr">
        <x:is>
          <x:t xml:space="preserve">PDTSEF001067</x:t>
        </x:is>
      </x:c>
      <x:c r="B2543" s="184" t="inlineStr">
        <x:is>
          <x:t xml:space="preserve">EPDM ESPESOR 5/16” (7.9 MM) ANCHO 1MT</x:t>
        </x:is>
      </x:c>
      <x:c r="C2543" s="184" t="n">
        <x:v>0</x:v>
      </x:c>
      <x:c r="D2543" s="184" t="n">
        <x:v>0</x:v>
      </x:c>
      <x:c r="E2543" s="184" t="n">
        <x:v>0</x:v>
      </x:c>
      <x:c r="F2543" s="184" t="n">
        <x:v>0</x:v>
      </x:c>
      <x:c r="G2543" s="184" t="n">
        <x:v>0</x:v>
      </x:c>
      <x:c r="H2543" s="193" t="n">
        <x:v>0</x:v>
      </x:c>
      <x:c r="I2543" s="185" t="n">
        <x:v>0</x:v>
      </x:c>
      <x:c r="J2543" s="185" t="n">
        <x:v>0</x:v>
      </x:c>
      <x:c r="K2543" s="289" t="n">
        <x:v>106498</x:v>
      </x:c>
    </x:row>
    <x:row r="2544" s="117" customFormat="1" hidden="1">
      <x:c r="A2544" s="184" t="inlineStr">
        <x:is>
          <x:t xml:space="preserve">PDTSEF001068</x:t>
        </x:is>
      </x:c>
      <x:c r="B2544" s="184" t="inlineStr">
        <x:is>
          <x:t xml:space="preserve">TERMORESISTENCIA TR10-B MOD-45943854 ACCIONA SFL0525-NV0006</x:t>
        </x:is>
      </x:c>
      <x:c r="C2544" s="184" t="n">
        <x:v>0</x:v>
      </x:c>
      <x:c r="D2544" s="184" t="n">
        <x:v>0</x:v>
      </x:c>
      <x:c r="E2544" s="184" t="n">
        <x:v>0</x:v>
      </x:c>
      <x:c r="F2544" s="184" t="n">
        <x:v>0</x:v>
      </x:c>
      <x:c r="G2544" s="184" t="n">
        <x:v>0</x:v>
      </x:c>
      <x:c r="H2544" s="193" t="n">
        <x:v>0</x:v>
      </x:c>
      <x:c r="I2544" s="185" t="n">
        <x:v>0</x:v>
      </x:c>
      <x:c r="J2544" s="185" t="n">
        <x:v>0</x:v>
      </x:c>
      <x:c r="K2544" s="289" t="n">
        <x:v>1232506</x:v>
      </x:c>
    </x:row>
    <x:row r="2545" s="117" customFormat="1" hidden="1">
      <x:c r="A2545" s="184" t="inlineStr">
        <x:is>
          <x:t xml:space="preserve">PDTSEF001099</x:t>
        </x:is>
      </x:c>
      <x:c r="B2545" s="184" t="inlineStr">
        <x:is>
          <x:t xml:space="preserve">VENTA DE MP OBSOLETAS O DESPUNTES</x:t>
        </x:is>
      </x:c>
      <x:c r="C2545" s="184" t="n">
        <x:v>0</x:v>
      </x:c>
      <x:c r="D2545" s="184" t="n">
        <x:v>0</x:v>
      </x:c>
      <x:c r="E2545" s="184" t="n">
        <x:v>0</x:v>
      </x:c>
      <x:c r="F2545" s="184" t="n">
        <x:v>0</x:v>
      </x:c>
      <x:c r="G2545" s="184" t="n">
        <x:v>0</x:v>
      </x:c>
      <x:c r="H2545" s="193" t="n">
        <x:v>0</x:v>
      </x:c>
      <x:c r="I2545" s="185" t="n">
        <x:v>0</x:v>
      </x:c>
      <x:c r="J2545" s="185" t="n">
        <x:v>0</x:v>
      </x:c>
      <x:c r="K2545" s="289" t="n">
        <x:v>1</x:v>
      </x:c>
    </x:row>
    <x:row r="2546" s="117" customFormat="1" hidden="1">
      <x:c r="A2546" s="184" t="inlineStr">
        <x:is>
          <x:t xml:space="preserve">PDTSEF001100</x:t>
        </x:is>
      </x:c>
      <x:c r="B2546" s="184" t="inlineStr">
        <x:is>
          <x:t xml:space="preserve">EPDM ESPESOR 1/8” (3.2MM) ANCHO 1200MM</x:t>
        </x:is>
      </x:c>
      <x:c r="C2546" s="184" t="n">
        <x:v>0</x:v>
      </x:c>
      <x:c r="D2546" s="184" t="n">
        <x:v>0</x:v>
      </x:c>
      <x:c r="E2546" s="184" t="n">
        <x:v>0</x:v>
      </x:c>
      <x:c r="F2546" s="184" t="n">
        <x:v>0</x:v>
      </x:c>
      <x:c r="G2546" s="184" t="n">
        <x:v>0</x:v>
      </x:c>
      <x:c r="H2546" s="193" t="n">
        <x:v>0</x:v>
      </x:c>
      <x:c r="I2546" s="185" t="n">
        <x:v>0</x:v>
      </x:c>
      <x:c r="J2546" s="185" t="n">
        <x:v>0</x:v>
      </x:c>
      <x:c r="K2546" s="289" t="n">
        <x:v>0</x:v>
      </x:c>
    </x:row>
    <x:row r="2547" s="117" customFormat="1" hidden="1">
      <x:c r="A2547" s="184" t="inlineStr">
        <x:is>
          <x:t xml:space="preserve">PDTSEF001101</x:t>
        </x:is>
      </x:c>
      <x:c r="B2547" s="184" t="inlineStr">
        <x:is>
          <x:t xml:space="preserve">EPDM ESPESOR 1/4” (6.4 MM) ANCHO 1200MM</x:t>
        </x:is>
      </x:c>
      <x:c r="C2547" s="184" t="n">
        <x:v>0</x:v>
      </x:c>
      <x:c r="D2547" s="184" t="n">
        <x:v>0</x:v>
      </x:c>
      <x:c r="E2547" s="184" t="n">
        <x:v>0</x:v>
      </x:c>
      <x:c r="F2547" s="184" t="n">
        <x:v>0</x:v>
      </x:c>
      <x:c r="G2547" s="184" t="n">
        <x:v>0</x:v>
      </x:c>
      <x:c r="H2547" s="193" t="n">
        <x:v>0</x:v>
      </x:c>
      <x:c r="I2547" s="185" t="n">
        <x:v>0</x:v>
      </x:c>
      <x:c r="J2547" s="185" t="n">
        <x:v>0</x:v>
      </x:c>
      <x:c r="K2547" s="289" t="n">
        <x:v>0</x:v>
      </x:c>
    </x:row>
    <x:row r="2548" s="117" customFormat="1" hidden="1">
      <x:c r="A2548" s="184" t="inlineStr">
        <x:is>
          <x:t xml:space="preserve">PDTVULACC001</x:t>
        </x:is>
      </x:c>
      <x:c r="B2548" s="184" t="inlineStr">
        <x:is>
          <x:t xml:space="preserve">ANILLO RETENEDOR 8 PLG WS8009E62  CORTE Y ZINCADO</x:t>
        </x:is>
      </x:c>
      <x:c r="C2548" s="184" t="n">
        <x:v>0</x:v>
      </x:c>
      <x:c r="D2548" s="184" t="n">
        <x:v>0</x:v>
      </x:c>
      <x:c r="E2548" s="184" t="n">
        <x:v>0</x:v>
      </x:c>
      <x:c r="F2548" s="184" t="n">
        <x:v>0</x:v>
      </x:c>
      <x:c r="G2548" s="184" t="n">
        <x:v>0</x:v>
      </x:c>
      <x:c r="H2548" s="193" t="n">
        <x:v>0</x:v>
      </x:c>
      <x:c r="I2548" s="185" t="n">
        <x:v>0</x:v>
      </x:c>
      <x:c r="J2548" s="185" t="n">
        <x:v>0</x:v>
      </x:c>
      <x:c r="K2548" s="289" t="n">
        <x:v>9751</x:v>
      </x:c>
    </x:row>
    <x:row r="2549" s="117" customFormat="1" hidden="1">
      <x:c r="A2549" s="184" t="inlineStr">
        <x:is>
          <x:t xml:space="preserve">PDTVULACC002</x:t>
        </x:is>
      </x:c>
      <x:c r="B2549" s="184" t="inlineStr">
        <x:is>
          <x:t xml:space="preserve">ANILLO RETENEDOR 3 PLG WS3009E62  CORTE Y ZINCADO</x:t>
        </x:is>
      </x:c>
      <x:c r="C2549" s="184" t="n">
        <x:v>0</x:v>
      </x:c>
      <x:c r="D2549" s="184" t="n">
        <x:v>0</x:v>
      </x:c>
      <x:c r="E2549" s="184" t="n">
        <x:v>0</x:v>
      </x:c>
      <x:c r="F2549" s="184" t="n">
        <x:v>0</x:v>
      </x:c>
      <x:c r="G2549" s="184" t="n">
        <x:v>0</x:v>
      </x:c>
      <x:c r="H2549" s="193" t="n">
        <x:v>0</x:v>
      </x:c>
      <x:c r="I2549" s="185" t="n">
        <x:v>0</x:v>
      </x:c>
      <x:c r="J2549" s="185" t="n">
        <x:v>0</x:v>
      </x:c>
      <x:c r="K2549" s="289" t="n">
        <x:v>0</x:v>
      </x:c>
    </x:row>
    <x:row r="2550" s="117" customFormat="1" hidden="1">
      <x:c r="A2550" s="184" t="inlineStr">
        <x:is>
          <x:t xml:space="preserve">PDTVULACC003</x:t>
        </x:is>
      </x:c>
      <x:c r="B2550" s="184" t="inlineStr">
        <x:is>
          <x:t xml:space="preserve">ANILLO RETENEDOR 4 PLG WS4009E62  CORTE Y ZINCADO</x:t>
        </x:is>
      </x:c>
      <x:c r="C2550" s="184" t="n">
        <x:v>0</x:v>
      </x:c>
      <x:c r="D2550" s="184" t="n">
        <x:v>0</x:v>
      </x:c>
      <x:c r="E2550" s="184" t="n">
        <x:v>0</x:v>
      </x:c>
      <x:c r="F2550" s="184" t="n">
        <x:v>0</x:v>
      </x:c>
      <x:c r="G2550" s="184" t="n">
        <x:v>0</x:v>
      </x:c>
      <x:c r="H2550" s="193" t="n">
        <x:v>0</x:v>
      </x:c>
      <x:c r="I2550" s="185" t="n">
        <x:v>0</x:v>
      </x:c>
      <x:c r="J2550" s="185" t="n">
        <x:v>0</x:v>
      </x:c>
      <x:c r="K2550" s="289" t="n">
        <x:v>4315</x:v>
      </x:c>
    </x:row>
    <x:row r="2551" s="117" customFormat="1" hidden="1">
      <x:c r="A2551" s="184" t="inlineStr">
        <x:is>
          <x:t xml:space="preserve">PDTVULACC004</x:t>
        </x:is>
      </x:c>
      <x:c r="B2551" s="184" t="inlineStr">
        <x:is>
          <x:t xml:space="preserve">ANILLO RETENEDOR 10 PLG WS10009E62  CORTE Y ZINCADO</x:t>
        </x:is>
      </x:c>
      <x:c r="C2551" s="184" t="n">
        <x:v>0</x:v>
      </x:c>
      <x:c r="D2551" s="184" t="n">
        <x:v>0</x:v>
      </x:c>
      <x:c r="E2551" s="184" t="n">
        <x:v>0</x:v>
      </x:c>
      <x:c r="F2551" s="184" t="n">
        <x:v>0</x:v>
      </x:c>
      <x:c r="G2551" s="184" t="n">
        <x:v>0</x:v>
      </x:c>
      <x:c r="H2551" s="193" t="n">
        <x:v>0</x:v>
      </x:c>
      <x:c r="I2551" s="185" t="n">
        <x:v>0</x:v>
      </x:c>
      <x:c r="J2551" s="185" t="n">
        <x:v>0</x:v>
      </x:c>
      <x:c r="K2551" s="289" t="n">
        <x:v>12048</x:v>
      </x:c>
    </x:row>
    <x:row r="2552" s="117" customFormat="1" hidden="1">
      <x:c r="A2552" s="184" t="inlineStr">
        <x:is>
          <x:t xml:space="preserve">PDTVULACC005</x:t>
        </x:is>
      </x:c>
      <x:c r="B2552" s="184" t="inlineStr">
        <x:is>
          <x:t xml:space="preserve">ANILLO RETENEDOR 6 PLG WS6009E62  CORTE Y ZINCADO</x:t>
        </x:is>
      </x:c>
      <x:c r="C2552" s="184" t="n">
        <x:v>0</x:v>
      </x:c>
      <x:c r="D2552" s="184" t="n">
        <x:v>0</x:v>
      </x:c>
      <x:c r="E2552" s="184" t="n">
        <x:v>0</x:v>
      </x:c>
      <x:c r="F2552" s="184" t="n">
        <x:v>0</x:v>
      </x:c>
      <x:c r="G2552" s="184" t="n">
        <x:v>1</x:v>
      </x:c>
      <x:c r="H2552" s="193" t="n">
        <x:v>0</x:v>
      </x:c>
      <x:c r="I2552" s="185" t="n">
        <x:v>0</x:v>
      </x:c>
      <x:c r="J2552" s="185" t="n">
        <x:v>1</x:v>
      </x:c>
      <x:c r="K2552" s="289" t="n">
        <x:v>4476.1223775</x:v>
      </x:c>
    </x:row>
    <x:row r="2553" s="117" customFormat="1" hidden="1">
      <x:c r="A2553" s="184" t="inlineStr">
        <x:is>
          <x:t xml:space="preserve">PDTVULACC006</x:t>
        </x:is>
      </x:c>
      <x:c r="B2553" s="184" t="inlineStr">
        <x:is>
          <x:t xml:space="preserve">ANILLO RETENEDOR 12 PLG WS12009E62  CORTE Y ZINCADO</x:t>
        </x:is>
      </x:c>
      <x:c r="C2553" s="184" t="n">
        <x:v>0</x:v>
      </x:c>
      <x:c r="D2553" s="184" t="n">
        <x:v>0</x:v>
      </x:c>
      <x:c r="E2553" s="184" t="n">
        <x:v>0</x:v>
      </x:c>
      <x:c r="F2553" s="184" t="n">
        <x:v>0</x:v>
      </x:c>
      <x:c r="G2553" s="184" t="n">
        <x:v>0</x:v>
      </x:c>
      <x:c r="H2553" s="193" t="n">
        <x:v>0</x:v>
      </x:c>
      <x:c r="I2553" s="185" t="n">
        <x:v>0</x:v>
      </x:c>
      <x:c r="J2553" s="185" t="n">
        <x:v>0</x:v>
      </x:c>
      <x:c r="K2553" s="289" t="n">
        <x:v>12965</x:v>
      </x:c>
    </x:row>
    <x:row r="2554" s="117" customFormat="1" hidden="1">
      <x:c r="A2554" s="184" t="inlineStr">
        <x:is>
          <x:t xml:space="preserve">PDTVULACC007</x:t>
        </x:is>
      </x:c>
      <x:c r="B2554" s="184" t="inlineStr">
        <x:is>
          <x:t xml:space="preserve">ANILLO RETENEDOR 14 PLG WS14009E62  CORTE Y ZINCADO</x:t>
        </x:is>
      </x:c>
      <x:c r="C2554" s="184" t="n">
        <x:v>0</x:v>
      </x:c>
      <x:c r="D2554" s="184" t="n">
        <x:v>0</x:v>
      </x:c>
      <x:c r="E2554" s="184" t="n">
        <x:v>0</x:v>
      </x:c>
      <x:c r="F2554" s="184" t="n">
        <x:v>0</x:v>
      </x:c>
      <x:c r="G2554" s="184" t="n">
        <x:v>0</x:v>
      </x:c>
      <x:c r="H2554" s="193" t="n">
        <x:v>0</x:v>
      </x:c>
      <x:c r="I2554" s="185" t="n">
        <x:v>0</x:v>
      </x:c>
      <x:c r="J2554" s="185" t="n">
        <x:v>0</x:v>
      </x:c>
      <x:c r="K2554" s="289" t="n">
        <x:v>0</x:v>
      </x:c>
    </x:row>
    <x:row r="2555" s="117" customFormat="1" hidden="1">
      <x:c r="A2555" s="184" t="inlineStr">
        <x:is>
          <x:t xml:space="preserve">PDTVULACC008</x:t>
        </x:is>
      </x:c>
      <x:c r="B2555" s="184" t="inlineStr">
        <x:is>
          <x:t xml:space="preserve">ALMA FLANGE ALIMENTACION A3-112-134224</x:t>
        </x:is>
      </x:c>
      <x:c r="C2555" s="184" t="n">
        <x:v>0</x:v>
      </x:c>
      <x:c r="D2555" s="184" t="n">
        <x:v>0</x:v>
      </x:c>
      <x:c r="E2555" s="184" t="n">
        <x:v>0</x:v>
      </x:c>
      <x:c r="F2555" s="184" t="n">
        <x:v>0</x:v>
      </x:c>
      <x:c r="G2555" s="184" t="n">
        <x:v>0</x:v>
      </x:c>
      <x:c r="H2555" s="193" t="n">
        <x:v>0</x:v>
      </x:c>
      <x:c r="I2555" s="185" t="n">
        <x:v>0</x:v>
      </x:c>
      <x:c r="J2555" s="185" t="n">
        <x:v>0</x:v>
      </x:c>
      <x:c r="K2555" s="289" t="n">
        <x:v>0</x:v>
      </x:c>
    </x:row>
    <x:row r="2556" s="117" customFormat="1" hidden="1">
      <x:c r="A2556" s="184" t="inlineStr">
        <x:is>
          <x:t xml:space="preserve">PDTVULACC009</x:t>
        </x:is>
      </x:c>
      <x:c r="B2556" s="184" t="inlineStr">
        <x:is>
          <x:t xml:space="preserve">ANILLO RETENEDOR V.CUCHILLO 6 PLG WS6009E62</x:t>
        </x:is>
      </x:c>
      <x:c r="C2556" s="184" t="n">
        <x:v>0</x:v>
      </x:c>
      <x:c r="D2556" s="184" t="n">
        <x:v>0</x:v>
      </x:c>
      <x:c r="E2556" s="184" t="n">
        <x:v>0</x:v>
      </x:c>
      <x:c r="F2556" s="184" t="n">
        <x:v>0</x:v>
      </x:c>
      <x:c r="G2556" s="184" t="n">
        <x:v>0</x:v>
      </x:c>
      <x:c r="H2556" s="193" t="n">
        <x:v>0</x:v>
      </x:c>
      <x:c r="I2556" s="185" t="n">
        <x:v>0</x:v>
      </x:c>
      <x:c r="J2556" s="185" t="n">
        <x:v>0</x:v>
      </x:c>
      <x:c r="K2556" s="289" t="n">
        <x:v>4998</x:v>
      </x:c>
    </x:row>
    <x:row r="2557" s="117" customFormat="1" hidden="1">
      <x:c r="A2557" s="184" t="inlineStr">
        <x:is>
          <x:t xml:space="preserve">PDTVULACC010</x:t>
        </x:is>
      </x:c>
      <x:c r="B2557" s="184" t="inlineStr">
        <x:is>
          <x:t xml:space="preserve">ALMA FLANGE ALIMENTACION A3-112-1-134224  CODIGO XX15029CVXA1E02</x:t>
        </x:is>
      </x:c>
      <x:c r="C2557" s="184" t="n">
        <x:v>0</x:v>
      </x:c>
      <x:c r="D2557" s="184" t="n">
        <x:v>0</x:v>
      </x:c>
      <x:c r="E2557" s="184" t="n">
        <x:v>0</x:v>
      </x:c>
      <x:c r="F2557" s="184" t="n">
        <x:v>0</x:v>
      </x:c>
      <x:c r="G2557" s="184" t="n">
        <x:v>0</x:v>
      </x:c>
      <x:c r="H2557" s="193" t="n">
        <x:v>0</x:v>
      </x:c>
      <x:c r="I2557" s="185" t="n">
        <x:v>0</x:v>
      </x:c>
      <x:c r="J2557" s="185" t="n">
        <x:v>0</x:v>
      </x:c>
      <x:c r="K2557" s="289" t="n">
        <x:v>19865</x:v>
      </x:c>
    </x:row>
    <x:row r="2558" s="117" customFormat="1" hidden="1">
      <x:c r="A2558" s="184" t="inlineStr">
        <x:is>
          <x:t xml:space="preserve">PDTVULACC011</x:t>
        </x:is>
      </x:c>
      <x:c r="B2558" s="184" t="inlineStr">
        <x:is>
          <x:t xml:space="preserve">ANILLO RETENEDOR V.CUCHILLO 4 PLG  WHP 500 B CODIGO WHP4009A37</x:t>
        </x:is>
      </x:c>
      <x:c r="C2558" s="184" t="n">
        <x:v>0</x:v>
      </x:c>
      <x:c r="D2558" s="184" t="n">
        <x:v>0</x:v>
      </x:c>
      <x:c r="E2558" s="184" t="n">
        <x:v>0</x:v>
      </x:c>
      <x:c r="F2558" s="184" t="n">
        <x:v>0</x:v>
      </x:c>
      <x:c r="G2558" s="184" t="n">
        <x:v>0</x:v>
      </x:c>
      <x:c r="H2558" s="193" t="n">
        <x:v>0</x:v>
      </x:c>
      <x:c r="I2558" s="185" t="n">
        <x:v>0</x:v>
      </x:c>
      <x:c r="J2558" s="185" t="n">
        <x:v>0</x:v>
      </x:c>
      <x:c r="K2558" s="289" t="n">
        <x:v>37650</x:v>
      </x:c>
    </x:row>
    <x:row r="2559" s="117" customFormat="1" hidden="1">
      <x:c r="A2559" s="184" t="inlineStr">
        <x:is>
          <x:t xml:space="preserve">PDTVULECO001</x:t>
        </x:is>
      </x:c>
      <x:c r="B2559" s="184" t="inlineStr">
        <x:is>
          <x:t xml:space="preserve">BGH 6X8 EMPAQUETADURA TAPA P.RODAMIENTO B060707500</x:t>
        </x:is>
      </x:c>
      <x:c r="C2559" s="184" t="n">
        <x:v>0</x:v>
      </x:c>
      <x:c r="D2559" s="184" t="n">
        <x:v>0</x:v>
      </x:c>
      <x:c r="E2559" s="184" t="n">
        <x:v>0</x:v>
      </x:c>
      <x:c r="F2559" s="184" t="n">
        <x:v>0</x:v>
      </x:c>
      <x:c r="G2559" s="184" t="n">
        <x:v>0</x:v>
      </x:c>
      <x:c r="H2559" s="193" t="n">
        <x:v>0</x:v>
      </x:c>
      <x:c r="I2559" s="185" t="n">
        <x:v>0</x:v>
      </x:c>
      <x:c r="J2559" s="185" t="n">
        <x:v>0</x:v>
      </x:c>
      <x:c r="K2559" s="289" t="n">
        <x:v>3375</x:v>
      </x:c>
    </x:row>
    <x:row r="2560" s="117" customFormat="1" hidden="1">
      <x:c r="A2560" s="184" t="inlineStr">
        <x:is>
          <x:t xml:space="preserve">PDTVULECO002</x:t>
        </x:is>
      </x:c>
      <x:c r="B2560" s="184" t="inlineStr">
        <x:is>
          <x:t xml:space="preserve">EMPAQUETADURA DESCARGA P/BBA FLOTANTE CÓDIGO B563420041</x:t>
        </x:is>
      </x:c>
      <x:c r="C2560" s="184" t="n">
        <x:v>0</x:v>
      </x:c>
      <x:c r="D2560" s="184" t="n">
        <x:v>1</x:v>
      </x:c>
      <x:c r="E2560" s="184" t="n">
        <x:v>1</x:v>
      </x:c>
      <x:c r="F2560" s="184" t="n">
        <x:v>0</x:v>
      </x:c>
      <x:c r="G2560" s="184" t="n">
        <x:v>0</x:v>
      </x:c>
      <x:c r="H2560" s="193" t="n">
        <x:v>18888</x:v>
      </x:c>
      <x:c r="I2560" s="185" t="n">
        <x:v>18888</x:v>
      </x:c>
      <x:c r="J2560" s="185" t="n">
        <x:v>0</x:v>
      </x:c>
      <x:c r="K2560" s="289" t="n">
        <x:v>18888</x:v>
      </x:c>
    </x:row>
    <x:row r="2561" s="117" customFormat="1" hidden="1">
      <x:c r="A2561" s="184" t="inlineStr">
        <x:is>
          <x:t xml:space="preserve">PDTVULECO003</x:t>
        </x:is>
      </x:c>
      <x:c r="B2561" s="184" t="inlineStr">
        <x:is>
          <x:t xml:space="preserve">EMPAQUETADURA DURLONM 9000 138X111X1/16 WEM95AP520G00</x:t>
        </x:is>
      </x:c>
      <x:c r="C2561" s="184" t="n">
        <x:v>0</x:v>
      </x:c>
      <x:c r="D2561" s="184" t="n">
        <x:v>0</x:v>
      </x:c>
      <x:c r="E2561" s="184" t="n">
        <x:v>0</x:v>
      </x:c>
      <x:c r="F2561" s="184" t="n">
        <x:v>0</x:v>
      </x:c>
      <x:c r="G2561" s="184" t="n">
        <x:v>0</x:v>
      </x:c>
      <x:c r="H2561" s="193" t="n">
        <x:v>0</x:v>
      </x:c>
      <x:c r="I2561" s="185" t="n">
        <x:v>0</x:v>
      </x:c>
      <x:c r="J2561" s="185" t="n">
        <x:v>0</x:v>
      </x:c>
      <x:c r="K2561" s="289" t="n">
        <x:v>3730</x:v>
      </x:c>
    </x:row>
    <x:row r="2562" s="117" customFormat="1" hidden="1">
      <x:c r="A2562" s="184" t="inlineStr">
        <x:is>
          <x:t xml:space="preserve">PDTVULECO004</x:t>
        </x:is>
      </x:c>
      <x:c r="B2562" s="184" t="inlineStr">
        <x:is>
          <x:t xml:space="preserve">GASKET DISCHARGE ASH 2.1/2X2 G667 A410127062</x:t>
        </x:is>
      </x:c>
      <x:c r="C2562" s="184" t="n">
        <x:v>0</x:v>
      </x:c>
      <x:c r="D2562" s="184" t="n">
        <x:v>0</x:v>
      </x:c>
      <x:c r="E2562" s="184" t="n">
        <x:v>0</x:v>
      </x:c>
      <x:c r="F2562" s="184" t="n">
        <x:v>0</x:v>
      </x:c>
      <x:c r="G2562" s="184" t="n">
        <x:v>0</x:v>
      </x:c>
      <x:c r="H2562" s="193" t="n">
        <x:v>0</x:v>
      </x:c>
      <x:c r="I2562" s="185" t="n">
        <x:v>0</x:v>
      </x:c>
      <x:c r="J2562" s="185" t="n">
        <x:v>0</x:v>
      </x:c>
      <x:c r="K2562" s="289" t="n">
        <x:v>7280</x:v>
      </x:c>
    </x:row>
    <x:row r="2563" s="117" customFormat="1" hidden="1">
      <x:c r="A2563" s="184" t="inlineStr">
        <x:is>
          <x:t xml:space="preserve">PDTVULECO005</x:t>
        </x:is>
      </x:c>
      <x:c r="B2563" s="184" t="inlineStr">
        <x:is>
          <x:t xml:space="preserve">ANILLO SELLO VITON  DIAM 26/12X3.2 MM 7672AA0011</x:t>
        </x:is>
      </x:c>
      <x:c r="C2563" s="184" t="n">
        <x:v>0</x:v>
      </x:c>
      <x:c r="D2563" s="184" t="n">
        <x:v>0</x:v>
      </x:c>
      <x:c r="E2563" s="184" t="n">
        <x:v>0</x:v>
      </x:c>
      <x:c r="F2563" s="184" t="n">
        <x:v>0</x:v>
      </x:c>
      <x:c r="G2563" s="184" t="n">
        <x:v>0</x:v>
      </x:c>
      <x:c r="H2563" s="193" t="n">
        <x:v>0</x:v>
      </x:c>
      <x:c r="I2563" s="185" t="n">
        <x:v>0</x:v>
      </x:c>
      <x:c r="J2563" s="185" t="n">
        <x:v>0</x:v>
      </x:c>
      <x:c r="K2563" s="289" t="n">
        <x:v>499</x:v>
      </x:c>
    </x:row>
    <x:row r="2564" s="117" customFormat="1" hidden="1">
      <x:c r="A2564" s="184" t="inlineStr">
        <x:is>
          <x:t xml:space="preserve">PDTVULECO006</x:t>
        </x:is>
      </x:c>
      <x:c r="B2564" s="184" t="inlineStr">
        <x:is>
          <x:t xml:space="preserve">EMPAQUETADURA FLG DIA6 PLG ESP. 3 MM NEOP 113EA0011</x:t>
        </x:is>
      </x:c>
      <x:c r="C2564" s="184" t="n">
        <x:v>0</x:v>
      </x:c>
      <x:c r="D2564" s="184" t="n">
        <x:v>0</x:v>
      </x:c>
      <x:c r="E2564" s="184" t="n">
        <x:v>0</x:v>
      </x:c>
      <x:c r="F2564" s="184" t="n">
        <x:v>0</x:v>
      </x:c>
      <x:c r="G2564" s="184" t="n">
        <x:v>0</x:v>
      </x:c>
      <x:c r="H2564" s="193" t="n">
        <x:v>0</x:v>
      </x:c>
      <x:c r="I2564" s="185" t="n">
        <x:v>0</x:v>
      </x:c>
      <x:c r="J2564" s="185" t="n">
        <x:v>0</x:v>
      </x:c>
      <x:c r="K2564" s="289" t="n">
        <x:v>5084</x:v>
      </x:c>
    </x:row>
    <x:row r="2565" s="117" customFormat="1" hidden="1">
      <x:c r="A2565" s="184" t="inlineStr">
        <x:is>
          <x:t xml:space="preserve">PDTVULECO007</x:t>
        </x:is>
      </x:c>
      <x:c r="B2565" s="184" t="inlineStr">
        <x:is>
          <x:t xml:space="preserve">EMPAQUETADURA TAPA PORTA ROD. L.IMPULSOR ASH 8ME A820155100</x:t>
        </x:is>
      </x:c>
      <x:c r="C2565" s="184" t="n">
        <x:v>0</x:v>
      </x:c>
      <x:c r="D2565" s="184" t="n">
        <x:v>0</x:v>
      </x:c>
      <x:c r="E2565" s="184" t="n">
        <x:v>0</x:v>
      </x:c>
      <x:c r="F2565" s="184" t="n">
        <x:v>0</x:v>
      </x:c>
      <x:c r="G2565" s="184" t="n">
        <x:v>0</x:v>
      </x:c>
      <x:c r="H2565" s="193" t="n">
        <x:v>0</x:v>
      </x:c>
      <x:c r="I2565" s="185" t="n">
        <x:v>0</x:v>
      </x:c>
      <x:c r="J2565" s="185" t="n">
        <x:v>0</x:v>
      </x:c>
      <x:c r="K2565" s="289" t="n">
        <x:v>1239</x:v>
      </x:c>
    </x:row>
    <x:row r="2566" s="117" customFormat="1" hidden="1">
      <x:c r="A2566" s="184" t="inlineStr">
        <x:is>
          <x:t xml:space="preserve">PDTVULECO008</x:t>
        </x:is>
      </x:c>
      <x:c r="B2566" s="184" t="inlineStr">
        <x:is>
          <x:t xml:space="preserve">BMA31-10 EMPHENOL CONNECTOR SEALING VITON</x:t>
        </x:is>
      </x:c>
      <x:c r="C2566" s="184" t="n">
        <x:v>0</x:v>
      </x:c>
      <x:c r="D2566" s="184" t="n">
        <x:v>0</x:v>
      </x:c>
      <x:c r="E2566" s="184" t="n">
        <x:v>0</x:v>
      </x:c>
      <x:c r="F2566" s="184" t="n">
        <x:v>0</x:v>
      </x:c>
      <x:c r="G2566" s="184" t="n">
        <x:v>0</x:v>
      </x:c>
      <x:c r="H2566" s="193" t="n">
        <x:v>0</x:v>
      </x:c>
      <x:c r="I2566" s="185" t="n">
        <x:v>0</x:v>
      </x:c>
      <x:c r="J2566" s="185" t="n">
        <x:v>0</x:v>
      </x:c>
      <x:c r="K2566" s="289" t="n">
        <x:v>3917</x:v>
      </x:c>
    </x:row>
    <x:row r="2567" s="117" customFormat="1" hidden="1">
      <x:c r="A2567" s="184" t="inlineStr">
        <x:is>
          <x:t xml:space="preserve">PDTVULECO009</x:t>
        </x:is>
      </x:c>
      <x:c r="B2567" s="184" t="inlineStr">
        <x:is>
          <x:t xml:space="preserve">EMPAQ.DESC.15-ME/MG 10X5X0.12 P/N 33997 A840127061</x:t>
        </x:is>
      </x:c>
      <x:c r="C2567" s="184" t="n">
        <x:v>0</x:v>
      </x:c>
      <x:c r="D2567" s="184" t="n">
        <x:v>0</x:v>
      </x:c>
      <x:c r="E2567" s="184" t="n">
        <x:v>0</x:v>
      </x:c>
      <x:c r="F2567" s="184" t="n">
        <x:v>0</x:v>
      </x:c>
      <x:c r="G2567" s="184" t="n">
        <x:v>0</x:v>
      </x:c>
      <x:c r="H2567" s="193" t="n">
        <x:v>0</x:v>
      </x:c>
      <x:c r="I2567" s="185" t="n">
        <x:v>0</x:v>
      </x:c>
      <x:c r="J2567" s="185" t="n">
        <x:v>0</x:v>
      </x:c>
      <x:c r="K2567" s="289" t="n">
        <x:v>1091</x:v>
      </x:c>
    </x:row>
    <x:row r="2568" s="117" customFormat="1" hidden="1">
      <x:c r="A2568" s="184" t="inlineStr">
        <x:is>
          <x:t xml:space="preserve">PDTVULTEF002</x:t>
        </x:is>
      </x:c>
      <x:c r="B2568" s="184" t="inlineStr">
        <x:is>
          <x:t xml:space="preserve">ASH 2X1.1/2 SRH ANILLO  HIDRAULICO 32 A400132001</x:t>
        </x:is>
      </x:c>
      <x:c r="C2568" s="184" t="n">
        <x:v>19</x:v>
      </x:c>
      <x:c r="D2568" s="184" t="n">
        <x:v>0</x:v>
      </x:c>
      <x:c r="E2568" s="184" t="n">
        <x:v>0</x:v>
      </x:c>
      <x:c r="F2568" s="184" t="n">
        <x:v>19</x:v>
      </x:c>
      <x:c r="G2568" s="184" t="n">
        <x:v>412662</x:v>
      </x:c>
      <x:c r="H2568" s="193" t="n">
        <x:v>0</x:v>
      </x:c>
      <x:c r="I2568" s="185" t="n">
        <x:v>0</x:v>
      </x:c>
      <x:c r="J2568" s="185" t="n">
        <x:v>412662</x:v>
      </x:c>
      <x:c r="K2568" s="289" t="n">
        <x:v>21719</x:v>
      </x:c>
    </x:row>
    <x:row r="2569" s="117" customFormat="1" hidden="1">
      <x:c r="A2569" s="184" t="inlineStr">
        <x:is>
          <x:t xml:space="preserve">PDTVULTEF003</x:t>
        </x:is>
      </x:c>
      <x:c r="B2569" s="184" t="inlineStr">
        <x:is>
          <x:t xml:space="preserve">ASH 2X1.1/2 SRC EMPAQUETADURA 43 A400143000</x:t>
        </x:is>
      </x:c>
      <x:c r="C2569" s="184" t="n">
        <x:v>11</x:v>
      </x:c>
      <x:c r="D2569" s="184" t="n">
        <x:v>0</x:v>
      </x:c>
      <x:c r="E2569" s="184" t="n">
        <x:v>0</x:v>
      </x:c>
      <x:c r="F2569" s="184" t="n">
        <x:v>11</x:v>
      </x:c>
      <x:c r="G2569" s="184" t="n">
        <x:v>43450</x:v>
      </x:c>
      <x:c r="H2569" s="193" t="n">
        <x:v>0</x:v>
      </x:c>
      <x:c r="I2569" s="185" t="n">
        <x:v>0</x:v>
      </x:c>
      <x:c r="J2569" s="185" t="n">
        <x:v>43450</x:v>
      </x:c>
      <x:c r="K2569" s="289" t="n">
        <x:v>3950</x:v>
      </x:c>
    </x:row>
    <x:row r="2570" s="117" customFormat="1" hidden="1">
      <x:c r="A2570" s="184" t="inlineStr">
        <x:is>
          <x:t xml:space="preserve">PDTVULTEF004</x:t>
        </x:is>
      </x:c>
      <x:c r="B2570" s="184" t="inlineStr">
        <x:is>
          <x:t xml:space="preserve">ASH 2.1/2X2 SRH ANILLO  HIDRAULICO 32 A410132001</x:t>
        </x:is>
      </x:c>
      <x:c r="C2570" s="184" t="n">
        <x:v>1</x:v>
      </x:c>
      <x:c r="D2570" s="184" t="n">
        <x:v>0</x:v>
      </x:c>
      <x:c r="E2570" s="184" t="n">
        <x:v>0</x:v>
      </x:c>
      <x:c r="F2570" s="184" t="n">
        <x:v>1</x:v>
      </x:c>
      <x:c r="G2570" s="184" t="n">
        <x:v>16183</x:v>
      </x:c>
      <x:c r="H2570" s="193" t="n">
        <x:v>0</x:v>
      </x:c>
      <x:c r="I2570" s="185" t="n">
        <x:v>0</x:v>
      </x:c>
      <x:c r="J2570" s="185" t="n">
        <x:v>16183</x:v>
      </x:c>
      <x:c r="K2570" s="289" t="n">
        <x:v>16183</x:v>
      </x:c>
    </x:row>
    <x:row r="2571" s="117" customFormat="1" hidden="1">
      <x:c r="A2571" s="184" t="inlineStr">
        <x:is>
          <x:t xml:space="preserve">PDTVULTEF005</x:t>
        </x:is>
      </x:c>
      <x:c r="B2571" s="184" t="inlineStr">
        <x:is>
          <x:t xml:space="preserve">BGH 3X4 ANILLO LINTERNA B030771100</x:t>
        </x:is>
      </x:c>
      <x:c r="C2571" s="184" t="n">
        <x:v>0</x:v>
      </x:c>
      <x:c r="D2571" s="184" t="n">
        <x:v>0</x:v>
      </x:c>
      <x:c r="E2571" s="184" t="n">
        <x:v>0</x:v>
      </x:c>
      <x:c r="F2571" s="184" t="n">
        <x:v>0</x:v>
      </x:c>
      <x:c r="G2571" s="184" t="n">
        <x:v>0</x:v>
      </x:c>
      <x:c r="H2571" s="193" t="n">
        <x:v>0</x:v>
      </x:c>
      <x:c r="I2571" s="185" t="n">
        <x:v>0</x:v>
      </x:c>
      <x:c r="J2571" s="185" t="n">
        <x:v>0</x:v>
      </x:c>
      <x:c r="K2571" s="289" t="n">
        <x:v>17888</x:v>
      </x:c>
    </x:row>
    <x:row r="2572" s="117" customFormat="1" hidden="1">
      <x:c r="A2572" s="184" t="inlineStr">
        <x:is>
          <x:t xml:space="preserve">PDTVULTEF006</x:t>
        </x:is>
      </x:c>
      <x:c r="B2572" s="184" t="inlineStr">
        <x:is>
          <x:t xml:space="preserve">ASH 4X3 SRC  ANILLO HIDRAULICO 32 A420132001</x:t>
        </x:is>
      </x:c>
      <x:c r="C2572" s="184" t="n">
        <x:v>0</x:v>
      </x:c>
      <x:c r="D2572" s="184" t="n">
        <x:v>0</x:v>
      </x:c>
      <x:c r="E2572" s="184" t="n">
        <x:v>0</x:v>
      </x:c>
      <x:c r="F2572" s="184" t="n">
        <x:v>0</x:v>
      </x:c>
      <x:c r="G2572" s="184" t="n">
        <x:v>0</x:v>
      </x:c>
      <x:c r="H2572" s="193" t="n">
        <x:v>0</x:v>
      </x:c>
      <x:c r="I2572" s="185" t="n">
        <x:v>0</x:v>
      </x:c>
      <x:c r="J2572" s="185" t="n">
        <x:v>0</x:v>
      </x:c>
      <x:c r="K2572" s="289" t="n">
        <x:v>22911</x:v>
      </x:c>
    </x:row>
    <x:row r="2573" s="117" customFormat="1" hidden="1">
      <x:c r="A2573" s="184" t="inlineStr">
        <x:is>
          <x:t xml:space="preserve">PDTVULTEF007</x:t>
        </x:is>
      </x:c>
      <x:c r="B2573" s="184" t="inlineStr">
        <x:is>
          <x:t xml:space="preserve">ASH 4X3 SRH EMPAQUETADURA 43 A420143000</x:t>
        </x:is>
      </x:c>
      <x:c r="C2573" s="184" t="n">
        <x:v>1</x:v>
      </x:c>
      <x:c r="D2573" s="184" t="n">
        <x:v>0</x:v>
      </x:c>
      <x:c r="E2573" s="184" t="n">
        <x:v>0</x:v>
      </x:c>
      <x:c r="F2573" s="184" t="n">
        <x:v>1</x:v>
      </x:c>
      <x:c r="G2573" s="184" t="n">
        <x:v>4714</x:v>
      </x:c>
      <x:c r="H2573" s="193" t="n">
        <x:v>0</x:v>
      </x:c>
      <x:c r="I2573" s="185" t="n">
        <x:v>0</x:v>
      </x:c>
      <x:c r="J2573" s="185" t="n">
        <x:v>4714</x:v>
      </x:c>
      <x:c r="K2573" s="289" t="n">
        <x:v>4714</x:v>
      </x:c>
    </x:row>
    <x:row r="2574" s="117" customFormat="1" hidden="1">
      <x:c r="A2574" s="184" t="inlineStr">
        <x:is>
          <x:t xml:space="preserve">PDTVULTEF008</x:t>
        </x:is>
      </x:c>
      <x:c r="B2574" s="184" t="inlineStr">
        <x:is>
          <x:t xml:space="preserve">ASH 5X4 ANILLO HIDRAULICO 32 A430132001</x:t>
        </x:is>
      </x:c>
      <x:c r="C2574" s="184" t="n">
        <x:v>4</x:v>
      </x:c>
      <x:c r="D2574" s="184" t="n">
        <x:v>0</x:v>
      </x:c>
      <x:c r="E2574" s="184" t="n">
        <x:v>0</x:v>
      </x:c>
      <x:c r="F2574" s="184" t="n">
        <x:v>4</x:v>
      </x:c>
      <x:c r="G2574" s="184" t="n">
        <x:v>71468</x:v>
      </x:c>
      <x:c r="H2574" s="193" t="n">
        <x:v>0</x:v>
      </x:c>
      <x:c r="I2574" s="185" t="n">
        <x:v>0</x:v>
      </x:c>
      <x:c r="J2574" s="185" t="n">
        <x:v>71468</x:v>
      </x:c>
      <x:c r="K2574" s="289" t="n">
        <x:v>17867</x:v>
      </x:c>
    </x:row>
    <x:row r="2575" s="117" customFormat="1" hidden="1">
      <x:c r="A2575" s="184" t="inlineStr">
        <x:is>
          <x:t xml:space="preserve">PDTVULTEF009</x:t>
        </x:is>
      </x:c>
      <x:c r="B2575" s="184" t="inlineStr">
        <x:is>
          <x:t xml:space="preserve">ASH 5X4 SRH EMPAQUETADURA 43 A430143000</x:t>
        </x:is>
      </x:c>
      <x:c r="C2575" s="184" t="n">
        <x:v>0</x:v>
      </x:c>
      <x:c r="D2575" s="184" t="n">
        <x:v>0</x:v>
      </x:c>
      <x:c r="E2575" s="184" t="n">
        <x:v>0</x:v>
      </x:c>
      <x:c r="F2575" s="184" t="n">
        <x:v>0</x:v>
      </x:c>
      <x:c r="G2575" s="184" t="n">
        <x:v>1</x:v>
      </x:c>
      <x:c r="H2575" s="193" t="n">
        <x:v>0</x:v>
      </x:c>
      <x:c r="I2575" s="185" t="n">
        <x:v>0</x:v>
      </x:c>
      <x:c r="J2575" s="185" t="n">
        <x:v>1</x:v>
      </x:c>
      <x:c r="K2575" s="289" t="n">
        <x:v>3820</x:v>
      </x:c>
    </x:row>
    <x:row r="2576" s="117" customFormat="1" hidden="1">
      <x:c r="A2576" s="184" t="inlineStr">
        <x:is>
          <x:t xml:space="preserve">PDTVULTEF010</x:t>
        </x:is>
      </x:c>
      <x:c r="B2576" s="184" t="inlineStr">
        <x:is>
          <x:t xml:space="preserve">ASH 5X4 SRH ANILLO HIDRAULICO 32 A430232001</x:t>
        </x:is>
      </x:c>
      <x:c r="C2576" s="184" t="n">
        <x:v>0</x:v>
      </x:c>
      <x:c r="D2576" s="184" t="n">
        <x:v>3</x:v>
      </x:c>
      <x:c r="E2576" s="184" t="n">
        <x:v>3</x:v>
      </x:c>
      <x:c r="F2576" s="184" t="n">
        <x:v>0</x:v>
      </x:c>
      <x:c r="G2576" s="184" t="n">
        <x:v>2</x:v>
      </x:c>
      <x:c r="H2576" s="193" t="n">
        <x:v>63444</x:v>
      </x:c>
      <x:c r="I2576" s="185" t="n">
        <x:v>63444</x:v>
      </x:c>
      <x:c r="J2576" s="185" t="n">
        <x:v>2</x:v>
      </x:c>
      <x:c r="K2576" s="289" t="n">
        <x:v>21148</x:v>
      </x:c>
    </x:row>
    <x:row r="2577" s="117" customFormat="1" hidden="1">
      <x:c r="A2577" s="184" t="inlineStr">
        <x:is>
          <x:t xml:space="preserve">PDTVULTEF011</x:t>
        </x:is>
      </x:c>
      <x:c r="B2577" s="184" t="inlineStr">
        <x:is>
          <x:t xml:space="preserve">ASH 6X6 SRC ANILLO HIDRAULICO 32 A440132001</x:t>
        </x:is>
      </x:c>
      <x:c r="C2577" s="184" t="n">
        <x:v>8</x:v>
      </x:c>
      <x:c r="D2577" s="184" t="n">
        <x:v>7</x:v>
      </x:c>
      <x:c r="E2577" s="184" t="n">
        <x:v>0</x:v>
      </x:c>
      <x:c r="F2577" s="184" t="n">
        <x:v>15</x:v>
      </x:c>
      <x:c r="G2577" s="184" t="n">
        <x:v>186057</x:v>
      </x:c>
      <x:c r="H2577" s="193" t="n">
        <x:v>162799</x:v>
      </x:c>
      <x:c r="I2577" s="185" t="n">
        <x:v>0</x:v>
      </x:c>
      <x:c r="J2577" s="185" t="n">
        <x:v>348856</x:v>
      </x:c>
      <x:c r="K2577" s="289" t="n">
        <x:v>23257</x:v>
      </x:c>
    </x:row>
    <x:row r="2578" s="117" customFormat="1" hidden="1">
      <x:c r="A2578" s="184" t="inlineStr">
        <x:is>
          <x:t xml:space="preserve">PDTVULTEF012</x:t>
        </x:is>
      </x:c>
      <x:c r="B2578" s="184" t="inlineStr">
        <x:is>
          <x:t xml:space="preserve">ASH 6X6 SRH ANILLO HIDRAULICO 32 A440232001</x:t>
        </x:is>
      </x:c>
      <x:c r="C2578" s="184" t="n">
        <x:v>0</x:v>
      </x:c>
      <x:c r="D2578" s="184" t="n">
        <x:v>0</x:v>
      </x:c>
      <x:c r="E2578" s="184" t="n">
        <x:v>0</x:v>
      </x:c>
      <x:c r="F2578" s="184" t="n">
        <x:v>0</x:v>
      </x:c>
      <x:c r="G2578" s="184" t="n">
        <x:v>0</x:v>
      </x:c>
      <x:c r="H2578" s="193" t="n">
        <x:v>0</x:v>
      </x:c>
      <x:c r="I2578" s="185" t="n">
        <x:v>0</x:v>
      </x:c>
      <x:c r="J2578" s="185" t="n">
        <x:v>0</x:v>
      </x:c>
      <x:c r="K2578" s="289" t="n">
        <x:v>23842</x:v>
      </x:c>
    </x:row>
    <x:row r="2579" s="117" customFormat="1" hidden="1">
      <x:c r="A2579" s="184" t="inlineStr">
        <x:is>
          <x:t xml:space="preserve">PDTVULTEF013</x:t>
        </x:is>
      </x:c>
      <x:c r="B2579" s="184" t="inlineStr">
        <x:is>
          <x:t xml:space="preserve">ASH 6X6 SRH  EMPAQUETADURA 43 A440143000</x:t>
        </x:is>
      </x:c>
      <x:c r="C2579" s="184" t="n">
        <x:v>0</x:v>
      </x:c>
      <x:c r="D2579" s="184" t="n">
        <x:v>0</x:v>
      </x:c>
      <x:c r="E2579" s="184" t="n">
        <x:v>0</x:v>
      </x:c>
      <x:c r="F2579" s="184" t="n">
        <x:v>0</x:v>
      </x:c>
      <x:c r="G2579" s="184" t="n">
        <x:v>-2</x:v>
      </x:c>
      <x:c r="H2579" s="193" t="n">
        <x:v>0</x:v>
      </x:c>
      <x:c r="I2579" s="185" t="n">
        <x:v>0</x:v>
      </x:c>
      <x:c r="J2579" s="185" t="n">
        <x:v>-2</x:v>
      </x:c>
      <x:c r="K2579" s="289" t="n">
        <x:v>11273</x:v>
      </x:c>
    </x:row>
    <x:row r="2580" s="117" customFormat="1" hidden="1">
      <x:c r="A2580" s="184" t="inlineStr">
        <x:is>
          <x:t xml:space="preserve">PDTVULTEF014</x:t>
        </x:is>
      </x:c>
      <x:c r="B2580" s="184" t="inlineStr">
        <x:is>
          <x:t xml:space="preserve">ASH 8X8 SRC ANILLO HIDRAULICO 32 A450132001</x:t>
        </x:is>
      </x:c>
      <x:c r="C2580" s="184" t="n">
        <x:v>1</x:v>
      </x:c>
      <x:c r="D2580" s="184" t="n">
        <x:v>13</x:v>
      </x:c>
      <x:c r="E2580" s="184" t="n">
        <x:v>14</x:v>
      </x:c>
      <x:c r="F2580" s="184" t="n">
        <x:v>0</x:v>
      </x:c>
      <x:c r="G2580" s="184" t="n">
        <x:v>22887</x:v>
      </x:c>
      <x:c r="H2580" s="193" t="n">
        <x:v>297531</x:v>
      </x:c>
      <x:c r="I2580" s="185" t="n">
        <x:v>320418</x:v>
      </x:c>
      <x:c r="J2580" s="185" t="n">
        <x:v>0</x:v>
      </x:c>
      <x:c r="K2580" s="289" t="n">
        <x:v>22887</x:v>
      </x:c>
    </x:row>
    <x:row r="2581" s="117" customFormat="1" hidden="1">
      <x:c r="A2581" s="184" t="inlineStr">
        <x:is>
          <x:t xml:space="preserve">PDTVULTEF015</x:t>
        </x:is>
      </x:c>
      <x:c r="B2581" s="184" t="inlineStr">
        <x:is>
          <x:t xml:space="preserve">ASH 8X8 SRH  EMPAQUETADURA 43 A450143000</x:t>
        </x:is>
      </x:c>
      <x:c r="C2581" s="184" t="n">
        <x:v>0</x:v>
      </x:c>
      <x:c r="D2581" s="184" t="n">
        <x:v>0</x:v>
      </x:c>
      <x:c r="E2581" s="184" t="n">
        <x:v>0</x:v>
      </x:c>
      <x:c r="F2581" s="184" t="n">
        <x:v>0</x:v>
      </x:c>
      <x:c r="G2581" s="184" t="n">
        <x:v>1</x:v>
      </x:c>
      <x:c r="H2581" s="193" t="n">
        <x:v>0</x:v>
      </x:c>
      <x:c r="I2581" s="185" t="n">
        <x:v>0</x:v>
      </x:c>
      <x:c r="J2581" s="185" t="n">
        <x:v>1</x:v>
      </x:c>
      <x:c r="K2581" s="289" t="n">
        <x:v>14058</x:v>
      </x:c>
    </x:row>
    <x:row r="2582" s="117" customFormat="1" hidden="1">
      <x:c r="A2582" s="184" t="inlineStr">
        <x:is>
          <x:t xml:space="preserve">PDTVULTEF016</x:t>
        </x:is>
      </x:c>
      <x:c r="B2582" s="184" t="inlineStr">
        <x:is>
          <x:t xml:space="preserve">ASH 10X10 SRC ANILLO HIDRAULICO 32 A460132001</x:t>
        </x:is>
      </x:c>
      <x:c r="C2582" s="184" t="n">
        <x:v>0</x:v>
      </x:c>
      <x:c r="D2582" s="184" t="n">
        <x:v>2</x:v>
      </x:c>
      <x:c r="E2582" s="184" t="n">
        <x:v>2</x:v>
      </x:c>
      <x:c r="F2582" s="184" t="n">
        <x:v>0</x:v>
      </x:c>
      <x:c r="G2582" s="184" t="n">
        <x:v>0</x:v>
      </x:c>
      <x:c r="H2582" s="193" t="n">
        <x:v>50878</x:v>
      </x:c>
      <x:c r="I2582" s="185" t="n">
        <x:v>50878</x:v>
      </x:c>
      <x:c r="J2582" s="185" t="n">
        <x:v>0</x:v>
      </x:c>
      <x:c r="K2582" s="289" t="n">
        <x:v>25439</x:v>
      </x:c>
    </x:row>
    <x:row r="2583" s="117" customFormat="1" hidden="1">
      <x:c r="A2583" s="184" t="inlineStr">
        <x:is>
          <x:t xml:space="preserve">PDTVULTEF017</x:t>
        </x:is>
      </x:c>
      <x:c r="B2583" s="184" t="inlineStr">
        <x:is>
          <x:t xml:space="preserve">ASH 10X10 SRC ANILLO HIDRAULICO 32 500 PSI A460132002</x:t>
        </x:is>
      </x:c>
      <x:c r="C2583" s="184" t="n">
        <x:v>4</x:v>
      </x:c>
      <x:c r="D2583" s="184" t="n">
        <x:v>0</x:v>
      </x:c>
      <x:c r="E2583" s="184" t="n">
        <x:v>0</x:v>
      </x:c>
      <x:c r="F2583" s="184" t="n">
        <x:v>4</x:v>
      </x:c>
      <x:c r="G2583" s="184" t="n">
        <x:v>174556</x:v>
      </x:c>
      <x:c r="H2583" s="193" t="n">
        <x:v>0</x:v>
      </x:c>
      <x:c r="I2583" s="185" t="n">
        <x:v>0</x:v>
      </x:c>
      <x:c r="J2583" s="185" t="n">
        <x:v>174556</x:v>
      </x:c>
      <x:c r="K2583" s="289" t="n">
        <x:v>43639</x:v>
      </x:c>
    </x:row>
    <x:row r="2584" s="117" customFormat="1" hidden="1">
      <x:c r="A2584" s="184" t="inlineStr">
        <x:is>
          <x:t xml:space="preserve">PDTVULTEF018</x:t>
        </x:is>
      </x:c>
      <x:c r="B2584" s="184" t="inlineStr">
        <x:is>
          <x:t xml:space="preserve">ASH 10X10 SRH  EMPAQUETADURA 43   A460143000</x:t>
        </x:is>
      </x:c>
      <x:c r="C2584" s="184" t="n">
        <x:v>0</x:v>
      </x:c>
      <x:c r="D2584" s="184" t="n">
        <x:v>0</x:v>
      </x:c>
      <x:c r="E2584" s="184" t="n">
        <x:v>0</x:v>
      </x:c>
      <x:c r="F2584" s="184" t="n">
        <x:v>0</x:v>
      </x:c>
      <x:c r="G2584" s="184" t="n">
        <x:v>0</x:v>
      </x:c>
      <x:c r="H2584" s="193" t="n">
        <x:v>0</x:v>
      </x:c>
      <x:c r="I2584" s="185" t="n">
        <x:v>0</x:v>
      </x:c>
      <x:c r="J2584" s="185" t="n">
        <x:v>0</x:v>
      </x:c>
      <x:c r="K2584" s="289" t="n">
        <x:v>10031</x:v>
      </x:c>
    </x:row>
    <x:row r="2585" s="117" customFormat="1" hidden="1">
      <x:c r="A2585" s="184" t="inlineStr">
        <x:is>
          <x:t xml:space="preserve">PDTVULTEF019</x:t>
        </x:is>
      </x:c>
      <x:c r="B2585" s="184" t="inlineStr">
        <x:is>
          <x:t xml:space="preserve">ASH 14X12 SRC ANILLO HIDRAULICO 32  A470132001</x:t>
        </x:is>
      </x:c>
      <x:c r="C2585" s="184" t="n">
        <x:v>0</x:v>
      </x:c>
      <x:c r="D2585" s="184" t="n">
        <x:v>0</x:v>
      </x:c>
      <x:c r="E2585" s="184" t="n">
        <x:v>0</x:v>
      </x:c>
      <x:c r="F2585" s="184" t="n">
        <x:v>0</x:v>
      </x:c>
      <x:c r="G2585" s="184" t="n">
        <x:v>0</x:v>
      </x:c>
      <x:c r="H2585" s="193" t="n">
        <x:v>0</x:v>
      </x:c>
      <x:c r="I2585" s="185" t="n">
        <x:v>0</x:v>
      </x:c>
      <x:c r="J2585" s="185" t="n">
        <x:v>0</x:v>
      </x:c>
      <x:c r="K2585" s="289" t="n">
        <x:v>26664</x:v>
      </x:c>
    </x:row>
    <x:row r="2586" s="117" customFormat="1" hidden="1">
      <x:c r="A2586" s="184" t="inlineStr">
        <x:is>
          <x:t xml:space="preserve">PDTVULTEF020</x:t>
        </x:is>
      </x:c>
      <x:c r="B2586" s="184" t="inlineStr">
        <x:is>
          <x:t xml:space="preserve">ASH 14X12 SRC EMPAQUETADURA 43 A470143000</x:t>
        </x:is>
      </x:c>
      <x:c r="C2586" s="184" t="n">
        <x:v>0</x:v>
      </x:c>
      <x:c r="D2586" s="184" t="n">
        <x:v>0</x:v>
      </x:c>
      <x:c r="E2586" s="184" t="n">
        <x:v>0</x:v>
      </x:c>
      <x:c r="F2586" s="184" t="n">
        <x:v>0</x:v>
      </x:c>
      <x:c r="G2586" s="184" t="n">
        <x:v>0</x:v>
      </x:c>
      <x:c r="H2586" s="193" t="n">
        <x:v>0</x:v>
      </x:c>
      <x:c r="I2586" s="185" t="n">
        <x:v>0</x:v>
      </x:c>
      <x:c r="J2586" s="185" t="n">
        <x:v>0</x:v>
      </x:c>
      <x:c r="K2586" s="289" t="n">
        <x:v>24200</x:v>
      </x:c>
    </x:row>
    <x:row r="2587" s="117" customFormat="1" hidden="1">
      <x:c r="A2587" s="184" t="inlineStr">
        <x:is>
          <x:t xml:space="preserve">PDTVULTEF021</x:t>
        </x:is>
      </x:c>
      <x:c r="B2587" s="184" t="inlineStr">
        <x:is>
          <x:t xml:space="preserve">ASH 16X14 SRH ANILLO HIDRAULICO 32  A480232001</x:t>
        </x:is>
      </x:c>
      <x:c r="C2587" s="184" t="n">
        <x:v>0</x:v>
      </x:c>
      <x:c r="D2587" s="184" t="n">
        <x:v>0</x:v>
      </x:c>
      <x:c r="E2587" s="184" t="n">
        <x:v>0</x:v>
      </x:c>
      <x:c r="F2587" s="184" t="n">
        <x:v>0</x:v>
      </x:c>
      <x:c r="G2587" s="184" t="n">
        <x:v>0</x:v>
      </x:c>
      <x:c r="H2587" s="193" t="n">
        <x:v>0</x:v>
      </x:c>
      <x:c r="I2587" s="185" t="n">
        <x:v>0</x:v>
      </x:c>
      <x:c r="J2587" s="185" t="n">
        <x:v>0</x:v>
      </x:c>
      <x:c r="K2587" s="289" t="n">
        <x:v>58495</x:v>
      </x:c>
    </x:row>
    <x:row r="2588" s="117" customFormat="1" hidden="1">
      <x:c r="A2588" s="184" t="inlineStr">
        <x:is>
          <x:t xml:space="preserve">PDTVULTEF022</x:t>
        </x:is>
      </x:c>
      <x:c r="B2588" s="184" t="inlineStr">
        <x:is>
          <x:t xml:space="preserve">ASH 16X14 SRC  EMPAQUETADURA 43 A480143000</x:t>
        </x:is>
      </x:c>
      <x:c r="C2588" s="184" t="n">
        <x:v>0</x:v>
      </x:c>
      <x:c r="D2588" s="184" t="n">
        <x:v>0</x:v>
      </x:c>
      <x:c r="E2588" s="184" t="n">
        <x:v>0</x:v>
      </x:c>
      <x:c r="F2588" s="184" t="n">
        <x:v>0</x:v>
      </x:c>
      <x:c r="G2588" s="184" t="n">
        <x:v>0</x:v>
      </x:c>
      <x:c r="H2588" s="193" t="n">
        <x:v>0</x:v>
      </x:c>
      <x:c r="I2588" s="185" t="n">
        <x:v>0</x:v>
      </x:c>
      <x:c r="J2588" s="185" t="n">
        <x:v>0</x:v>
      </x:c>
      <x:c r="K2588" s="289" t="n">
        <x:v>13304</x:v>
      </x:c>
    </x:row>
    <x:row r="2589" s="117" customFormat="1" hidden="1">
      <x:c r="A2589" s="184" t="inlineStr">
        <x:is>
          <x:t xml:space="preserve">PDTVULTEF023</x:t>
        </x:is>
      </x:c>
      <x:c r="B2589" s="184" t="inlineStr">
        <x:is>
          <x:t xml:space="preserve">ASH 18X16 SRH ANILLO HIDRAULICO 32  A490232001</x:t>
        </x:is>
      </x:c>
      <x:c r="C2589" s="184" t="n">
        <x:v>2</x:v>
      </x:c>
      <x:c r="D2589" s="184" t="n">
        <x:v>0</x:v>
      </x:c>
      <x:c r="E2589" s="184" t="n">
        <x:v>0</x:v>
      </x:c>
      <x:c r="F2589" s="184" t="n">
        <x:v>2</x:v>
      </x:c>
      <x:c r="G2589" s="184" t="n">
        <x:v>181085</x:v>
      </x:c>
      <x:c r="H2589" s="193" t="n">
        <x:v>0</x:v>
      </x:c>
      <x:c r="I2589" s="185" t="n">
        <x:v>0</x:v>
      </x:c>
      <x:c r="J2589" s="185" t="n">
        <x:v>181085</x:v>
      </x:c>
      <x:c r="K2589" s="289" t="n">
        <x:v>90543</x:v>
      </x:c>
    </x:row>
    <x:row r="2590" s="117" customFormat="1" hidden="1">
      <x:c r="A2590" s="184" t="inlineStr">
        <x:is>
          <x:t xml:space="preserve">PDTVULTEF024</x:t>
        </x:is>
      </x:c>
      <x:c r="B2590" s="184" t="inlineStr">
        <x:is>
          <x:t xml:space="preserve">ASH 18X16 SRC  EMPAQUETADURA 43 A490143000</x:t>
        </x:is>
      </x:c>
      <x:c r="C2590" s="184" t="n">
        <x:v>4</x:v>
      </x:c>
      <x:c r="D2590" s="184" t="n">
        <x:v>0</x:v>
      </x:c>
      <x:c r="E2590" s="184" t="n">
        <x:v>0</x:v>
      </x:c>
      <x:c r="F2590" s="184" t="n">
        <x:v>4</x:v>
      </x:c>
      <x:c r="G2590" s="184" t="n">
        <x:v>195224</x:v>
      </x:c>
      <x:c r="H2590" s="193" t="n">
        <x:v>0</x:v>
      </x:c>
      <x:c r="I2590" s="185" t="n">
        <x:v>0</x:v>
      </x:c>
      <x:c r="J2590" s="185" t="n">
        <x:v>195224</x:v>
      </x:c>
      <x:c r="K2590" s="289" t="n">
        <x:v>48806.0032653</x:v>
      </x:c>
    </x:row>
    <x:row r="2591" s="117" customFormat="1" hidden="1">
      <x:c r="A2591" s="184" t="inlineStr">
        <x:is>
          <x:t xml:space="preserve">PDTVULTEF025</x:t>
        </x:is>
      </x:c>
      <x:c r="B2591" s="184" t="inlineStr">
        <x:is>
          <x:t xml:space="preserve">ASH 26X24 SRC ANILLO HIDRAULICO N 32 A530132000</x:t>
        </x:is>
      </x:c>
      <x:c r="C2591" s="184" t="n">
        <x:v>2</x:v>
      </x:c>
      <x:c r="D2591" s="184" t="n">
        <x:v>0</x:v>
      </x:c>
      <x:c r="E2591" s="184" t="n">
        <x:v>0</x:v>
      </x:c>
      <x:c r="F2591" s="184" t="n">
        <x:v>2</x:v>
      </x:c>
      <x:c r="G2591" s="184" t="n">
        <x:v>212874</x:v>
      </x:c>
      <x:c r="H2591" s="193" t="n">
        <x:v>0</x:v>
      </x:c>
      <x:c r="I2591" s="185" t="n">
        <x:v>0</x:v>
      </x:c>
      <x:c r="J2591" s="185" t="n">
        <x:v>212874</x:v>
      </x:c>
      <x:c r="K2591" s="289" t="n">
        <x:v>106437</x:v>
      </x:c>
    </x:row>
    <x:row r="2592" s="117" customFormat="1" hidden="1">
      <x:c r="A2592" s="184" t="inlineStr">
        <x:is>
          <x:t xml:space="preserve">PDTVULTEF026</x:t>
        </x:is>
      </x:c>
      <x:c r="B2592" s="184" t="inlineStr">
        <x:is>
          <x:t xml:space="preserve">BGH 1.1/2X2 ANILLO LINTERNA B0103711000</x:t>
        </x:is>
      </x:c>
      <x:c r="C2592" s="184" t="n">
        <x:v>7</x:v>
      </x:c>
      <x:c r="D2592" s="184" t="n">
        <x:v>0</x:v>
      </x:c>
      <x:c r="E2592" s="184" t="n">
        <x:v>0</x:v>
      </x:c>
      <x:c r="F2592" s="184" t="n">
        <x:v>7</x:v>
      </x:c>
      <x:c r="G2592" s="184" t="n">
        <x:v>99997</x:v>
      </x:c>
      <x:c r="H2592" s="193" t="n">
        <x:v>0</x:v>
      </x:c>
      <x:c r="I2592" s="185" t="n">
        <x:v>0</x:v>
      </x:c>
      <x:c r="J2592" s="185" t="n">
        <x:v>99997</x:v>
      </x:c>
      <x:c r="K2592" s="289" t="n">
        <x:v>14285.17751508</x:v>
      </x:c>
    </x:row>
    <x:row r="2593" s="117" customFormat="1" hidden="1">
      <x:c r="A2593" s="184" t="inlineStr">
        <x:is>
          <x:t xml:space="preserve">PDTVULTEF027</x:t>
        </x:is>
      </x:c>
      <x:c r="B2593" s="184" t="inlineStr">
        <x:is>
          <x:t xml:space="preserve">BGH 2X2.1/2 ANILLO LINTERNA B0207711000</x:t>
        </x:is>
      </x:c>
      <x:c r="C2593" s="184" t="n">
        <x:v>0</x:v>
      </x:c>
      <x:c r="D2593" s="184" t="n">
        <x:v>0</x:v>
      </x:c>
      <x:c r="E2593" s="184" t="n">
        <x:v>0</x:v>
      </x:c>
      <x:c r="F2593" s="184" t="n">
        <x:v>0</x:v>
      </x:c>
      <x:c r="G2593" s="184" t="n">
        <x:v>0</x:v>
      </x:c>
      <x:c r="H2593" s="193" t="n">
        <x:v>0</x:v>
      </x:c>
      <x:c r="I2593" s="185" t="n">
        <x:v>0</x:v>
      </x:c>
      <x:c r="J2593" s="185" t="n">
        <x:v>0</x:v>
      </x:c>
      <x:c r="K2593" s="289" t="n">
        <x:v>0</x:v>
      </x:c>
    </x:row>
    <x:row r="2594" s="117" customFormat="1" hidden="1">
      <x:c r="A2594" s="184" t="inlineStr">
        <x:is>
          <x:t xml:space="preserve">PDTVULTEF028</x:t>
        </x:is>
      </x:c>
      <x:c r="B2594" s="184" t="inlineStr">
        <x:is>
          <x:t xml:space="preserve">BGH 4X6 ANILLO LINTERNA B0407711000</x:t>
        </x:is>
      </x:c>
      <x:c r="C2594" s="184" t="n">
        <x:v>0</x:v>
      </x:c>
      <x:c r="D2594" s="184" t="n">
        <x:v>0</x:v>
      </x:c>
      <x:c r="E2594" s="184" t="n">
        <x:v>0</x:v>
      </x:c>
      <x:c r="F2594" s="184" t="n">
        <x:v>0</x:v>
      </x:c>
      <x:c r="G2594" s="184" t="n">
        <x:v>0</x:v>
      </x:c>
      <x:c r="H2594" s="193" t="n">
        <x:v>0</x:v>
      </x:c>
      <x:c r="I2594" s="185" t="n">
        <x:v>0</x:v>
      </x:c>
      <x:c r="J2594" s="185" t="n">
        <x:v>0</x:v>
      </x:c>
      <x:c r="K2594" s="289" t="n">
        <x:v>19733</x:v>
      </x:c>
    </x:row>
    <x:row r="2595" s="117" customFormat="1" hidden="1">
      <x:c r="A2595" s="184" t="inlineStr">
        <x:is>
          <x:t xml:space="preserve">PDTVULTEF030</x:t>
        </x:is>
      </x:c>
      <x:c r="B2595" s="184" t="inlineStr">
        <x:is>
          <x:t xml:space="preserve">RESTRICTOR ANILLO LINTERNA B118-1P50  A3-110-104001 R.5</x:t>
        </x:is>
      </x:c>
      <x:c r="C2595" s="184" t="n">
        <x:v>0</x:v>
      </x:c>
      <x:c r="D2595" s="184" t="n">
        <x:v>0</x:v>
      </x:c>
      <x:c r="E2595" s="184" t="n">
        <x:v>0</x:v>
      </x:c>
      <x:c r="F2595" s="184" t="n">
        <x:v>0</x:v>
      </x:c>
      <x:c r="G2595" s="184" t="n">
        <x:v>0</x:v>
      </x:c>
      <x:c r="H2595" s="193" t="n">
        <x:v>0</x:v>
      </x:c>
      <x:c r="I2595" s="185" t="n">
        <x:v>0</x:v>
      </x:c>
      <x:c r="J2595" s="185" t="n">
        <x:v>0</x:v>
      </x:c>
      <x:c r="K2595" s="289" t="n">
        <x:v>34532</x:v>
      </x:c>
    </x:row>
    <x:row r="2596" s="117" customFormat="1" hidden="1">
      <x:c r="A2596" s="184" t="inlineStr">
        <x:is>
          <x:t xml:space="preserve">PDTVULTEF031</x:t>
        </x:is>
      </x:c>
      <x:c r="B2596" s="184" t="inlineStr">
        <x:is>
          <x:t xml:space="preserve">100 DDA-SLM LANTER RING DDPT063P05</x:t>
        </x:is>
      </x:c>
      <x:c r="C2596" s="184" t="n">
        <x:v>4</x:v>
      </x:c>
      <x:c r="D2596" s="184" t="n">
        <x:v>0</x:v>
      </x:c>
      <x:c r="E2596" s="184" t="n">
        <x:v>0</x:v>
      </x:c>
      <x:c r="F2596" s="184" t="n">
        <x:v>4</x:v>
      </x:c>
      <x:c r="G2596" s="184" t="n">
        <x:v>145200</x:v>
      </x:c>
      <x:c r="H2596" s="193" t="n">
        <x:v>0</x:v>
      </x:c>
      <x:c r="I2596" s="185" t="n">
        <x:v>0</x:v>
      </x:c>
      <x:c r="J2596" s="185" t="n">
        <x:v>145200</x:v>
      </x:c>
      <x:c r="K2596" s="289" t="n">
        <x:v>36300</x:v>
      </x:c>
    </x:row>
    <x:row r="2597" s="117" customFormat="1" hidden="1">
      <x:c r="A2597" s="184" t="inlineStr">
        <x:is>
          <x:t xml:space="preserve">PDTVULTEF032</x:t>
        </x:is>
      </x:c>
      <x:c r="B2597" s="184" t="inlineStr">
        <x:is>
          <x:t xml:space="preserve">150 EA -SLM LANTER RING EPT063P05</x:t>
        </x:is>
      </x:c>
      <x:c r="C2597" s="184" t="n">
        <x:v>0</x:v>
      </x:c>
      <x:c r="D2597" s="184" t="n">
        <x:v>0</x:v>
      </x:c>
      <x:c r="E2597" s="184" t="n">
        <x:v>0</x:v>
      </x:c>
      <x:c r="F2597" s="184" t="n">
        <x:v>0</x:v>
      </x:c>
      <x:c r="G2597" s="184" t="n">
        <x:v>0</x:v>
      </x:c>
      <x:c r="H2597" s="193" t="n">
        <x:v>0</x:v>
      </x:c>
      <x:c r="I2597" s="185" t="n">
        <x:v>0</x:v>
      </x:c>
      <x:c r="J2597" s="185" t="n">
        <x:v>0</x:v>
      </x:c>
      <x:c r="K2597" s="289" t="n">
        <x:v>36881.66666667</x:v>
      </x:c>
    </x:row>
    <x:row r="2598" s="117" customFormat="1" hidden="1">
      <x:c r="A2598" s="184" t="inlineStr">
        <x:is>
          <x:t xml:space="preserve">PDTVULTEF033</x:t>
        </x:is>
      </x:c>
      <x:c r="B2598" s="184" t="inlineStr">
        <x:is>
          <x:t xml:space="preserve">RESTRICTOR ANILLO LINTERNA F118-1P50</x:t>
        </x:is>
      </x:c>
      <x:c r="C2598" s="184" t="n">
        <x:v>0</x:v>
      </x:c>
      <x:c r="D2598" s="184" t="n">
        <x:v>0</x:v>
      </x:c>
      <x:c r="E2598" s="184" t="n">
        <x:v>0</x:v>
      </x:c>
      <x:c r="F2598" s="184" t="n">
        <x:v>0</x:v>
      </x:c>
      <x:c r="G2598" s="184" t="n">
        <x:v>0</x:v>
      </x:c>
      <x:c r="H2598" s="193" t="n">
        <x:v>0</x:v>
      </x:c>
      <x:c r="I2598" s="185" t="n">
        <x:v>0</x:v>
      </x:c>
      <x:c r="J2598" s="185" t="n">
        <x:v>0</x:v>
      </x:c>
      <x:c r="K2598" s="289" t="n">
        <x:v>90720</x:v>
      </x:c>
    </x:row>
    <x:row r="2599" s="117" customFormat="1" hidden="1">
      <x:c r="A2599" s="184" t="inlineStr">
        <x:is>
          <x:t xml:space="preserve">PDTVULTEF034</x:t>
        </x:is>
      </x:c>
      <x:c r="B2599" s="184" t="inlineStr">
        <x:is>
          <x:t xml:space="preserve">200 FA-SLR LANTER RING FPT063P050</x:t>
        </x:is>
      </x:c>
      <x:c r="C2599" s="184" t="n">
        <x:v>2</x:v>
      </x:c>
      <x:c r="D2599" s="184" t="n">
        <x:v>0</x:v>
      </x:c>
      <x:c r="E2599" s="184" t="n">
        <x:v>0</x:v>
      </x:c>
      <x:c r="F2599" s="184" t="n">
        <x:v>2</x:v>
      </x:c>
      <x:c r="G2599" s="184" t="n">
        <x:v>11428</x:v>
      </x:c>
      <x:c r="H2599" s="193" t="n">
        <x:v>0</x:v>
      </x:c>
      <x:c r="I2599" s="185" t="n">
        <x:v>0</x:v>
      </x:c>
      <x:c r="J2599" s="185" t="n">
        <x:v>11428</x:v>
      </x:c>
      <x:c r="K2599" s="289" t="n">
        <x:v>5714</x:v>
      </x:c>
    </x:row>
    <x:row r="2600" s="117" customFormat="1" hidden="1">
      <x:c r="A2600" s="184" t="inlineStr">
        <x:is>
          <x:t xml:space="preserve">PDTVULTEF035</x:t>
        </x:is>
      </x:c>
      <x:c r="B2600" s="184" t="inlineStr">
        <x:is>
          <x:t xml:space="preserve">LANTERN RING 47137</x:t>
        </x:is>
      </x:c>
      <x:c r="C2600" s="184" t="n">
        <x:v>0</x:v>
      </x:c>
      <x:c r="D2600" s="184" t="n">
        <x:v>0</x:v>
      </x:c>
      <x:c r="E2600" s="184" t="n">
        <x:v>0</x:v>
      </x:c>
      <x:c r="F2600" s="184" t="n">
        <x:v>0</x:v>
      </x:c>
      <x:c r="G2600" s="184" t="n">
        <x:v>0</x:v>
      </x:c>
      <x:c r="H2600" s="193" t="n">
        <x:v>0</x:v>
      </x:c>
      <x:c r="I2600" s="185" t="n">
        <x:v>0</x:v>
      </x:c>
      <x:c r="J2600" s="185" t="n">
        <x:v>0</x:v>
      </x:c>
      <x:c r="K2600" s="289" t="n">
        <x:v>0</x:v>
      </x:c>
    </x:row>
    <x:row r="2601" s="117" customFormat="1" hidden="1">
      <x:c r="A2601" s="184" t="inlineStr">
        <x:is>
          <x:t xml:space="preserve">PDTVULTEF036</x:t>
        </x:is>
      </x:c>
      <x:c r="B2601" s="184" t="inlineStr">
        <x:is>
          <x:t xml:space="preserve">RESTRICTOR ANILLO LINTERNA G118-1P50</x:t>
        </x:is>
      </x:c>
      <x:c r="C2601" s="184" t="n">
        <x:v>0</x:v>
      </x:c>
      <x:c r="D2601" s="184" t="n">
        <x:v>0</x:v>
      </x:c>
      <x:c r="E2601" s="184" t="n">
        <x:v>0</x:v>
      </x:c>
      <x:c r="F2601" s="184" t="n">
        <x:v>0</x:v>
      </x:c>
      <x:c r="G2601" s="184" t="n">
        <x:v>0</x:v>
      </x:c>
      <x:c r="H2601" s="193" t="n">
        <x:v>0</x:v>
      </x:c>
      <x:c r="I2601" s="185" t="n">
        <x:v>0</x:v>
      </x:c>
      <x:c r="J2601" s="185" t="n">
        <x:v>0</x:v>
      </x:c>
      <x:c r="K2601" s="289" t="n">
        <x:v>74200</x:v>
      </x:c>
    </x:row>
    <x:row r="2602" s="117" customFormat="1" hidden="1">
      <x:c r="A2602" s="184" t="inlineStr">
        <x:is>
          <x:t xml:space="preserve">PDTVULTEF037</x:t>
        </x:is>
      </x:c>
      <x:c r="B2602" s="184" t="inlineStr">
        <x:is>
          <x:t xml:space="preserve">GOLILLA BGV5000 40/50 IMPELLER WASHER V610046000</x:t>
        </x:is>
      </x:c>
      <x:c r="C2602" s="184" t="n">
        <x:v>0</x:v>
      </x:c>
      <x:c r="D2602" s="184" t="n">
        <x:v>0</x:v>
      </x:c>
      <x:c r="E2602" s="184" t="n">
        <x:v>0</x:v>
      </x:c>
      <x:c r="F2602" s="184" t="n">
        <x:v>0</x:v>
      </x:c>
      <x:c r="G2602" s="184" t="n">
        <x:v>0</x:v>
      </x:c>
      <x:c r="H2602" s="193" t="n">
        <x:v>0</x:v>
      </x:c>
      <x:c r="I2602" s="185" t="n">
        <x:v>0</x:v>
      </x:c>
      <x:c r="J2602" s="185" t="n">
        <x:v>0</x:v>
      </x:c>
      <x:c r="K2602" s="289" t="n">
        <x:v>29737</x:v>
      </x:c>
    </x:row>
    <x:row r="2603" s="117" customFormat="1" hidden="1">
      <x:c r="A2603" s="184" t="inlineStr">
        <x:is>
          <x:t xml:space="preserve">PDTVULTEF038</x:t>
        </x:is>
      </x:c>
      <x:c r="B2603" s="184" t="inlineStr">
        <x:is>
          <x:t xml:space="preserve">GOLILLA BGV5000 80  IMPELLER WASHER V630046000</x:t>
        </x:is>
      </x:c>
      <x:c r="C2603" s="184" t="n">
        <x:v>16</x:v>
      </x:c>
      <x:c r="D2603" s="184" t="n">
        <x:v>0</x:v>
      </x:c>
      <x:c r="E2603" s="184" t="n">
        <x:v>0</x:v>
      </x:c>
      <x:c r="F2603" s="184" t="n">
        <x:v>16</x:v>
      </x:c>
      <x:c r="G2603" s="184" t="n">
        <x:v>183904</x:v>
      </x:c>
      <x:c r="H2603" s="193" t="n">
        <x:v>0</x:v>
      </x:c>
      <x:c r="I2603" s="185" t="n">
        <x:v>0</x:v>
      </x:c>
      <x:c r="J2603" s="185" t="n">
        <x:v>183904</x:v>
      </x:c>
      <x:c r="K2603" s="289" t="n">
        <x:v>11494</x:v>
      </x:c>
    </x:row>
    <x:row r="2604" s="117" customFormat="1" hidden="1">
      <x:c r="A2604" s="184" t="inlineStr">
        <x:is>
          <x:t xml:space="preserve">PDTVULTEF039</x:t>
        </x:is>
      </x:c>
      <x:c r="B2604" s="184" t="inlineStr">
        <x:is>
          <x:t xml:space="preserve">ASH 2.1/2X2 SRH EMPAQUETADURA N 43 A410143000</x:t>
        </x:is>
      </x:c>
      <x:c r="C2604" s="184" t="n">
        <x:v>36</x:v>
      </x:c>
      <x:c r="D2604" s="184" t="n">
        <x:v>0</x:v>
      </x:c>
      <x:c r="E2604" s="184" t="n">
        <x:v>0</x:v>
      </x:c>
      <x:c r="F2604" s="184" t="n">
        <x:v>36</x:v>
      </x:c>
      <x:c r="G2604" s="184" t="n">
        <x:v>137376</x:v>
      </x:c>
      <x:c r="H2604" s="193" t="n">
        <x:v>0</x:v>
      </x:c>
      <x:c r="I2604" s="185" t="n">
        <x:v>0</x:v>
      </x:c>
      <x:c r="J2604" s="185" t="n">
        <x:v>137376</x:v>
      </x:c>
      <x:c r="K2604" s="289" t="n">
        <x:v>3816</x:v>
      </x:c>
    </x:row>
    <x:row r="2605" s="117" customFormat="1" hidden="1">
      <x:c r="A2605" s="184" t="inlineStr">
        <x:is>
          <x:t xml:space="preserve">PDTVULTEF040</x:t>
        </x:is>
      </x:c>
      <x:c r="B2605" s="184" t="inlineStr">
        <x:is>
          <x:t xml:space="preserve">ASH 18X16 SRH ANILLO HIDRAULICO 32  TRIXALON NEGRO  A490232004</x:t>
        </x:is>
      </x:c>
      <x:c r="C2605" s="184" t="n">
        <x:v>0</x:v>
      </x:c>
      <x:c r="D2605" s="184" t="n">
        <x:v>0</x:v>
      </x:c>
      <x:c r="E2605" s="184" t="n">
        <x:v>0</x:v>
      </x:c>
      <x:c r="F2605" s="184" t="n">
        <x:v>0</x:v>
      </x:c>
      <x:c r="G2605" s="184" t="n">
        <x:v>0</x:v>
      </x:c>
      <x:c r="H2605" s="193" t="n">
        <x:v>0</x:v>
      </x:c>
      <x:c r="I2605" s="185" t="n">
        <x:v>0</x:v>
      </x:c>
      <x:c r="J2605" s="185" t="n">
        <x:v>0</x:v>
      </x:c>
      <x:c r="K2605" s="289" t="n">
        <x:v>76574</x:v>
      </x:c>
    </x:row>
    <x:row r="2606" s="117" customFormat="1" hidden="1">
      <x:c r="A2606" s="184" t="inlineStr">
        <x:is>
          <x:t xml:space="preserve">PDTVULTEF041</x:t>
        </x:is>
      </x:c>
      <x:c r="B2606" s="184" t="inlineStr">
        <x:is>
          <x:t xml:space="preserve">ASH 16X14 ANILLO HIDRAULICO N 32 A480132000</x:t>
        </x:is>
      </x:c>
      <x:c r="C2606" s="184" t="n">
        <x:v>0</x:v>
      </x:c>
      <x:c r="D2606" s="184" t="n">
        <x:v>0</x:v>
      </x:c>
      <x:c r="E2606" s="184" t="n">
        <x:v>0</x:v>
      </x:c>
      <x:c r="F2606" s="184" t="n">
        <x:v>0</x:v>
      </x:c>
      <x:c r="G2606" s="184" t="n">
        <x:v>0</x:v>
      </x:c>
      <x:c r="H2606" s="193" t="n">
        <x:v>0</x:v>
      </x:c>
      <x:c r="I2606" s="185" t="n">
        <x:v>0</x:v>
      </x:c>
      <x:c r="J2606" s="185" t="n">
        <x:v>0</x:v>
      </x:c>
      <x:c r="K2606" s="289" t="n">
        <x:v>30355</x:v>
      </x:c>
    </x:row>
    <x:row r="2607" s="117" customFormat="1" hidden="1">
      <x:c r="A2607" s="184" t="inlineStr">
        <x:is>
          <x:t xml:space="preserve">PDTVULTEF042</x:t>
        </x:is>
      </x:c>
      <x:c r="B2607" s="184" t="inlineStr">
        <x:is>
          <x:t xml:space="preserve">BGH 6X8 ANILLO LINTERNA B060722000</x:t>
        </x:is>
      </x:c>
      <x:c r="C2607" s="184" t="n">
        <x:v>5</x:v>
      </x:c>
      <x:c r="D2607" s="184" t="n">
        <x:v>0</x:v>
      </x:c>
      <x:c r="E2607" s="184" t="n">
        <x:v>0</x:v>
      </x:c>
      <x:c r="F2607" s="184" t="n">
        <x:v>5</x:v>
      </x:c>
      <x:c r="G2607" s="184" t="n">
        <x:v>219760</x:v>
      </x:c>
      <x:c r="H2607" s="193" t="n">
        <x:v>0</x:v>
      </x:c>
      <x:c r="I2607" s="185" t="n">
        <x:v>0</x:v>
      </x:c>
      <x:c r="J2607" s="185" t="n">
        <x:v>219760</x:v>
      </x:c>
      <x:c r="K2607" s="289" t="n">
        <x:v>43952</x:v>
      </x:c>
    </x:row>
    <x:row r="2608" s="117" customFormat="1" hidden="1">
      <x:c r="A2608" s="184" t="inlineStr">
        <x:is>
          <x:t xml:space="preserve">PDTVULTEF043</x:t>
        </x:is>
      </x:c>
      <x:c r="B2608" s="184" t="inlineStr">
        <x:is>
          <x:t xml:space="preserve">BGH 8 X 10 ANILLO HIDRAULICO B070730000</x:t>
        </x:is>
      </x:c>
      <x:c r="C2608" s="184" t="n">
        <x:v>0</x:v>
      </x:c>
      <x:c r="D2608" s="184" t="n">
        <x:v>0</x:v>
      </x:c>
      <x:c r="E2608" s="184" t="n">
        <x:v>0</x:v>
      </x:c>
      <x:c r="F2608" s="184" t="n">
        <x:v>0</x:v>
      </x:c>
      <x:c r="G2608" s="184" t="n">
        <x:v>0</x:v>
      </x:c>
      <x:c r="H2608" s="193" t="n">
        <x:v>0</x:v>
      </x:c>
      <x:c r="I2608" s="185" t="n">
        <x:v>0</x:v>
      </x:c>
      <x:c r="J2608" s="185" t="n">
        <x:v>0</x:v>
      </x:c>
      <x:c r="K2608" s="289" t="n">
        <x:v>21487</x:v>
      </x:c>
    </x:row>
    <x:row r="2609" s="117" customFormat="1" hidden="1">
      <x:c r="A2609" s="184" t="inlineStr">
        <x:is>
          <x:t xml:space="preserve">PDTVULTRE001</x:t>
        </x:is>
      </x:c>
      <x:c r="B2609" s="184" t="inlineStr">
        <x:is>
          <x:t xml:space="preserve">ASH 2X1.1/2 SRC EMPAQUETADURA 35 A400135000</x:t>
        </x:is>
      </x:c>
      <x:c r="C2609" s="184" t="n">
        <x:v>0</x:v>
      </x:c>
      <x:c r="D2609" s="184" t="n">
        <x:v>0</x:v>
      </x:c>
      <x:c r="E2609" s="184" t="n">
        <x:v>0</x:v>
      </x:c>
      <x:c r="F2609" s="184" t="n">
        <x:v>0</x:v>
      </x:c>
      <x:c r="G2609" s="184" t="n">
        <x:v>0</x:v>
      </x:c>
      <x:c r="H2609" s="193" t="n">
        <x:v>0</x:v>
      </x:c>
      <x:c r="I2609" s="185" t="n">
        <x:v>0</x:v>
      </x:c>
      <x:c r="J2609" s="185" t="n">
        <x:v>0</x:v>
      </x:c>
      <x:c r="K2609" s="289" t="n">
        <x:v>3214</x:v>
      </x:c>
    </x:row>
    <x:row r="2610" s="117" customFormat="1" hidden="1">
      <x:c r="A2610" s="184" t="inlineStr">
        <x:is>
          <x:t xml:space="preserve">PDTVULTRE002</x:t>
        </x:is>
      </x:c>
      <x:c r="B2610" s="184" t="inlineStr">
        <x:is>
          <x:t xml:space="preserve">ASH 2X2 SRC EMPAQUETADURA 35 A410135000</x:t>
        </x:is>
      </x:c>
      <x:c r="C2610" s="184" t="n">
        <x:v>17</x:v>
      </x:c>
      <x:c r="D2610" s="184" t="n">
        <x:v>0</x:v>
      </x:c>
      <x:c r="E2610" s="184" t="n">
        <x:v>0</x:v>
      </x:c>
      <x:c r="F2610" s="184" t="n">
        <x:v>17</x:v>
      </x:c>
      <x:c r="G2610" s="184" t="n">
        <x:v>56338</x:v>
      </x:c>
      <x:c r="H2610" s="193" t="n">
        <x:v>0</x:v>
      </x:c>
      <x:c r="I2610" s="185" t="n">
        <x:v>0</x:v>
      </x:c>
      <x:c r="J2610" s="185" t="n">
        <x:v>56338</x:v>
      </x:c>
      <x:c r="K2610" s="289" t="n">
        <x:v>3314</x:v>
      </x:c>
    </x:row>
    <x:row r="2611" s="117" customFormat="1" hidden="1">
      <x:c r="A2611" s="184" t="inlineStr">
        <x:is>
          <x:t xml:space="preserve">PDTVULTRE003</x:t>
        </x:is>
      </x:c>
      <x:c r="B2611" s="184" t="inlineStr">
        <x:is>
          <x:t xml:space="preserve">ASH 2.1/2X2 SRH EMPAQUETADURA 35 A410235001</x:t>
        </x:is>
      </x:c>
      <x:c r="C2611" s="184" t="n">
        <x:v>0</x:v>
      </x:c>
      <x:c r="D2611" s="184" t="n">
        <x:v>0</x:v>
      </x:c>
      <x:c r="E2611" s="184" t="n">
        <x:v>0</x:v>
      </x:c>
      <x:c r="F2611" s="184" t="n">
        <x:v>0</x:v>
      </x:c>
      <x:c r="G2611" s="184" t="n">
        <x:v>0</x:v>
      </x:c>
      <x:c r="H2611" s="193" t="n">
        <x:v>0</x:v>
      </x:c>
      <x:c r="I2611" s="185" t="n">
        <x:v>0</x:v>
      </x:c>
      <x:c r="J2611" s="185" t="n">
        <x:v>0</x:v>
      </x:c>
      <x:c r="K2611" s="289" t="n">
        <x:v>4010</x:v>
      </x:c>
    </x:row>
    <x:row r="2612" s="117" customFormat="1" hidden="1">
      <x:c r="A2612" s="184" t="inlineStr">
        <x:is>
          <x:t xml:space="preserve">PDTVULTRE004</x:t>
        </x:is>
      </x:c>
      <x:c r="B2612" s="184" t="inlineStr">
        <x:is>
          <x:t xml:space="preserve">ASH 4X3 SRC  EMPAQUETADURA 35 A420135000</x:t>
        </x:is>
      </x:c>
      <x:c r="C2612" s="184" t="n">
        <x:v>0</x:v>
      </x:c>
      <x:c r="D2612" s="184" t="n">
        <x:v>0</x:v>
      </x:c>
      <x:c r="E2612" s="184" t="n">
        <x:v>0</x:v>
      </x:c>
      <x:c r="F2612" s="184" t="n">
        <x:v>0</x:v>
      </x:c>
      <x:c r="G2612" s="184" t="n">
        <x:v>0</x:v>
      </x:c>
      <x:c r="H2612" s="193" t="n">
        <x:v>0</x:v>
      </x:c>
      <x:c r="I2612" s="185" t="n">
        <x:v>0</x:v>
      </x:c>
      <x:c r="J2612" s="185" t="n">
        <x:v>0</x:v>
      </x:c>
      <x:c r="K2612" s="289" t="n">
        <x:v>5544</x:v>
      </x:c>
    </x:row>
    <x:row r="2613" s="117" customFormat="1" hidden="1">
      <x:c r="A2613" s="184" t="inlineStr">
        <x:is>
          <x:t xml:space="preserve">PDTVULTRE005</x:t>
        </x:is>
      </x:c>
      <x:c r="B2613" s="184" t="inlineStr">
        <x:is>
          <x:t xml:space="preserve">ASH 4X3 SRH  EMPAQUETADURA 35 A420235000</x:t>
        </x:is>
      </x:c>
      <x:c r="C2613" s="184" t="n">
        <x:v>7</x:v>
      </x:c>
      <x:c r="D2613" s="184" t="n">
        <x:v>0</x:v>
      </x:c>
      <x:c r="E2613" s="184" t="n">
        <x:v>2</x:v>
      </x:c>
      <x:c r="F2613" s="184" t="n">
        <x:v>5</x:v>
      </x:c>
      <x:c r="G2613" s="184" t="n">
        <x:v>41509</x:v>
      </x:c>
      <x:c r="H2613" s="193" t="n">
        <x:v>0</x:v>
      </x:c>
      <x:c r="I2613" s="185" t="n">
        <x:v>11860</x:v>
      </x:c>
      <x:c r="J2613" s="185" t="n">
        <x:v>29649</x:v>
      </x:c>
      <x:c r="K2613" s="289" t="n">
        <x:v>5929.88772727</x:v>
      </x:c>
    </x:row>
    <x:row r="2614" s="117" customFormat="1" hidden="1">
      <x:c r="A2614" s="184" t="inlineStr">
        <x:is>
          <x:t xml:space="preserve">PDTVULTRE006</x:t>
        </x:is>
      </x:c>
      <x:c r="B2614" s="184" t="inlineStr">
        <x:is>
          <x:t xml:space="preserve">ASH 5X4 SRC  EMPAQUETADURA 35 A430135000</x:t>
        </x:is>
      </x:c>
      <x:c r="C2614" s="184" t="n">
        <x:v>0</x:v>
      </x:c>
      <x:c r="D2614" s="184" t="n">
        <x:v>0</x:v>
      </x:c>
      <x:c r="E2614" s="184" t="n">
        <x:v>0</x:v>
      </x:c>
      <x:c r="F2614" s="184" t="n">
        <x:v>0</x:v>
      </x:c>
      <x:c r="G2614" s="184" t="n">
        <x:v>0</x:v>
      </x:c>
      <x:c r="H2614" s="193" t="n">
        <x:v>0</x:v>
      </x:c>
      <x:c r="I2614" s="185" t="n">
        <x:v>0</x:v>
      </x:c>
      <x:c r="J2614" s="185" t="n">
        <x:v>0</x:v>
      </x:c>
      <x:c r="K2614" s="289" t="n">
        <x:v>3816</x:v>
      </x:c>
    </x:row>
    <x:row r="2615" s="117" customFormat="1" hidden="1">
      <x:c r="A2615" s="184" t="inlineStr">
        <x:is>
          <x:t xml:space="preserve">PDTVULTRE007</x:t>
        </x:is>
      </x:c>
      <x:c r="B2615" s="184" t="inlineStr">
        <x:is>
          <x:t xml:space="preserve">ASH 5X4 SRH  EMPAQUETADURA 35 A430235000</x:t>
        </x:is>
      </x:c>
      <x:c r="C2615" s="184" t="n">
        <x:v>0</x:v>
      </x:c>
      <x:c r="D2615" s="184" t="n">
        <x:v>0</x:v>
      </x:c>
      <x:c r="E2615" s="184" t="n">
        <x:v>0</x:v>
      </x:c>
      <x:c r="F2615" s="184" t="n">
        <x:v>0</x:v>
      </x:c>
      <x:c r="G2615" s="184" t="n">
        <x:v>0</x:v>
      </x:c>
      <x:c r="H2615" s="193" t="n">
        <x:v>0</x:v>
      </x:c>
      <x:c r="I2615" s="185" t="n">
        <x:v>0</x:v>
      </x:c>
      <x:c r="J2615" s="185" t="n">
        <x:v>0</x:v>
      </x:c>
      <x:c r="K2615" s="289" t="n">
        <x:v>7293</x:v>
      </x:c>
    </x:row>
    <x:row r="2616" s="117" customFormat="1" hidden="1">
      <x:c r="A2616" s="184" t="inlineStr">
        <x:is>
          <x:t xml:space="preserve">PDTVULTRE008</x:t>
        </x:is>
      </x:c>
      <x:c r="B2616" s="184" t="inlineStr">
        <x:is>
          <x:t xml:space="preserve">ASH 6X6 SRC  EMPAQUETADURA 35 A440135000</x:t>
        </x:is>
      </x:c>
      <x:c r="C2616" s="184" t="n">
        <x:v>1</x:v>
      </x:c>
      <x:c r="D2616" s="184" t="n">
        <x:v>0</x:v>
      </x:c>
      <x:c r="E2616" s="184" t="n">
        <x:v>0</x:v>
      </x:c>
      <x:c r="F2616" s="184" t="n">
        <x:v>1</x:v>
      </x:c>
      <x:c r="G2616" s="184" t="n">
        <x:v>6641</x:v>
      </x:c>
      <x:c r="H2616" s="193" t="n">
        <x:v>0</x:v>
      </x:c>
      <x:c r="I2616" s="185" t="n">
        <x:v>0</x:v>
      </x:c>
      <x:c r="J2616" s="185" t="n">
        <x:v>6641</x:v>
      </x:c>
      <x:c r="K2616" s="289" t="n">
        <x:v>6641</x:v>
      </x:c>
    </x:row>
    <x:row r="2617" s="117" customFormat="1" hidden="1">
      <x:c r="A2617" s="184" t="inlineStr">
        <x:is>
          <x:t xml:space="preserve">PDTVULTRE009</x:t>
        </x:is>
      </x:c>
      <x:c r="B2617" s="184" t="inlineStr">
        <x:is>
          <x:t xml:space="preserve">ASH 6X6 SRH  EMPAQUETADURA 35 A440235000</x:t>
        </x:is>
      </x:c>
      <x:c r="C2617" s="184" t="n">
        <x:v>1</x:v>
      </x:c>
      <x:c r="D2617" s="184" t="n">
        <x:v>0</x:v>
      </x:c>
      <x:c r="E2617" s="184" t="n">
        <x:v>0</x:v>
      </x:c>
      <x:c r="F2617" s="184" t="n">
        <x:v>1</x:v>
      </x:c>
      <x:c r="G2617" s="184" t="n">
        <x:v>13496</x:v>
      </x:c>
      <x:c r="H2617" s="193" t="n">
        <x:v>0</x:v>
      </x:c>
      <x:c r="I2617" s="185" t="n">
        <x:v>0</x:v>
      </x:c>
      <x:c r="J2617" s="185" t="n">
        <x:v>13496</x:v>
      </x:c>
      <x:c r="K2617" s="289" t="n">
        <x:v>13496</x:v>
      </x:c>
    </x:row>
    <x:row r="2618" s="117" customFormat="1" hidden="1">
      <x:c r="A2618" s="184" t="inlineStr">
        <x:is>
          <x:t xml:space="preserve">PDTVULTRE010</x:t>
        </x:is>
      </x:c>
      <x:c r="B2618" s="184" t="inlineStr">
        <x:is>
          <x:t xml:space="preserve">ASH 8X8 SRC  EMPAQUETADURA 35 A450135000</x:t>
        </x:is>
      </x:c>
      <x:c r="C2618" s="184" t="n">
        <x:v>0</x:v>
      </x:c>
      <x:c r="D2618" s="184" t="n">
        <x:v>0</x:v>
      </x:c>
      <x:c r="E2618" s="184" t="n">
        <x:v>0</x:v>
      </x:c>
      <x:c r="F2618" s="184" t="n">
        <x:v>0</x:v>
      </x:c>
      <x:c r="G2618" s="184" t="n">
        <x:v>-3</x:v>
      </x:c>
      <x:c r="H2618" s="193" t="n">
        <x:v>0</x:v>
      </x:c>
      <x:c r="I2618" s="185" t="n">
        <x:v>0</x:v>
      </x:c>
      <x:c r="J2618" s="185" t="n">
        <x:v>-3</x:v>
      </x:c>
      <x:c r="K2618" s="289" t="n">
        <x:v>11007.94920065</x:v>
      </x:c>
    </x:row>
    <x:row r="2619" s="117" customFormat="1" hidden="1">
      <x:c r="A2619" s="184" t="inlineStr">
        <x:is>
          <x:t xml:space="preserve">PDTVULTRE011</x:t>
        </x:is>
      </x:c>
      <x:c r="B2619" s="184" t="inlineStr">
        <x:is>
          <x:t xml:space="preserve">ASH 8X8 SRH  EMPAQUETADURA 35 A450235000</x:t>
        </x:is>
      </x:c>
      <x:c r="C2619" s="184" t="n">
        <x:v>0</x:v>
      </x:c>
      <x:c r="D2619" s="184" t="n">
        <x:v>0</x:v>
      </x:c>
      <x:c r="E2619" s="184" t="n">
        <x:v>0</x:v>
      </x:c>
      <x:c r="F2619" s="184" t="n">
        <x:v>0</x:v>
      </x:c>
      <x:c r="G2619" s="184" t="n">
        <x:v>-1</x:v>
      </x:c>
      <x:c r="H2619" s="193" t="n">
        <x:v>0</x:v>
      </x:c>
      <x:c r="I2619" s="185" t="n">
        <x:v>0</x:v>
      </x:c>
      <x:c r="J2619" s="185" t="n">
        <x:v>-1</x:v>
      </x:c>
      <x:c r="K2619" s="289" t="n">
        <x:v>11772</x:v>
      </x:c>
    </x:row>
    <x:row r="2620" s="117" customFormat="1" hidden="1">
      <x:c r="A2620" s="184" t="inlineStr">
        <x:is>
          <x:t xml:space="preserve">PDTVULTRE012</x:t>
        </x:is>
      </x:c>
      <x:c r="B2620" s="184" t="inlineStr">
        <x:is>
          <x:t xml:space="preserve">ASH 10X10 SRC  EMPAQUETADURA 35 A460135000</x:t>
        </x:is>
      </x:c>
      <x:c r="C2620" s="184" t="n">
        <x:v>0</x:v>
      </x:c>
      <x:c r="D2620" s="184" t="n">
        <x:v>0</x:v>
      </x:c>
      <x:c r="E2620" s="184" t="n">
        <x:v>0</x:v>
      </x:c>
      <x:c r="F2620" s="184" t="n">
        <x:v>0</x:v>
      </x:c>
      <x:c r="G2620" s="184" t="n">
        <x:v>0</x:v>
      </x:c>
      <x:c r="H2620" s="193" t="n">
        <x:v>0</x:v>
      </x:c>
      <x:c r="I2620" s="185" t="n">
        <x:v>0</x:v>
      </x:c>
      <x:c r="J2620" s="185" t="n">
        <x:v>0</x:v>
      </x:c>
      <x:c r="K2620" s="289" t="n">
        <x:v>10214</x:v>
      </x:c>
    </x:row>
    <x:row r="2621" s="117" customFormat="1" hidden="1">
      <x:c r="A2621" s="184" t="inlineStr">
        <x:is>
          <x:t xml:space="preserve">PDTVULTRE013</x:t>
        </x:is>
      </x:c>
      <x:c r="B2621" s="184" t="inlineStr">
        <x:is>
          <x:t xml:space="preserve">ASH 10X10 SRH  EMPAQUETADURA 35  500 PSI A460235001</x:t>
        </x:is>
      </x:c>
      <x:c r="C2621" s="184" t="n">
        <x:v>0</x:v>
      </x:c>
      <x:c r="D2621" s="184" t="n">
        <x:v>0</x:v>
      </x:c>
      <x:c r="E2621" s="184" t="n">
        <x:v>0</x:v>
      </x:c>
      <x:c r="F2621" s="184" t="n">
        <x:v>0</x:v>
      </x:c>
      <x:c r="G2621" s="184" t="n">
        <x:v>0</x:v>
      </x:c>
      <x:c r="H2621" s="193" t="n">
        <x:v>0</x:v>
      </x:c>
      <x:c r="I2621" s="185" t="n">
        <x:v>0</x:v>
      </x:c>
      <x:c r="J2621" s="185" t="n">
        <x:v>0</x:v>
      </x:c>
      <x:c r="K2621" s="289" t="n">
        <x:v>11672</x:v>
      </x:c>
    </x:row>
    <x:row r="2622" s="117" customFormat="1" hidden="1">
      <x:c r="A2622" s="184" t="inlineStr">
        <x:is>
          <x:t xml:space="preserve">PDTVULTRE014</x:t>
        </x:is>
      </x:c>
      <x:c r="B2622" s="184" t="inlineStr">
        <x:is>
          <x:t xml:space="preserve">ASH 10X10 SRH  EMPAQUETADURA 35 A460235000</x:t>
        </x:is>
      </x:c>
      <x:c r="C2622" s="184" t="n">
        <x:v>0</x:v>
      </x:c>
      <x:c r="D2622" s="184" t="n">
        <x:v>0</x:v>
      </x:c>
      <x:c r="E2622" s="184" t="n">
        <x:v>0</x:v>
      </x:c>
      <x:c r="F2622" s="184" t="n">
        <x:v>0</x:v>
      </x:c>
      <x:c r="G2622" s="184" t="n">
        <x:v>0</x:v>
      </x:c>
      <x:c r="H2622" s="193" t="n">
        <x:v>0</x:v>
      </x:c>
      <x:c r="I2622" s="185" t="n">
        <x:v>0</x:v>
      </x:c>
      <x:c r="J2622" s="185" t="n">
        <x:v>0</x:v>
      </x:c>
      <x:c r="K2622" s="289" t="n">
        <x:v>21713</x:v>
      </x:c>
    </x:row>
    <x:row r="2623" s="117" customFormat="1" hidden="1">
      <x:c r="A2623" s="184" t="inlineStr">
        <x:is>
          <x:t xml:space="preserve">PDTVULTRE015</x:t>
        </x:is>
      </x:c>
      <x:c r="B2623" s="184" t="inlineStr">
        <x:is>
          <x:t xml:space="preserve">ASH 14X12 SRH ANILLO HIDRAULICO 35  A470135000</x:t>
        </x:is>
      </x:c>
      <x:c r="C2623" s="184" t="n">
        <x:v>0</x:v>
      </x:c>
      <x:c r="D2623" s="184" t="n">
        <x:v>0</x:v>
      </x:c>
      <x:c r="E2623" s="184" t="n">
        <x:v>0</x:v>
      </x:c>
      <x:c r="F2623" s="184" t="n">
        <x:v>0</x:v>
      </x:c>
      <x:c r="G2623" s="184" t="n">
        <x:v>1</x:v>
      </x:c>
      <x:c r="H2623" s="193" t="n">
        <x:v>0</x:v>
      </x:c>
      <x:c r="I2623" s="185" t="n">
        <x:v>0</x:v>
      </x:c>
      <x:c r="J2623" s="185" t="n">
        <x:v>1</x:v>
      </x:c>
      <x:c r="K2623" s="289" t="n">
        <x:v>15240</x:v>
      </x:c>
    </x:row>
    <x:row r="2624" s="117" customFormat="1" hidden="1">
      <x:c r="A2624" s="184" t="inlineStr">
        <x:is>
          <x:t xml:space="preserve">PDTVULTRE016</x:t>
        </x:is>
      </x:c>
      <x:c r="B2624" s="184" t="inlineStr">
        <x:is>
          <x:t xml:space="preserve">ASH 14X12 SRH EMPAQUETADURA 35 A470235000</x:t>
        </x:is>
      </x:c>
      <x:c r="C2624" s="184" t="n">
        <x:v>0</x:v>
      </x:c>
      <x:c r="D2624" s="184" t="n">
        <x:v>0</x:v>
      </x:c>
      <x:c r="E2624" s="184" t="n">
        <x:v>0</x:v>
      </x:c>
      <x:c r="F2624" s="184" t="n">
        <x:v>0</x:v>
      </x:c>
      <x:c r="G2624" s="184" t="n">
        <x:v>0</x:v>
      </x:c>
      <x:c r="H2624" s="193" t="n">
        <x:v>0</x:v>
      </x:c>
      <x:c r="I2624" s="185" t="n">
        <x:v>0</x:v>
      </x:c>
      <x:c r="J2624" s="185" t="n">
        <x:v>0</x:v>
      </x:c>
      <x:c r="K2624" s="289" t="n">
        <x:v>21942.17857143</x:v>
      </x:c>
    </x:row>
    <x:row r="2625" s="117" customFormat="1" hidden="1">
      <x:c r="A2625" s="184" t="inlineStr">
        <x:is>
          <x:t xml:space="preserve">PDTVULTRE018</x:t>
        </x:is>
      </x:c>
      <x:c r="B2625" s="184" t="inlineStr">
        <x:is>
          <x:t xml:space="preserve">ASH 16X14 SRC EMPAQUETADURA 35 A480135000</x:t>
        </x:is>
      </x:c>
      <x:c r="C2625" s="184" t="n">
        <x:v>7</x:v>
      </x:c>
      <x:c r="D2625" s="184" t="n">
        <x:v>0</x:v>
      </x:c>
      <x:c r="E2625" s="184" t="n">
        <x:v>0</x:v>
      </x:c>
      <x:c r="F2625" s="184" t="n">
        <x:v>7</x:v>
      </x:c>
      <x:c r="G2625" s="184" t="n">
        <x:v>101091</x:v>
      </x:c>
      <x:c r="H2625" s="193" t="n">
        <x:v>0</x:v>
      </x:c>
      <x:c r="I2625" s="185" t="n">
        <x:v>0</x:v>
      </x:c>
      <x:c r="J2625" s="185" t="n">
        <x:v>101091</x:v>
      </x:c>
      <x:c r="K2625" s="289" t="n">
        <x:v>14441.46428572</x:v>
      </x:c>
    </x:row>
    <x:row r="2626" s="117" customFormat="1" hidden="1">
      <x:c r="A2626" s="184" t="inlineStr">
        <x:is>
          <x:t xml:space="preserve">PDTVULTRE019</x:t>
        </x:is>
      </x:c>
      <x:c r="B2626" s="184" t="inlineStr">
        <x:is>
          <x:t xml:space="preserve">ASH 18X16 SRC  EMPAQUETADURA 35 A490135000</x:t>
        </x:is>
      </x:c>
      <x:c r="C2626" s="184" t="n">
        <x:v>0</x:v>
      </x:c>
      <x:c r="D2626" s="184" t="n">
        <x:v>0</x:v>
      </x:c>
      <x:c r="E2626" s="184" t="n">
        <x:v>0</x:v>
      </x:c>
      <x:c r="F2626" s="184" t="n">
        <x:v>0</x:v>
      </x:c>
      <x:c r="G2626" s="184" t="n">
        <x:v>0</x:v>
      </x:c>
      <x:c r="H2626" s="193" t="n">
        <x:v>0</x:v>
      </x:c>
      <x:c r="I2626" s="185" t="n">
        <x:v>0</x:v>
      </x:c>
      <x:c r="J2626" s="185" t="n">
        <x:v>0</x:v>
      </x:c>
      <x:c r="K2626" s="289" t="n">
        <x:v>45993</x:v>
      </x:c>
    </x:row>
    <x:row r="2627" s="117" customFormat="1" hidden="1">
      <x:c r="A2627" s="184" t="inlineStr">
        <x:is>
          <x:t xml:space="preserve">PDTVULTRE020</x:t>
        </x:is>
      </x:c>
      <x:c r="B2627" s="184" t="inlineStr">
        <x:is>
          <x:t xml:space="preserve">ASH 18X16 SRH  EMPAQUETADURA 35 A490235000</x:t>
        </x:is>
      </x:c>
      <x:c r="C2627" s="184" t="n">
        <x:v>0</x:v>
      </x:c>
      <x:c r="D2627" s="184" t="n">
        <x:v>0</x:v>
      </x:c>
      <x:c r="E2627" s="184" t="n">
        <x:v>0</x:v>
      </x:c>
      <x:c r="F2627" s="184" t="n">
        <x:v>0</x:v>
      </x:c>
      <x:c r="G2627" s="184" t="n">
        <x:v>0</x:v>
      </x:c>
      <x:c r="H2627" s="193" t="n">
        <x:v>0</x:v>
      </x:c>
      <x:c r="I2627" s="185" t="n">
        <x:v>0</x:v>
      </x:c>
      <x:c r="J2627" s="185" t="n">
        <x:v>0</x:v>
      </x:c>
      <x:c r="K2627" s="289" t="n">
        <x:v>24563</x:v>
      </x:c>
    </x:row>
    <x:row r="2628" s="117" customFormat="1" hidden="1">
      <x:c r="A2628" s="184" t="inlineStr">
        <x:is>
          <x:t xml:space="preserve">PDTVULTRE021</x:t>
        </x:is>
      </x:c>
      <x:c r="B2628" s="184" t="inlineStr">
        <x:is>
          <x:t xml:space="preserve">ASH MCH 450 EMPAQUETADURA 35 A530235000</x:t>
        </x:is>
      </x:c>
      <x:c r="C2628" s="184" t="n">
        <x:v>0</x:v>
      </x:c>
      <x:c r="D2628" s="184" t="n">
        <x:v>0</x:v>
      </x:c>
      <x:c r="E2628" s="184" t="n">
        <x:v>0</x:v>
      </x:c>
      <x:c r="F2628" s="184" t="n">
        <x:v>0</x:v>
      </x:c>
      <x:c r="G2628" s="184" t="n">
        <x:v>0</x:v>
      </x:c>
      <x:c r="H2628" s="193" t="n">
        <x:v>0</x:v>
      </x:c>
      <x:c r="I2628" s="185" t="n">
        <x:v>0</x:v>
      </x:c>
      <x:c r="J2628" s="185" t="n">
        <x:v>0</x:v>
      </x:c>
      <x:c r="K2628" s="289" t="n">
        <x:v>36161.20696</x:v>
      </x:c>
    </x:row>
    <x:row r="2629" s="117" customFormat="1" hidden="1">
      <x:c r="A2629" s="184" t="inlineStr">
        <x:is>
          <x:t xml:space="preserve">PDTVULTRE022</x:t>
        </x:is>
      </x:c>
      <x:c r="B2629" s="184" t="inlineStr">
        <x:is>
          <x:t xml:space="preserve">ASH MCH 450 EMPAQUETADURA 35 A532235000</x:t>
        </x:is>
      </x:c>
      <x:c r="C2629" s="184" t="n">
        <x:v>0</x:v>
      </x:c>
      <x:c r="D2629" s="184" t="n">
        <x:v>0</x:v>
      </x:c>
      <x:c r="E2629" s="184" t="n">
        <x:v>0</x:v>
      </x:c>
      <x:c r="F2629" s="184" t="n">
        <x:v>0</x:v>
      </x:c>
      <x:c r="G2629" s="184" t="n">
        <x:v>0</x:v>
      </x:c>
      <x:c r="H2629" s="193" t="n">
        <x:v>0</x:v>
      </x:c>
      <x:c r="I2629" s="185" t="n">
        <x:v>0</x:v>
      </x:c>
      <x:c r="J2629" s="185" t="n">
        <x:v>0</x:v>
      </x:c>
      <x:c r="K2629" s="289" t="n">
        <x:v>35333</x:v>
      </x:c>
    </x:row>
    <x:row r="2630" s="117" customFormat="1" hidden="1">
      <x:c r="A2630" s="184" t="inlineStr">
        <x:is>
          <x:t xml:space="preserve">PDTVULTRE023</x:t>
        </x:is>
      </x:c>
      <x:c r="B2630" s="184" t="inlineStr">
        <x:is>
          <x:t xml:space="preserve">ASH MCH  EMPAQUETADURA 35 A535135000</x:t>
        </x:is>
      </x:c>
      <x:c r="C2630" s="184" t="n">
        <x:v>0</x:v>
      </x:c>
      <x:c r="D2630" s="184" t="n">
        <x:v>0</x:v>
      </x:c>
      <x:c r="E2630" s="184" t="n">
        <x:v>0</x:v>
      </x:c>
      <x:c r="F2630" s="184" t="n">
        <x:v>0</x:v>
      </x:c>
      <x:c r="G2630" s="184" t="n">
        <x:v>0</x:v>
      </x:c>
      <x:c r="H2630" s="193" t="n">
        <x:v>0</x:v>
      </x:c>
      <x:c r="I2630" s="185" t="n">
        <x:v>0</x:v>
      </x:c>
      <x:c r="J2630" s="185" t="n">
        <x:v>0</x:v>
      </x:c>
      <x:c r="K2630" s="289" t="n">
        <x:v>49738</x:v>
      </x:c>
    </x:row>
    <x:row r="2631" s="117" customFormat="1" hidden="1">
      <x:c r="A2631" s="184" t="inlineStr">
        <x:is>
          <x:t xml:space="preserve">PDTVULTRE024</x:t>
        </x:is>
      </x:c>
      <x:c r="B2631" s="184" t="inlineStr">
        <x:is>
          <x:t xml:space="preserve">550 C EMPAQUETADURA PRENSA ML02163 A543135000 (UMC55111Q05)</x:t>
        </x:is>
      </x:c>
      <x:c r="C2631" s="184" t="n">
        <x:v>0</x:v>
      </x:c>
      <x:c r="D2631" s="184" t="n">
        <x:v>0</x:v>
      </x:c>
      <x:c r="E2631" s="184" t="n">
        <x:v>0</x:v>
      </x:c>
      <x:c r="F2631" s="184" t="n">
        <x:v>0</x:v>
      </x:c>
      <x:c r="G2631" s="184" t="n">
        <x:v>0</x:v>
      </x:c>
      <x:c r="H2631" s="193" t="n">
        <x:v>0</x:v>
      </x:c>
      <x:c r="I2631" s="185" t="n">
        <x:v>0</x:v>
      </x:c>
      <x:c r="J2631" s="185" t="n">
        <x:v>0</x:v>
      </x:c>
      <x:c r="K2631" s="289" t="n">
        <x:v>58980</x:v>
      </x:c>
    </x:row>
    <x:row r="2632" s="117" customFormat="1" hidden="1">
      <x:c r="A2632" s="184" t="inlineStr">
        <x:is>
          <x:t xml:space="preserve">PDTVULTRE025</x:t>
        </x:is>
      </x:c>
      <x:c r="B2632" s="184" t="inlineStr">
        <x:is>
          <x:t xml:space="preserve">ASH 8 MG EMPAQUETADURA N 35 A820235000</x:t>
        </x:is>
      </x:c>
      <x:c r="C2632" s="184" t="n">
        <x:v>0</x:v>
      </x:c>
      <x:c r="D2632" s="184" t="n">
        <x:v>0</x:v>
      </x:c>
      <x:c r="E2632" s="184" t="n">
        <x:v>0</x:v>
      </x:c>
      <x:c r="F2632" s="184" t="n">
        <x:v>0</x:v>
      </x:c>
      <x:c r="G2632" s="184" t="n">
        <x:v>0</x:v>
      </x:c>
      <x:c r="H2632" s="193" t="n">
        <x:v>0</x:v>
      </x:c>
      <x:c r="I2632" s="185" t="n">
        <x:v>0</x:v>
      </x:c>
      <x:c r="J2632" s="185" t="n">
        <x:v>0</x:v>
      </x:c>
      <x:c r="K2632" s="289" t="n">
        <x:v>7000</x:v>
      </x:c>
    </x:row>
    <x:row r="2633" s="117" customFormat="1" hidden="1">
      <x:c r="A2633" s="184" t="inlineStr">
        <x:is>
          <x:t xml:space="preserve">PDTVULTRE026</x:t>
        </x:is>
      </x:c>
      <x:c r="B2633" s="184" t="inlineStr">
        <x:is>
          <x:t xml:space="preserve">ASH 10 MQ EMPAQUETADURA N 35 A830135000</x:t>
        </x:is>
      </x:c>
      <x:c r="C2633" s="184" t="n">
        <x:v>0</x:v>
      </x:c>
      <x:c r="D2633" s="184" t="n">
        <x:v>0</x:v>
      </x:c>
      <x:c r="E2633" s="184" t="n">
        <x:v>0</x:v>
      </x:c>
      <x:c r="F2633" s="184" t="n">
        <x:v>0</x:v>
      </x:c>
      <x:c r="G2633" s="184" t="n">
        <x:v>0</x:v>
      </x:c>
      <x:c r="H2633" s="193" t="n">
        <x:v>0</x:v>
      </x:c>
      <x:c r="I2633" s="185" t="n">
        <x:v>0</x:v>
      </x:c>
      <x:c r="J2633" s="185" t="n">
        <x:v>0</x:v>
      </x:c>
      <x:c r="K2633" s="289" t="n">
        <x:v>16213.08158514</x:v>
      </x:c>
    </x:row>
    <x:row r="2634" s="117" customFormat="1" hidden="1">
      <x:c r="A2634" s="184" t="inlineStr">
        <x:is>
          <x:t xml:space="preserve">PDTVULTRE027</x:t>
        </x:is>
      </x:c>
      <x:c r="B2634" s="184" t="inlineStr">
        <x:is>
          <x:t xml:space="preserve">IMCTEC 14X12 EMPAQUETADURA N 35 A670135000</x:t>
        </x:is>
      </x:c>
      <x:c r="C2634" s="184" t="n">
        <x:v>0</x:v>
      </x:c>
      <x:c r="D2634" s="184" t="n">
        <x:v>0</x:v>
      </x:c>
      <x:c r="E2634" s="184" t="n">
        <x:v>0</x:v>
      </x:c>
      <x:c r="F2634" s="184" t="n">
        <x:v>0</x:v>
      </x:c>
      <x:c r="G2634" s="184" t="n">
        <x:v>0</x:v>
      </x:c>
      <x:c r="H2634" s="193" t="n">
        <x:v>0</x:v>
      </x:c>
      <x:c r="I2634" s="185" t="n">
        <x:v>0</x:v>
      </x:c>
      <x:c r="J2634" s="185" t="n">
        <x:v>0</x:v>
      </x:c>
      <x:c r="K2634" s="289" t="n">
        <x:v>34679</x:v>
      </x:c>
    </x:row>
    <x:row r="2635" s="117" customFormat="1" hidden="1">
      <x:c r="A2635" s="184" t="inlineStr">
        <x:is>
          <x:t xml:space="preserve">PDTVULTRE028</x:t>
        </x:is>
      </x:c>
      <x:c r="B2635" s="184" t="inlineStr">
        <x:is>
          <x:t xml:space="preserve">ASH MCC-150 EMPAQUETADURA N 35 A452135000</x:t>
        </x:is>
      </x:c>
      <x:c r="C2635" s="184" t="n">
        <x:v>0</x:v>
      </x:c>
      <x:c r="D2635" s="184" t="n">
        <x:v>0</x:v>
      </x:c>
      <x:c r="E2635" s="184" t="n">
        <x:v>0</x:v>
      </x:c>
      <x:c r="F2635" s="184" t="n">
        <x:v>0</x:v>
      </x:c>
      <x:c r="G2635" s="184" t="n">
        <x:v>0</x:v>
      </x:c>
      <x:c r="H2635" s="193" t="n">
        <x:v>0</x:v>
      </x:c>
      <x:c r="I2635" s="185" t="n">
        <x:v>0</x:v>
      </x:c>
      <x:c r="J2635" s="185" t="n">
        <x:v>0</x:v>
      </x:c>
      <x:c r="K2635" s="289" t="n">
        <x:v>10291</x:v>
      </x:c>
    </x:row>
    <x:row r="2636" s="117" customFormat="1" hidden="1">
      <x:c r="A2636" s="184" t="inlineStr">
        <x:is>
          <x:t xml:space="preserve">PDTVULTRE029</x:t>
        </x:is>
      </x:c>
      <x:c r="B2636" s="184" t="inlineStr">
        <x:is>
          <x:t xml:space="preserve">ASH MCH-150 EMPAQUETADURA N 35 A452235000</x:t>
        </x:is>
      </x:c>
      <x:c r="C2636" s="184" t="n">
        <x:v>0</x:v>
      </x:c>
      <x:c r="D2636" s="184" t="n">
        <x:v>0</x:v>
      </x:c>
      <x:c r="E2636" s="184" t="n">
        <x:v>0</x:v>
      </x:c>
      <x:c r="F2636" s="184" t="n">
        <x:v>0</x:v>
      </x:c>
      <x:c r="G2636" s="184" t="n">
        <x:v>0</x:v>
      </x:c>
      <x:c r="H2636" s="193" t="n">
        <x:v>0</x:v>
      </x:c>
      <x:c r="I2636" s="185" t="n">
        <x:v>0</x:v>
      </x:c>
      <x:c r="J2636" s="185" t="n">
        <x:v>0</x:v>
      </x:c>
      <x:c r="K2636" s="289" t="n">
        <x:v>21798</x:v>
      </x:c>
    </x:row>
    <x:row r="2637" s="117" customFormat="1" hidden="1">
      <x:c r="A2637" s="184" t="inlineStr">
        <x:is>
          <x:t xml:space="preserve">PDTVULTRE030</x:t>
        </x:is>
      </x:c>
      <x:c r="B2637" s="184" t="inlineStr">
        <x:is>
          <x:t xml:space="preserve">BGH 1.1/2X2 JUEGO PRENSA ESTOPA N 38  B010378000</x:t>
        </x:is>
      </x:c>
      <x:c r="C2637" s="184" t="n">
        <x:v>0</x:v>
      </x:c>
      <x:c r="D2637" s="184" t="n">
        <x:v>0</x:v>
      </x:c>
      <x:c r="E2637" s="184" t="n">
        <x:v>0</x:v>
      </x:c>
      <x:c r="F2637" s="184" t="n">
        <x:v>0</x:v>
      </x:c>
      <x:c r="G2637" s="184" t="n">
        <x:v>0</x:v>
      </x:c>
      <x:c r="H2637" s="193" t="n">
        <x:v>0</x:v>
      </x:c>
      <x:c r="I2637" s="185" t="n">
        <x:v>0</x:v>
      </x:c>
      <x:c r="J2637" s="185" t="n">
        <x:v>0</x:v>
      </x:c>
      <x:c r="K2637" s="289" t="n">
        <x:v>5600</x:v>
      </x:c>
    </x:row>
    <x:row r="2638" s="117" customFormat="1" hidden="1">
      <x:c r="A2638" s="184" t="inlineStr">
        <x:is>
          <x:t xml:space="preserve">PDTVULTRE031</x:t>
        </x:is>
      </x:c>
      <x:c r="B2638" s="184" t="inlineStr">
        <x:is>
          <x:t xml:space="preserve">BGH 2X2.1/2 JUEGO PRENSA ESTOPA N 38  B020738000</x:t>
        </x:is>
      </x:c>
      <x:c r="C2638" s="184" t="n">
        <x:v>0</x:v>
      </x:c>
      <x:c r="D2638" s="184" t="n">
        <x:v>0</x:v>
      </x:c>
      <x:c r="E2638" s="184" t="n">
        <x:v>0</x:v>
      </x:c>
      <x:c r="F2638" s="184" t="n">
        <x:v>0</x:v>
      </x:c>
      <x:c r="G2638" s="184" t="n">
        <x:v>0</x:v>
      </x:c>
      <x:c r="H2638" s="193" t="n">
        <x:v>0</x:v>
      </x:c>
      <x:c r="I2638" s="185" t="n">
        <x:v>0</x:v>
      </x:c>
      <x:c r="J2638" s="185" t="n">
        <x:v>0</x:v>
      </x:c>
      <x:c r="K2638" s="289" t="n">
        <x:v>5000</x:v>
      </x:c>
    </x:row>
    <x:row r="2639" s="117" customFormat="1" hidden="1">
      <x:c r="A2639" s="184" t="inlineStr">
        <x:is>
          <x:t xml:space="preserve">PDTVULTRE032</x:t>
        </x:is>
      </x:c>
      <x:c r="B2639" s="184" t="inlineStr">
        <x:is>
          <x:t xml:space="preserve">BGH 3X4 JUEGO PRENSA ESTOPA N 38 B030738000</x:t>
        </x:is>
      </x:c>
      <x:c r="C2639" s="184" t="n">
        <x:v>0</x:v>
      </x:c>
      <x:c r="D2639" s="184" t="n">
        <x:v>0</x:v>
      </x:c>
      <x:c r="E2639" s="184" t="n">
        <x:v>0</x:v>
      </x:c>
      <x:c r="F2639" s="184" t="n">
        <x:v>0</x:v>
      </x:c>
      <x:c r="G2639" s="184" t="n">
        <x:v>0</x:v>
      </x:c>
      <x:c r="H2639" s="193" t="n">
        <x:v>0</x:v>
      </x:c>
      <x:c r="I2639" s="185" t="n">
        <x:v>0</x:v>
      </x:c>
      <x:c r="J2639" s="185" t="n">
        <x:v>0</x:v>
      </x:c>
      <x:c r="K2639" s="289" t="n">
        <x:v>10075</x:v>
      </x:c>
    </x:row>
    <x:row r="2640" s="117" customFormat="1" hidden="1">
      <x:c r="A2640" s="184" t="inlineStr">
        <x:is>
          <x:t xml:space="preserve">PDTVULTRE033</x:t>
        </x:is>
      </x:c>
      <x:c r="B2640" s="184" t="inlineStr">
        <x:is>
          <x:t xml:space="preserve">BGH 4X6 JUEGO PRENSA ESTOPA N 38 B040738000</x:t>
        </x:is>
      </x:c>
      <x:c r="C2640" s="184" t="n">
        <x:v>0</x:v>
      </x:c>
      <x:c r="D2640" s="184" t="n">
        <x:v>0</x:v>
      </x:c>
      <x:c r="E2640" s="184" t="n">
        <x:v>0</x:v>
      </x:c>
      <x:c r="F2640" s="184" t="n">
        <x:v>0</x:v>
      </x:c>
      <x:c r="G2640" s="184" t="n">
        <x:v>0</x:v>
      </x:c>
      <x:c r="H2640" s="193" t="n">
        <x:v>0</x:v>
      </x:c>
      <x:c r="I2640" s="185" t="n">
        <x:v>0</x:v>
      </x:c>
      <x:c r="J2640" s="185" t="n">
        <x:v>0</x:v>
      </x:c>
      <x:c r="K2640" s="289" t="n">
        <x:v>7053</x:v>
      </x:c>
    </x:row>
    <x:row r="2641" s="117" customFormat="1" hidden="1">
      <x:c r="A2641" s="184" t="inlineStr">
        <x:is>
          <x:t xml:space="preserve">PDTVULTRE034</x:t>
        </x:is>
      </x:c>
      <x:c r="B2641" s="184" t="inlineStr">
        <x:is>
          <x:t xml:space="preserve">BGH 6X8 JUEGO PRENSA ESTOPA N 38 B060738000</x:t>
        </x:is>
      </x:c>
      <x:c r="C2641" s="184" t="n">
        <x:v>0</x:v>
      </x:c>
      <x:c r="D2641" s="184" t="n">
        <x:v>0</x:v>
      </x:c>
      <x:c r="E2641" s="184" t="n">
        <x:v>0</x:v>
      </x:c>
      <x:c r="F2641" s="184" t="n">
        <x:v>0</x:v>
      </x:c>
      <x:c r="G2641" s="184" t="n">
        <x:v>0</x:v>
      </x:c>
      <x:c r="H2641" s="193" t="n">
        <x:v>0</x:v>
      </x:c>
      <x:c r="I2641" s="185" t="n">
        <x:v>0</x:v>
      </x:c>
      <x:c r="J2641" s="185" t="n">
        <x:v>0</x:v>
      </x:c>
      <x:c r="K2641" s="289" t="n">
        <x:v>7933</x:v>
      </x:c>
    </x:row>
    <x:row r="2642" s="117" customFormat="1" hidden="1">
      <x:c r="A2642" s="184" t="inlineStr">
        <x:is>
          <x:t xml:space="preserve">PDTVULTRE035</x:t>
        </x:is>
      </x:c>
      <x:c r="B2642" s="184" t="inlineStr">
        <x:is>
          <x:t xml:space="preserve">SET EMPAQUETADURA (5 ANILLOS) A111Q05-SET</x:t>
        </x:is>
      </x:c>
      <x:c r="C2642" s="184" t="n">
        <x:v>0</x:v>
      </x:c>
      <x:c r="D2642" s="184" t="n">
        <x:v>0</x:v>
      </x:c>
      <x:c r="E2642" s="184" t="n">
        <x:v>0</x:v>
      </x:c>
      <x:c r="F2642" s="184" t="n">
        <x:v>0</x:v>
      </x:c>
      <x:c r="G2642" s="184" t="n">
        <x:v>0</x:v>
      </x:c>
      <x:c r="H2642" s="193" t="n">
        <x:v>0</x:v>
      </x:c>
      <x:c r="I2642" s="185" t="n">
        <x:v>0</x:v>
      </x:c>
      <x:c r="J2642" s="185" t="n">
        <x:v>0</x:v>
      </x:c>
      <x:c r="K2642" s="289" t="n">
        <x:v>3455</x:v>
      </x:c>
    </x:row>
    <x:row r="2643" s="117" customFormat="1" hidden="1">
      <x:c r="A2643" s="184" t="inlineStr">
        <x:is>
          <x:t xml:space="preserve">PDTVULTRE036</x:t>
        </x:is>
      </x:c>
      <x:c r="B2643" s="184" t="inlineStr">
        <x:is>
          <x:t xml:space="preserve">SET EMPAQUETADURA (1 ANILLOS) A111Q05</x:t>
        </x:is>
      </x:c>
      <x:c r="C2643" s="184" t="n">
        <x:v>0</x:v>
      </x:c>
      <x:c r="D2643" s="184" t="n">
        <x:v>0</x:v>
      </x:c>
      <x:c r="E2643" s="184" t="n">
        <x:v>0</x:v>
      </x:c>
      <x:c r="F2643" s="184" t="n">
        <x:v>0</x:v>
      </x:c>
      <x:c r="G2643" s="184" t="n">
        <x:v>0</x:v>
      </x:c>
      <x:c r="H2643" s="193" t="n">
        <x:v>0</x:v>
      </x:c>
      <x:c r="I2643" s="185" t="n">
        <x:v>0</x:v>
      </x:c>
      <x:c r="J2643" s="185" t="n">
        <x:v>0</x:v>
      </x:c>
      <x:c r="K2643" s="289" t="n">
        <x:v>0</x:v>
      </x:c>
    </x:row>
    <x:row r="2644" s="117" customFormat="1" hidden="1">
      <x:c r="A2644" s="184" t="inlineStr">
        <x:is>
          <x:t xml:space="preserve">PDTVULTRE037</x:t>
        </x:is>
      </x:c>
      <x:c r="B2644" s="184" t="inlineStr">
        <x:is>
          <x:t xml:space="preserve">SET EMPAQUETADURA (5 ANILLOS) B111Q05-SET</x:t>
        </x:is>
      </x:c>
      <x:c r="C2644" s="184" t="n">
        <x:v>0</x:v>
      </x:c>
      <x:c r="D2644" s="184" t="n">
        <x:v>0</x:v>
      </x:c>
      <x:c r="E2644" s="184" t="n">
        <x:v>0</x:v>
      </x:c>
      <x:c r="F2644" s="184" t="n">
        <x:v>0</x:v>
      </x:c>
      <x:c r="G2644" s="184" t="n">
        <x:v>1</x:v>
      </x:c>
      <x:c r="H2644" s="193" t="n">
        <x:v>0</x:v>
      </x:c>
      <x:c r="I2644" s="185" t="n">
        <x:v>0</x:v>
      </x:c>
      <x:c r="J2644" s="185" t="n">
        <x:v>1</x:v>
      </x:c>
      <x:c r="K2644" s="289" t="n">
        <x:v>5884.01777787</x:v>
      </x:c>
    </x:row>
    <x:row r="2645" s="117" customFormat="1" hidden="1">
      <x:c r="A2645" s="184" t="inlineStr">
        <x:is>
          <x:t xml:space="preserve">PDTVULTRE038</x:t>
        </x:is>
      </x:c>
      <x:c r="B2645" s="184" t="inlineStr">
        <x:is>
          <x:t xml:space="preserve">SET EMPAQUETADURA (5 ANILLOS) C111Q05-SET</x:t>
        </x:is>
      </x:c>
      <x:c r="C2645" s="184" t="n">
        <x:v>0</x:v>
      </x:c>
      <x:c r="D2645" s="184" t="n">
        <x:v>0</x:v>
      </x:c>
      <x:c r="E2645" s="184" t="n">
        <x:v>0</x:v>
      </x:c>
      <x:c r="F2645" s="184" t="n">
        <x:v>0</x:v>
      </x:c>
      <x:c r="G2645" s="184" t="n">
        <x:v>0</x:v>
      </x:c>
      <x:c r="H2645" s="193" t="n">
        <x:v>0</x:v>
      </x:c>
      <x:c r="I2645" s="185" t="n">
        <x:v>0</x:v>
      </x:c>
      <x:c r="J2645" s="185" t="n">
        <x:v>0</x:v>
      </x:c>
      <x:c r="K2645" s="289" t="n">
        <x:v>4944</x:v>
      </x:c>
    </x:row>
    <x:row r="2646" s="117" customFormat="1" hidden="1">
      <x:c r="A2646" s="184" t="inlineStr">
        <x:is>
          <x:t xml:space="preserve">PDTVULTRE039</x:t>
        </x:is>
      </x:c>
      <x:c r="B2646" s="184" t="inlineStr">
        <x:is>
          <x:t xml:space="preserve">SET EMPAQUETADURA (1 ANILLOS) C111Q05</x:t>
        </x:is>
      </x:c>
      <x:c r="C2646" s="184" t="n">
        <x:v>0</x:v>
      </x:c>
      <x:c r="D2646" s="184" t="n">
        <x:v>0</x:v>
      </x:c>
      <x:c r="E2646" s="184" t="n">
        <x:v>0</x:v>
      </x:c>
      <x:c r="F2646" s="184" t="n">
        <x:v>0</x:v>
      </x:c>
      <x:c r="G2646" s="184" t="n">
        <x:v>0</x:v>
      </x:c>
      <x:c r="H2646" s="193" t="n">
        <x:v>0</x:v>
      </x:c>
      <x:c r="I2646" s="185" t="n">
        <x:v>0</x:v>
      </x:c>
      <x:c r="J2646" s="185" t="n">
        <x:v>0</x:v>
      </x:c>
      <x:c r="K2646" s="289" t="n">
        <x:v>1692</x:v>
      </x:c>
    </x:row>
    <x:row r="2647" s="117" customFormat="1" hidden="1">
      <x:c r="A2647" s="184" t="inlineStr">
        <x:is>
          <x:t xml:space="preserve">PDTVULTRE040</x:t>
        </x:is>
      </x:c>
      <x:c r="B2647" s="184" t="inlineStr">
        <x:is>
          <x:t xml:space="preserve">SET EMPAQUETADURA (5 ANILLOS) D111Q05-SET</x:t>
        </x:is>
      </x:c>
      <x:c r="C2647" s="184" t="n">
        <x:v>0</x:v>
      </x:c>
      <x:c r="D2647" s="184" t="n">
        <x:v>0</x:v>
      </x:c>
      <x:c r="E2647" s="184" t="n">
        <x:v>0</x:v>
      </x:c>
      <x:c r="F2647" s="184" t="n">
        <x:v>0</x:v>
      </x:c>
      <x:c r="G2647" s="184" t="n">
        <x:v>1</x:v>
      </x:c>
      <x:c r="H2647" s="193" t="n">
        <x:v>0</x:v>
      </x:c>
      <x:c r="I2647" s="185" t="n">
        <x:v>0</x:v>
      </x:c>
      <x:c r="J2647" s="185" t="n">
        <x:v>1</x:v>
      </x:c>
      <x:c r="K2647" s="289" t="n">
        <x:v>5689</x:v>
      </x:c>
    </x:row>
    <x:row r="2648" s="117" customFormat="1" hidden="1">
      <x:c r="A2648" s="184" t="inlineStr">
        <x:is>
          <x:t xml:space="preserve">PDTVULTRE041</x:t>
        </x:is>
      </x:c>
      <x:c r="B2648" s="184" t="inlineStr">
        <x:is>
          <x:t xml:space="preserve">100 DDA-SLM PACKING DDPT111Q05</x:t>
        </x:is>
      </x:c>
      <x:c r="C2648" s="184" t="n">
        <x:v>0</x:v>
      </x:c>
      <x:c r="D2648" s="184" t="n">
        <x:v>0</x:v>
      </x:c>
      <x:c r="E2648" s="184" t="n">
        <x:v>0</x:v>
      </x:c>
      <x:c r="F2648" s="184" t="n">
        <x:v>0</x:v>
      </x:c>
      <x:c r="G2648" s="184" t="n">
        <x:v>0</x:v>
      </x:c>
      <x:c r="H2648" s="193" t="n">
        <x:v>0</x:v>
      </x:c>
      <x:c r="I2648" s="185" t="n">
        <x:v>0</x:v>
      </x:c>
      <x:c r="J2648" s="185" t="n">
        <x:v>0</x:v>
      </x:c>
      <x:c r="K2648" s="289" t="n">
        <x:v>3000</x:v>
      </x:c>
    </x:row>
    <x:row r="2649" s="117" customFormat="1" hidden="1">
      <x:c r="A2649" s="184" t="inlineStr">
        <x:is>
          <x:t xml:space="preserve">PDTVULTRE042</x:t>
        </x:is>
      </x:c>
      <x:c r="B2649" s="184" t="inlineStr">
        <x:is>
          <x:t xml:space="preserve">SET EMPAQUETADURA (1 ANILLOS) E111Q05</x:t>
        </x:is>
      </x:c>
      <x:c r="C2649" s="184" t="n">
        <x:v>0</x:v>
      </x:c>
      <x:c r="D2649" s="184" t="n">
        <x:v>0</x:v>
      </x:c>
      <x:c r="E2649" s="184" t="n">
        <x:v>0</x:v>
      </x:c>
      <x:c r="F2649" s="184" t="n">
        <x:v>0</x:v>
      </x:c>
      <x:c r="G2649" s="184" t="n">
        <x:v>0</x:v>
      </x:c>
      <x:c r="H2649" s="193" t="n">
        <x:v>0</x:v>
      </x:c>
      <x:c r="I2649" s="185" t="n">
        <x:v>0</x:v>
      </x:c>
      <x:c r="J2649" s="185" t="n">
        <x:v>0</x:v>
      </x:c>
      <x:c r="K2649" s="289" t="n">
        <x:v>3428</x:v>
      </x:c>
    </x:row>
    <x:row r="2650" s="117" customFormat="1" hidden="1">
      <x:c r="A2650" s="184" t="inlineStr">
        <x:is>
          <x:t xml:space="preserve">PDTVULTRE043</x:t>
        </x:is>
      </x:c>
      <x:c r="B2650" s="184" t="inlineStr">
        <x:is>
          <x:t xml:space="preserve">SET EMPAQUETADURA (5 ANILLOS) E111Q05-SET</x:t>
        </x:is>
      </x:c>
      <x:c r="C2650" s="184" t="n">
        <x:v>0</x:v>
      </x:c>
      <x:c r="D2650" s="184" t="n">
        <x:v>0</x:v>
      </x:c>
      <x:c r="E2650" s="184" t="n">
        <x:v>0</x:v>
      </x:c>
      <x:c r="F2650" s="184" t="n">
        <x:v>0</x:v>
      </x:c>
      <x:c r="G2650" s="184" t="n">
        <x:v>1</x:v>
      </x:c>
      <x:c r="H2650" s="193" t="n">
        <x:v>0</x:v>
      </x:c>
      <x:c r="I2650" s="185" t="n">
        <x:v>0</x:v>
      </x:c>
      <x:c r="J2650" s="185" t="n">
        <x:v>1</x:v>
      </x:c>
      <x:c r="K2650" s="289" t="n">
        <x:v>13127</x:v>
      </x:c>
    </x:row>
    <x:row r="2651" s="117" customFormat="1" hidden="1">
      <x:c r="A2651" s="184" t="inlineStr">
        <x:is>
          <x:t xml:space="preserve">PDTVULTRE044</x:t>
        </x:is>
      </x:c>
      <x:c r="B2651" s="184" t="inlineStr">
        <x:is>
          <x:t xml:space="preserve">SET EMPAQUETADURA (5 ANILLOS) E111Q22-SET</x:t>
        </x:is>
      </x:c>
      <x:c r="C2651" s="184" t="n">
        <x:v>11</x:v>
      </x:c>
      <x:c r="D2651" s="184" t="n">
        <x:v>0</x:v>
      </x:c>
      <x:c r="E2651" s="184" t="n">
        <x:v>0</x:v>
      </x:c>
      <x:c r="F2651" s="184" t="n">
        <x:v>11</x:v>
      </x:c>
      <x:c r="G2651" s="184" t="n">
        <x:v>662596</x:v>
      </x:c>
      <x:c r="H2651" s="193" t="n">
        <x:v>0</x:v>
      </x:c>
      <x:c r="I2651" s="185" t="n">
        <x:v>0</x:v>
      </x:c>
      <x:c r="J2651" s="185" t="n">
        <x:v>662596</x:v>
      </x:c>
      <x:c r="K2651" s="289" t="n">
        <x:v>60236</x:v>
      </x:c>
    </x:row>
    <x:row r="2652" s="117" customFormat="1" hidden="1">
      <x:c r="A2652" s="184" t="inlineStr">
        <x:is>
          <x:t xml:space="preserve">PDTVULTRE045</x:t>
        </x:is>
      </x:c>
      <x:c r="B2652" s="184" t="inlineStr">
        <x:is>
          <x:t xml:space="preserve">150 EA-SLM PACKING EPT111Q05</x:t>
        </x:is>
      </x:c>
      <x:c r="C2652" s="184" t="n">
        <x:v>0</x:v>
      </x:c>
      <x:c r="D2652" s="184" t="n">
        <x:v>0</x:v>
      </x:c>
      <x:c r="E2652" s="184" t="n">
        <x:v>0</x:v>
      </x:c>
      <x:c r="F2652" s="184" t="n">
        <x:v>0</x:v>
      </x:c>
      <x:c r="G2652" s="184" t="n">
        <x:v>0</x:v>
      </x:c>
      <x:c r="H2652" s="193" t="n">
        <x:v>0</x:v>
      </x:c>
      <x:c r="I2652" s="185" t="n">
        <x:v>0</x:v>
      </x:c>
      <x:c r="J2652" s="185" t="n">
        <x:v>0</x:v>
      </x:c>
      <x:c r="K2652" s="289" t="n">
        <x:v>5000</x:v>
      </x:c>
    </x:row>
    <x:row r="2653" s="117" customFormat="1" hidden="1">
      <x:c r="A2653" s="184" t="inlineStr">
        <x:is>
          <x:t xml:space="preserve">PDTVULTRE046</x:t>
        </x:is>
      </x:c>
      <x:c r="B2653" s="184" t="inlineStr">
        <x:is>
          <x:t xml:space="preserve">SET EMPAQUETADURA (5 ANILLOS) F111Q05-SET</x:t>
        </x:is>
      </x:c>
      <x:c r="C2653" s="184" t="n">
        <x:v>0</x:v>
      </x:c>
      <x:c r="D2653" s="184" t="n">
        <x:v>0</x:v>
      </x:c>
      <x:c r="E2653" s="184" t="n">
        <x:v>0</x:v>
      </x:c>
      <x:c r="F2653" s="184" t="n">
        <x:v>0</x:v>
      </x:c>
      <x:c r="G2653" s="184" t="n">
        <x:v>0</x:v>
      </x:c>
      <x:c r="H2653" s="193" t="n">
        <x:v>0</x:v>
      </x:c>
      <x:c r="I2653" s="185" t="n">
        <x:v>0</x:v>
      </x:c>
      <x:c r="J2653" s="185" t="n">
        <x:v>0</x:v>
      </x:c>
      <x:c r="K2653" s="289" t="n">
        <x:v>15533</x:v>
      </x:c>
    </x:row>
    <x:row r="2654" s="117" customFormat="1" hidden="1">
      <x:c r="A2654" s="184" t="inlineStr">
        <x:is>
          <x:t xml:space="preserve">PDTVULTRE047</x:t>
        </x:is>
      </x:c>
      <x:c r="B2654" s="184" t="inlineStr">
        <x:is>
          <x:t xml:space="preserve">SET EMPAQUETADURA (5 ANILLOS) F111Q22-SET</x:t>
        </x:is>
      </x:c>
      <x:c r="C2654" s="184" t="n">
        <x:v>16</x:v>
      </x:c>
      <x:c r="D2654" s="184" t="n">
        <x:v>0</x:v>
      </x:c>
      <x:c r="E2654" s="184" t="n">
        <x:v>0</x:v>
      </x:c>
      <x:c r="F2654" s="184" t="n">
        <x:v>16</x:v>
      </x:c>
      <x:c r="G2654" s="184" t="n">
        <x:v>1137328</x:v>
      </x:c>
      <x:c r="H2654" s="193" t="n">
        <x:v>0</x:v>
      </x:c>
      <x:c r="I2654" s="185" t="n">
        <x:v>0</x:v>
      </x:c>
      <x:c r="J2654" s="185" t="n">
        <x:v>1137328</x:v>
      </x:c>
      <x:c r="K2654" s="289" t="n">
        <x:v>71083</x:v>
      </x:c>
    </x:row>
    <x:row r="2655" s="117" customFormat="1" hidden="1">
      <x:c r="A2655" s="184" t="inlineStr">
        <x:is>
          <x:t xml:space="preserve">PDTVULTRE048</x:t>
        </x:is>
      </x:c>
      <x:c r="B2655" s="184" t="inlineStr">
        <x:is>
          <x:t xml:space="preserve">PACKING (2 PACKING FOR SET) FPT111Q05-SET</x:t>
        </x:is>
      </x:c>
      <x:c r="C2655" s="184" t="n">
        <x:v>0</x:v>
      </x:c>
      <x:c r="D2655" s="184" t="n">
        <x:v>0</x:v>
      </x:c>
      <x:c r="E2655" s="184" t="n">
        <x:v>0</x:v>
      </x:c>
      <x:c r="F2655" s="184" t="n">
        <x:v>0</x:v>
      </x:c>
      <x:c r="G2655" s="184" t="n">
        <x:v>0</x:v>
      </x:c>
      <x:c r="H2655" s="193" t="n">
        <x:v>0</x:v>
      </x:c>
      <x:c r="I2655" s="185" t="n">
        <x:v>0</x:v>
      </x:c>
      <x:c r="J2655" s="185" t="n">
        <x:v>0</x:v>
      </x:c>
      <x:c r="K2655" s="289" t="n">
        <x:v>23401</x:v>
      </x:c>
    </x:row>
    <x:row r="2656" s="117" customFormat="1" hidden="1">
      <x:c r="A2656" s="184" t="inlineStr">
        <x:is>
          <x:t xml:space="preserve">PDTVULTRE049</x:t>
        </x:is>
      </x:c>
      <x:c r="B2656" s="184" t="inlineStr">
        <x:is>
          <x:t xml:space="preserve">SET EMPAQUETADURA (1 ANILLOS) G111Q05</x:t>
        </x:is>
      </x:c>
      <x:c r="C2656" s="184" t="n">
        <x:v>0</x:v>
      </x:c>
      <x:c r="D2656" s="184" t="n">
        <x:v>0</x:v>
      </x:c>
      <x:c r="E2656" s="184" t="n">
        <x:v>0</x:v>
      </x:c>
      <x:c r="F2656" s="184" t="n">
        <x:v>0</x:v>
      </x:c>
      <x:c r="G2656" s="184" t="n">
        <x:v>0</x:v>
      </x:c>
      <x:c r="H2656" s="193" t="n">
        <x:v>0</x:v>
      </x:c>
      <x:c r="I2656" s="185" t="n">
        <x:v>0</x:v>
      </x:c>
      <x:c r="J2656" s="185" t="n">
        <x:v>0</x:v>
      </x:c>
      <x:c r="K2656" s="289" t="n">
        <x:v>25229</x:v>
      </x:c>
    </x:row>
    <x:row r="2657" s="117" customFormat="1" hidden="1">
      <x:c r="A2657" s="184" t="inlineStr">
        <x:is>
          <x:t xml:space="preserve">PDTVULTRE050</x:t>
        </x:is>
      </x:c>
      <x:c r="B2657" s="184" t="inlineStr">
        <x:is>
          <x:t xml:space="preserve">SET EMPAQUETADURA (5 ANILLOS) G111Q22-SET</x:t>
        </x:is>
      </x:c>
      <x:c r="C2657" s="184" t="n">
        <x:v>0</x:v>
      </x:c>
      <x:c r="D2657" s="184" t="n">
        <x:v>0</x:v>
      </x:c>
      <x:c r="E2657" s="184" t="n">
        <x:v>0</x:v>
      </x:c>
      <x:c r="F2657" s="184" t="n">
        <x:v>0</x:v>
      </x:c>
      <x:c r="G2657" s="184" t="n">
        <x:v>0</x:v>
      </x:c>
      <x:c r="H2657" s="193" t="n">
        <x:v>0</x:v>
      </x:c>
      <x:c r="I2657" s="185" t="n">
        <x:v>0</x:v>
      </x:c>
      <x:c r="J2657" s="185" t="n">
        <x:v>0</x:v>
      </x:c>
      <x:c r="K2657" s="289" t="n">
        <x:v>90100</x:v>
      </x:c>
    </x:row>
    <x:row r="2658" s="117" customFormat="1" hidden="1">
      <x:c r="A2658" s="184" t="inlineStr">
        <x:is>
          <x:t xml:space="preserve">PDTVULTRE051</x:t>
        </x:is>
      </x:c>
      <x:c r="B2658" s="184" t="inlineStr">
        <x:is>
          <x:t xml:space="preserve">SET EMPAQUETADURA (4 ANILLOS) HG111Q22-SET</x:t>
        </x:is>
      </x:c>
      <x:c r="C2658" s="184" t="n">
        <x:v>0</x:v>
      </x:c>
      <x:c r="D2658" s="184" t="n">
        <x:v>0</x:v>
      </x:c>
      <x:c r="E2658" s="184" t="n">
        <x:v>0</x:v>
      </x:c>
      <x:c r="F2658" s="184" t="n">
        <x:v>0</x:v>
      </x:c>
      <x:c r="G2658" s="184" t="n">
        <x:v>0</x:v>
      </x:c>
      <x:c r="H2658" s="193" t="n">
        <x:v>0</x:v>
      </x:c>
      <x:c r="I2658" s="185" t="n">
        <x:v>0</x:v>
      </x:c>
      <x:c r="J2658" s="185" t="n">
        <x:v>0</x:v>
      </x:c>
      <x:c r="K2658" s="289" t="n">
        <x:v>116100</x:v>
      </x:c>
    </x:row>
    <x:row r="2659" s="117" customFormat="1" hidden="1">
      <x:c r="A2659" s="184" t="inlineStr">
        <x:is>
          <x:t xml:space="preserve">PDTVULTRE052</x:t>
        </x:is>
      </x:c>
      <x:c r="B2659" s="184" t="inlineStr">
        <x:is>
          <x:t xml:space="preserve">SET EMPAQUETADURA (5 ANILLOS) R111Q05-SET</x:t>
        </x:is>
      </x:c>
      <x:c r="C2659" s="184" t="n">
        <x:v>11</x:v>
      </x:c>
      <x:c r="D2659" s="184" t="n">
        <x:v>0</x:v>
      </x:c>
      <x:c r="E2659" s="184" t="n">
        <x:v>0</x:v>
      </x:c>
      <x:c r="F2659" s="184" t="n">
        <x:v>11</x:v>
      </x:c>
      <x:c r="G2659" s="184" t="n">
        <x:v>188573</x:v>
      </x:c>
      <x:c r="H2659" s="193" t="n">
        <x:v>0</x:v>
      </x:c>
      <x:c r="I2659" s="185" t="n">
        <x:v>0</x:v>
      </x:c>
      <x:c r="J2659" s="185" t="n">
        <x:v>188573</x:v>
      </x:c>
      <x:c r="K2659" s="289" t="n">
        <x:v>17143</x:v>
      </x:c>
    </x:row>
    <x:row r="2660" s="117" customFormat="1" hidden="1">
      <x:c r="A2660" s="184" t="inlineStr">
        <x:is>
          <x:t xml:space="preserve">PDTVULTRE053</x:t>
        </x:is>
      </x:c>
      <x:c r="B2660" s="184" t="inlineStr">
        <x:is>
          <x:t xml:space="preserve">SET EMPAQUETADURA (1 ANILLOS) S111Q05</x:t>
        </x:is>
      </x:c>
      <x:c r="C2660" s="184" t="n">
        <x:v>0</x:v>
      </x:c>
      <x:c r="D2660" s="184" t="n">
        <x:v>0</x:v>
      </x:c>
      <x:c r="E2660" s="184" t="n">
        <x:v>0</x:v>
      </x:c>
      <x:c r="F2660" s="184" t="n">
        <x:v>0</x:v>
      </x:c>
      <x:c r="G2660" s="184" t="n">
        <x:v>0</x:v>
      </x:c>
      <x:c r="H2660" s="193" t="n">
        <x:v>0</x:v>
      </x:c>
      <x:c r="I2660" s="185" t="n">
        <x:v>0</x:v>
      </x:c>
      <x:c r="J2660" s="185" t="n">
        <x:v>0</x:v>
      </x:c>
      <x:c r="K2660" s="289" t="n">
        <x:v>0</x:v>
      </x:c>
    </x:row>
    <x:row r="2661" s="117" customFormat="1" hidden="1">
      <x:c r="A2661" s="184" t="inlineStr">
        <x:is>
          <x:t xml:space="preserve">PDTVULTRE054</x:t>
        </x:is>
      </x:c>
      <x:c r="B2661" s="184" t="inlineStr">
        <x:is>
          <x:t xml:space="preserve">SET EMPAQUETADURA (5 ANILLOS) S111Q05-SET</x:t>
        </x:is>
      </x:c>
      <x:c r="C2661" s="184" t="n">
        <x:v>0</x:v>
      </x:c>
      <x:c r="D2661" s="184" t="n">
        <x:v>0</x:v>
      </x:c>
      <x:c r="E2661" s="184" t="n">
        <x:v>0</x:v>
      </x:c>
      <x:c r="F2661" s="184" t="n">
        <x:v>0</x:v>
      </x:c>
      <x:c r="G2661" s="184" t="n">
        <x:v>-1</x:v>
      </x:c>
      <x:c r="H2661" s="193" t="n">
        <x:v>0</x:v>
      </x:c>
      <x:c r="I2661" s="185" t="n">
        <x:v>0</x:v>
      </x:c>
      <x:c r="J2661" s="185" t="n">
        <x:v>-1</x:v>
      </x:c>
      <x:c r="K2661" s="289" t="n">
        <x:v>15297</x:v>
      </x:c>
    </x:row>
    <x:row r="2662" s="117" customFormat="1" hidden="1">
      <x:c r="A2662" s="184" t="inlineStr">
        <x:is>
          <x:t xml:space="preserve">PDTVULTRE055</x:t>
        </x:is>
      </x:c>
      <x:c r="B2662" s="184" t="inlineStr">
        <x:is>
          <x:t xml:space="preserve">PACKING RING (400MCH) 4 ANILLOS TUMC111Q05</x:t>
        </x:is>
      </x:c>
      <x:c r="C2662" s="184" t="n">
        <x:v>0</x:v>
      </x:c>
      <x:c r="D2662" s="184" t="n">
        <x:v>0</x:v>
      </x:c>
      <x:c r="E2662" s="184" t="n">
        <x:v>0</x:v>
      </x:c>
      <x:c r="F2662" s="184" t="n">
        <x:v>0</x:v>
      </x:c>
      <x:c r="G2662" s="184" t="n">
        <x:v>-1</x:v>
      </x:c>
      <x:c r="H2662" s="193" t="n">
        <x:v>0</x:v>
      </x:c>
      <x:c r="I2662" s="185" t="n">
        <x:v>0</x:v>
      </x:c>
      <x:c r="J2662" s="185" t="n">
        <x:v>-1</x:v>
      </x:c>
      <x:c r="K2662" s="289" t="n">
        <x:v>34011.33333333</x:v>
      </x:c>
    </x:row>
    <x:row r="2663" s="117" customFormat="1" hidden="1">
      <x:c r="A2663" s="184" t="inlineStr">
        <x:is>
          <x:t xml:space="preserve">PDTVULTRE056</x:t>
        </x:is>
      </x:c>
      <x:c r="B2663" s="184" t="inlineStr">
        <x:is>
          <x:t xml:space="preserve">SET EMPAQUETADURA (5 ANILLOS) T111Q05-SET</x:t>
        </x:is>
      </x:c>
      <x:c r="C2663" s="184" t="n">
        <x:v>0</x:v>
      </x:c>
      <x:c r="D2663" s="184" t="n">
        <x:v>0</x:v>
      </x:c>
      <x:c r="E2663" s="184" t="n">
        <x:v>0</x:v>
      </x:c>
      <x:c r="F2663" s="184" t="n">
        <x:v>0</x:v>
      </x:c>
      <x:c r="G2663" s="184" t="n">
        <x:v>0</x:v>
      </x:c>
      <x:c r="H2663" s="193" t="n">
        <x:v>0</x:v>
      </x:c>
      <x:c r="I2663" s="185" t="n">
        <x:v>0</x:v>
      </x:c>
      <x:c r="J2663" s="185" t="n">
        <x:v>0</x:v>
      </x:c>
      <x:c r="K2663" s="289" t="n">
        <x:v>21795</x:v>
      </x:c>
    </x:row>
    <x:row r="2664" s="117" customFormat="1" hidden="1">
      <x:c r="A2664" s="184" t="inlineStr">
        <x:is>
          <x:t xml:space="preserve">PDTVULTRE057</x:t>
        </x:is>
      </x:c>
      <x:c r="B2664" s="184" t="inlineStr">
        <x:is>
          <x:t xml:space="preserve">SET EMPAQUETADURA (1 ANILLOS) U111Q05</x:t>
        </x:is>
      </x:c>
      <x:c r="C2664" s="184" t="n">
        <x:v>0</x:v>
      </x:c>
      <x:c r="D2664" s="184" t="n">
        <x:v>0</x:v>
      </x:c>
      <x:c r="E2664" s="184" t="n">
        <x:v>0</x:v>
      </x:c>
      <x:c r="F2664" s="184" t="n">
        <x:v>0</x:v>
      </x:c>
      <x:c r="G2664" s="184" t="n">
        <x:v>0</x:v>
      </x:c>
      <x:c r="H2664" s="193" t="n">
        <x:v>0</x:v>
      </x:c>
      <x:c r="I2664" s="185" t="n">
        <x:v>0</x:v>
      </x:c>
      <x:c r="J2664" s="185" t="n">
        <x:v>0</x:v>
      </x:c>
      <x:c r="K2664" s="289" t="n">
        <x:v>10255</x:v>
      </x:c>
    </x:row>
    <x:row r="2665" s="117" customFormat="1" hidden="1">
      <x:c r="A2665" s="184" t="inlineStr">
        <x:is>
          <x:t xml:space="preserve">PDTVULTRE058</x:t>
        </x:is>
      </x:c>
      <x:c r="B2665" s="184" t="inlineStr">
        <x:is>
          <x:t xml:space="preserve">SET EMPAQUETADURA (5 ANILLOS) U111Q05-SET</x:t>
        </x:is>
      </x:c>
      <x:c r="C2665" s="184" t="n">
        <x:v>0</x:v>
      </x:c>
      <x:c r="D2665" s="184" t="n">
        <x:v>0</x:v>
      </x:c>
      <x:c r="E2665" s="184" t="n">
        <x:v>0</x:v>
      </x:c>
      <x:c r="F2665" s="184" t="n">
        <x:v>0</x:v>
      </x:c>
      <x:c r="G2665" s="184" t="n">
        <x:v>0</x:v>
      </x:c>
      <x:c r="H2665" s="193" t="n">
        <x:v>0</x:v>
      </x:c>
      <x:c r="I2665" s="185" t="n">
        <x:v>0</x:v>
      </x:c>
      <x:c r="J2665" s="185" t="n">
        <x:v>0</x:v>
      </x:c>
      <x:c r="K2665" s="289" t="n">
        <x:v>78504</x:v>
      </x:c>
    </x:row>
    <x:row r="2666" s="117" customFormat="1" hidden="1">
      <x:c r="A2666" s="184" t="inlineStr">
        <x:is>
          <x:t xml:space="preserve">PDTVULTRE059</x:t>
        </x:is>
      </x:c>
      <x:c r="B2666" s="184" t="inlineStr">
        <x:is>
          <x:t xml:space="preserve">SET EMPAQUETADURA (5 ANILLOS) V111Q22-SET</x:t>
        </x:is>
      </x:c>
      <x:c r="C2666" s="184" t="n">
        <x:v>1</x:v>
      </x:c>
      <x:c r="D2666" s="184" t="n">
        <x:v>0</x:v>
      </x:c>
      <x:c r="E2666" s="184" t="n">
        <x:v>0</x:v>
      </x:c>
      <x:c r="F2666" s="184" t="n">
        <x:v>1</x:v>
      </x:c>
      <x:c r="G2666" s="184" t="n">
        <x:v>266262</x:v>
      </x:c>
      <x:c r="H2666" s="193" t="n">
        <x:v>0</x:v>
      </x:c>
      <x:c r="I2666" s="185" t="n">
        <x:v>0</x:v>
      </x:c>
      <x:c r="J2666" s="185" t="n">
        <x:v>266262</x:v>
      </x:c>
      <x:c r="K2666" s="289" t="n">
        <x:v>266262</x:v>
      </x:c>
    </x:row>
    <x:row r="2667" s="117" customFormat="1" hidden="1">
      <x:c r="A2667" s="184" t="inlineStr">
        <x:is>
          <x:t xml:space="preserve">PDTVULTRE060</x:t>
        </x:is>
      </x:c>
      <x:c r="B2667" s="184" t="inlineStr">
        <x:is>
          <x:t xml:space="preserve">ASH 20 MG EMPAQUETADURA N° 35 (4 ANILLOS) A850235000</x:t>
        </x:is>
      </x:c>
      <x:c r="C2667" s="184" t="n">
        <x:v>0</x:v>
      </x:c>
      <x:c r="D2667" s="184" t="n">
        <x:v>0</x:v>
      </x:c>
      <x:c r="E2667" s="184" t="n">
        <x:v>0</x:v>
      </x:c>
      <x:c r="F2667" s="184" t="n">
        <x:v>0</x:v>
      </x:c>
      <x:c r="G2667" s="184" t="n">
        <x:v>0</x:v>
      </x:c>
      <x:c r="H2667" s="193" t="n">
        <x:v>0</x:v>
      </x:c>
      <x:c r="I2667" s="185" t="n">
        <x:v>0</x:v>
      </x:c>
      <x:c r="J2667" s="185" t="n">
        <x:v>0</x:v>
      </x:c>
      <x:c r="K2667" s="289" t="n">
        <x:v>9316</x:v>
      </x:c>
    </x:row>
    <x:row r="2668" s="117" customFormat="1" hidden="1">
      <x:c r="A2668" s="184" t="inlineStr">
        <x:is>
          <x:t xml:space="preserve">PDTVULTRE061</x:t>
        </x:is>
      </x:c>
      <x:c r="B2668" s="184" t="inlineStr">
        <x:is>
          <x:t xml:space="preserve">ASH 15 MQ EMPAQUETADURA N 35 A840235000</x:t>
        </x:is>
      </x:c>
      <x:c r="C2668" s="184" t="n">
        <x:v>0</x:v>
      </x:c>
      <x:c r="D2668" s="184" t="n">
        <x:v>0</x:v>
      </x:c>
      <x:c r="E2668" s="184" t="n">
        <x:v>0</x:v>
      </x:c>
      <x:c r="F2668" s="184" t="n">
        <x:v>0</x:v>
      </x:c>
      <x:c r="G2668" s="184" t="n">
        <x:v>0</x:v>
      </x:c>
      <x:c r="H2668" s="193" t="n">
        <x:v>0</x:v>
      </x:c>
      <x:c r="I2668" s="185" t="n">
        <x:v>0</x:v>
      </x:c>
      <x:c r="J2668" s="185" t="n">
        <x:v>0</x:v>
      </x:c>
      <x:c r="K2668" s="289" t="n">
        <x:v>11787</x:v>
      </x:c>
    </x:row>
    <x:row r="2669" s="117" customFormat="1" hidden="1">
      <x:c r="A2669" s="184" t="inlineStr">
        <x:is>
          <x:t xml:space="preserve">PDTVULTRE062</x:t>
        </x:is>
      </x:c>
      <x:c r="B2669" s="184" t="inlineStr">
        <x:is>
          <x:t xml:space="preserve">MC-350 EMPAQUETADURA N 35 M120MC111Q05-SET</x:t>
        </x:is>
      </x:c>
      <x:c r="C2669" s="184" t="n">
        <x:v>0</x:v>
      </x:c>
      <x:c r="D2669" s="184" t="n">
        <x:v>0</x:v>
      </x:c>
      <x:c r="E2669" s="184" t="n">
        <x:v>0</x:v>
      </x:c>
      <x:c r="F2669" s="184" t="n">
        <x:v>0</x:v>
      </x:c>
      <x:c r="G2669" s="184" t="n">
        <x:v>0</x:v>
      </x:c>
      <x:c r="H2669" s="193" t="n">
        <x:v>0</x:v>
      </x:c>
      <x:c r="I2669" s="185" t="n">
        <x:v>0</x:v>
      </x:c>
      <x:c r="J2669" s="185" t="n">
        <x:v>0</x:v>
      </x:c>
      <x:c r="K2669" s="289" t="n">
        <x:v>32351</x:v>
      </x:c>
    </x:row>
    <x:row r="2670" s="117" customFormat="1" hidden="1">
      <x:c r="A2670" s="184" t="inlineStr">
        <x:is>
          <x:t xml:space="preserve">PDTVULTRE063</x:t>
        </x:is>
      </x:c>
      <x:c r="B2670" s="184" t="inlineStr">
        <x:is>
          <x:t xml:space="preserve">MC-350 EMPAQUETADURA N 35 M120MC111Q25</x:t>
        </x:is>
      </x:c>
      <x:c r="C2670" s="184" t="n">
        <x:v>0</x:v>
      </x:c>
      <x:c r="D2670" s="184" t="n">
        <x:v>0</x:v>
      </x:c>
      <x:c r="E2670" s="184" t="n">
        <x:v>0</x:v>
      </x:c>
      <x:c r="F2670" s="184" t="n">
        <x:v>0</x:v>
      </x:c>
      <x:c r="G2670" s="184" t="n">
        <x:v>0</x:v>
      </x:c>
      <x:c r="H2670" s="193" t="n">
        <x:v>0</x:v>
      </x:c>
      <x:c r="I2670" s="185" t="n">
        <x:v>0</x:v>
      </x:c>
      <x:c r="J2670" s="185" t="n">
        <x:v>0</x:v>
      </x:c>
      <x:c r="K2670" s="289" t="n">
        <x:v>27558</x:v>
      </x:c>
    </x:row>
    <x:row r="2671" s="117" customFormat="1" hidden="1">
      <x:c r="A2671" s="184" t="inlineStr">
        <x:is>
          <x:t xml:space="preserve">PDTVULTRE064</x:t>
        </x:is>
      </x:c>
      <x:c r="B2671" s="184" t="inlineStr">
        <x:is>
          <x:t xml:space="preserve">ASH 2.1/2X2 SRH EMPAQUETADURA N 35 A410235000</x:t>
        </x:is>
      </x:c>
      <x:c r="C2671" s="184" t="n">
        <x:v>0</x:v>
      </x:c>
      <x:c r="D2671" s="184" t="n">
        <x:v>0</x:v>
      </x:c>
      <x:c r="E2671" s="184" t="n">
        <x:v>0</x:v>
      </x:c>
      <x:c r="F2671" s="184" t="n">
        <x:v>0</x:v>
      </x:c>
      <x:c r="G2671" s="184" t="n">
        <x:v>0</x:v>
      </x:c>
      <x:c r="H2671" s="193" t="n">
        <x:v>0</x:v>
      </x:c>
      <x:c r="I2671" s="185" t="n">
        <x:v>0</x:v>
      </x:c>
      <x:c r="J2671" s="185" t="n">
        <x:v>0</x:v>
      </x:c>
      <x:c r="K2671" s="289" t="n">
        <x:v>4010</x:v>
      </x:c>
    </x:row>
    <x:row r="2672" s="117" customFormat="1" hidden="1">
      <x:c r="A2672" s="184" t="inlineStr">
        <x:is>
          <x:t xml:space="preserve">PDTVULTRE065</x:t>
        </x:is>
      </x:c>
      <x:c r="B2672" s="184" t="inlineStr">
        <x:is>
          <x:t xml:space="preserve">ASH 16X14 SRH  EMPAQUETADURA 35 A480235000</x:t>
        </x:is>
      </x:c>
      <x:c r="C2672" s="184" t="n">
        <x:v>0</x:v>
      </x:c>
      <x:c r="D2672" s="184" t="n">
        <x:v>0</x:v>
      </x:c>
      <x:c r="E2672" s="184" t="n">
        <x:v>0</x:v>
      </x:c>
      <x:c r="F2672" s="184" t="n">
        <x:v>0</x:v>
      </x:c>
      <x:c r="G2672" s="184" t="n">
        <x:v>0</x:v>
      </x:c>
      <x:c r="H2672" s="193" t="n">
        <x:v>0</x:v>
      </x:c>
      <x:c r="I2672" s="185" t="n">
        <x:v>0</x:v>
      </x:c>
      <x:c r="J2672" s="185" t="n">
        <x:v>0</x:v>
      </x:c>
      <x:c r="K2672" s="289" t="n">
        <x:v>19947</x:v>
      </x:c>
    </x:row>
    <x:row r="2673" s="117" customFormat="1" hidden="1">
      <x:c r="A2673" s="184" t="inlineStr">
        <x:is>
          <x:t xml:space="preserve">PDTVULTRE066</x:t>
        </x:is>
      </x:c>
      <x:c r="B2673" s="184" t="inlineStr">
        <x:is>
          <x:t xml:space="preserve">SET EMPAQUETADURAS V111Q25-SET (5 ANILLOS)</x:t>
        </x:is>
      </x:c>
      <x:c r="C2673" s="184" t="n">
        <x:v>0</x:v>
      </x:c>
      <x:c r="D2673" s="184" t="n">
        <x:v>0</x:v>
      </x:c>
      <x:c r="E2673" s="184" t="n">
        <x:v>0</x:v>
      </x:c>
      <x:c r="F2673" s="184" t="n">
        <x:v>0</x:v>
      </x:c>
      <x:c r="G2673" s="184" t="n">
        <x:v>0</x:v>
      </x:c>
      <x:c r="H2673" s="193" t="n">
        <x:v>0</x:v>
      </x:c>
      <x:c r="I2673" s="185" t="n">
        <x:v>0</x:v>
      </x:c>
      <x:c r="J2673" s="185" t="n">
        <x:v>0</x:v>
      </x:c>
      <x:c r="K2673" s="289" t="n">
        <x:v>245095</x:v>
      </x:c>
    </x:row>
    <x:row r="2674" s="117" customFormat="1" hidden="1">
      <x:c r="A2674" s="184" t="inlineStr">
        <x:is>
          <x:t xml:space="preserve">PDTVULTRE067</x:t>
        </x:is>
      </x:c>
      <x:c r="B2674" s="184" t="inlineStr">
        <x:is>
          <x:t xml:space="preserve">SET EMPAQUETADURAS G111QQ5-SET (5 ANILLOS)</x:t>
        </x:is>
      </x:c>
      <x:c r="C2674" s="184" t="n">
        <x:v>0</x:v>
      </x:c>
      <x:c r="D2674" s="184" t="n">
        <x:v>0</x:v>
      </x:c>
      <x:c r="E2674" s="184" t="n">
        <x:v>0</x:v>
      </x:c>
      <x:c r="F2674" s="184" t="n">
        <x:v>0</x:v>
      </x:c>
      <x:c r="G2674" s="184" t="n">
        <x:v>0</x:v>
      </x:c>
      <x:c r="H2674" s="193" t="n">
        <x:v>0</x:v>
      </x:c>
      <x:c r="I2674" s="185" t="n">
        <x:v>0</x:v>
      </x:c>
      <x:c r="J2674" s="185" t="n">
        <x:v>0</x:v>
      </x:c>
      <x:c r="K2674" s="289" t="n">
        <x:v>90100</x:v>
      </x:c>
    </x:row>
    <x:row r="2675" s="117" customFormat="1" hidden="1">
      <x:c r="A2675" s="184" t="inlineStr">
        <x:is>
          <x:t xml:space="preserve">PDTVULTRE068</x:t>
        </x:is>
      </x:c>
      <x:c r="B2675" s="184" t="inlineStr">
        <x:is>
          <x:t xml:space="preserve">SET EMPAQUETADURA ( 5 ANILLOS) G111Q05-SET</x:t>
        </x:is>
      </x:c>
      <x:c r="C2675" s="184" t="n">
        <x:v>0</x:v>
      </x:c>
      <x:c r="D2675" s="184" t="n">
        <x:v>0</x:v>
      </x:c>
      <x:c r="E2675" s="184" t="n">
        <x:v>0</x:v>
      </x:c>
      <x:c r="F2675" s="184" t="n">
        <x:v>0</x:v>
      </x:c>
      <x:c r="G2675" s="184" t="n">
        <x:v>2</x:v>
      </x:c>
      <x:c r="H2675" s="193" t="n">
        <x:v>0</x:v>
      </x:c>
      <x:c r="I2675" s="185" t="n">
        <x:v>0</x:v>
      </x:c>
      <x:c r="J2675" s="185" t="n">
        <x:v>2</x:v>
      </x:c>
      <x:c r="K2675" s="289" t="n">
        <x:v>39916</x:v>
      </x:c>
    </x:row>
    <x:row r="2676" s="117" customFormat="1" hidden="1">
      <x:c r="A2676" s="184" t="inlineStr">
        <x:is>
          <x:t xml:space="preserve">PDTVULTRE069</x:t>
        </x:is>
      </x:c>
      <x:c r="B2676" s="184" t="inlineStr">
        <x:is>
          <x:t xml:space="preserve">KIT EMPAQUETADURA GRAFITADA PARA BBA ASH 6X6 SRH  1218KT0031</x:t>
        </x:is>
      </x:c>
      <x:c r="C2676" s="184" t="n">
        <x:v>0</x:v>
      </x:c>
      <x:c r="D2676" s="184" t="n">
        <x:v>0</x:v>
      </x:c>
      <x:c r="E2676" s="184" t="n">
        <x:v>0</x:v>
      </x:c>
      <x:c r="F2676" s="184" t="n">
        <x:v>0</x:v>
      </x:c>
      <x:c r="G2676" s="184" t="n">
        <x:v>0</x:v>
      </x:c>
      <x:c r="H2676" s="193" t="n">
        <x:v>0</x:v>
      </x:c>
      <x:c r="I2676" s="185" t="n">
        <x:v>0</x:v>
      </x:c>
      <x:c r="J2676" s="185" t="n">
        <x:v>0</x:v>
      </x:c>
      <x:c r="K2676" s="289" t="n">
        <x:v>20543</x:v>
      </x:c>
    </x:row>
    <x:row r="2677" s="117" customFormat="1" hidden="1">
      <x:c r="A2677" s="184" t="inlineStr">
        <x:is>
          <x:t xml:space="preserve">PDTVULTRE070</x:t>
        </x:is>
      </x:c>
      <x:c r="B2677" s="184" t="inlineStr">
        <x:is>
          <x:t xml:space="preserve">EMPAQUETADURA PRENSA (1 ANILLO) D111Q21</x:t>
        </x:is>
      </x:c>
      <x:c r="C2677" s="184" t="n">
        <x:v>0</x:v>
      </x:c>
      <x:c r="D2677" s="184" t="n">
        <x:v>0</x:v>
      </x:c>
      <x:c r="E2677" s="184" t="n">
        <x:v>0</x:v>
      </x:c>
      <x:c r="F2677" s="184" t="n">
        <x:v>0</x:v>
      </x:c>
      <x:c r="G2677" s="184" t="n">
        <x:v>0</x:v>
      </x:c>
      <x:c r="H2677" s="193" t="n">
        <x:v>0</x:v>
      </x:c>
      <x:c r="I2677" s="185" t="n">
        <x:v>0</x:v>
      </x:c>
      <x:c r="J2677" s="185" t="n">
        <x:v>0</x:v>
      </x:c>
      <x:c r="K2677" s="289" t="n">
        <x:v>5598</x:v>
      </x:c>
    </x:row>
    <x:row r="2678" s="117" customFormat="1" hidden="1">
      <x:c r="A2678" s="184" t="inlineStr">
        <x:is>
          <x:t xml:space="preserve">PDTVULTRE071</x:t>
        </x:is>
      </x:c>
      <x:c r="B2678" s="184" t="inlineStr">
        <x:is>
          <x:t xml:space="preserve">PACKING RING ASH 10-ME 11624 CODIGO A830103500</x:t>
        </x:is>
      </x:c>
      <x:c r="C2678" s="184" t="n">
        <x:v>25</x:v>
      </x:c>
      <x:c r="D2678" s="184" t="n">
        <x:v>0</x:v>
      </x:c>
      <x:c r="E2678" s="184" t="n">
        <x:v>0</x:v>
      </x:c>
      <x:c r="F2678" s="184" t="n">
        <x:v>25</x:v>
      </x:c>
      <x:c r="G2678" s="184" t="n">
        <x:v>132800</x:v>
      </x:c>
      <x:c r="H2678" s="193" t="n">
        <x:v>0</x:v>
      </x:c>
      <x:c r="I2678" s="185" t="n">
        <x:v>0</x:v>
      </x:c>
      <x:c r="J2678" s="185" t="n">
        <x:v>132800</x:v>
      </x:c>
      <x:c r="K2678" s="289" t="n">
        <x:v>5312</x:v>
      </x:c>
    </x:row>
    <x:row r="2679" s="117" customFormat="1" hidden="1">
      <x:c r="A2679" s="184" t="inlineStr">
        <x:is>
          <x:t xml:space="preserve">PDTVULTRE072</x:t>
        </x:is>
      </x:c>
      <x:c r="B2679" s="184" t="inlineStr">
        <x:is>
          <x:t xml:space="preserve">ASH 20 MG EMPAQUETADURA N° 35 (4 ANILLOS) A850135000</x:t>
        </x:is>
      </x:c>
      <x:c r="C2679" s="184" t="n">
        <x:v>0</x:v>
      </x:c>
      <x:c r="D2679" s="184" t="n">
        <x:v>0</x:v>
      </x:c>
      <x:c r="E2679" s="184" t="n">
        <x:v>0</x:v>
      </x:c>
      <x:c r="F2679" s="184" t="n">
        <x:v>0</x:v>
      </x:c>
      <x:c r="G2679" s="184" t="n">
        <x:v>0</x:v>
      </x:c>
      <x:c r="H2679" s="193" t="n">
        <x:v>0</x:v>
      </x:c>
      <x:c r="I2679" s="185" t="n">
        <x:v>0</x:v>
      </x:c>
      <x:c r="J2679" s="185" t="n">
        <x:v>0</x:v>
      </x:c>
      <x:c r="K2679" s="289" t="n">
        <x:v>10589</x:v>
      </x:c>
    </x:row>
    <x:row r="2680" s="117" customFormat="1" hidden="1">
      <x:c r="A2680" s="184" t="inlineStr">
        <x:is>
          <x:t xml:space="preserve">PDTVULTRE073</x:t>
        </x:is>
      </x:c>
      <x:c r="B2680" s="184" t="inlineStr">
        <x:is>
          <x:t xml:space="preserve">EMPAQUETADURA IMMC 14X12 N° 35 3 ANILLOS S/PLANO MM00204 3/4X3/4X700 MM A673135000</x:t>
        </x:is>
      </x:c>
      <x:c r="C2680" s="184" t="n">
        <x:v>0</x:v>
      </x:c>
      <x:c r="D2680" s="184" t="n">
        <x:v>0</x:v>
      </x:c>
      <x:c r="E2680" s="184" t="n">
        <x:v>0</x:v>
      </x:c>
      <x:c r="F2680" s="184" t="n">
        <x:v>0</x:v>
      </x:c>
      <x:c r="G2680" s="184" t="n">
        <x:v>0</x:v>
      </x:c>
      <x:c r="H2680" s="193" t="n">
        <x:v>0</x:v>
      </x:c>
      <x:c r="I2680" s="185" t="n">
        <x:v>0</x:v>
      </x:c>
      <x:c r="J2680" s="185" t="n">
        <x:v>0</x:v>
      </x:c>
      <x:c r="K2680" s="289" t="n">
        <x:v>30198</x:v>
      </x:c>
    </x:row>
    <x:row r="2681" s="117" customFormat="1" hidden="1">
      <x:c r="A2681" s="184" t="inlineStr">
        <x:is>
          <x:t xml:space="preserve">PDTVULTRE074</x:t>
        </x:is>
      </x:c>
      <x:c r="B2681" s="184" t="inlineStr">
        <x:is>
          <x:t xml:space="preserve">PACKING CUT 45° 130X110X10 E13011010Q05</x:t>
        </x:is>
      </x:c>
      <x:c r="C2681" s="184" t="n">
        <x:v>0</x:v>
      </x:c>
      <x:c r="D2681" s="184" t="n">
        <x:v>0</x:v>
      </x:c>
      <x:c r="E2681" s="184" t="n">
        <x:v>0</x:v>
      </x:c>
      <x:c r="F2681" s="184" t="n">
        <x:v>0</x:v>
      </x:c>
      <x:c r="G2681" s="184" t="n">
        <x:v>0</x:v>
      </x:c>
      <x:c r="H2681" s="193" t="n">
        <x:v>0</x:v>
      </x:c>
      <x:c r="I2681" s="185" t="n">
        <x:v>0</x:v>
      </x:c>
      <x:c r="J2681" s="185" t="n">
        <x:v>0</x:v>
      </x:c>
      <x:c r="K2681" s="289" t="n">
        <x:v>6954</x:v>
      </x:c>
    </x:row>
    <x:row r="2682" s="117" customFormat="1" hidden="1">
      <x:c r="A2682" s="184" t="inlineStr">
        <x:is>
          <x:t xml:space="preserve">PDTVULTRE075</x:t>
        </x:is>
      </x:c>
      <x:c r="B2682" s="184" t="inlineStr">
        <x:is>
          <x:t xml:space="preserve">EMPAQUETADURA PRENSA (5 ANILLOS) U111Q25-SET (KEVLON)</x:t>
        </x:is>
      </x:c>
      <x:c r="C2682" s="184" t="n">
        <x:v>0</x:v>
      </x:c>
      <x:c r="D2682" s="184" t="n">
        <x:v>0</x:v>
      </x:c>
      <x:c r="E2682" s="184" t="n">
        <x:v>0</x:v>
      </x:c>
      <x:c r="F2682" s="184" t="n">
        <x:v>0</x:v>
      </x:c>
      <x:c r="G2682" s="184" t="n">
        <x:v>0</x:v>
      </x:c>
      <x:c r="H2682" s="193" t="n">
        <x:v>0</x:v>
      </x:c>
      <x:c r="I2682" s="185" t="n">
        <x:v>0</x:v>
      </x:c>
      <x:c r="J2682" s="185" t="n">
        <x:v>0</x:v>
      </x:c>
      <x:c r="K2682" s="289" t="n">
        <x:v>218619</x:v>
      </x:c>
    </x:row>
    <x:row r="2683" s="117" customFormat="1" hidden="1">
      <x:c r="A2683" s="184" t="inlineStr">
        <x:is>
          <x:t xml:space="preserve">PDTVULTRE076</x:t>
        </x:is>
      </x:c>
      <x:c r="B2683" s="184" t="inlineStr">
        <x:is>
          <x:t xml:space="preserve">KIT EMPAQUETADURA GRAFITADA BBA 5X4 SRH CODIGO 1218KT0021</x:t>
        </x:is>
      </x:c>
      <x:c r="C2683" s="184" t="n">
        <x:v>0</x:v>
      </x:c>
      <x:c r="D2683" s="184" t="n">
        <x:v>0</x:v>
      </x:c>
      <x:c r="E2683" s="184" t="n">
        <x:v>0</x:v>
      </x:c>
      <x:c r="F2683" s="184" t="n">
        <x:v>0</x:v>
      </x:c>
      <x:c r="G2683" s="184" t="n">
        <x:v>0</x:v>
      </x:c>
      <x:c r="H2683" s="193" t="n">
        <x:v>0</x:v>
      </x:c>
      <x:c r="I2683" s="185" t="n">
        <x:v>0</x:v>
      </x:c>
      <x:c r="J2683" s="185" t="n">
        <x:v>0</x:v>
      </x:c>
      <x:c r="K2683" s="289" t="n">
        <x:v>11928</x:v>
      </x:c>
    </x:row>
    <x:row r="2684" s="117" customFormat="1" hidden="1">
      <x:c r="A2684" s="184" t="inlineStr">
        <x:is>
          <x:t xml:space="preserve">PDTVULTRE077</x:t>
        </x:is>
      </x:c>
      <x:c r="B2684" s="184" t="inlineStr">
        <x:is>
          <x:t xml:space="preserve">KIT EMPAQUETADURA GRAFITADA BBA 8X8 SRH CODIGO 1218KT0041</x:t>
        </x:is>
      </x:c>
      <x:c r="C2684" s="184" t="n">
        <x:v>0</x:v>
      </x:c>
      <x:c r="D2684" s="184" t="n">
        <x:v>0</x:v>
      </x:c>
      <x:c r="E2684" s="184" t="n">
        <x:v>0</x:v>
      </x:c>
      <x:c r="F2684" s="184" t="n">
        <x:v>0</x:v>
      </x:c>
      <x:c r="G2684" s="184" t="n">
        <x:v>0</x:v>
      </x:c>
      <x:c r="H2684" s="193" t="n">
        <x:v>0</x:v>
      </x:c>
      <x:c r="I2684" s="185" t="n">
        <x:v>0</x:v>
      </x:c>
      <x:c r="J2684" s="185" t="n">
        <x:v>0</x:v>
      </x:c>
      <x:c r="K2684" s="289" t="n">
        <x:v>24342</x:v>
      </x:c>
    </x:row>
    <x:row r="2685" s="117" customFormat="1" hidden="1">
      <x:c r="A2685" s="184" t="inlineStr">
        <x:is>
          <x:t xml:space="preserve">PDTVULTRE078</x:t>
        </x:is>
      </x:c>
      <x:c r="B2685" s="184" t="inlineStr">
        <x:is>
          <x:t xml:space="preserve">KIT EMP GRAF BBA 5X4 SRC 1218KT0011</x:t>
        </x:is>
      </x:c>
      <x:c r="C2685" s="184" t="n">
        <x:v>0</x:v>
      </x:c>
      <x:c r="D2685" s="184" t="n">
        <x:v>0</x:v>
      </x:c>
      <x:c r="E2685" s="184" t="n">
        <x:v>0</x:v>
      </x:c>
      <x:c r="F2685" s="184" t="n">
        <x:v>0</x:v>
      </x:c>
      <x:c r="G2685" s="184" t="n">
        <x:v>0</x:v>
      </x:c>
      <x:c r="H2685" s="193" t="n">
        <x:v>0</x:v>
      </x:c>
      <x:c r="I2685" s="185" t="n">
        <x:v>0</x:v>
      </x:c>
      <x:c r="J2685" s="185" t="n">
        <x:v>0</x:v>
      </x:c>
      <x:c r="K2685" s="289" t="n">
        <x:v>12771</x:v>
      </x:c>
    </x:row>
    <x:row r="2686" s="117" customFormat="1" hidden="1">
      <x:c r="A2686" s="184" t="inlineStr">
        <x:is>
          <x:t xml:space="preserve">PDTVULTRE079</x:t>
        </x:is>
      </x:c>
      <x:c r="B2686" s="184" t="inlineStr">
        <x:is>
          <x:t xml:space="preserve">KIT EMPAQUETADURA GRAFITADA BBA 10X10 SRH CODIGO 1218KT0051</x:t>
        </x:is>
      </x:c>
      <x:c r="C2686" s="184" t="n">
        <x:v>0</x:v>
      </x:c>
      <x:c r="D2686" s="184" t="n">
        <x:v>0</x:v>
      </x:c>
      <x:c r="E2686" s="184" t="n">
        <x:v>0</x:v>
      </x:c>
      <x:c r="F2686" s="184" t="n">
        <x:v>0</x:v>
      </x:c>
      <x:c r="G2686" s="184" t="n">
        <x:v>0</x:v>
      </x:c>
      <x:c r="H2686" s="193" t="n">
        <x:v>0</x:v>
      </x:c>
      <x:c r="I2686" s="185" t="n">
        <x:v>0</x:v>
      </x:c>
      <x:c r="J2686" s="185" t="n">
        <x:v>0</x:v>
      </x:c>
      <x:c r="K2686" s="289" t="n">
        <x:v>88541</x:v>
      </x:c>
    </x:row>
    <x:row r="2687" s="117" customFormat="1" hidden="1">
      <x:c r="A2687" s="184" t="inlineStr">
        <x:is>
          <x:t xml:space="preserve">PDTVULTRE080</x:t>
        </x:is>
      </x:c>
      <x:c r="B2687" s="184" t="inlineStr">
        <x:is>
          <x:t xml:space="preserve">KIT EMPAQUETADURA GRAFITADA BBA 14X12 SRH CODIGO 1218KT0061</x:t>
        </x:is>
      </x:c>
      <x:c r="C2687" s="184" t="n">
        <x:v>0</x:v>
      </x:c>
      <x:c r="D2687" s="184" t="n">
        <x:v>0</x:v>
      </x:c>
      <x:c r="E2687" s="184" t="n">
        <x:v>0</x:v>
      </x:c>
      <x:c r="F2687" s="184" t="n">
        <x:v>0</x:v>
      </x:c>
      <x:c r="G2687" s="184" t="n">
        <x:v>0</x:v>
      </x:c>
      <x:c r="H2687" s="193" t="n">
        <x:v>0</x:v>
      </x:c>
      <x:c r="I2687" s="185" t="n">
        <x:v>0</x:v>
      </x:c>
      <x:c r="J2687" s="185" t="n">
        <x:v>0</x:v>
      </x:c>
      <x:c r="K2687" s="289" t="n">
        <x:v>89369</x:v>
      </x:c>
    </x:row>
    <x:row r="2688" s="117" customFormat="1" hidden="1">
      <x:c r="A2688" s="184" t="inlineStr">
        <x:is>
          <x:t xml:space="preserve">PDTVULTRE081</x:t>
        </x:is>
      </x:c>
      <x:c r="B2688" s="184" t="inlineStr">
        <x:is>
          <x:t xml:space="preserve">ASH MCC 200 EMPAQUETADURA N° 35 (16X16X508) A462135000</x:t>
        </x:is>
      </x:c>
      <x:c r="C2688" s="184" t="n">
        <x:v>0</x:v>
      </x:c>
      <x:c r="D2688" s="184" t="n">
        <x:v>0</x:v>
      </x:c>
      <x:c r="E2688" s="184" t="n">
        <x:v>0</x:v>
      </x:c>
      <x:c r="F2688" s="184" t="n">
        <x:v>0</x:v>
      </x:c>
      <x:c r="G2688" s="184" t="n">
        <x:v>0</x:v>
      </x:c>
      <x:c r="H2688" s="193" t="n">
        <x:v>0</x:v>
      </x:c>
      <x:c r="I2688" s="185" t="n">
        <x:v>0</x:v>
      </x:c>
      <x:c r="J2688" s="185" t="n">
        <x:v>0</x:v>
      </x:c>
      <x:c r="K2688" s="289" t="n">
        <x:v>10997</x:v>
      </x:c>
    </x:row>
    <x:row r="2689" s="117" customFormat="1" hidden="1">
      <x:c r="A2689" s="184" t="inlineStr">
        <x:is>
          <x:t xml:space="preserve">PDTVULTRE082</x:t>
        </x:is>
      </x:c>
      <x:c r="B2689" s="184" t="inlineStr">
        <x:is>
          <x:t xml:space="preserve">ASH 8 ME EMPAQUETADURA Nª 35 A820135000</x:t>
        </x:is>
      </x:c>
      <x:c r="C2689" s="184" t="n">
        <x:v>0</x:v>
      </x:c>
      <x:c r="D2689" s="184" t="n">
        <x:v>0</x:v>
      </x:c>
      <x:c r="E2689" s="184" t="n">
        <x:v>0</x:v>
      </x:c>
      <x:c r="F2689" s="184" t="n">
        <x:v>0</x:v>
      </x:c>
      <x:c r="G2689" s="184" t="n">
        <x:v>0</x:v>
      </x:c>
      <x:c r="H2689" s="193" t="n">
        <x:v>0</x:v>
      </x:c>
      <x:c r="I2689" s="185" t="n">
        <x:v>0</x:v>
      </x:c>
      <x:c r="J2689" s="185" t="n">
        <x:v>0</x:v>
      </x:c>
      <x:c r="K2689" s="289" t="n">
        <x:v>4835</x:v>
      </x:c>
    </x:row>
    <x:row r="2690" s="117" customFormat="1" hidden="1">
      <x:c r="A2690" s="184" t="inlineStr">
        <x:is>
          <x:t xml:space="preserve">PDTVULTRE083</x:t>
        </x:is>
      </x:c>
      <x:c r="B2690" s="184" t="inlineStr">
        <x:is>
          <x:t xml:space="preserve">PACKING EMPAQUETADURA D111Q05 (1 ANILLO)</x:t>
        </x:is>
      </x:c>
      <x:c r="C2690" s="184" t="n">
        <x:v>0</x:v>
      </x:c>
      <x:c r="D2690" s="184" t="n">
        <x:v>0</x:v>
      </x:c>
      <x:c r="E2690" s="184" t="n">
        <x:v>0</x:v>
      </x:c>
      <x:c r="F2690" s="184" t="n">
        <x:v>0</x:v>
      </x:c>
      <x:c r="G2690" s="184" t="n">
        <x:v>0</x:v>
      </x:c>
      <x:c r="H2690" s="193" t="n">
        <x:v>0</x:v>
      </x:c>
      <x:c r="I2690" s="185" t="n">
        <x:v>0</x:v>
      </x:c>
      <x:c r="J2690" s="185" t="n">
        <x:v>0</x:v>
      </x:c>
      <x:c r="K2690" s="289" t="n">
        <x:v>4791</x:v>
      </x:c>
    </x:row>
    <x:row r="2691" s="117" customFormat="1" hidden="1">
      <x:c r="A2691" s="184" t="inlineStr">
        <x:is>
          <x:t xml:space="preserve">PDTVULTRE084</x:t>
        </x:is>
      </x:c>
      <x:c r="B2691" s="184" t="inlineStr">
        <x:is>
          <x:t xml:space="preserve">SET EMPAQUIETADURA 5 ANILLOS U111Q22-SET</x:t>
        </x:is>
      </x:c>
      <x:c r="C2691" s="184" t="n">
        <x:v>4</x:v>
      </x:c>
      <x:c r="D2691" s="184" t="n">
        <x:v>0</x:v>
      </x:c>
      <x:c r="E2691" s="184" t="n">
        <x:v>0</x:v>
      </x:c>
      <x:c r="F2691" s="184" t="n">
        <x:v>4</x:v>
      </x:c>
      <x:c r="G2691" s="184" t="n">
        <x:v>1108720</x:v>
      </x:c>
      <x:c r="H2691" s="193" t="n">
        <x:v>0</x:v>
      </x:c>
      <x:c r="I2691" s="185" t="n">
        <x:v>0</x:v>
      </x:c>
      <x:c r="J2691" s="185" t="n">
        <x:v>1108720</x:v>
      </x:c>
      <x:c r="K2691" s="289" t="n">
        <x:v>277180</x:v>
      </x:c>
    </x:row>
    <x:row r="2692" s="117" customFormat="1" hidden="1">
      <x:c r="A2692" s="184" t="inlineStr">
        <x:is>
          <x:t xml:space="preserve">PDVPLAEXT001</x:t>
        </x:is>
      </x:c>
      <x:c r="B2692" s="184" t="inlineStr">
        <x:is>
          <x:t xml:space="preserve">PLANCHA PVDF 3000X1500X10MM EXT LAMINA EN AMBOS LADO</x:t>
        </x:is>
      </x:c>
      <x:c r="C2692" s="184" t="n">
        <x:v>0</x:v>
      </x:c>
      <x:c r="D2692" s="184" t="n">
        <x:v>0</x:v>
      </x:c>
      <x:c r="E2692" s="184" t="n">
        <x:v>0</x:v>
      </x:c>
      <x:c r="F2692" s="184" t="n">
        <x:v>0</x:v>
      </x:c>
      <x:c r="G2692" s="184" t="n">
        <x:v>0</x:v>
      </x:c>
      <x:c r="H2692" s="193" t="n">
        <x:v>0</x:v>
      </x:c>
      <x:c r="I2692" s="185" t="n">
        <x:v>0</x:v>
      </x:c>
      <x:c r="J2692" s="185" t="n">
        <x:v>0</x:v>
      </x:c>
      <x:c r="K2692" s="289" t="n">
        <x:v>0</x:v>
      </x:c>
    </x:row>
    <x:row r="2693" s="117" customFormat="1" hidden="1">
      <x:c r="A2693" s="184" t="inlineStr">
        <x:is>
          <x:t xml:space="preserve">PDVPLAEXT002</x:t>
        </x:is>
      </x:c>
      <x:c r="B2693" s="184" t="inlineStr">
        <x:is>
          <x:t xml:space="preserve">PLANCHA PVDF C/BACKING  2000MM X 1000MM X 3MM</x:t>
        </x:is>
      </x:c>
      <x:c r="C2693" s="184" t="n">
        <x:v>0</x:v>
      </x:c>
      <x:c r="D2693" s="184" t="n">
        <x:v>0</x:v>
      </x:c>
      <x:c r="E2693" s="184" t="n">
        <x:v>0</x:v>
      </x:c>
      <x:c r="F2693" s="184" t="n">
        <x:v>0</x:v>
      </x:c>
      <x:c r="G2693" s="184" t="n">
        <x:v>0</x:v>
      </x:c>
      <x:c r="H2693" s="193" t="n">
        <x:v>0</x:v>
      </x:c>
      <x:c r="I2693" s="185" t="n">
        <x:v>0</x:v>
      </x:c>
      <x:c r="J2693" s="185" t="n">
        <x:v>0</x:v>
      </x:c>
      <x:c r="K2693" s="289" t="n">
        <x:v>375000</x:v>
      </x:c>
    </x:row>
    <x:row r="2694" s="117" customFormat="1" hidden="1">
      <x:c r="A2694" s="184" t="inlineStr">
        <x:is>
          <x:t xml:space="preserve">PDVPLAEXT003</x:t>
        </x:is>
      </x:c>
      <x:c r="B2694" s="184" t="inlineStr">
        <x:is>
          <x:t xml:space="preserve">PLANCHA PVDF C/BACKING  3000MM X 1500MM X 3MM</x:t>
        </x:is>
      </x:c>
      <x:c r="C2694" s="184" t="n">
        <x:v>11.5</x:v>
      </x:c>
      <x:c r="D2694" s="184" t="n">
        <x:v>0</x:v>
      </x:c>
      <x:c r="E2694" s="184" t="n">
        <x:v>0</x:v>
      </x:c>
      <x:c r="F2694" s="184" t="n">
        <x:v>11.5</x:v>
      </x:c>
      <x:c r="G2694" s="184" t="n">
        <x:v>12768750</x:v>
      </x:c>
      <x:c r="H2694" s="193" t="n">
        <x:v>0</x:v>
      </x:c>
      <x:c r="I2694" s="185" t="n">
        <x:v>0</x:v>
      </x:c>
      <x:c r="J2694" s="185" t="n">
        <x:v>12768750</x:v>
      </x:c>
      <x:c r="K2694" s="289" t="n">
        <x:v>1110326.08695652</x:v>
      </x:c>
    </x:row>
    <x:row r="2695" s="117" customFormat="1" hidden="1">
      <x:c r="A2695" s="184" t="inlineStr">
        <x:is>
          <x:t xml:space="preserve">PDVPLAEXT004</x:t>
        </x:is>
      </x:c>
      <x:c r="B2695" s="184" t="inlineStr">
        <x:is>
          <x:t xml:space="preserve">PLANCHA PVDF SIN BACKING  3000MM X 1200MM X 8MM</x:t>
        </x:is>
      </x:c>
      <x:c r="C2695" s="184" t="n">
        <x:v>0</x:v>
      </x:c>
      <x:c r="D2695" s="184" t="n">
        <x:v>0</x:v>
      </x:c>
      <x:c r="E2695" s="184" t="n">
        <x:v>0</x:v>
      </x:c>
      <x:c r="F2695" s="184" t="n">
        <x:v>0</x:v>
      </x:c>
      <x:c r="G2695" s="184" t="n">
        <x:v>0</x:v>
      </x:c>
      <x:c r="H2695" s="193" t="n">
        <x:v>0</x:v>
      </x:c>
      <x:c r="I2695" s="185" t="n">
        <x:v>0</x:v>
      </x:c>
      <x:c r="J2695" s="185" t="n">
        <x:v>0</x:v>
      </x:c>
      <x:c r="K2695" s="289" t="n">
        <x:v>1165300</x:v>
      </x:c>
    </x:row>
    <x:row r="2696" s="117" customFormat="1" hidden="1">
      <x:c r="A2696" s="184" t="inlineStr">
        <x:is>
          <x:t xml:space="preserve">PDVPLAEXT005</x:t>
        </x:is>
      </x:c>
      <x:c r="B2696" s="184" t="inlineStr">
        <x:is>
          <x:t xml:space="preserve">BARRA DE PVDF DIAM.100 MM X 1000 MM LGO</x:t>
        </x:is>
      </x:c>
      <x:c r="C2696" s="184" t="n">
        <x:v>0</x:v>
      </x:c>
      <x:c r="D2696" s="184" t="n">
        <x:v>0</x:v>
      </x:c>
      <x:c r="E2696" s="184" t="n">
        <x:v>0</x:v>
      </x:c>
      <x:c r="F2696" s="184" t="n">
        <x:v>0</x:v>
      </x:c>
      <x:c r="G2696" s="184" t="n">
        <x:v>0</x:v>
      </x:c>
      <x:c r="H2696" s="193" t="n">
        <x:v>0</x:v>
      </x:c>
      <x:c r="I2696" s="185" t="n">
        <x:v>0</x:v>
      </x:c>
      <x:c r="J2696" s="185" t="n">
        <x:v>0</x:v>
      </x:c>
      <x:c r="K2696" s="289" t="n">
        <x:v>350000</x:v>
      </x:c>
    </x:row>
    <x:row r="2697" s="117" customFormat="1" hidden="1">
      <x:c r="A2697" s="184" t="inlineStr">
        <x:is>
          <x:t xml:space="preserve">PDVPLAEXT006</x:t>
        </x:is>
      </x:c>
      <x:c r="B2697" s="184" t="inlineStr">
        <x:is>
          <x:t xml:space="preserve">TUBO PVDF DE 32X2.4 SDR 21</x:t>
        </x:is>
      </x:c>
      <x:c r="C2697" s="184" t="n">
        <x:v>0</x:v>
      </x:c>
      <x:c r="D2697" s="184" t="n">
        <x:v>0</x:v>
      </x:c>
      <x:c r="E2697" s="184" t="n">
        <x:v>0</x:v>
      </x:c>
      <x:c r="F2697" s="184" t="n">
        <x:v>0</x:v>
      </x:c>
      <x:c r="G2697" s="184" t="n">
        <x:v>0</x:v>
      </x:c>
      <x:c r="H2697" s="193" t="n">
        <x:v>0</x:v>
      </x:c>
      <x:c r="I2697" s="185" t="n">
        <x:v>0</x:v>
      </x:c>
      <x:c r="J2697" s="185" t="n">
        <x:v>0</x:v>
      </x:c>
      <x:c r="K2697" s="289" t="n">
        <x:v>10700</x:v>
      </x:c>
    </x:row>
    <x:row r="2698" s="117" customFormat="1" hidden="1">
      <x:c r="A2698" s="184" t="inlineStr">
        <x:is>
          <x:t xml:space="preserve">PDVPLAEXT007</x:t>
        </x:is>
      </x:c>
      <x:c r="B2698" s="184" t="inlineStr">
        <x:is>
          <x:t xml:space="preserve">TUBO PVDF DE 40X2.4 SDR 21</x:t>
        </x:is>
      </x:c>
      <x:c r="C2698" s="184" t="n">
        <x:v>5</x:v>
      </x:c>
      <x:c r="D2698" s="184" t="n">
        <x:v>0</x:v>
      </x:c>
      <x:c r="E2698" s="184" t="n">
        <x:v>0</x:v>
      </x:c>
      <x:c r="F2698" s="184" t="n">
        <x:v>5</x:v>
      </x:c>
      <x:c r="G2698" s="184" t="n">
        <x:v>68000</x:v>
      </x:c>
      <x:c r="H2698" s="193" t="n">
        <x:v>0</x:v>
      </x:c>
      <x:c r="I2698" s="185" t="n">
        <x:v>0</x:v>
      </x:c>
      <x:c r="J2698" s="185" t="n">
        <x:v>68000</x:v>
      </x:c>
      <x:c r="K2698" s="289" t="n">
        <x:v>13600</x:v>
      </x:c>
    </x:row>
    <x:row r="2699" s="117" customFormat="1" hidden="1">
      <x:c r="A2699" s="184" t="inlineStr">
        <x:is>
          <x:t xml:space="preserve">PDVPLAEXT008</x:t>
        </x:is>
      </x:c>
      <x:c r="B2699" s="184" t="inlineStr">
        <x:is>
          <x:t xml:space="preserve">TUBO PVDF DE 90X2.8 SDR 33</x:t>
        </x:is>
      </x:c>
      <x:c r="C2699" s="184" t="n">
        <x:v>0</x:v>
      </x:c>
      <x:c r="D2699" s="184" t="n">
        <x:v>0</x:v>
      </x:c>
      <x:c r="E2699" s="184" t="n">
        <x:v>0</x:v>
      </x:c>
      <x:c r="F2699" s="184" t="n">
        <x:v>0</x:v>
      </x:c>
      <x:c r="G2699" s="184" t="n">
        <x:v>0</x:v>
      </x:c>
      <x:c r="H2699" s="193" t="n">
        <x:v>0</x:v>
      </x:c>
      <x:c r="I2699" s="185" t="n">
        <x:v>0</x:v>
      </x:c>
      <x:c r="J2699" s="185" t="n">
        <x:v>0</x:v>
      </x:c>
      <x:c r="K2699" s="289" t="n">
        <x:v>39800</x:v>
      </x:c>
    </x:row>
    <x:row r="2700" s="117" customFormat="1" hidden="1">
      <x:c r="A2700" s="184" t="inlineStr">
        <x:is>
          <x:t xml:space="preserve">PDVPLAEXT009</x:t>
        </x:is>
      </x:c>
      <x:c r="B2700" s="184" t="inlineStr">
        <x:is>
          <x:t xml:space="preserve">TUBO PVDF DE 160X3 SDR 33</x:t>
        </x:is>
      </x:c>
      <x:c r="C2700" s="184" t="n">
        <x:v>25</x:v>
      </x:c>
      <x:c r="D2700" s="184" t="n">
        <x:v>0</x:v>
      </x:c>
      <x:c r="E2700" s="184" t="n">
        <x:v>0</x:v>
      </x:c>
      <x:c r="F2700" s="184" t="n">
        <x:v>25</x:v>
      </x:c>
      <x:c r="G2700" s="184" t="n">
        <x:v>83750</x:v>
      </x:c>
      <x:c r="H2700" s="193" t="n">
        <x:v>0</x:v>
      </x:c>
      <x:c r="I2700" s="185" t="n">
        <x:v>0</x:v>
      </x:c>
      <x:c r="J2700" s="185" t="n">
        <x:v>83750</x:v>
      </x:c>
      <x:c r="K2700" s="289" t="n">
        <x:v>3350</x:v>
      </x:c>
    </x:row>
    <x:row r="2701" s="117" customFormat="1" hidden="1">
      <x:c r="A2701" s="184" t="inlineStr">
        <x:is>
          <x:t xml:space="preserve">PDVPLAEXT010</x:t>
        </x:is>
      </x:c>
      <x:c r="B2701" s="184" t="inlineStr">
        <x:is>
          <x:t xml:space="preserve">TUBO PVDF DE 315X4 VENT</x:t>
        </x:is>
      </x:c>
      <x:c r="C2701" s="184" t="n">
        <x:v>15</x:v>
      </x:c>
      <x:c r="D2701" s="184" t="n">
        <x:v>0</x:v>
      </x:c>
      <x:c r="E2701" s="184" t="n">
        <x:v>0</x:v>
      </x:c>
      <x:c r="F2701" s="184" t="n">
        <x:v>15</x:v>
      </x:c>
      <x:c r="G2701" s="184" t="n">
        <x:v>134250</x:v>
      </x:c>
      <x:c r="H2701" s="193" t="n">
        <x:v>0</x:v>
      </x:c>
      <x:c r="I2701" s="185" t="n">
        <x:v>0</x:v>
      </x:c>
      <x:c r="J2701" s="185" t="n">
        <x:v>134250</x:v>
      </x:c>
      <x:c r="K2701" s="289" t="n">
        <x:v>8950</x:v>
      </x:c>
    </x:row>
    <x:row r="2702" s="117" customFormat="1" hidden="1">
      <x:c r="A2702" s="184" t="inlineStr">
        <x:is>
          <x:t xml:space="preserve">PDVPLAEXT011</x:t>
        </x:is>
      </x:c>
      <x:c r="B2702" s="184" t="inlineStr">
        <x:is>
          <x:t xml:space="preserve">TUBO PVDF DE 200X3 VENT</x:t>
        </x:is>
      </x:c>
      <x:c r="C2702" s="184" t="n">
        <x:v>5</x:v>
      </x:c>
      <x:c r="D2702" s="184" t="n">
        <x:v>0</x:v>
      </x:c>
      <x:c r="E2702" s="184" t="n">
        <x:v>0</x:v>
      </x:c>
      <x:c r="F2702" s="184" t="n">
        <x:v>5</x:v>
      </x:c>
      <x:c r="G2702" s="184" t="n">
        <x:v>203175</x:v>
      </x:c>
      <x:c r="H2702" s="193" t="n">
        <x:v>0</x:v>
      </x:c>
      <x:c r="I2702" s="185" t="n">
        <x:v>0</x:v>
      </x:c>
      <x:c r="J2702" s="185" t="n">
        <x:v>203175</x:v>
      </x:c>
      <x:c r="K2702" s="289" t="n">
        <x:v>40635.01497</x:v>
      </x:c>
    </x:row>
    <x:row r="2703" s="117" customFormat="1" hidden="1">
      <x:c r="A2703" s="184" t="inlineStr">
        <x:is>
          <x:t xml:space="preserve">PDVPLAEXT012</x:t>
        </x:is>
      </x:c>
      <x:c r="B2703" s="184" t="inlineStr">
        <x:is>
          <x:t xml:space="preserve">TUBO PVDF DE 63X3 SDR 21</x:t>
        </x:is>
      </x:c>
      <x:c r="C2703" s="184" t="n">
        <x:v>60</x:v>
      </x:c>
      <x:c r="D2703" s="184" t="n">
        <x:v>0</x:v>
      </x:c>
      <x:c r="E2703" s="184" t="n">
        <x:v>0</x:v>
      </x:c>
      <x:c r="F2703" s="184" t="n">
        <x:v>60</x:v>
      </x:c>
      <x:c r="G2703" s="184" t="n">
        <x:v>1760400</x:v>
      </x:c>
      <x:c r="H2703" s="193" t="n">
        <x:v>0</x:v>
      </x:c>
      <x:c r="I2703" s="185" t="n">
        <x:v>0</x:v>
      </x:c>
      <x:c r="J2703" s="185" t="n">
        <x:v>1760400</x:v>
      </x:c>
      <x:c r="K2703" s="289" t="n">
        <x:v>29340</x:v>
      </x:c>
    </x:row>
    <x:row r="2704" s="117" customFormat="1" hidden="1">
      <x:c r="A2704" s="184" t="inlineStr">
        <x:is>
          <x:t xml:space="preserve">PDVPLAEXT013</x:t>
        </x:is>
      </x:c>
      <x:c r="B2704" s="184" t="inlineStr">
        <x:is>
          <x:t xml:space="preserve">TUBO PVDF DE 110X3.4 SDR 33</x:t>
        </x:is>
      </x:c>
      <x:c r="C2704" s="184" t="n">
        <x:v>15</x:v>
      </x:c>
      <x:c r="D2704" s="184" t="n">
        <x:v>0</x:v>
      </x:c>
      <x:c r="E2704" s="184" t="n">
        <x:v>0</x:v>
      </x:c>
      <x:c r="F2704" s="184" t="n">
        <x:v>15</x:v>
      </x:c>
      <x:c r="G2704" s="184" t="n">
        <x:v>445500</x:v>
      </x:c>
      <x:c r="H2704" s="193" t="n">
        <x:v>0</x:v>
      </x:c>
      <x:c r="I2704" s="185" t="n">
        <x:v>0</x:v>
      </x:c>
      <x:c r="J2704" s="185" t="n">
        <x:v>445500</x:v>
      </x:c>
      <x:c r="K2704" s="289" t="n">
        <x:v>29700</x:v>
      </x:c>
    </x:row>
    <x:row r="2705" s="117" customFormat="1" hidden="1">
      <x:c r="A2705" s="184" t="inlineStr">
        <x:is>
          <x:t xml:space="preserve">PDVPLAEXT014</x:t>
        </x:is>
      </x:c>
      <x:c r="B2705" s="184" t="inlineStr">
        <x:is>
          <x:t xml:space="preserve">TUBO PVDF DE 50X3 SDR 21</x:t>
        </x:is>
      </x:c>
      <x:c r="C2705" s="184" t="n">
        <x:v>25</x:v>
      </x:c>
      <x:c r="D2705" s="184" t="n">
        <x:v>0</x:v>
      </x:c>
      <x:c r="E2705" s="184" t="n">
        <x:v>0</x:v>
      </x:c>
      <x:c r="F2705" s="184" t="n">
        <x:v>25</x:v>
      </x:c>
      <x:c r="G2705" s="184" t="n">
        <x:v>1479500</x:v>
      </x:c>
      <x:c r="H2705" s="193" t="n">
        <x:v>0</x:v>
      </x:c>
      <x:c r="I2705" s="185" t="n">
        <x:v>0</x:v>
      </x:c>
      <x:c r="J2705" s="185" t="n">
        <x:v>1479500</x:v>
      </x:c>
      <x:c r="K2705" s="289" t="n">
        <x:v>59180</x:v>
      </x:c>
    </x:row>
    <x:row r="2706" s="117" customFormat="1" hidden="1">
      <x:c r="A2706" s="184" t="inlineStr">
        <x:is>
          <x:t xml:space="preserve">PDVPLAEXT015</x:t>
        </x:is>
      </x:c>
      <x:c r="B2706" s="184" t="inlineStr">
        <x:is>
          <x:t xml:space="preserve">TUBO PVDF DE 250X3 VENT</x:t>
        </x:is>
      </x:c>
      <x:c r="C2706" s="184" t="n">
        <x:v>5</x:v>
      </x:c>
      <x:c r="D2706" s="184" t="n">
        <x:v>0</x:v>
      </x:c>
      <x:c r="E2706" s="184" t="n">
        <x:v>0</x:v>
      </x:c>
      <x:c r="F2706" s="184" t="n">
        <x:v>5</x:v>
      </x:c>
      <x:c r="G2706" s="184" t="n">
        <x:v>430750</x:v>
      </x:c>
      <x:c r="H2706" s="193" t="n">
        <x:v>0</x:v>
      </x:c>
      <x:c r="I2706" s="185" t="n">
        <x:v>0</x:v>
      </x:c>
      <x:c r="J2706" s="185" t="n">
        <x:v>430750</x:v>
      </x:c>
      <x:c r="K2706" s="289" t="n">
        <x:v>86150</x:v>
      </x:c>
    </x:row>
    <x:row r="2707" s="117" customFormat="1" hidden="1">
      <x:c r="A2707" s="184" t="inlineStr">
        <x:is>
          <x:t xml:space="preserve">PDVPLAEXT016</x:t>
        </x:is>
      </x:c>
      <x:c r="B2707" s="184" t="inlineStr">
        <x:is>
          <x:t xml:space="preserve">TUBO PVDF DE 355  VENT</x:t>
        </x:is>
      </x:c>
      <x:c r="C2707" s="184" t="n">
        <x:v>10</x:v>
      </x:c>
      <x:c r="D2707" s="184" t="n">
        <x:v>0</x:v>
      </x:c>
      <x:c r="E2707" s="184" t="n">
        <x:v>0</x:v>
      </x:c>
      <x:c r="F2707" s="184" t="n">
        <x:v>10</x:v>
      </x:c>
      <x:c r="G2707" s="184" t="n">
        <x:v>1539000</x:v>
      </x:c>
      <x:c r="H2707" s="193" t="n">
        <x:v>0</x:v>
      </x:c>
      <x:c r="I2707" s="185" t="n">
        <x:v>0</x:v>
      </x:c>
      <x:c r="J2707" s="185" t="n">
        <x:v>1539000</x:v>
      </x:c>
      <x:c r="K2707" s="289" t="n">
        <x:v>153900</x:v>
      </x:c>
    </x:row>
    <x:row r="2708" s="117" customFormat="1" hidden="1">
      <x:c r="A2708" s="184" t="inlineStr">
        <x:is>
          <x:t xml:space="preserve">PDVPLAEXT017</x:t>
        </x:is>
      </x:c>
      <x:c r="B2708" s="184" t="inlineStr">
        <x:is>
          <x:t xml:space="preserve">STUB END PVDF 25X2.4 SDR 21</x:t>
        </x:is>
      </x:c>
      <x:c r="C2708" s="184" t="n">
        <x:v>0</x:v>
      </x:c>
      <x:c r="D2708" s="184" t="n">
        <x:v>0</x:v>
      </x:c>
      <x:c r="E2708" s="184" t="n">
        <x:v>0</x:v>
      </x:c>
      <x:c r="F2708" s="184" t="n">
        <x:v>0</x:v>
      </x:c>
      <x:c r="G2708" s="184" t="n">
        <x:v>0</x:v>
      </x:c>
      <x:c r="H2708" s="193" t="n">
        <x:v>0</x:v>
      </x:c>
      <x:c r="I2708" s="185" t="n">
        <x:v>0</x:v>
      </x:c>
      <x:c r="J2708" s="185" t="n">
        <x:v>0</x:v>
      </x:c>
      <x:c r="K2708" s="289" t="n">
        <x:v>1890</x:v>
      </x:c>
    </x:row>
    <x:row r="2709" s="117" customFormat="1" hidden="1">
      <x:c r="A2709" s="184" t="inlineStr">
        <x:is>
          <x:t xml:space="preserve">PDVPLAEXT018</x:t>
        </x:is>
      </x:c>
      <x:c r="B2709" s="184" t="inlineStr">
        <x:is>
          <x:t xml:space="preserve">STUB END PVDF 50X3.4</x:t>
        </x:is>
      </x:c>
      <x:c r="C2709" s="184" t="n">
        <x:v>15</x:v>
      </x:c>
      <x:c r="D2709" s="184" t="n">
        <x:v>0</x:v>
      </x:c>
      <x:c r="E2709" s="184" t="n">
        <x:v>0</x:v>
      </x:c>
      <x:c r="F2709" s="184" t="n">
        <x:v>15</x:v>
      </x:c>
      <x:c r="G2709" s="184" t="n">
        <x:v>27525</x:v>
      </x:c>
      <x:c r="H2709" s="193" t="n">
        <x:v>0</x:v>
      </x:c>
      <x:c r="I2709" s="185" t="n">
        <x:v>0</x:v>
      </x:c>
      <x:c r="J2709" s="185" t="n">
        <x:v>27525</x:v>
      </x:c>
      <x:c r="K2709" s="289" t="n">
        <x:v>1835</x:v>
      </x:c>
    </x:row>
    <x:row r="2710" s="117" customFormat="1" hidden="1">
      <x:c r="A2710" s="184" t="inlineStr">
        <x:is>
          <x:t xml:space="preserve">PDVPLAEXT019</x:t>
        </x:is>
      </x:c>
      <x:c r="B2710" s="184" t="inlineStr">
        <x:is>
          <x:t xml:space="preserve">STUB END PVDF 63X3.4</x:t>
        </x:is>
      </x:c>
      <x:c r="C2710" s="184" t="n">
        <x:v>0</x:v>
      </x:c>
      <x:c r="D2710" s="184" t="n">
        <x:v>0</x:v>
      </x:c>
      <x:c r="E2710" s="184" t="n">
        <x:v>0</x:v>
      </x:c>
      <x:c r="F2710" s="184" t="n">
        <x:v>0</x:v>
      </x:c>
      <x:c r="G2710" s="184" t="n">
        <x:v>0</x:v>
      </x:c>
      <x:c r="H2710" s="193" t="n">
        <x:v>0</x:v>
      </x:c>
      <x:c r="I2710" s="185" t="n">
        <x:v>0</x:v>
      </x:c>
      <x:c r="J2710" s="185" t="n">
        <x:v>0</x:v>
      </x:c>
      <x:c r="K2710" s="289" t="n">
        <x:v>7951</x:v>
      </x:c>
    </x:row>
    <x:row r="2711" s="117" customFormat="1" hidden="1">
      <x:c r="A2711" s="184" t="inlineStr">
        <x:is>
          <x:t xml:space="preserve">PDVPLAEXT020</x:t>
        </x:is>
      </x:c>
      <x:c r="B2711" s="184" t="inlineStr">
        <x:is>
          <x:t xml:space="preserve">STUB END PVDF 90X3.4  VENT</x:t>
        </x:is>
      </x:c>
      <x:c r="C2711" s="184" t="n">
        <x:v>0</x:v>
      </x:c>
      <x:c r="D2711" s="184" t="n">
        <x:v>0</x:v>
      </x:c>
      <x:c r="E2711" s="184" t="n">
        <x:v>0</x:v>
      </x:c>
      <x:c r="F2711" s="184" t="n">
        <x:v>0</x:v>
      </x:c>
      <x:c r="G2711" s="184" t="n">
        <x:v>0</x:v>
      </x:c>
      <x:c r="H2711" s="193" t="n">
        <x:v>0</x:v>
      </x:c>
      <x:c r="I2711" s="185" t="n">
        <x:v>0</x:v>
      </x:c>
      <x:c r="J2711" s="185" t="n">
        <x:v>0</x:v>
      </x:c>
      <x:c r="K2711" s="289" t="n">
        <x:v>5859</x:v>
      </x:c>
    </x:row>
    <x:row r="2712" s="117" customFormat="1" hidden="1">
      <x:c r="A2712" s="184" t="inlineStr">
        <x:is>
          <x:t xml:space="preserve">PDVPLAEXT021</x:t>
        </x:is>
      </x:c>
      <x:c r="B2712" s="184" t="inlineStr">
        <x:is>
          <x:t xml:space="preserve">STUB END PVDF 110X3.4 SDR 21</x:t>
        </x:is>
      </x:c>
      <x:c r="C2712" s="184" t="n">
        <x:v>0</x:v>
      </x:c>
      <x:c r="D2712" s="184" t="n">
        <x:v>0</x:v>
      </x:c>
      <x:c r="E2712" s="184" t="n">
        <x:v>0</x:v>
      </x:c>
      <x:c r="F2712" s="184" t="n">
        <x:v>0</x:v>
      </x:c>
      <x:c r="G2712" s="184" t="n">
        <x:v>0</x:v>
      </x:c>
      <x:c r="H2712" s="193" t="n">
        <x:v>0</x:v>
      </x:c>
      <x:c r="I2712" s="185" t="n">
        <x:v>0</x:v>
      </x:c>
      <x:c r="J2712" s="185" t="n">
        <x:v>0</x:v>
      </x:c>
      <x:c r="K2712" s="289" t="n">
        <x:v>30300</x:v>
      </x:c>
    </x:row>
    <x:row r="2713" s="117" customFormat="1" hidden="1">
      <x:c r="A2713" s="184" t="inlineStr">
        <x:is>
          <x:t xml:space="preserve">PDVPLAEXT022</x:t>
        </x:is>
      </x:c>
      <x:c r="B2713" s="184" t="inlineStr">
        <x:is>
          <x:t xml:space="preserve">STUB END PVDF 160X5</x:t>
        </x:is>
      </x:c>
      <x:c r="C2713" s="184" t="n">
        <x:v>0</x:v>
      </x:c>
      <x:c r="D2713" s="184" t="n">
        <x:v>0</x:v>
      </x:c>
      <x:c r="E2713" s="184" t="n">
        <x:v>0</x:v>
      </x:c>
      <x:c r="F2713" s="184" t="n">
        <x:v>0</x:v>
      </x:c>
      <x:c r="G2713" s="184" t="n">
        <x:v>0</x:v>
      </x:c>
      <x:c r="H2713" s="193" t="n">
        <x:v>0</x:v>
      </x:c>
      <x:c r="I2713" s="185" t="n">
        <x:v>0</x:v>
      </x:c>
      <x:c r="J2713" s="185" t="n">
        <x:v>0</x:v>
      </x:c>
      <x:c r="K2713" s="289" t="n">
        <x:v>6456</x:v>
      </x:c>
    </x:row>
    <x:row r="2714" s="117" customFormat="1" hidden="1">
      <x:c r="A2714" s="184" t="inlineStr">
        <x:is>
          <x:t xml:space="preserve">PDVPLAEXT023</x:t>
        </x:is>
      </x:c>
      <x:c r="B2714" s="184" t="inlineStr">
        <x:is>
          <x:t xml:space="preserve">STUB END PVDF 200X6.2 SDR 33</x:t>
        </x:is>
      </x:c>
      <x:c r="C2714" s="184" t="n">
        <x:v>0</x:v>
      </x:c>
      <x:c r="D2714" s="184" t="n">
        <x:v>0</x:v>
      </x:c>
      <x:c r="E2714" s="184" t="n">
        <x:v>0</x:v>
      </x:c>
      <x:c r="F2714" s="184" t="n">
        <x:v>0</x:v>
      </x:c>
      <x:c r="G2714" s="184" t="n">
        <x:v>0</x:v>
      </x:c>
      <x:c r="H2714" s="193" t="n">
        <x:v>0</x:v>
      </x:c>
      <x:c r="I2714" s="185" t="n">
        <x:v>0</x:v>
      </x:c>
      <x:c r="J2714" s="185" t="n">
        <x:v>0</x:v>
      </x:c>
      <x:c r="K2714" s="289" t="n">
        <x:v>146200</x:v>
      </x:c>
    </x:row>
    <x:row r="2715" s="117" customFormat="1" hidden="1">
      <x:c r="A2715" s="184" t="inlineStr">
        <x:is>
          <x:t xml:space="preserve">PDVPLAEXT024</x:t>
        </x:is>
      </x:c>
      <x:c r="B2715" s="184" t="inlineStr">
        <x:is>
          <x:t xml:space="preserve">STUB END PVDF 50X3.0 SDR 21</x:t>
        </x:is>
      </x:c>
      <x:c r="C2715" s="184" t="n">
        <x:v>0</x:v>
      </x:c>
      <x:c r="D2715" s="184" t="n">
        <x:v>0</x:v>
      </x:c>
      <x:c r="E2715" s="184" t="n">
        <x:v>0</x:v>
      </x:c>
      <x:c r="F2715" s="184" t="n">
        <x:v>0</x:v>
      </x:c>
      <x:c r="G2715" s="184" t="n">
        <x:v>0</x:v>
      </x:c>
      <x:c r="H2715" s="193" t="n">
        <x:v>0</x:v>
      </x:c>
      <x:c r="I2715" s="185" t="n">
        <x:v>0</x:v>
      </x:c>
      <x:c r="J2715" s="185" t="n">
        <x:v>0</x:v>
      </x:c>
      <x:c r="K2715" s="289" t="n">
        <x:v>3069</x:v>
      </x:c>
    </x:row>
    <x:row r="2716" s="117" customFormat="1" hidden="1">
      <x:c r="A2716" s="184" t="inlineStr">
        <x:is>
          <x:t xml:space="preserve">PDVPLAEXT025</x:t>
        </x:is>
      </x:c>
      <x:c r="B2716" s="184" t="inlineStr">
        <x:is>
          <x:t xml:space="preserve">CODO PVDF 90° 50X3.0 VENT</x:t>
        </x:is>
      </x:c>
      <x:c r="C2716" s="184" t="n">
        <x:v>5</x:v>
      </x:c>
      <x:c r="D2716" s="184" t="n">
        <x:v>0</x:v>
      </x:c>
      <x:c r="E2716" s="184" t="n">
        <x:v>0</x:v>
      </x:c>
      <x:c r="F2716" s="184" t="n">
        <x:v>5</x:v>
      </x:c>
      <x:c r="G2716" s="184" t="n">
        <x:v>66260</x:v>
      </x:c>
      <x:c r="H2716" s="193" t="n">
        <x:v>0</x:v>
      </x:c>
      <x:c r="I2716" s="185" t="n">
        <x:v>0</x:v>
      </x:c>
      <x:c r="J2716" s="185" t="n">
        <x:v>66260</x:v>
      </x:c>
      <x:c r="K2716" s="289" t="n">
        <x:v>13252</x:v>
      </x:c>
    </x:row>
    <x:row r="2717" s="117" customFormat="1" hidden="1">
      <x:c r="A2717" s="184" t="inlineStr">
        <x:is>
          <x:t xml:space="preserve">PDVPLAEXT026</x:t>
        </x:is>
      </x:c>
      <x:c r="B2717" s="184" t="inlineStr">
        <x:is>
          <x:t xml:space="preserve">CODO PVDF 90° 90X4.3 SDR 11</x:t>
        </x:is>
      </x:c>
      <x:c r="C2717" s="184" t="n">
        <x:v>0</x:v>
      </x:c>
      <x:c r="D2717" s="184" t="n">
        <x:v>0</x:v>
      </x:c>
      <x:c r="E2717" s="184" t="n">
        <x:v>0</x:v>
      </x:c>
      <x:c r="F2717" s="184" t="n">
        <x:v>0</x:v>
      </x:c>
      <x:c r="G2717" s="184" t="n">
        <x:v>0</x:v>
      </x:c>
      <x:c r="H2717" s="193" t="n">
        <x:v>0</x:v>
      </x:c>
      <x:c r="I2717" s="185" t="n">
        <x:v>0</x:v>
      </x:c>
      <x:c r="J2717" s="185" t="n">
        <x:v>0</x:v>
      </x:c>
      <x:c r="K2717" s="289" t="n">
        <x:v>72410</x:v>
      </x:c>
    </x:row>
    <x:row r="2718" s="117" customFormat="1" hidden="1">
      <x:c r="A2718" s="184" t="inlineStr">
        <x:is>
          <x:t xml:space="preserve">PDVPLAEXT027</x:t>
        </x:is>
      </x:c>
      <x:c r="B2718" s="184" t="inlineStr">
        <x:is>
          <x:t xml:space="preserve">CODO PVDF 90° 200X3.5 VENT SDR 21</x:t>
        </x:is>
      </x:c>
      <x:c r="C2718" s="184" t="n">
        <x:v>2</x:v>
      </x:c>
      <x:c r="D2718" s="184" t="n">
        <x:v>0</x:v>
      </x:c>
      <x:c r="E2718" s="184" t="n">
        <x:v>0</x:v>
      </x:c>
      <x:c r="F2718" s="184" t="n">
        <x:v>2</x:v>
      </x:c>
      <x:c r="G2718" s="184" t="n">
        <x:v>20318</x:v>
      </x:c>
      <x:c r="H2718" s="193" t="n">
        <x:v>0</x:v>
      </x:c>
      <x:c r="I2718" s="185" t="n">
        <x:v>0</x:v>
      </x:c>
      <x:c r="J2718" s="185" t="n">
        <x:v>20318</x:v>
      </x:c>
      <x:c r="K2718" s="289" t="n">
        <x:v>10159</x:v>
      </x:c>
    </x:row>
    <x:row r="2719" s="117" customFormat="1" hidden="1">
      <x:c r="A2719" s="184" t="inlineStr">
        <x:is>
          <x:t xml:space="preserve">PDVPLAEXT028</x:t>
        </x:is>
      </x:c>
      <x:c r="B2719" s="184" t="inlineStr">
        <x:is>
          <x:t xml:space="preserve">CODO PVDF 90° 250X3 SOC</x:t>
        </x:is>
      </x:c>
      <x:c r="C2719" s="184" t="n">
        <x:v>0</x:v>
      </x:c>
      <x:c r="D2719" s="184" t="n">
        <x:v>0</x:v>
      </x:c>
      <x:c r="E2719" s="184" t="n">
        <x:v>0</x:v>
      </x:c>
      <x:c r="F2719" s="184" t="n">
        <x:v>0</x:v>
      </x:c>
      <x:c r="G2719" s="184" t="n">
        <x:v>0</x:v>
      </x:c>
      <x:c r="H2719" s="193" t="n">
        <x:v>0</x:v>
      </x:c>
      <x:c r="I2719" s="185" t="n">
        <x:v>0</x:v>
      </x:c>
      <x:c r="J2719" s="185" t="n">
        <x:v>0</x:v>
      </x:c>
      <x:c r="K2719" s="289" t="n">
        <x:v>275600</x:v>
      </x:c>
    </x:row>
    <x:row r="2720" s="117" customFormat="1" hidden="1">
      <x:c r="A2720" s="184" t="inlineStr">
        <x:is>
          <x:t xml:space="preserve">PDVPLAEXT029</x:t>
        </x:is>
      </x:c>
      <x:c r="B2720" s="184" t="inlineStr">
        <x:is>
          <x:t xml:space="preserve">CODO PVDF 90° 63X3 SDR 21</x:t>
        </x:is>
      </x:c>
      <x:c r="C2720" s="184" t="n">
        <x:v>7</x:v>
      </x:c>
      <x:c r="D2720" s="184" t="n">
        <x:v>0</x:v>
      </x:c>
      <x:c r="E2720" s="184" t="n">
        <x:v>0</x:v>
      </x:c>
      <x:c r="F2720" s="184" t="n">
        <x:v>7</x:v>
      </x:c>
      <x:c r="G2720" s="184" t="n">
        <x:v>142919</x:v>
      </x:c>
      <x:c r="H2720" s="193" t="n">
        <x:v>0</x:v>
      </x:c>
      <x:c r="I2720" s="185" t="n">
        <x:v>0</x:v>
      </x:c>
      <x:c r="J2720" s="185" t="n">
        <x:v>142919</x:v>
      </x:c>
      <x:c r="K2720" s="289" t="n">
        <x:v>20417</x:v>
      </x:c>
    </x:row>
    <x:row r="2721" s="117" customFormat="1" hidden="1">
      <x:c r="A2721" s="184" t="inlineStr">
        <x:is>
          <x:t xml:space="preserve">PDVPLAEXT030</x:t>
        </x:is>
      </x:c>
      <x:c r="B2721" s="184" t="inlineStr">
        <x:is>
          <x:t xml:space="preserve">CODO PVDF 90° 250X33</x:t>
        </x:is>
      </x:c>
      <x:c r="C2721" s="184" t="n">
        <x:v>7</x:v>
      </x:c>
      <x:c r="D2721" s="184" t="n">
        <x:v>0</x:v>
      </x:c>
      <x:c r="E2721" s="184" t="n">
        <x:v>0</x:v>
      </x:c>
      <x:c r="F2721" s="184" t="n">
        <x:v>7</x:v>
      </x:c>
      <x:c r="G2721" s="184" t="n">
        <x:v>330001</x:v>
      </x:c>
      <x:c r="H2721" s="193" t="n">
        <x:v>0</x:v>
      </x:c>
      <x:c r="I2721" s="185" t="n">
        <x:v>0</x:v>
      </x:c>
      <x:c r="J2721" s="185" t="n">
        <x:v>330001</x:v>
      </x:c>
      <x:c r="K2721" s="289" t="n">
        <x:v>47143</x:v>
      </x:c>
    </x:row>
    <x:row r="2722" s="117" customFormat="1" hidden="1">
      <x:c r="A2722" s="184" t="inlineStr">
        <x:is>
          <x:t xml:space="preserve">PDVPLAEXT031</x:t>
        </x:is>
      </x:c>
      <x:c r="B2722" s="184" t="inlineStr">
        <x:is>
          <x:t xml:space="preserve">CODO PVDF 45° 315X9.7 VENT SDR 33</x:t>
        </x:is>
      </x:c>
      <x:c r="C2722" s="184" t="n">
        <x:v>0</x:v>
      </x:c>
      <x:c r="D2722" s="184" t="n">
        <x:v>0</x:v>
      </x:c>
      <x:c r="E2722" s="184" t="n">
        <x:v>0</x:v>
      </x:c>
      <x:c r="F2722" s="184" t="n">
        <x:v>0</x:v>
      </x:c>
      <x:c r="G2722" s="184" t="n">
        <x:v>0</x:v>
      </x:c>
      <x:c r="H2722" s="193" t="n">
        <x:v>0</x:v>
      </x:c>
      <x:c r="I2722" s="185" t="n">
        <x:v>0</x:v>
      </x:c>
      <x:c r="J2722" s="185" t="n">
        <x:v>0</x:v>
      </x:c>
      <x:c r="K2722" s="289" t="n">
        <x:v>20417</x:v>
      </x:c>
    </x:row>
    <x:row r="2723" s="117" customFormat="1" hidden="1">
      <x:c r="A2723" s="184" t="inlineStr">
        <x:is>
          <x:t xml:space="preserve">PDVPLAEXT032</x:t>
        </x:is>
      </x:c>
      <x:c r="B2723" s="184" t="inlineStr">
        <x:is>
          <x:t xml:space="preserve">TEE PVDF 32X3.0 SDR 21</x:t>
        </x:is>
      </x:c>
      <x:c r="C2723" s="184" t="n">
        <x:v>0</x:v>
      </x:c>
      <x:c r="D2723" s="184" t="n">
        <x:v>0</x:v>
      </x:c>
      <x:c r="E2723" s="184" t="n">
        <x:v>0</x:v>
      </x:c>
      <x:c r="F2723" s="184" t="n">
        <x:v>0</x:v>
      </x:c>
      <x:c r="G2723" s="184" t="n">
        <x:v>0</x:v>
      </x:c>
      <x:c r="H2723" s="193" t="n">
        <x:v>0</x:v>
      </x:c>
      <x:c r="I2723" s="185" t="n">
        <x:v>0</x:v>
      </x:c>
      <x:c r="J2723" s="185" t="n">
        <x:v>0</x:v>
      </x:c>
      <x:c r="K2723" s="289" t="n">
        <x:v>7544</x:v>
      </x:c>
    </x:row>
    <x:row r="2724" s="117" customFormat="1" hidden="1">
      <x:c r="A2724" s="184" t="inlineStr">
        <x:is>
          <x:t xml:space="preserve">PDVPLAEXT033</x:t>
        </x:is>
      </x:c>
      <x:c r="B2724" s="184" t="inlineStr">
        <x:is>
          <x:t xml:space="preserve">TEE PVDF 50X3.0 SDR 21</x:t>
        </x:is>
      </x:c>
      <x:c r="C2724" s="184" t="n">
        <x:v>0</x:v>
      </x:c>
      <x:c r="D2724" s="184" t="n">
        <x:v>0</x:v>
      </x:c>
      <x:c r="E2724" s="184" t="n">
        <x:v>0</x:v>
      </x:c>
      <x:c r="F2724" s="184" t="n">
        <x:v>0</x:v>
      </x:c>
      <x:c r="G2724" s="184" t="n">
        <x:v>0</x:v>
      </x:c>
      <x:c r="H2724" s="193" t="n">
        <x:v>0</x:v>
      </x:c>
      <x:c r="I2724" s="185" t="n">
        <x:v>0</x:v>
      </x:c>
      <x:c r="J2724" s="185" t="n">
        <x:v>0</x:v>
      </x:c>
      <x:c r="K2724" s="289" t="n">
        <x:v>1885</x:v>
      </x:c>
    </x:row>
    <x:row r="2725" s="117" customFormat="1" hidden="1">
      <x:c r="A2725" s="184" t="inlineStr">
        <x:is>
          <x:t xml:space="preserve">PDVPLAEXT034</x:t>
        </x:is>
      </x:c>
      <x:c r="B2725" s="184" t="inlineStr">
        <x:is>
          <x:t xml:space="preserve">REDUCCION PVDF 63X32</x:t>
        </x:is>
      </x:c>
      <x:c r="C2725" s="184" t="n">
        <x:v>0</x:v>
      </x:c>
      <x:c r="D2725" s="184" t="n">
        <x:v>0</x:v>
      </x:c>
      <x:c r="E2725" s="184" t="n">
        <x:v>0</x:v>
      </x:c>
      <x:c r="F2725" s="184" t="n">
        <x:v>0</x:v>
      </x:c>
      <x:c r="G2725" s="184" t="n">
        <x:v>0</x:v>
      </x:c>
      <x:c r="H2725" s="193" t="n">
        <x:v>0</x:v>
      </x:c>
      <x:c r="I2725" s="185" t="n">
        <x:v>0</x:v>
      </x:c>
      <x:c r="J2725" s="185" t="n">
        <x:v>0</x:v>
      </x:c>
      <x:c r="K2725" s="289" t="n">
        <x:v>6100</x:v>
      </x:c>
    </x:row>
    <x:row r="2726" s="117" customFormat="1" hidden="1">
      <x:c r="A2726" s="184" t="inlineStr">
        <x:is>
          <x:t xml:space="preserve">PDVPLAEXT035</x:t>
        </x:is>
      </x:c>
      <x:c r="B2726" s="184" t="inlineStr">
        <x:is>
          <x:t xml:space="preserve">REDUCCION PVDF 50X40</x:t>
        </x:is>
      </x:c>
      <x:c r="C2726" s="184" t="n">
        <x:v>0</x:v>
      </x:c>
      <x:c r="D2726" s="184" t="n">
        <x:v>0</x:v>
      </x:c>
      <x:c r="E2726" s="184" t="n">
        <x:v>0</x:v>
      </x:c>
      <x:c r="F2726" s="184" t="n">
        <x:v>0</x:v>
      </x:c>
      <x:c r="G2726" s="184" t="n">
        <x:v>0</x:v>
      </x:c>
      <x:c r="H2726" s="193" t="n">
        <x:v>0</x:v>
      </x:c>
      <x:c r="I2726" s="185" t="n">
        <x:v>0</x:v>
      </x:c>
      <x:c r="J2726" s="185" t="n">
        <x:v>0</x:v>
      </x:c>
      <x:c r="K2726" s="289" t="n">
        <x:v>4300</x:v>
      </x:c>
    </x:row>
    <x:row r="2727" s="117" customFormat="1" hidden="1">
      <x:c r="A2727" s="184" t="inlineStr">
        <x:is>
          <x:t xml:space="preserve">PDVPLAEXT036</x:t>
        </x:is>
      </x:c>
      <x:c r="B2727" s="184" t="inlineStr">
        <x:is>
          <x:t xml:space="preserve">PLANCHA EN MT2 DE PVDF 1500MM X 3MM ESPESOR C/BACKING</x:t>
        </x:is>
      </x:c>
      <x:c r="C2727" s="184" t="n">
        <x:v>0</x:v>
      </x:c>
      <x:c r="D2727" s="184" t="n">
        <x:v>0</x:v>
      </x:c>
      <x:c r="E2727" s="184" t="n">
        <x:v>0</x:v>
      </x:c>
      <x:c r="F2727" s="184" t="n">
        <x:v>0</x:v>
      </x:c>
      <x:c r="G2727" s="184" t="n">
        <x:v>0</x:v>
      </x:c>
      <x:c r="H2727" s="193" t="n">
        <x:v>0</x:v>
      </x:c>
      <x:c r="I2727" s="185" t="n">
        <x:v>0</x:v>
      </x:c>
      <x:c r="J2727" s="185" t="n">
        <x:v>0</x:v>
      </x:c>
      <x:c r="K2727" s="289" t="n">
        <x:v>157873.4</x:v>
      </x:c>
    </x:row>
    <x:row r="2728" s="117" customFormat="1" hidden="1">
      <x:c r="A2728" s="184" t="inlineStr">
        <x:is>
          <x:t xml:space="preserve">PDVPLAEXT037</x:t>
        </x:is>
      </x:c>
      <x:c r="B2728" s="184" t="inlineStr">
        <x:is>
          <x:t xml:space="preserve">PLANCHA DE PVDF 25.000MM X 1000 X 2MM ESPESOR C/BACKING. (REF: 30615100002)</x:t>
        </x:is>
      </x:c>
      <x:c r="C2728" s="184" t="n">
        <x:v>0</x:v>
      </x:c>
      <x:c r="D2728" s="184" t="n">
        <x:v>0</x:v>
      </x:c>
      <x:c r="E2728" s="184" t="n">
        <x:v>0</x:v>
      </x:c>
      <x:c r="F2728" s="184" t="n">
        <x:v>0</x:v>
      </x:c>
      <x:c r="G2728" s="184" t="n">
        <x:v>0</x:v>
      </x:c>
      <x:c r="H2728" s="193" t="n">
        <x:v>0</x:v>
      </x:c>
      <x:c r="I2728" s="185" t="n">
        <x:v>0</x:v>
      </x:c>
      <x:c r="J2728" s="185" t="n">
        <x:v>0</x:v>
      </x:c>
      <x:c r="K2728" s="289" t="n">
        <x:v>3608360</x:v>
      </x:c>
    </x:row>
    <x:row r="2729" s="117" customFormat="1" hidden="1">
      <x:c r="A2729" s="184" t="inlineStr">
        <x:is>
          <x:t xml:space="preserve">PDVPLAEXT038</x:t>
        </x:is>
      </x:c>
      <x:c r="B2729" s="184" t="inlineStr">
        <x:is>
          <x:t xml:space="preserve">PLANCHA (ROLLO) DE PVDF 25.000MM X 1500 X 3MM ESPESOR C/BACKING. (REF: 37615150003)</x:t>
        </x:is>
      </x:c>
      <x:c r="C2729" s="184" t="n">
        <x:v>0</x:v>
      </x:c>
      <x:c r="D2729" s="184" t="n">
        <x:v>0</x:v>
      </x:c>
      <x:c r="E2729" s="184" t="n">
        <x:v>0</x:v>
      </x:c>
      <x:c r="F2729" s="184" t="n">
        <x:v>0</x:v>
      </x:c>
      <x:c r="G2729" s="184" t="n">
        <x:v>1</x:v>
      </x:c>
      <x:c r="H2729" s="193" t="n">
        <x:v>0</x:v>
      </x:c>
      <x:c r="I2729" s="185" t="n">
        <x:v>0</x:v>
      </x:c>
      <x:c r="J2729" s="185" t="n">
        <x:v>1</x:v>
      </x:c>
      <x:c r="K2729" s="289" t="n">
        <x:v>13205029.5326087</x:v>
      </x:c>
    </x:row>
    <x:row r="2730" s="117" customFormat="1" hidden="1">
      <x:c r="A2730" s="184" t="inlineStr">
        <x:is>
          <x:t xml:space="preserve">PDVPLAEXT039</x:t>
        </x:is>
      </x:c>
      <x:c r="B2730" s="184" t="inlineStr">
        <x:is>
          <x:t xml:space="preserve">PLANCHA PVDF SIN BACKING  2000MM X 1000MM X 3MM (COD: 30600201003)</x:t>
        </x:is>
      </x:c>
      <x:c r="C2730" s="184" t="n">
        <x:v>2</x:v>
      </x:c>
      <x:c r="D2730" s="184" t="n">
        <x:v>0</x:v>
      </x:c>
      <x:c r="E2730" s="184" t="n">
        <x:v>0</x:v>
      </x:c>
      <x:c r="F2730" s="184" t="n">
        <x:v>2</x:v>
      </x:c>
      <x:c r="G2730" s="184" t="n">
        <x:v>1499400</x:v>
      </x:c>
      <x:c r="H2730" s="193" t="n">
        <x:v>0</x:v>
      </x:c>
      <x:c r="I2730" s="185" t="n">
        <x:v>0</x:v>
      </x:c>
      <x:c r="J2730" s="185" t="n">
        <x:v>1499400</x:v>
      </x:c>
      <x:c r="K2730" s="289" t="n">
        <x:v>749700</x:v>
      </x:c>
    </x:row>
    <x:row r="2731" s="117" customFormat="1" hidden="1">
      <x:c r="A2731" s="184" t="inlineStr">
        <x:is>
          <x:t xml:space="preserve">PDVSTBS33200</x:t>
        </x:is>
      </x:c>
      <x:c r="B2731" s="184" t="inlineStr">
        <x:is>
          <x:t xml:space="preserve">STUB END PVDF OD 200MM SDR33 -</x:t>
        </x:is>
      </x:c>
      <x:c r="C2731" s="184" t="n">
        <x:v>0</x:v>
      </x:c>
      <x:c r="D2731" s="184" t="n">
        <x:v>0</x:v>
      </x:c>
      <x:c r="E2731" s="184" t="n">
        <x:v>0</x:v>
      </x:c>
      <x:c r="F2731" s="184" t="n">
        <x:v>0</x:v>
      </x:c>
      <x:c r="G2731" s="184" t="n">
        <x:v>0</x:v>
      </x:c>
      <x:c r="H2731" s="193" t="n">
        <x:v>0</x:v>
      </x:c>
      <x:c r="I2731" s="185" t="n">
        <x:v>0</x:v>
      </x:c>
      <x:c r="J2731" s="185" t="n">
        <x:v>0</x:v>
      </x:c>
      <x:c r="K2731" s="289" t="n">
        <x:v>0</x:v>
      </x:c>
    </x:row>
    <x:row r="2732" s="117" customFormat="1" hidden="1">
      <x:c r="A2732" s="184" t="inlineStr">
        <x:is>
          <x:t xml:space="preserve">PDVSTBS3390M</x:t>
        </x:is>
      </x:c>
      <x:c r="B2732" s="184" t="inlineStr">
        <x:is>
          <x:t xml:space="preserve">STUB END PVDF OD 90MM SDR33 -</x:t>
        </x:is>
      </x:c>
      <x:c r="C2732" s="184" t="n">
        <x:v>0</x:v>
      </x:c>
      <x:c r="D2732" s="184" t="n">
        <x:v>0</x:v>
      </x:c>
      <x:c r="E2732" s="184" t="n">
        <x:v>0</x:v>
      </x:c>
      <x:c r="F2732" s="184" t="n">
        <x:v>0</x:v>
      </x:c>
      <x:c r="G2732" s="184" t="n">
        <x:v>0</x:v>
      </x:c>
      <x:c r="H2732" s="193" t="n">
        <x:v>0</x:v>
      </x:c>
      <x:c r="I2732" s="185" t="n">
        <x:v>0</x:v>
      </x:c>
      <x:c r="J2732" s="185" t="n">
        <x:v>0</x:v>
      </x:c>
      <x:c r="K2732" s="289" t="n">
        <x:v>0</x:v>
      </x:c>
    </x:row>
    <x:row r="2733" s="117" customFormat="1" hidden="1">
      <x:c r="A2733" s="184" t="inlineStr">
        <x:is>
          <x:t xml:space="preserve">PDVTUB0BQ160</x:t>
        </x:is>
      </x:c>
      <x:c r="B2733" s="184" t="inlineStr">
        <x:is>
          <x:t xml:space="preserve">PDVF TUBO 160mm BQ</x:t>
        </x:is>
      </x:c>
      <x:c r="C2733" s="184" t="n">
        <x:v>0</x:v>
      </x:c>
      <x:c r="D2733" s="184" t="n">
        <x:v>0</x:v>
      </x:c>
      <x:c r="E2733" s="184" t="n">
        <x:v>0</x:v>
      </x:c>
      <x:c r="F2733" s="184" t="n">
        <x:v>0</x:v>
      </x:c>
      <x:c r="G2733" s="184" t="n">
        <x:v>0</x:v>
      </x:c>
      <x:c r="H2733" s="193" t="n">
        <x:v>0</x:v>
      </x:c>
      <x:c r="I2733" s="185" t="n">
        <x:v>0</x:v>
      </x:c>
      <x:c r="J2733" s="185" t="n">
        <x:v>0</x:v>
      </x:c>
      <x:c r="K2733" s="289" t="n">
        <x:v>0</x:v>
      </x:c>
    </x:row>
    <x:row r="2734" s="117" customFormat="1" hidden="1">
      <x:c r="A2734" s="184" t="inlineStr">
        <x:is>
          <x:t xml:space="preserve">PDVTUB0BQ200</x:t>
        </x:is>
      </x:c>
      <x:c r="B2734" s="184" t="inlineStr">
        <x:is>
          <x:t xml:space="preserve">PDVF TUBO 200mm BQ</x:t>
        </x:is>
      </x:c>
      <x:c r="C2734" s="184" t="n">
        <x:v>0</x:v>
      </x:c>
      <x:c r="D2734" s="184" t="n">
        <x:v>0</x:v>
      </x:c>
      <x:c r="E2734" s="184" t="n">
        <x:v>0</x:v>
      </x:c>
      <x:c r="F2734" s="184" t="n">
        <x:v>0</x:v>
      </x:c>
      <x:c r="G2734" s="184" t="n">
        <x:v>0</x:v>
      </x:c>
      <x:c r="H2734" s="193" t="n">
        <x:v>0</x:v>
      </x:c>
      <x:c r="I2734" s="185" t="n">
        <x:v>0</x:v>
      </x:c>
      <x:c r="J2734" s="185" t="n">
        <x:v>0</x:v>
      </x:c>
      <x:c r="K2734" s="289" t="n">
        <x:v>0</x:v>
      </x:c>
    </x:row>
    <x:row r="2735" s="117" customFormat="1" hidden="1">
      <x:c r="A2735" s="184" t="inlineStr">
        <x:is>
          <x:t xml:space="preserve">PDVTUB0BQ250</x:t>
        </x:is>
      </x:c>
      <x:c r="B2735" s="184" t="inlineStr">
        <x:is>
          <x:t xml:space="preserve">PDVF TUBO 250mm BQ</x:t>
        </x:is>
      </x:c>
      <x:c r="C2735" s="184" t="n">
        <x:v>0</x:v>
      </x:c>
      <x:c r="D2735" s="184" t="n">
        <x:v>0</x:v>
      </x:c>
      <x:c r="E2735" s="184" t="n">
        <x:v>0</x:v>
      </x:c>
      <x:c r="F2735" s="184" t="n">
        <x:v>0</x:v>
      </x:c>
      <x:c r="G2735" s="184" t="n">
        <x:v>0</x:v>
      </x:c>
      <x:c r="H2735" s="193" t="n">
        <x:v>0</x:v>
      </x:c>
      <x:c r="I2735" s="185" t="n">
        <x:v>0</x:v>
      </x:c>
      <x:c r="J2735" s="185" t="n">
        <x:v>0</x:v>
      </x:c>
      <x:c r="K2735" s="289" t="n">
        <x:v>0</x:v>
      </x:c>
    </x:row>
    <x:row r="2736" s="117" customFormat="1" hidden="1">
      <x:c r="A2736" s="184" t="inlineStr">
        <x:is>
          <x:t xml:space="preserve">PDVTUBPIP001</x:t>
        </x:is>
      </x:c>
      <x:c r="B2736" s="184" t="inlineStr">
        <x:is>
          <x:t xml:space="preserve">PDVF TUBO 110mm</x:t>
        </x:is>
      </x:c>
      <x:c r="C2736" s="184" t="n">
        <x:v>0</x:v>
      </x:c>
      <x:c r="D2736" s="184" t="n">
        <x:v>0</x:v>
      </x:c>
      <x:c r="E2736" s="184" t="n">
        <x:v>0</x:v>
      </x:c>
      <x:c r="F2736" s="184" t="n">
        <x:v>0</x:v>
      </x:c>
      <x:c r="G2736" s="184" t="n">
        <x:v>0</x:v>
      </x:c>
      <x:c r="H2736" s="193" t="n">
        <x:v>0</x:v>
      </x:c>
      <x:c r="I2736" s="185" t="n">
        <x:v>0</x:v>
      </x:c>
      <x:c r="J2736" s="185" t="n">
        <x:v>0</x:v>
      </x:c>
      <x:c r="K2736" s="289" t="n">
        <x:v>0</x:v>
      </x:c>
    </x:row>
    <x:row r="2737" s="117" customFormat="1" hidden="1">
      <x:c r="A2737" s="184" t="inlineStr">
        <x:is>
          <x:t xml:space="preserve">PDVTUBPIP002</x:t>
        </x:is>
      </x:c>
      <x:c r="B2737" s="184" t="inlineStr">
        <x:is>
          <x:t xml:space="preserve">PDVF TUBO 20mm</x:t>
        </x:is>
      </x:c>
      <x:c r="C2737" s="184" t="n">
        <x:v>20</x:v>
      </x:c>
      <x:c r="D2737" s="184" t="n">
        <x:v>0</x:v>
      </x:c>
      <x:c r="E2737" s="184" t="n">
        <x:v>0</x:v>
      </x:c>
      <x:c r="F2737" s="184" t="n">
        <x:v>20</x:v>
      </x:c>
      <x:c r="G2737" s="184" t="n">
        <x:v>100000</x:v>
      </x:c>
      <x:c r="H2737" s="193" t="n">
        <x:v>0</x:v>
      </x:c>
      <x:c r="I2737" s="185" t="n">
        <x:v>0</x:v>
      </x:c>
      <x:c r="J2737" s="185" t="n">
        <x:v>100000</x:v>
      </x:c>
      <x:c r="K2737" s="289" t="n">
        <x:v>5000</x:v>
      </x:c>
    </x:row>
    <x:row r="2738" s="117" customFormat="1" hidden="1">
      <x:c r="A2738" s="184" t="inlineStr">
        <x:is>
          <x:t xml:space="preserve">PDVTUBPIP003</x:t>
        </x:is>
      </x:c>
      <x:c r="B2738" s="184" t="inlineStr">
        <x:is>
          <x:t xml:space="preserve">PDVF TUBO 200mm</x:t>
        </x:is>
      </x:c>
      <x:c r="C2738" s="184" t="n">
        <x:v>0</x:v>
      </x:c>
      <x:c r="D2738" s="184" t="n">
        <x:v>0</x:v>
      </x:c>
      <x:c r="E2738" s="184" t="n">
        <x:v>0</x:v>
      </x:c>
      <x:c r="F2738" s="184" t="n">
        <x:v>0</x:v>
      </x:c>
      <x:c r="G2738" s="184" t="n">
        <x:v>0</x:v>
      </x:c>
      <x:c r="H2738" s="193" t="n">
        <x:v>0</x:v>
      </x:c>
      <x:c r="I2738" s="185" t="n">
        <x:v>0</x:v>
      </x:c>
      <x:c r="J2738" s="185" t="n">
        <x:v>0</x:v>
      </x:c>
      <x:c r="K2738" s="289" t="n">
        <x:v>0</x:v>
      </x:c>
    </x:row>
    <x:row r="2739" s="117" customFormat="1" hidden="1">
      <x:c r="A2739" s="184" t="inlineStr">
        <x:is>
          <x:t xml:space="preserve">PDVTUBPIP004</x:t>
        </x:is>
      </x:c>
      <x:c r="B2739" s="184" t="inlineStr">
        <x:is>
          <x:t xml:space="preserve">PDVF TUBO 32mm</x:t>
        </x:is>
      </x:c>
      <x:c r="C2739" s="184" t="n">
        <x:v>0</x:v>
      </x:c>
      <x:c r="D2739" s="184" t="n">
        <x:v>0</x:v>
      </x:c>
      <x:c r="E2739" s="184" t="n">
        <x:v>0</x:v>
      </x:c>
      <x:c r="F2739" s="184" t="n">
        <x:v>0</x:v>
      </x:c>
      <x:c r="G2739" s="184" t="n">
        <x:v>0</x:v>
      </x:c>
      <x:c r="H2739" s="193" t="n">
        <x:v>0</x:v>
      </x:c>
      <x:c r="I2739" s="185" t="n">
        <x:v>0</x:v>
      </x:c>
      <x:c r="J2739" s="185" t="n">
        <x:v>0</x:v>
      </x:c>
      <x:c r="K2739" s="289" t="n">
        <x:v>0</x:v>
      </x:c>
    </x:row>
    <x:row r="2740" s="117" customFormat="1" hidden="1">
      <x:c r="A2740" s="184" t="inlineStr">
        <x:is>
          <x:t xml:space="preserve">PDVTUBPIP005</x:t>
        </x:is>
      </x:c>
      <x:c r="B2740" s="184" t="inlineStr">
        <x:is>
          <x:t xml:space="preserve">PDVF TUBO 355mm</x:t>
        </x:is>
      </x:c>
      <x:c r="C2740" s="184" t="n">
        <x:v>0</x:v>
      </x:c>
      <x:c r="D2740" s="184" t="n">
        <x:v>0</x:v>
      </x:c>
      <x:c r="E2740" s="184" t="n">
        <x:v>0</x:v>
      </x:c>
      <x:c r="F2740" s="184" t="n">
        <x:v>0</x:v>
      </x:c>
      <x:c r="G2740" s="184" t="n">
        <x:v>0</x:v>
      </x:c>
      <x:c r="H2740" s="193" t="n">
        <x:v>0</x:v>
      </x:c>
      <x:c r="I2740" s="185" t="n">
        <x:v>0</x:v>
      </x:c>
      <x:c r="J2740" s="185" t="n">
        <x:v>0</x:v>
      </x:c>
      <x:c r="K2740" s="289" t="n">
        <x:v>0</x:v>
      </x:c>
    </x:row>
    <x:row r="2741" s="117" customFormat="1" hidden="1">
      <x:c r="A2741" s="184" t="inlineStr">
        <x:is>
          <x:t xml:space="preserve">PDVTUBPIP006</x:t>
        </x:is>
      </x:c>
      <x:c r="B2741" s="184" t="inlineStr">
        <x:is>
          <x:t xml:space="preserve">PDVF TUBO 40mm</x:t>
        </x:is>
      </x:c>
      <x:c r="C2741" s="184" t="n">
        <x:v>0</x:v>
      </x:c>
      <x:c r="D2741" s="184" t="n">
        <x:v>0</x:v>
      </x:c>
      <x:c r="E2741" s="184" t="n">
        <x:v>0</x:v>
      </x:c>
      <x:c r="F2741" s="184" t="n">
        <x:v>0</x:v>
      </x:c>
      <x:c r="G2741" s="184" t="n">
        <x:v>0</x:v>
      </x:c>
      <x:c r="H2741" s="193" t="n">
        <x:v>0</x:v>
      </x:c>
      <x:c r="I2741" s="185" t="n">
        <x:v>0</x:v>
      </x:c>
      <x:c r="J2741" s="185" t="n">
        <x:v>0</x:v>
      </x:c>
      <x:c r="K2741" s="289" t="n">
        <x:v>0</x:v>
      </x:c>
    </x:row>
    <x:row r="2742" s="117" customFormat="1" hidden="1">
      <x:c r="A2742" s="184" t="inlineStr">
        <x:is>
          <x:t xml:space="preserve">PDVTUBPIP007</x:t>
        </x:is>
      </x:c>
      <x:c r="B2742" s="184" t="inlineStr">
        <x:is>
          <x:t xml:space="preserve">PDVF TUBO 50mm</x:t>
        </x:is>
      </x:c>
      <x:c r="C2742" s="184" t="n">
        <x:v>0</x:v>
      </x:c>
      <x:c r="D2742" s="184" t="n">
        <x:v>0</x:v>
      </x:c>
      <x:c r="E2742" s="184" t="n">
        <x:v>0</x:v>
      </x:c>
      <x:c r="F2742" s="184" t="n">
        <x:v>0</x:v>
      </x:c>
      <x:c r="G2742" s="184" t="n">
        <x:v>0</x:v>
      </x:c>
      <x:c r="H2742" s="193" t="n">
        <x:v>0</x:v>
      </x:c>
      <x:c r="I2742" s="185" t="n">
        <x:v>0</x:v>
      </x:c>
      <x:c r="J2742" s="185" t="n">
        <x:v>0</x:v>
      </x:c>
      <x:c r="K2742" s="289" t="n">
        <x:v>0</x:v>
      </x:c>
    </x:row>
    <x:row r="2743" s="117" customFormat="1" hidden="1">
      <x:c r="A2743" s="184" t="inlineStr">
        <x:is>
          <x:t xml:space="preserve">PDVTUBPIP008</x:t>
        </x:is>
      </x:c>
      <x:c r="B2743" s="184" t="inlineStr">
        <x:is>
          <x:t xml:space="preserve">PDVF TUBO 60mm</x:t>
        </x:is>
      </x:c>
      <x:c r="C2743" s="184" t="n">
        <x:v>0</x:v>
      </x:c>
      <x:c r="D2743" s="184" t="n">
        <x:v>0</x:v>
      </x:c>
      <x:c r="E2743" s="184" t="n">
        <x:v>0</x:v>
      </x:c>
      <x:c r="F2743" s="184" t="n">
        <x:v>0</x:v>
      </x:c>
      <x:c r="G2743" s="184" t="n">
        <x:v>0</x:v>
      </x:c>
      <x:c r="H2743" s="193" t="n">
        <x:v>0</x:v>
      </x:c>
      <x:c r="I2743" s="185" t="n">
        <x:v>0</x:v>
      </x:c>
      <x:c r="J2743" s="185" t="n">
        <x:v>0</x:v>
      </x:c>
      <x:c r="K2743" s="289" t="n">
        <x:v>0</x:v>
      </x:c>
    </x:row>
    <x:row r="2744" s="117" customFormat="1" hidden="1">
      <x:c r="A2744" s="184" t="inlineStr">
        <x:is>
          <x:t xml:space="preserve">PDVTUBPIP009</x:t>
        </x:is>
      </x:c>
      <x:c r="B2744" s="184" t="inlineStr">
        <x:is>
          <x:t xml:space="preserve">PDVF TUBO 90mm</x:t>
        </x:is>
      </x:c>
      <x:c r="C2744" s="184" t="n">
        <x:v>0</x:v>
      </x:c>
      <x:c r="D2744" s="184" t="n">
        <x:v>0</x:v>
      </x:c>
      <x:c r="E2744" s="184" t="n">
        <x:v>0</x:v>
      </x:c>
      <x:c r="F2744" s="184" t="n">
        <x:v>0</x:v>
      </x:c>
      <x:c r="G2744" s="184" t="n">
        <x:v>0</x:v>
      </x:c>
      <x:c r="H2744" s="193" t="n">
        <x:v>0</x:v>
      </x:c>
      <x:c r="I2744" s="185" t="n">
        <x:v>0</x:v>
      </x:c>
      <x:c r="J2744" s="185" t="n">
        <x:v>0</x:v>
      </x:c>
      <x:c r="K2744" s="289" t="n">
        <x:v>0</x:v>
      </x:c>
    </x:row>
    <x:row r="2745" s="117" customFormat="1" hidden="1">
      <x:c r="A2745" s="184" t="inlineStr">
        <x:is>
          <x:t xml:space="preserve">PDVTUBPIP110</x:t>
        </x:is>
      </x:c>
      <x:c r="B2745" s="184" t="inlineStr">
        <x:is>
          <x:t xml:space="preserve">PDVF TUBO 110mm</x:t>
        </x:is>
      </x:c>
      <x:c r="C2745" s="184" t="n">
        <x:v>0</x:v>
      </x:c>
      <x:c r="D2745" s="184" t="n">
        <x:v>0</x:v>
      </x:c>
      <x:c r="E2745" s="184" t="n">
        <x:v>0</x:v>
      </x:c>
      <x:c r="F2745" s="184" t="n">
        <x:v>0</x:v>
      </x:c>
      <x:c r="G2745" s="184" t="n">
        <x:v>0</x:v>
      </x:c>
      <x:c r="H2745" s="193" t="n">
        <x:v>0</x:v>
      </x:c>
      <x:c r="I2745" s="185" t="n">
        <x:v>0</x:v>
      </x:c>
      <x:c r="J2745" s="185" t="n">
        <x:v>0</x:v>
      </x:c>
      <x:c r="K2745" s="289" t="n">
        <x:v>0</x:v>
      </x:c>
    </x:row>
    <x:row r="2746" s="117" customFormat="1" hidden="1">
      <x:c r="A2746" s="184" t="inlineStr">
        <x:is>
          <x:t xml:space="preserve">PDVTUBPIP200</x:t>
        </x:is>
      </x:c>
      <x:c r="B2746" s="184" t="inlineStr">
        <x:is>
          <x:t xml:space="preserve">PDVF TUBO 200mm</x:t>
        </x:is>
      </x:c>
      <x:c r="C2746" s="184" t="n">
        <x:v>0</x:v>
      </x:c>
      <x:c r="D2746" s="184" t="n">
        <x:v>0</x:v>
      </x:c>
      <x:c r="E2746" s="184" t="n">
        <x:v>0</x:v>
      </x:c>
      <x:c r="F2746" s="184" t="n">
        <x:v>0</x:v>
      </x:c>
      <x:c r="G2746" s="184" t="n">
        <x:v>0</x:v>
      </x:c>
      <x:c r="H2746" s="193" t="n">
        <x:v>0</x:v>
      </x:c>
      <x:c r="I2746" s="185" t="n">
        <x:v>0</x:v>
      </x:c>
      <x:c r="J2746" s="185" t="n">
        <x:v>0</x:v>
      </x:c>
      <x:c r="K2746" s="289" t="n">
        <x:v>0</x:v>
      </x:c>
    </x:row>
    <x:row r="2747" s="117" customFormat="1" hidden="1">
      <x:c r="A2747" s="184" t="inlineStr">
        <x:is>
          <x:t xml:space="preserve">PDVTUBPIP355</x:t>
        </x:is>
      </x:c>
      <x:c r="B2747" s="184" t="inlineStr">
        <x:is>
          <x:t xml:space="preserve">PDVF TUBO 355mm</x:t>
        </x:is>
      </x:c>
      <x:c r="C2747" s="184" t="n">
        <x:v>0</x:v>
      </x:c>
      <x:c r="D2747" s="184" t="n">
        <x:v>0</x:v>
      </x:c>
      <x:c r="E2747" s="184" t="n">
        <x:v>0</x:v>
      </x:c>
      <x:c r="F2747" s="184" t="n">
        <x:v>0</x:v>
      </x:c>
      <x:c r="G2747" s="184" t="n">
        <x:v>0</x:v>
      </x:c>
      <x:c r="H2747" s="193" t="n">
        <x:v>0</x:v>
      </x:c>
      <x:c r="I2747" s="185" t="n">
        <x:v>0</x:v>
      </x:c>
      <x:c r="J2747" s="185" t="n">
        <x:v>0</x:v>
      </x:c>
      <x:c r="K2747" s="289" t="n">
        <x:v>0</x:v>
      </x:c>
    </x:row>
    <x:row r="2748" s="117" customFormat="1" hidden="1">
      <x:c r="A2748" s="184" t="inlineStr">
        <x:is>
          <x:t xml:space="preserve">PDVTUBXBQ001</x:t>
        </x:is>
      </x:c>
      <x:c r="B2748" s="184" t="inlineStr">
        <x:is>
          <x:t xml:space="preserve">PDVF TUBO 160mm BQ</x:t>
        </x:is>
      </x:c>
      <x:c r="C2748" s="184" t="n">
        <x:v>0</x:v>
      </x:c>
      <x:c r="D2748" s="184" t="n">
        <x:v>0</x:v>
      </x:c>
      <x:c r="E2748" s="184" t="n">
        <x:v>0</x:v>
      </x:c>
      <x:c r="F2748" s="184" t="n">
        <x:v>0</x:v>
      </x:c>
      <x:c r="G2748" s="184" t="n">
        <x:v>0</x:v>
      </x:c>
      <x:c r="H2748" s="193" t="n">
        <x:v>0</x:v>
      </x:c>
      <x:c r="I2748" s="185" t="n">
        <x:v>0</x:v>
      </x:c>
      <x:c r="J2748" s="185" t="n">
        <x:v>0</x:v>
      </x:c>
      <x:c r="K2748" s="289" t="n">
        <x:v>0</x:v>
      </x:c>
    </x:row>
    <x:row r="2749" s="117" customFormat="1" hidden="1">
      <x:c r="A2749" s="184" t="inlineStr">
        <x:is>
          <x:t xml:space="preserve">PDVTUBXBQ002</x:t>
        </x:is>
      </x:c>
      <x:c r="B2749" s="184" t="inlineStr">
        <x:is>
          <x:t xml:space="preserve">PDVF TUBO 200mm BQ</x:t>
        </x:is>
      </x:c>
      <x:c r="C2749" s="184" t="n">
        <x:v>0</x:v>
      </x:c>
      <x:c r="D2749" s="184" t="n">
        <x:v>0</x:v>
      </x:c>
      <x:c r="E2749" s="184" t="n">
        <x:v>0</x:v>
      </x:c>
      <x:c r="F2749" s="184" t="n">
        <x:v>0</x:v>
      </x:c>
      <x:c r="G2749" s="184" t="n">
        <x:v>0</x:v>
      </x:c>
      <x:c r="H2749" s="193" t="n">
        <x:v>0</x:v>
      </x:c>
      <x:c r="I2749" s="185" t="n">
        <x:v>0</x:v>
      </x:c>
      <x:c r="J2749" s="185" t="n">
        <x:v>0</x:v>
      </x:c>
      <x:c r="K2749" s="289" t="n">
        <x:v>0</x:v>
      </x:c>
    </x:row>
    <x:row r="2750" s="117" customFormat="1" hidden="1">
      <x:c r="A2750" s="184" t="inlineStr">
        <x:is>
          <x:t xml:space="preserve">PDVTUBXBQ003</x:t>
        </x:is>
      </x:c>
      <x:c r="B2750" s="184" t="inlineStr">
        <x:is>
          <x:t xml:space="preserve">PDVF TUBO 250mm BQ</x:t>
        </x:is>
      </x:c>
      <x:c r="C2750" s="184" t="n">
        <x:v>0</x:v>
      </x:c>
      <x:c r="D2750" s="184" t="n">
        <x:v>0</x:v>
      </x:c>
      <x:c r="E2750" s="184" t="n">
        <x:v>0</x:v>
      </x:c>
      <x:c r="F2750" s="184" t="n">
        <x:v>0</x:v>
      </x:c>
      <x:c r="G2750" s="184" t="n">
        <x:v>0</x:v>
      </x:c>
      <x:c r="H2750" s="193" t="n">
        <x:v>0</x:v>
      </x:c>
      <x:c r="I2750" s="185" t="n">
        <x:v>0</x:v>
      </x:c>
      <x:c r="J2750" s="185" t="n">
        <x:v>0</x:v>
      </x:c>
      <x:c r="K2750" s="289" t="n">
        <x:v>0</x:v>
      </x:c>
    </x:row>
    <x:row r="2751" s="117" customFormat="1" hidden="1">
      <x:c r="A2751" s="184" t="inlineStr">
        <x:is>
          <x:t xml:space="preserve">PDVTUBXBQ004</x:t>
        </x:is>
      </x:c>
      <x:c r="B2751" s="184" t="inlineStr">
        <x:is>
          <x:t xml:space="preserve">PDVF TUBO 40mm BQ</x:t>
        </x:is>
      </x:c>
      <x:c r="C2751" s="184" t="n">
        <x:v>0</x:v>
      </x:c>
      <x:c r="D2751" s="184" t="n">
        <x:v>0</x:v>
      </x:c>
      <x:c r="E2751" s="184" t="n">
        <x:v>0</x:v>
      </x:c>
      <x:c r="F2751" s="184" t="n">
        <x:v>0</x:v>
      </x:c>
      <x:c r="G2751" s="184" t="n">
        <x:v>0</x:v>
      </x:c>
      <x:c r="H2751" s="193" t="n">
        <x:v>0</x:v>
      </x:c>
      <x:c r="I2751" s="185" t="n">
        <x:v>0</x:v>
      </x:c>
      <x:c r="J2751" s="185" t="n">
        <x:v>0</x:v>
      </x:c>
      <x:c r="K2751" s="289" t="n">
        <x:v>0</x:v>
      </x:c>
    </x:row>
    <x:row r="2752" s="117" customFormat="1" hidden="1">
      <x:c r="A2752" s="184" t="inlineStr">
        <x:is>
          <x:t xml:space="preserve">PDVTUBXBQ005</x:t>
        </x:is>
      </x:c>
      <x:c r="B2752" s="184" t="inlineStr">
        <x:is>
          <x:t xml:space="preserve">PDVF TUBO 50mm BQ</x:t>
        </x:is>
      </x:c>
      <x:c r="C2752" s="184" t="n">
        <x:v>0</x:v>
      </x:c>
      <x:c r="D2752" s="184" t="n">
        <x:v>0</x:v>
      </x:c>
      <x:c r="E2752" s="184" t="n">
        <x:v>0</x:v>
      </x:c>
      <x:c r="F2752" s="184" t="n">
        <x:v>0</x:v>
      </x:c>
      <x:c r="G2752" s="184" t="n">
        <x:v>0</x:v>
      </x:c>
      <x:c r="H2752" s="193" t="n">
        <x:v>0</x:v>
      </x:c>
      <x:c r="I2752" s="185" t="n">
        <x:v>0</x:v>
      </x:c>
      <x:c r="J2752" s="185" t="n">
        <x:v>0</x:v>
      </x:c>
      <x:c r="K2752" s="289" t="n">
        <x:v>0</x:v>
      </x:c>
    </x:row>
    <x:row r="2753" s="117" customFormat="1" hidden="1">
      <x:c r="A2753" s="184" t="inlineStr">
        <x:is>
          <x:t xml:space="preserve">PDVTUBXBQ006</x:t>
        </x:is>
      </x:c>
      <x:c r="B2753" s="184" t="inlineStr">
        <x:is>
          <x:t xml:space="preserve">PDVF TUBO 60mm BQ</x:t>
        </x:is>
      </x:c>
      <x:c r="C2753" s="184" t="n">
        <x:v>0</x:v>
      </x:c>
      <x:c r="D2753" s="184" t="n">
        <x:v>0</x:v>
      </x:c>
      <x:c r="E2753" s="184" t="n">
        <x:v>0</x:v>
      </x:c>
      <x:c r="F2753" s="184" t="n">
        <x:v>0</x:v>
      </x:c>
      <x:c r="G2753" s="184" t="n">
        <x:v>0</x:v>
      </x:c>
      <x:c r="H2753" s="193" t="n">
        <x:v>0</x:v>
      </x:c>
      <x:c r="I2753" s="185" t="n">
        <x:v>0</x:v>
      </x:c>
      <x:c r="J2753" s="185" t="n">
        <x:v>0</x:v>
      </x:c>
      <x:c r="K2753" s="289" t="n">
        <x:v>0</x:v>
      </x:c>
    </x:row>
    <x:row r="2754" s="117" customFormat="1" hidden="1">
      <x:c r="A2754" s="184" t="inlineStr">
        <x:is>
          <x:t xml:space="preserve">PDVTUBXBQ007</x:t>
        </x:is>
      </x:c>
      <x:c r="B2754" s="184" t="inlineStr">
        <x:is>
          <x:t xml:space="preserve">PDVF TUBO 90mm BQ</x:t>
        </x:is>
      </x:c>
      <x:c r="C2754" s="184" t="n">
        <x:v>0</x:v>
      </x:c>
      <x:c r="D2754" s="184" t="n">
        <x:v>0</x:v>
      </x:c>
      <x:c r="E2754" s="184" t="n">
        <x:v>0</x:v>
      </x:c>
      <x:c r="F2754" s="184" t="n">
        <x:v>0</x:v>
      </x:c>
      <x:c r="G2754" s="184" t="n">
        <x:v>0</x:v>
      </x:c>
      <x:c r="H2754" s="193" t="n">
        <x:v>0</x:v>
      </x:c>
      <x:c r="I2754" s="185" t="n">
        <x:v>0</x:v>
      </x:c>
      <x:c r="J2754" s="185" t="n">
        <x:v>0</x:v>
      </x:c>
      <x:c r="K2754" s="289" t="n">
        <x:v>0</x:v>
      </x:c>
    </x:row>
    <x:row r="2755" s="117" customFormat="1" hidden="1">
      <x:c r="A2755" s="184" t="inlineStr">
        <x:is>
          <x:t xml:space="preserve">PDVTUBXBQ008</x:t>
        </x:is>
      </x:c>
      <x:c r="B2755" s="184" t="inlineStr">
        <x:is>
          <x:t xml:space="preserve">TUBERIA PVDF NATURAL C/BACKING 125X3,0</x:t>
        </x:is>
      </x:c>
      <x:c r="C2755" s="184" t="n">
        <x:v>4.6</x:v>
      </x:c>
      <x:c r="D2755" s="184" t="n">
        <x:v>0</x:v>
      </x:c>
      <x:c r="E2755" s="184" t="n">
        <x:v>0</x:v>
      </x:c>
      <x:c r="F2755" s="184" t="n">
        <x:v>4.6</x:v>
      </x:c>
      <x:c r="G2755" s="184" t="n">
        <x:v>1223752</x:v>
      </x:c>
      <x:c r="H2755" s="193" t="n">
        <x:v>0</x:v>
      </x:c>
      <x:c r="I2755" s="185" t="n">
        <x:v>0</x:v>
      </x:c>
      <x:c r="J2755" s="185" t="n">
        <x:v>1223752</x:v>
      </x:c>
      <x:c r="K2755" s="289" t="n">
        <x:v>266033</x:v>
      </x:c>
    </x:row>
    <x:row r="2756" s="117" customFormat="1" hidden="1">
      <x:c r="A2756" s="184" t="inlineStr">
        <x:is>
          <x:t xml:space="preserve">PERACE100001</x:t>
        </x:is>
      </x:c>
      <x:c r="B2756" s="184" t="inlineStr">
        <x:is>
          <x:t xml:space="preserve">(39473) ANGULO LAMINADO 40 X 40 X 3 X 6000 11,04KG</x:t>
        </x:is>
      </x:c>
      <x:c r="C2756" s="184" t="n">
        <x:v>8</x:v>
      </x:c>
      <x:c r="D2756" s="184" t="n">
        <x:v>0</x:v>
      </x:c>
      <x:c r="E2756" s="184" t="n">
        <x:v>0</x:v>
      </x:c>
      <x:c r="F2756" s="184" t="n">
        <x:v>8</x:v>
      </x:c>
      <x:c r="G2756" s="184" t="n">
        <x:v>78080</x:v>
      </x:c>
      <x:c r="H2756" s="193" t="n">
        <x:v>0</x:v>
      </x:c>
      <x:c r="I2756" s="185" t="n">
        <x:v>0</x:v>
      </x:c>
      <x:c r="J2756" s="185" t="n">
        <x:v>78080</x:v>
      </x:c>
      <x:c r="K2756" s="289" t="n">
        <x:v>9760</x:v>
      </x:c>
    </x:row>
    <x:row r="2757" s="117" customFormat="1" hidden="1">
      <x:c r="A2757" s="184" t="inlineStr">
        <x:is>
          <x:t xml:space="preserve">PERACE100002</x:t>
        </x:is>
      </x:c>
      <x:c r="B2757" s="184" t="inlineStr">
        <x:is>
          <x:t xml:space="preserve">(10247) CUADRADO 100 X 100 X 4,0MM</x:t>
        </x:is>
      </x:c>
      <x:c r="C2757" s="184" t="n">
        <x:v>5</x:v>
      </x:c>
      <x:c r="D2757" s="184" t="n">
        <x:v>0</x:v>
      </x:c>
      <x:c r="E2757" s="184" t="n">
        <x:v>0</x:v>
      </x:c>
      <x:c r="F2757" s="184" t="n">
        <x:v>5</x:v>
      </x:c>
      <x:c r="G2757" s="184" t="n">
        <x:v>272140</x:v>
      </x:c>
      <x:c r="H2757" s="193" t="n">
        <x:v>0</x:v>
      </x:c>
      <x:c r="I2757" s="185" t="n">
        <x:v>0</x:v>
      </x:c>
      <x:c r="J2757" s="185" t="n">
        <x:v>272140</x:v>
      </x:c>
      <x:c r="K2757" s="289" t="n">
        <x:v>54428</x:v>
      </x:c>
    </x:row>
    <x:row r="2758" s="117" customFormat="1" hidden="1">
      <x:c r="A2758" s="184" t="inlineStr">
        <x:is>
          <x:t xml:space="preserve">PLAACE001001</x:t>
        </x:is>
      </x:c>
      <x:c r="B2758" s="184" t="inlineStr">
        <x:is>
          <x:t xml:space="preserve">PLANCHA DE ACERO A36 3000X1000X2 MM</x:t>
        </x:is>
      </x:c>
      <x:c r="C2758" s="184" t="n">
        <x:v>0</x:v>
      </x:c>
      <x:c r="D2758" s="184" t="n">
        <x:v>0</x:v>
      </x:c>
      <x:c r="E2758" s="184" t="n">
        <x:v>0</x:v>
      </x:c>
      <x:c r="F2758" s="184" t="n">
        <x:v>0</x:v>
      </x:c>
      <x:c r="G2758" s="184" t="n">
        <x:v>0</x:v>
      </x:c>
      <x:c r="H2758" s="193" t="n">
        <x:v>0</x:v>
      </x:c>
      <x:c r="I2758" s="185" t="n">
        <x:v>0</x:v>
      </x:c>
      <x:c r="J2758" s="185" t="n">
        <x:v>0</x:v>
      </x:c>
      <x:c r="K2758" s="289" t="n">
        <x:v>38400</x:v>
      </x:c>
    </x:row>
    <x:row r="2759" s="117" customFormat="1" hidden="1">
      <x:c r="A2759" s="184" t="inlineStr">
        <x:is>
          <x:t xml:space="preserve">PLAACE001002</x:t>
        </x:is>
      </x:c>
      <x:c r="B2759" s="184" t="inlineStr">
        <x:is>
          <x:t xml:space="preserve">PLANCHA DE ACERO A36 3000X1000X10 MM</x:t>
        </x:is>
      </x:c>
      <x:c r="C2759" s="184" t="n">
        <x:v>0</x:v>
      </x:c>
      <x:c r="D2759" s="184" t="n">
        <x:v>0</x:v>
      </x:c>
      <x:c r="E2759" s="184" t="n">
        <x:v>0</x:v>
      </x:c>
      <x:c r="F2759" s="184" t="n">
        <x:v>0</x:v>
      </x:c>
      <x:c r="G2759" s="184" t="n">
        <x:v>0</x:v>
      </x:c>
      <x:c r="H2759" s="193" t="n">
        <x:v>0</x:v>
      </x:c>
      <x:c r="I2759" s="185" t="n">
        <x:v>0</x:v>
      </x:c>
      <x:c r="J2759" s="185" t="n">
        <x:v>0</x:v>
      </x:c>
      <x:c r="K2759" s="289" t="n">
        <x:v>192000</x:v>
      </x:c>
    </x:row>
    <x:row r="2760" s="117" customFormat="1" hidden="1">
      <x:c r="A2760" s="184" t="inlineStr">
        <x:is>
          <x:t xml:space="preserve">PLAACE001003</x:t>
        </x:is>
      </x:c>
      <x:c r="B2760" s="184" t="inlineStr">
        <x:is>
          <x:t xml:space="preserve">PLANCHA DE ACERO A36 1500X1500X6 MM</x:t>
        </x:is>
      </x:c>
      <x:c r="C2760" s="184" t="n">
        <x:v>0</x:v>
      </x:c>
      <x:c r="D2760" s="184" t="n">
        <x:v>0</x:v>
      </x:c>
      <x:c r="E2760" s="184" t="n">
        <x:v>0</x:v>
      </x:c>
      <x:c r="F2760" s="184" t="n">
        <x:v>0</x:v>
      </x:c>
      <x:c r="G2760" s="184" t="n">
        <x:v>0</x:v>
      </x:c>
      <x:c r="H2760" s="193" t="n">
        <x:v>0</x:v>
      </x:c>
      <x:c r="I2760" s="185" t="n">
        <x:v>0</x:v>
      </x:c>
      <x:c r="J2760" s="185" t="n">
        <x:v>0</x:v>
      </x:c>
      <x:c r="K2760" s="289" t="n">
        <x:v>86400</x:v>
      </x:c>
    </x:row>
    <x:row r="2761" s="117" customFormat="1" hidden="1">
      <x:c r="A2761" s="184" t="inlineStr">
        <x:is>
          <x:t xml:space="preserve">PLAACE001004</x:t>
        </x:is>
      </x:c>
      <x:c r="B2761" s="184" t="inlineStr">
        <x:is>
          <x:t xml:space="preserve">PLANCHA DE ACERO A36 3000X1000X4 MM</x:t>
        </x:is>
      </x:c>
      <x:c r="C2761" s="184" t="n">
        <x:v>0</x:v>
      </x:c>
      <x:c r="D2761" s="184" t="n">
        <x:v>0</x:v>
      </x:c>
      <x:c r="E2761" s="184" t="n">
        <x:v>0</x:v>
      </x:c>
      <x:c r="F2761" s="184" t="n">
        <x:v>0</x:v>
      </x:c>
      <x:c r="G2761" s="184" t="n">
        <x:v>0</x:v>
      </x:c>
      <x:c r="H2761" s="193" t="n">
        <x:v>0</x:v>
      </x:c>
      <x:c r="I2761" s="185" t="n">
        <x:v>0</x:v>
      </x:c>
      <x:c r="J2761" s="185" t="n">
        <x:v>0</x:v>
      </x:c>
      <x:c r="K2761" s="289" t="n">
        <x:v>86400</x:v>
      </x:c>
    </x:row>
    <x:row r="2762" s="117" customFormat="1" hidden="1">
      <x:c r="A2762" s="184" t="inlineStr">
        <x:is>
          <x:t xml:space="preserve">PLAACE001005</x:t>
        </x:is>
      </x:c>
      <x:c r="B2762" s="184" t="inlineStr">
        <x:is>
          <x:t xml:space="preserve">PLANCHA DE ACERO A36 3000X1000X5 MM</x:t>
        </x:is>
      </x:c>
      <x:c r="C2762" s="184" t="n">
        <x:v>0</x:v>
      </x:c>
      <x:c r="D2762" s="184" t="n">
        <x:v>0</x:v>
      </x:c>
      <x:c r="E2762" s="184" t="n">
        <x:v>0</x:v>
      </x:c>
      <x:c r="F2762" s="184" t="n">
        <x:v>0</x:v>
      </x:c>
      <x:c r="G2762" s="184" t="n">
        <x:v>0</x:v>
      </x:c>
      <x:c r="H2762" s="193" t="n">
        <x:v>0</x:v>
      </x:c>
      <x:c r="I2762" s="185" t="n">
        <x:v>0</x:v>
      </x:c>
      <x:c r="J2762" s="185" t="n">
        <x:v>0</x:v>
      </x:c>
      <x:c r="K2762" s="289" t="n">
        <x:v>96000</x:v>
      </x:c>
    </x:row>
    <x:row r="2763" s="117" customFormat="1" hidden="1">
      <x:c r="A2763" s="184" t="inlineStr">
        <x:is>
          <x:t xml:space="preserve">PLAACE001006</x:t>
        </x:is>
      </x:c>
      <x:c r="B2763" s="184" t="inlineStr">
        <x:is>
          <x:t xml:space="preserve">PLANCHA DE ACERO INOXIDABLE 3000X1500X5 MM</x:t>
        </x:is>
      </x:c>
      <x:c r="C2763" s="184" t="n">
        <x:v>0</x:v>
      </x:c>
      <x:c r="D2763" s="184" t="n">
        <x:v>0</x:v>
      </x:c>
      <x:c r="E2763" s="184" t="n">
        <x:v>0</x:v>
      </x:c>
      <x:c r="F2763" s="184" t="n">
        <x:v>0</x:v>
      </x:c>
      <x:c r="G2763" s="184" t="n">
        <x:v>0</x:v>
      </x:c>
      <x:c r="H2763" s="193" t="n">
        <x:v>0</x:v>
      </x:c>
      <x:c r="I2763" s="185" t="n">
        <x:v>0</x:v>
      </x:c>
      <x:c r="J2763" s="185" t="n">
        <x:v>0</x:v>
      </x:c>
      <x:c r="K2763" s="289" t="n">
        <x:v>180000</x:v>
      </x:c>
    </x:row>
    <x:row r="2764" s="117" customFormat="1" hidden="1">
      <x:c r="A2764" s="184" t="inlineStr">
        <x:is>
          <x:t xml:space="preserve">PLAACE001007</x:t>
        </x:is>
      </x:c>
      <x:c r="B2764" s="184" t="inlineStr">
        <x:is>
          <x:t xml:space="preserve">PLANCHA DE ACERO INOXIDABLE 3000X1100X4 MM</x:t>
        </x:is>
      </x:c>
      <x:c r="C2764" s="184" t="n">
        <x:v>0</x:v>
      </x:c>
      <x:c r="D2764" s="184" t="n">
        <x:v>0</x:v>
      </x:c>
      <x:c r="E2764" s="184" t="n">
        <x:v>0</x:v>
      </x:c>
      <x:c r="F2764" s="184" t="n">
        <x:v>0</x:v>
      </x:c>
      <x:c r="G2764" s="184" t="n">
        <x:v>0</x:v>
      </x:c>
      <x:c r="H2764" s="193" t="n">
        <x:v>0</x:v>
      </x:c>
      <x:c r="I2764" s="185" t="n">
        <x:v>0</x:v>
      </x:c>
      <x:c r="J2764" s="185" t="n">
        <x:v>0</x:v>
      </x:c>
      <x:c r="K2764" s="289" t="n">
        <x:v>211200</x:v>
      </x:c>
    </x:row>
    <x:row r="2765" s="117" customFormat="1" hidden="1">
      <x:c r="A2765" s="184" t="inlineStr">
        <x:is>
          <x:t xml:space="preserve">PLAACE001008</x:t>
        </x:is>
      </x:c>
      <x:c r="B2765" s="184" t="inlineStr">
        <x:is>
          <x:t xml:space="preserve">PLANCHA L/C INOX 316L 10X1500X1500 T1</x:t>
        </x:is>
      </x:c>
      <x:c r="C2765" s="184" t="n">
        <x:v>0</x:v>
      </x:c>
      <x:c r="D2765" s="184" t="n">
        <x:v>0</x:v>
      </x:c>
      <x:c r="E2765" s="184" t="n">
        <x:v>0</x:v>
      </x:c>
      <x:c r="F2765" s="184" t="n">
        <x:v>0</x:v>
      </x:c>
      <x:c r="G2765" s="184" t="n">
        <x:v>0</x:v>
      </x:c>
      <x:c r="H2765" s="193" t="n">
        <x:v>0</x:v>
      </x:c>
      <x:c r="I2765" s="185" t="n">
        <x:v>0</x:v>
      </x:c>
      <x:c r="J2765" s="185" t="n">
        <x:v>0</x:v>
      </x:c>
      <x:c r="K2765" s="289" t="n">
        <x:v>723500</x:v>
      </x:c>
    </x:row>
    <x:row r="2766" s="117" customFormat="1" hidden="1">
      <x:c r="A2766" s="184" t="inlineStr">
        <x:is>
          <x:t xml:space="preserve">PLAACE001009</x:t>
        </x:is>
      </x:c>
      <x:c r="B2766" s="184" t="inlineStr">
        <x:is>
          <x:t xml:space="preserve">PLANCHA L/C INOX 316L 20X1500X1500 T1</x:t>
        </x:is>
      </x:c>
      <x:c r="C2766" s="184" t="n">
        <x:v>0</x:v>
      </x:c>
      <x:c r="D2766" s="184" t="n">
        <x:v>0</x:v>
      </x:c>
      <x:c r="E2766" s="184" t="n">
        <x:v>0</x:v>
      </x:c>
      <x:c r="F2766" s="184" t="n">
        <x:v>0</x:v>
      </x:c>
      <x:c r="G2766" s="184" t="n">
        <x:v>0</x:v>
      </x:c>
      <x:c r="H2766" s="193" t="n">
        <x:v>0</x:v>
      </x:c>
      <x:c r="I2766" s="185" t="n">
        <x:v>0</x:v>
      </x:c>
      <x:c r="J2766" s="185" t="n">
        <x:v>0</x:v>
      </x:c>
      <x:c r="K2766" s="289" t="n">
        <x:v>1443500</x:v>
      </x:c>
    </x:row>
    <x:row r="2767" s="117" customFormat="1" hidden="1">
      <x:c r="A2767" s="184" t="inlineStr">
        <x:is>
          <x:t xml:space="preserve">PLAACE001010</x:t>
        </x:is>
      </x:c>
      <x:c r="B2767" s="184" t="inlineStr">
        <x:is>
          <x:t xml:space="preserve">PLANCHA DE ACERO A36 -- 2000 X 1000 X 20 MM</x:t>
        </x:is>
      </x:c>
      <x:c r="C2767" s="184" t="n">
        <x:v>0</x:v>
      </x:c>
      <x:c r="D2767" s="184" t="n">
        <x:v>0</x:v>
      </x:c>
      <x:c r="E2767" s="184" t="n">
        <x:v>0</x:v>
      </x:c>
      <x:c r="F2767" s="184" t="n">
        <x:v>0</x:v>
      </x:c>
      <x:c r="G2767" s="184" t="n">
        <x:v>0</x:v>
      </x:c>
      <x:c r="H2767" s="193" t="n">
        <x:v>0</x:v>
      </x:c>
      <x:c r="I2767" s="185" t="n">
        <x:v>0</x:v>
      </x:c>
      <x:c r="J2767" s="185" t="n">
        <x:v>0</x:v>
      </x:c>
      <x:c r="K2767" s="289" t="n">
        <x:v>341304</x:v>
      </x:c>
    </x:row>
    <x:row r="2768" s="117" customFormat="1" hidden="1">
      <x:c r="A2768" s="184" t="inlineStr">
        <x:is>
          <x:t xml:space="preserve">PLAACE001011</x:t>
        </x:is>
      </x:c>
      <x:c r="B2768" s="184" t="inlineStr">
        <x:is>
          <x:t xml:space="preserve">PLANCHA L/C INOX 304L -- 1000 X 1000 X 20MM</x:t>
        </x:is>
      </x:c>
      <x:c r="C2768" s="184" t="n">
        <x:v>0</x:v>
      </x:c>
      <x:c r="D2768" s="184" t="n">
        <x:v>0</x:v>
      </x:c>
      <x:c r="E2768" s="184" t="n">
        <x:v>0</x:v>
      </x:c>
      <x:c r="F2768" s="184" t="n">
        <x:v>0</x:v>
      </x:c>
      <x:c r="G2768" s="184" t="n">
        <x:v>0</x:v>
      </x:c>
      <x:c r="H2768" s="193" t="n">
        <x:v>0</x:v>
      </x:c>
      <x:c r="I2768" s="185" t="n">
        <x:v>0</x:v>
      </x:c>
      <x:c r="J2768" s="185" t="n">
        <x:v>0</x:v>
      </x:c>
      <x:c r="K2768" s="289" t="n">
        <x:v>521280</x:v>
      </x:c>
    </x:row>
    <x:row r="2769" s="117" customFormat="1" hidden="1">
      <x:c r="A2769" s="184" t="inlineStr">
        <x:is>
          <x:t xml:space="preserve">PLABAR001001</x:t>
        </x:is>
      </x:c>
      <x:c r="B2769" s="184" t="inlineStr">
        <x:is>
          <x:t xml:space="preserve">BARRA HDPE BLANCA 250 MM DIAM.</x:t>
        </x:is>
      </x:c>
      <x:c r="C2769" s="184" t="n">
        <x:v>0</x:v>
      </x:c>
      <x:c r="D2769" s="184" t="n">
        <x:v>0</x:v>
      </x:c>
      <x:c r="E2769" s="184" t="n">
        <x:v>0</x:v>
      </x:c>
      <x:c r="F2769" s="184" t="n">
        <x:v>0</x:v>
      </x:c>
      <x:c r="G2769" s="184" t="n">
        <x:v>0</x:v>
      </x:c>
      <x:c r="H2769" s="193" t="n">
        <x:v>0</x:v>
      </x:c>
      <x:c r="I2769" s="185" t="n">
        <x:v>0</x:v>
      </x:c>
      <x:c r="J2769" s="185" t="n">
        <x:v>0</x:v>
      </x:c>
      <x:c r="K2769" s="289" t="n">
        <x:v>0</x:v>
      </x:c>
    </x:row>
    <x:row r="2770" s="117" customFormat="1" hidden="1">
      <x:c r="A2770" s="184" t="inlineStr">
        <x:is>
          <x:t xml:space="preserve">PLABAR001002</x:t>
        </x:is>
      </x:c>
      <x:c r="B2770" s="184" t="inlineStr">
        <x:is>
          <x:t xml:space="preserve">BARRA UHMW DIAM.100 MM</x:t>
        </x:is>
      </x:c>
      <x:c r="C2770" s="184" t="n">
        <x:v>8.5</x:v>
      </x:c>
      <x:c r="D2770" s="184" t="n">
        <x:v>0</x:v>
      </x:c>
      <x:c r="E2770" s="184" t="n">
        <x:v>0</x:v>
      </x:c>
      <x:c r="F2770" s="184" t="n">
        <x:v>8.5</x:v>
      </x:c>
      <x:c r="G2770" s="184" t="n">
        <x:v>1021139</x:v>
      </x:c>
      <x:c r="H2770" s="193" t="n">
        <x:v>0</x:v>
      </x:c>
      <x:c r="I2770" s="185" t="n">
        <x:v>0</x:v>
      </x:c>
      <x:c r="J2770" s="185" t="n">
        <x:v>1021139</x:v>
      </x:c>
      <x:c r="K2770" s="289" t="n">
        <x:v>120134</x:v>
      </x:c>
    </x:row>
    <x:row r="2771" s="117" customFormat="1" hidden="1">
      <x:c r="A2771" s="184" t="inlineStr">
        <x:is>
          <x:t xml:space="preserve">PLABAR001003</x:t>
        </x:is>
      </x:c>
      <x:c r="B2771" s="184" t="inlineStr">
        <x:is>
          <x:t xml:space="preserve">BARRA PLY DIAM 30 MM (INDUPAQ)</x:t>
        </x:is>
      </x:c>
      <x:c r="C2771" s="184" t="n">
        <x:v>0</x:v>
      </x:c>
      <x:c r="D2771" s="184" t="n">
        <x:v>0</x:v>
      </x:c>
      <x:c r="E2771" s="184" t="n">
        <x:v>0</x:v>
      </x:c>
      <x:c r="F2771" s="184" t="n">
        <x:v>0</x:v>
      </x:c>
      <x:c r="G2771" s="184" t="n">
        <x:v>0</x:v>
      </x:c>
      <x:c r="H2771" s="193" t="n">
        <x:v>0</x:v>
      </x:c>
      <x:c r="I2771" s="185" t="n">
        <x:v>0</x:v>
      </x:c>
      <x:c r="J2771" s="185" t="n">
        <x:v>0</x:v>
      </x:c>
      <x:c r="K2771" s="289" t="n">
        <x:v>100</x:v>
      </x:c>
    </x:row>
    <x:row r="2772" s="117" customFormat="1" hidden="1">
      <x:c r="A2772" s="184" t="inlineStr">
        <x:is>
          <x:t xml:space="preserve">PLABAR001004</x:t>
        </x:is>
      </x:c>
      <x:c r="B2772" s="184" t="inlineStr">
        <x:is>
          <x:t xml:space="preserve">BARRA HDPE NEGRA 110 MM DIAM.</x:t>
        </x:is>
      </x:c>
      <x:c r="C2772" s="184" t="n">
        <x:v>0</x:v>
      </x:c>
      <x:c r="D2772" s="184" t="n">
        <x:v>0</x:v>
      </x:c>
      <x:c r="E2772" s="184" t="n">
        <x:v>0</x:v>
      </x:c>
      <x:c r="F2772" s="184" t="n">
        <x:v>0</x:v>
      </x:c>
      <x:c r="G2772" s="184" t="n">
        <x:v>0</x:v>
      </x:c>
      <x:c r="H2772" s="193" t="n">
        <x:v>0</x:v>
      </x:c>
      <x:c r="I2772" s="185" t="n">
        <x:v>0</x:v>
      </x:c>
      <x:c r="J2772" s="185" t="n">
        <x:v>0</x:v>
      </x:c>
      <x:c r="K2772" s="289" t="n">
        <x:v>69867</x:v>
      </x:c>
    </x:row>
    <x:row r="2773" s="117" customFormat="1" hidden="1">
      <x:c r="A2773" s="184" t="inlineStr">
        <x:is>
          <x:t xml:space="preserve">PLABAR001006</x:t>
        </x:is>
      </x:c>
      <x:c r="B2773" s="184" t="inlineStr">
        <x:is>
          <x:t xml:space="preserve">BARRA DE UHMW BLANCO 100 MM DIAM X 2000 MM LG</x:t>
        </x:is>
      </x:c>
      <x:c r="C2773" s="184" t="n">
        <x:v>0</x:v>
      </x:c>
      <x:c r="D2773" s="184" t="n">
        <x:v>0</x:v>
      </x:c>
      <x:c r="E2773" s="184" t="n">
        <x:v>0</x:v>
      </x:c>
      <x:c r="F2773" s="184" t="n">
        <x:v>0</x:v>
      </x:c>
      <x:c r="G2773" s="184" t="n">
        <x:v>1</x:v>
      </x:c>
      <x:c r="H2773" s="193" t="n">
        <x:v>0</x:v>
      </x:c>
      <x:c r="I2773" s="185" t="n">
        <x:v>0</x:v>
      </x:c>
      <x:c r="J2773" s="185" t="n">
        <x:v>1</x:v>
      </x:c>
      <x:c r="K2773" s="289" t="n">
        <x:v>146744.17</x:v>
      </x:c>
    </x:row>
    <x:row r="2774" s="117" customFormat="1" hidden="1">
      <x:c r="A2774" s="184" t="inlineStr">
        <x:is>
          <x:t xml:space="preserve">PLABAR001022</x:t>
        </x:is>
      </x:c>
      <x:c r="B2774" s="184" t="inlineStr">
        <x:is>
          <x:t xml:space="preserve">BARRA HDPE BLANCA XXX MM DIAM.</x:t>
        </x:is>
      </x:c>
      <x:c r="C2774" s="184" t="n">
        <x:v>0</x:v>
      </x:c>
      <x:c r="D2774" s="184" t="n">
        <x:v>0</x:v>
      </x:c>
      <x:c r="E2774" s="184" t="n">
        <x:v>0</x:v>
      </x:c>
      <x:c r="F2774" s="184" t="n">
        <x:v>0</x:v>
      </x:c>
      <x:c r="G2774" s="184" t="n">
        <x:v>0</x:v>
      </x:c>
      <x:c r="H2774" s="193" t="n">
        <x:v>0</x:v>
      </x:c>
      <x:c r="I2774" s="185" t="n">
        <x:v>0</x:v>
      </x:c>
      <x:c r="J2774" s="185" t="n">
        <x:v>0</x:v>
      </x:c>
      <x:c r="K2774" s="289" t="n">
        <x:v>0</x:v>
      </x:c>
    </x:row>
    <x:row r="2775" s="117" customFormat="1" hidden="1">
      <x:c r="A2775" s="184" t="inlineStr">
        <x:is>
          <x:t xml:space="preserve">PLACER001001</x:t>
        </x:is>
      </x:c>
      <x:c r="B2775" s="184" t="inlineStr">
        <x:is>
          <x:t xml:space="preserve">PLANCHA DE CERAM-P 1000 X4000 X 55 MM</x:t>
        </x:is>
      </x:c>
      <x:c r="C2775" s="184" t="n">
        <x:v>0</x:v>
      </x:c>
      <x:c r="D2775" s="184" t="n">
        <x:v>0</x:v>
      </x:c>
      <x:c r="E2775" s="184" t="n">
        <x:v>0</x:v>
      </x:c>
      <x:c r="F2775" s="184" t="n">
        <x:v>0</x:v>
      </x:c>
      <x:c r="G2775" s="184" t="n">
        <x:v>0</x:v>
      </x:c>
      <x:c r="H2775" s="193" t="n">
        <x:v>0</x:v>
      </x:c>
      <x:c r="I2775" s="185" t="n">
        <x:v>0</x:v>
      </x:c>
      <x:c r="J2775" s="185" t="n">
        <x:v>0</x:v>
      </x:c>
      <x:c r="K2775" s="289" t="n">
        <x:v>925000</x:v>
      </x:c>
    </x:row>
    <x:row r="2776" s="117" customFormat="1" hidden="1">
      <x:c r="A2776" s="184" t="inlineStr">
        <x:is>
          <x:t xml:space="preserve">PLACER001002</x:t>
        </x:is>
      </x:c>
      <x:c r="B2776" s="184" t="inlineStr">
        <x:is>
          <x:t xml:space="preserve">PLANCHA DE CERAM-P 2000 X4080 X 55 MM</x:t>
        </x:is>
      </x:c>
      <x:c r="C2776" s="184" t="n">
        <x:v>8.92</x:v>
      </x:c>
      <x:c r="D2776" s="184" t="n">
        <x:v>0</x:v>
      </x:c>
      <x:c r="E2776" s="184" t="n">
        <x:v>0</x:v>
      </x:c>
      <x:c r="F2776" s="184" t="n">
        <x:v>8.92</x:v>
      </x:c>
      <x:c r="G2776" s="184" t="n">
        <x:v>39752219</x:v>
      </x:c>
      <x:c r="H2776" s="193" t="n">
        <x:v>0</x:v>
      </x:c>
      <x:c r="I2776" s="185" t="n">
        <x:v>0</x:v>
      </x:c>
      <x:c r="J2776" s="185" t="n">
        <x:v>39752219</x:v>
      </x:c>
      <x:c r="K2776" s="289" t="n">
        <x:v>4456526.78158797</x:v>
      </x:c>
    </x:row>
    <x:row r="2777" s="117" customFormat="1" hidden="1">
      <x:c r="A2777" s="184" t="inlineStr">
        <x:is>
          <x:t xml:space="preserve">PLACER001003</x:t>
        </x:is>
      </x:c>
      <x:c r="B2777" s="184" t="inlineStr">
        <x:is>
          <x:t xml:space="preserve">PLANCHA DE CERAM-P 1000 X2000 X 80 MM</x:t>
        </x:is>
      </x:c>
      <x:c r="C2777" s="184" t="n">
        <x:v>4.2</x:v>
      </x:c>
      <x:c r="D2777" s="184" t="n">
        <x:v>0</x:v>
      </x:c>
      <x:c r="E2777" s="184" t="n">
        <x:v>0</x:v>
      </x:c>
      <x:c r="F2777" s="184" t="n">
        <x:v>4.2</x:v>
      </x:c>
      <x:c r="G2777" s="184" t="n">
        <x:v>8947782</x:v>
      </x:c>
      <x:c r="H2777" s="193" t="n">
        <x:v>0</x:v>
      </x:c>
      <x:c r="I2777" s="185" t="n">
        <x:v>0</x:v>
      </x:c>
      <x:c r="J2777" s="185" t="n">
        <x:v>8947782</x:v>
      </x:c>
      <x:c r="K2777" s="289" t="n">
        <x:v>2130424.10654762</x:v>
      </x:c>
    </x:row>
    <x:row r="2778" s="117" customFormat="1" hidden="1">
      <x:c r="A2778" s="184" t="inlineStr">
        <x:is>
          <x:t xml:space="preserve">PLACER001004</x:t>
        </x:is>
      </x:c>
      <x:c r="B2778" s="184" t="inlineStr">
        <x:is>
          <x:t xml:space="preserve">PLANCHA DE CERAM-P 3000 X1200 X 55 MM</x:t>
        </x:is>
      </x:c>
      <x:c r="C2778" s="184" t="n">
        <x:v>0</x:v>
      </x:c>
      <x:c r="D2778" s="184" t="n">
        <x:v>0</x:v>
      </x:c>
      <x:c r="E2778" s="184" t="n">
        <x:v>0</x:v>
      </x:c>
      <x:c r="F2778" s="184" t="n">
        <x:v>0</x:v>
      </x:c>
      <x:c r="G2778" s="184" t="n">
        <x:v>0</x:v>
      </x:c>
      <x:c r="H2778" s="193" t="n">
        <x:v>0</x:v>
      </x:c>
      <x:c r="I2778" s="185" t="n">
        <x:v>0</x:v>
      </x:c>
      <x:c r="J2778" s="185" t="n">
        <x:v>0</x:v>
      </x:c>
      <x:c r="K2778" s="289" t="n">
        <x:v>0</x:v>
      </x:c>
    </x:row>
    <x:row r="2779" s="117" customFormat="1" hidden="1">
      <x:c r="A2779" s="184" t="inlineStr">
        <x:is>
          <x:t xml:space="preserve">PLACER001005</x:t>
        </x:is>
      </x:c>
      <x:c r="B2779" s="184" t="inlineStr">
        <x:is>
          <x:t xml:space="preserve">PLANCHA DE CERAM-P 1000X1000 DESP. EN MTRS 2</x:t>
        </x:is>
      </x:c>
      <x:c r="C2779" s="184" t="n">
        <x:v>0</x:v>
      </x:c>
      <x:c r="D2779" s="184" t="n">
        <x:v>0</x:v>
      </x:c>
      <x:c r="E2779" s="184" t="n">
        <x:v>0</x:v>
      </x:c>
      <x:c r="F2779" s="184" t="n">
        <x:v>0</x:v>
      </x:c>
      <x:c r="G2779" s="184" t="n">
        <x:v>1</x:v>
      </x:c>
      <x:c r="H2779" s="193" t="n">
        <x:v>0</x:v>
      </x:c>
      <x:c r="I2779" s="185" t="n">
        <x:v>0</x:v>
      </x:c>
      <x:c r="J2779" s="185" t="n">
        <x:v>1</x:v>
      </x:c>
      <x:c r="K2779" s="289" t="n">
        <x:v>544608</x:v>
      </x:c>
    </x:row>
    <x:row r="2780" s="117" customFormat="1" hidden="1">
      <x:c r="A2780" s="184" t="inlineStr">
        <x:is>
          <x:t xml:space="preserve">PLACER001006</x:t>
        </x:is>
      </x:c>
      <x:c r="B2780" s="184" t="inlineStr">
        <x:is>
          <x:t xml:space="preserve">PLANCHA DE CERAM-P 3050 X2020 X 55 MM</x:t>
        </x:is>
      </x:c>
      <x:c r="C2780" s="184" t="n">
        <x:v>3</x:v>
      </x:c>
      <x:c r="D2780" s="184" t="n">
        <x:v>0</x:v>
      </x:c>
      <x:c r="E2780" s="184" t="n">
        <x:v>0</x:v>
      </x:c>
      <x:c r="F2780" s="184" t="n">
        <x:v>3</x:v>
      </x:c>
      <x:c r="G2780" s="184" t="n">
        <x:v>10667490</x:v>
      </x:c>
      <x:c r="H2780" s="193" t="n">
        <x:v>0</x:v>
      </x:c>
      <x:c r="I2780" s="185" t="n">
        <x:v>0</x:v>
      </x:c>
      <x:c r="J2780" s="185" t="n">
        <x:v>10667490</x:v>
      </x:c>
      <x:c r="K2780" s="289" t="n">
        <x:v>3555829.96</x:v>
      </x:c>
    </x:row>
    <x:row r="2781" s="117" customFormat="1" hidden="1">
      <x:c r="A2781" s="184" t="inlineStr">
        <x:is>
          <x:t xml:space="preserve">PLAECT001001</x:t>
        </x:is>
      </x:c>
      <x:c r="B2781" s="184" t="inlineStr">
        <x:is>
          <x:t xml:space="preserve">PLANCHA ECTFE C/BACKING NATURAL 3000X1500X2.3 MM</x:t>
        </x:is>
      </x:c>
      <x:c r="C2781" s="184" t="n">
        <x:v>0</x:v>
      </x:c>
      <x:c r="D2781" s="184" t="n">
        <x:v>0</x:v>
      </x:c>
      <x:c r="E2781" s="184" t="n">
        <x:v>0</x:v>
      </x:c>
      <x:c r="F2781" s="184" t="n">
        <x:v>0</x:v>
      </x:c>
      <x:c r="G2781" s="184" t="n">
        <x:v>0</x:v>
      </x:c>
      <x:c r="H2781" s="193" t="n">
        <x:v>0</x:v>
      </x:c>
      <x:c r="I2781" s="185" t="n">
        <x:v>0</x:v>
      </x:c>
      <x:c r="J2781" s="185" t="n">
        <x:v>0</x:v>
      </x:c>
      <x:c r="K2781" s="289" t="n">
        <x:v>1205696</x:v>
      </x:c>
    </x:row>
    <x:row r="2782" s="117" customFormat="1" hidden="1">
      <x:c r="A2782" s="184" t="inlineStr">
        <x:is>
          <x:t xml:space="preserve">PLAECT001002</x:t>
        </x:is>
      </x:c>
      <x:c r="B2782" s="184" t="inlineStr">
        <x:is>
          <x:t xml:space="preserve">PLANCHA FEP 1.5 ANCHOx2,3 mm ESP.C/BAKING</x:t>
        </x:is>
      </x:c>
      <x:c r="C2782" s="184" t="n">
        <x:v>0</x:v>
      </x:c>
      <x:c r="D2782" s="184" t="n">
        <x:v>0</x:v>
      </x:c>
      <x:c r="E2782" s="184" t="n">
        <x:v>0</x:v>
      </x:c>
      <x:c r="F2782" s="184" t="n">
        <x:v>0</x:v>
      </x:c>
      <x:c r="G2782" s="184" t="n">
        <x:v>0</x:v>
      </x:c>
      <x:c r="H2782" s="193" t="n">
        <x:v>0</x:v>
      </x:c>
      <x:c r="I2782" s="185" t="n">
        <x:v>0</x:v>
      </x:c>
      <x:c r="J2782" s="185" t="n">
        <x:v>0</x:v>
      </x:c>
      <x:c r="K2782" s="289" t="n">
        <x:v>490097</x:v>
      </x:c>
    </x:row>
    <x:row r="2783" s="117" customFormat="1" hidden="1">
      <x:c r="A2783" s="184" t="inlineStr">
        <x:is>
          <x:t xml:space="preserve">PLAECT001003</x:t>
        </x:is>
      </x:c>
      <x:c r="B2783" s="184" t="inlineStr">
        <x:is>
          <x:t xml:space="preserve">PLANCHA FEP 1.25 MT ANCHOx2,3 mm ESP.C/BAKING</x:t>
        </x:is>
      </x:c>
      <x:c r="C2783" s="184" t="n">
        <x:v>0</x:v>
      </x:c>
      <x:c r="D2783" s="184" t="n">
        <x:v>0</x:v>
      </x:c>
      <x:c r="E2783" s="184" t="n">
        <x:v>0</x:v>
      </x:c>
      <x:c r="F2783" s="184" t="n">
        <x:v>0</x:v>
      </x:c>
      <x:c r="G2783" s="184" t="n">
        <x:v>0</x:v>
      </x:c>
      <x:c r="H2783" s="193" t="n">
        <x:v>0</x:v>
      </x:c>
      <x:c r="I2783" s="185" t="n">
        <x:v>0</x:v>
      </x:c>
      <x:c r="J2783" s="185" t="n">
        <x:v>0</x:v>
      </x:c>
      <x:c r="K2783" s="289" t="n">
        <x:v>733435</x:v>
      </x:c>
    </x:row>
    <x:row r="2784" s="117" customFormat="1" hidden="1">
      <x:c r="A2784" s="184" t="inlineStr">
        <x:is>
          <x:t xml:space="preserve">PLAECT001004</x:t>
        </x:is>
      </x:c>
      <x:c r="B2784" s="184" t="inlineStr">
        <x:is>
          <x:t xml:space="preserve">40600301523 - Placa 3000X1500X2,3 ECTFENatur. Protect-Foil- Bothside</x:t>
        </x:is>
      </x:c>
      <x:c r="C2784" s="184" t="n">
        <x:v>1</x:v>
      </x:c>
      <x:c r="D2784" s="184" t="n">
        <x:v>0</x:v>
      </x:c>
      <x:c r="E2784" s="184" t="n">
        <x:v>0</x:v>
      </x:c>
      <x:c r="F2784" s="184" t="n">
        <x:v>1</x:v>
      </x:c>
      <x:c r="G2784" s="184" t="n">
        <x:v>1556398</x:v>
      </x:c>
      <x:c r="H2784" s="193" t="n">
        <x:v>0</x:v>
      </x:c>
      <x:c r="I2784" s="185" t="n">
        <x:v>0</x:v>
      </x:c>
      <x:c r="J2784" s="185" t="n">
        <x:v>1556398</x:v>
      </x:c>
      <x:c r="K2784" s="289" t="n">
        <x:v>1556398</x:v>
      </x:c>
    </x:row>
    <x:row r="2785" s="117" customFormat="1" hidden="1">
      <x:c r="A2785" s="184" t="inlineStr">
        <x:is>
          <x:t xml:space="preserve">PLAHDP001001</x:t>
        </x:is>
      </x:c>
      <x:c r="B2785" s="184" t="inlineStr">
        <x:is>
          <x:t xml:space="preserve">PLANCHA HDPE BLANCA 1200X3000X5 MM</x:t>
        </x:is>
      </x:c>
      <x:c r="C2785" s="184" t="n">
        <x:v>0</x:v>
      </x:c>
      <x:c r="D2785" s="184" t="n">
        <x:v>0</x:v>
      </x:c>
      <x:c r="E2785" s="184" t="n">
        <x:v>0</x:v>
      </x:c>
      <x:c r="F2785" s="184" t="n">
        <x:v>0</x:v>
      </x:c>
      <x:c r="G2785" s="184" t="n">
        <x:v>0</x:v>
      </x:c>
      <x:c r="H2785" s="193" t="n">
        <x:v>0</x:v>
      </x:c>
      <x:c r="I2785" s="185" t="n">
        <x:v>0</x:v>
      </x:c>
      <x:c r="J2785" s="185" t="n">
        <x:v>0</x:v>
      </x:c>
      <x:c r="K2785" s="289" t="n">
        <x:v>0</x:v>
      </x:c>
    </x:row>
    <x:row r="2786" s="117" customFormat="1" hidden="1">
      <x:c r="A2786" s="184" t="inlineStr">
        <x:is>
          <x:t xml:space="preserve">PLAHDP001002</x:t>
        </x:is>
      </x:c>
      <x:c r="B2786" s="184" t="inlineStr">
        <x:is>
          <x:t xml:space="preserve">PLANCHA UHMW 1200X3000X3/4</x:t>
        </x:is>
      </x:c>
      <x:c r="C2786" s="184" t="n">
        <x:v>0</x:v>
      </x:c>
      <x:c r="D2786" s="184" t="n">
        <x:v>0</x:v>
      </x:c>
      <x:c r="E2786" s="184" t="n">
        <x:v>0</x:v>
      </x:c>
      <x:c r="F2786" s="184" t="n">
        <x:v>0</x:v>
      </x:c>
      <x:c r="G2786" s="184" t="n">
        <x:v>0</x:v>
      </x:c>
      <x:c r="H2786" s="193" t="n">
        <x:v>0</x:v>
      </x:c>
      <x:c r="I2786" s="185" t="n">
        <x:v>0</x:v>
      </x:c>
      <x:c r="J2786" s="185" t="n">
        <x:v>0</x:v>
      </x:c>
      <x:c r="K2786" s="289" t="n">
        <x:v>199587</x:v>
      </x:c>
    </x:row>
    <x:row r="2787" s="117" customFormat="1" hidden="1">
      <x:c r="A2787" s="184" t="inlineStr">
        <x:is>
          <x:t xml:space="preserve">PLAHDP001003</x:t>
        </x:is>
      </x:c>
      <x:c r="B2787" s="184" t="inlineStr">
        <x:is>
          <x:t xml:space="preserve">PLANCHA HDPE BLANCA 1200X3000X1/4 MMM</x:t>
        </x:is>
      </x:c>
      <x:c r="C2787" s="184" t="n">
        <x:v>0</x:v>
      </x:c>
      <x:c r="D2787" s="184" t="n">
        <x:v>0</x:v>
      </x:c>
      <x:c r="E2787" s="184" t="n">
        <x:v>0</x:v>
      </x:c>
      <x:c r="F2787" s="184" t="n">
        <x:v>0</x:v>
      </x:c>
      <x:c r="G2787" s="184" t="n">
        <x:v>0</x:v>
      </x:c>
      <x:c r="H2787" s="193" t="n">
        <x:v>0</x:v>
      </x:c>
      <x:c r="I2787" s="185" t="n">
        <x:v>0</x:v>
      </x:c>
      <x:c r="J2787" s="185" t="n">
        <x:v>0</x:v>
      </x:c>
      <x:c r="K2787" s="289" t="n">
        <x:v>0</x:v>
      </x:c>
    </x:row>
    <x:row r="2788" s="117" customFormat="1" hidden="1">
      <x:c r="A2788" s="184" t="inlineStr">
        <x:is>
          <x:t xml:space="preserve">PLAHDP001004</x:t>
        </x:is>
      </x:c>
      <x:c r="B2788" s="184" t="inlineStr">
        <x:is>
          <x:t xml:space="preserve">PLANCHA HDPE BLANCA 1200X3000X3/4 MM</x:t>
        </x:is>
      </x:c>
      <x:c r="C2788" s="184" t="n">
        <x:v>0</x:v>
      </x:c>
      <x:c r="D2788" s="184" t="n">
        <x:v>0</x:v>
      </x:c>
      <x:c r="E2788" s="184" t="n">
        <x:v>0</x:v>
      </x:c>
      <x:c r="F2788" s="184" t="n">
        <x:v>0</x:v>
      </x:c>
      <x:c r="G2788" s="184" t="n">
        <x:v>0</x:v>
      </x:c>
      <x:c r="H2788" s="193" t="n">
        <x:v>0</x:v>
      </x:c>
      <x:c r="I2788" s="185" t="n">
        <x:v>0</x:v>
      </x:c>
      <x:c r="J2788" s="185" t="n">
        <x:v>0</x:v>
      </x:c>
      <x:c r="K2788" s="289" t="n">
        <x:v>96564</x:v>
      </x:c>
    </x:row>
    <x:row r="2789" s="117" customFormat="1" hidden="1">
      <x:c r="A2789" s="184" t="inlineStr">
        <x:is>
          <x:t xml:space="preserve">PLAHDP001005</x:t>
        </x:is>
      </x:c>
      <x:c r="B2789" s="184" t="inlineStr">
        <x:is>
          <x:t xml:space="preserve">PLANCHA HDPE BLANCA 1200X3000X5/8 MM</x:t>
        </x:is>
      </x:c>
      <x:c r="C2789" s="184" t="n">
        <x:v>0</x:v>
      </x:c>
      <x:c r="D2789" s="184" t="n">
        <x:v>0</x:v>
      </x:c>
      <x:c r="E2789" s="184" t="n">
        <x:v>0</x:v>
      </x:c>
      <x:c r="F2789" s="184" t="n">
        <x:v>0</x:v>
      </x:c>
      <x:c r="G2789" s="184" t="n">
        <x:v>0</x:v>
      </x:c>
      <x:c r="H2789" s="193" t="n">
        <x:v>0</x:v>
      </x:c>
      <x:c r="I2789" s="185" t="n">
        <x:v>0</x:v>
      </x:c>
      <x:c r="J2789" s="185" t="n">
        <x:v>0</x:v>
      </x:c>
      <x:c r="K2789" s="289" t="n">
        <x:v>251000</x:v>
      </x:c>
    </x:row>
    <x:row r="2790" s="117" customFormat="1" hidden="1">
      <x:c r="A2790" s="184" t="inlineStr">
        <x:is>
          <x:t xml:space="preserve">PLAHDP001006</x:t>
        </x:is>
      </x:c>
      <x:c r="B2790" s="184" t="inlineStr">
        <x:is>
          <x:t xml:space="preserve">PLANCHA HDPE NEGRA 1200X3000X5/8</x:t>
        </x:is>
      </x:c>
      <x:c r="C2790" s="184" t="n">
        <x:v>0</x:v>
      </x:c>
      <x:c r="D2790" s="184" t="n">
        <x:v>0</x:v>
      </x:c>
      <x:c r="E2790" s="184" t="n">
        <x:v>0</x:v>
      </x:c>
      <x:c r="F2790" s="184" t="n">
        <x:v>0</x:v>
      </x:c>
      <x:c r="G2790" s="184" t="n">
        <x:v>0</x:v>
      </x:c>
      <x:c r="H2790" s="193" t="n">
        <x:v>0</x:v>
      </x:c>
      <x:c r="I2790" s="185" t="n">
        <x:v>0</x:v>
      </x:c>
      <x:c r="J2790" s="185" t="n">
        <x:v>0</x:v>
      </x:c>
      <x:c r="K2790" s="289" t="n">
        <x:v>251000</x:v>
      </x:c>
    </x:row>
    <x:row r="2791" s="117" customFormat="1" hidden="1">
      <x:c r="A2791" s="184" t="inlineStr">
        <x:is>
          <x:t xml:space="preserve">PLAHDP001007</x:t>
        </x:is>
      </x:c>
      <x:c r="B2791" s="184" t="inlineStr">
        <x:is>
          <x:t xml:space="preserve">PLANCHA HDPE NEGRA 1200X3000X3/8</x:t>
        </x:is>
      </x:c>
      <x:c r="C2791" s="184" t="n">
        <x:v>0</x:v>
      </x:c>
      <x:c r="D2791" s="184" t="n">
        <x:v>0</x:v>
      </x:c>
      <x:c r="E2791" s="184" t="n">
        <x:v>0</x:v>
      </x:c>
      <x:c r="F2791" s="184" t="n">
        <x:v>0</x:v>
      </x:c>
      <x:c r="G2791" s="184" t="n">
        <x:v>0</x:v>
      </x:c>
      <x:c r="H2791" s="193" t="n">
        <x:v>0</x:v>
      </x:c>
      <x:c r="I2791" s="185" t="n">
        <x:v>0</x:v>
      </x:c>
      <x:c r="J2791" s="185" t="n">
        <x:v>0</x:v>
      </x:c>
      <x:c r="K2791" s="289" t="n">
        <x:v>0</x:v>
      </x:c>
    </x:row>
    <x:row r="2792" s="117" customFormat="1" hidden="1">
      <x:c r="A2792" s="184" t="inlineStr">
        <x:is>
          <x:t xml:space="preserve">PLAHDP001008</x:t>
        </x:is>
      </x:c>
      <x:c r="B2792" s="184" t="inlineStr">
        <x:is>
          <x:t xml:space="preserve">PLANCHA HDPE BLANCA 1200X3000X1/2</x:t>
        </x:is>
      </x:c>
      <x:c r="C2792" s="184" t="n">
        <x:v>0</x:v>
      </x:c>
      <x:c r="D2792" s="184" t="n">
        <x:v>0</x:v>
      </x:c>
      <x:c r="E2792" s="184" t="n">
        <x:v>0</x:v>
      </x:c>
      <x:c r="F2792" s="184" t="n">
        <x:v>0</x:v>
      </x:c>
      <x:c r="G2792" s="184" t="n">
        <x:v>0</x:v>
      </x:c>
      <x:c r="H2792" s="193" t="n">
        <x:v>0</x:v>
      </x:c>
      <x:c r="I2792" s="185" t="n">
        <x:v>0</x:v>
      </x:c>
      <x:c r="J2792" s="185" t="n">
        <x:v>0</x:v>
      </x:c>
      <x:c r="K2792" s="289" t="n">
        <x:v>0</x:v>
      </x:c>
    </x:row>
    <x:row r="2793" s="117" customFormat="1" hidden="1">
      <x:c r="A2793" s="184" t="inlineStr">
        <x:is>
          <x:t xml:space="preserve">PLAHDP001009</x:t>
        </x:is>
      </x:c>
      <x:c r="B2793" s="184" t="inlineStr">
        <x:is>
          <x:t xml:space="preserve">PLANCHA HDPE NEGRA 1200X3000X1/2</x:t>
        </x:is>
      </x:c>
      <x:c r="C2793" s="184" t="n">
        <x:v>0</x:v>
      </x:c>
      <x:c r="D2793" s="184" t="n">
        <x:v>0</x:v>
      </x:c>
      <x:c r="E2793" s="184" t="n">
        <x:v>0</x:v>
      </x:c>
      <x:c r="F2793" s="184" t="n">
        <x:v>0</x:v>
      </x:c>
      <x:c r="G2793" s="184" t="n">
        <x:v>0</x:v>
      </x:c>
      <x:c r="H2793" s="193" t="n">
        <x:v>0</x:v>
      </x:c>
      <x:c r="I2793" s="185" t="n">
        <x:v>0</x:v>
      </x:c>
      <x:c r="J2793" s="185" t="n">
        <x:v>0</x:v>
      </x:c>
      <x:c r="K2793" s="289" t="n">
        <x:v>0</x:v>
      </x:c>
    </x:row>
    <x:row r="2794" s="117" customFormat="1" hidden="1">
      <x:c r="A2794" s="184" t="inlineStr">
        <x:is>
          <x:t xml:space="preserve">PLAHDP001010</x:t>
        </x:is>
      </x:c>
      <x:c r="B2794" s="184" t="inlineStr">
        <x:is>
          <x:t xml:space="preserve">PLANCHA HDPE NEGRA 1200X3000X3/4</x:t>
        </x:is>
      </x:c>
      <x:c r="C2794" s="184" t="n">
        <x:v>0</x:v>
      </x:c>
      <x:c r="D2794" s="184" t="n">
        <x:v>0</x:v>
      </x:c>
      <x:c r="E2794" s="184" t="n">
        <x:v>0</x:v>
      </x:c>
      <x:c r="F2794" s="184" t="n">
        <x:v>0</x:v>
      </x:c>
      <x:c r="G2794" s="184" t="n">
        <x:v>0</x:v>
      </x:c>
      <x:c r="H2794" s="193" t="n">
        <x:v>0</x:v>
      </x:c>
      <x:c r="I2794" s="185" t="n">
        <x:v>0</x:v>
      </x:c>
      <x:c r="J2794" s="185" t="n">
        <x:v>0</x:v>
      </x:c>
      <x:c r="K2794" s="289" t="n">
        <x:v>0</x:v>
      </x:c>
    </x:row>
    <x:row r="2795" s="117" customFormat="1" hidden="1">
      <x:c r="A2795" s="184" t="inlineStr">
        <x:is>
          <x:t xml:space="preserve">PLAHDP001011</x:t>
        </x:is>
      </x:c>
      <x:c r="B2795" s="184" t="inlineStr">
        <x:is>
          <x:t xml:space="preserve">PLANCHA HDPE NEGRA 1200X3000X1 PLG</x:t>
        </x:is>
      </x:c>
      <x:c r="C2795" s="184" t="n">
        <x:v>0</x:v>
      </x:c>
      <x:c r="D2795" s="184" t="n">
        <x:v>0</x:v>
      </x:c>
      <x:c r="E2795" s="184" t="n">
        <x:v>0</x:v>
      </x:c>
      <x:c r="F2795" s="184" t="n">
        <x:v>0</x:v>
      </x:c>
      <x:c r="G2795" s="184" t="n">
        <x:v>0</x:v>
      </x:c>
      <x:c r="H2795" s="193" t="n">
        <x:v>0</x:v>
      </x:c>
      <x:c r="I2795" s="185" t="n">
        <x:v>0</x:v>
      </x:c>
      <x:c r="J2795" s="185" t="n">
        <x:v>0</x:v>
      </x:c>
      <x:c r="K2795" s="289" t="n">
        <x:v>0</x:v>
      </x:c>
    </x:row>
    <x:row r="2796" s="117" customFormat="1" hidden="1">
      <x:c r="A2796" s="184" t="inlineStr">
        <x:is>
          <x:t xml:space="preserve">PLAHDP001012</x:t>
        </x:is>
      </x:c>
      <x:c r="B2796" s="184" t="inlineStr">
        <x:is>
          <x:t xml:space="preserve">PLANCHA DE PE NATURAL 3000X1500X15 MM</x:t>
        </x:is>
      </x:c>
      <x:c r="C2796" s="184" t="n">
        <x:v>0</x:v>
      </x:c>
      <x:c r="D2796" s="184" t="n">
        <x:v>0</x:v>
      </x:c>
      <x:c r="E2796" s="184" t="n">
        <x:v>0</x:v>
      </x:c>
      <x:c r="F2796" s="184" t="n">
        <x:v>0</x:v>
      </x:c>
      <x:c r="G2796" s="184" t="n">
        <x:v>0</x:v>
      </x:c>
      <x:c r="H2796" s="193" t="n">
        <x:v>0</x:v>
      </x:c>
      <x:c r="I2796" s="185" t="n">
        <x:v>0</x:v>
      </x:c>
      <x:c r="J2796" s="185" t="n">
        <x:v>0</x:v>
      </x:c>
      <x:c r="K2796" s="289" t="n">
        <x:v>160000</x:v>
      </x:c>
    </x:row>
    <x:row r="2797" s="117" customFormat="1" hidden="1">
      <x:c r="A2797" s="184" t="inlineStr">
        <x:is>
          <x:t xml:space="preserve">PLAHDP001013</x:t>
        </x:is>
      </x:c>
      <x:c r="B2797" s="184" t="inlineStr">
        <x:is>
          <x:t xml:space="preserve">PLANCHA PE 100 NEGRO 4000 X 2000 X 30 MM</x:t>
        </x:is>
      </x:c>
      <x:c r="C2797" s="184" t="n">
        <x:v>0</x:v>
      </x:c>
      <x:c r="D2797" s="184" t="n">
        <x:v>0</x:v>
      </x:c>
      <x:c r="E2797" s="184" t="n">
        <x:v>0</x:v>
      </x:c>
      <x:c r="F2797" s="184" t="n">
        <x:v>0</x:v>
      </x:c>
      <x:c r="G2797" s="184" t="n">
        <x:v>0</x:v>
      </x:c>
      <x:c r="H2797" s="193" t="n">
        <x:v>0</x:v>
      </x:c>
      <x:c r="I2797" s="185" t="n">
        <x:v>0</x:v>
      </x:c>
      <x:c r="J2797" s="185" t="n">
        <x:v>0</x:v>
      </x:c>
      <x:c r="K2797" s="289" t="n">
        <x:v>555700</x:v>
      </x:c>
    </x:row>
    <x:row r="2798" s="117" customFormat="1" hidden="1">
      <x:c r="A2798" s="184" t="inlineStr">
        <x:is>
          <x:t xml:space="preserve">PLAHDP001014</x:t>
        </x:is>
      </x:c>
      <x:c r="B2798" s="184" t="inlineStr">
        <x:is>
          <x:t xml:space="preserve">PLANCHA HDPE NEGRA 1500X3000X8MM</x:t>
        </x:is>
      </x:c>
      <x:c r="C2798" s="184" t="n">
        <x:v>1</x:v>
      </x:c>
      <x:c r="D2798" s="184" t="n">
        <x:v>0</x:v>
      </x:c>
      <x:c r="E2798" s="184" t="n">
        <x:v>0</x:v>
      </x:c>
      <x:c r="F2798" s="184" t="n">
        <x:v>1</x:v>
      </x:c>
      <x:c r="G2798" s="184" t="n">
        <x:v>144000</x:v>
      </x:c>
      <x:c r="H2798" s="193" t="n">
        <x:v>0</x:v>
      </x:c>
      <x:c r="I2798" s="185" t="n">
        <x:v>0</x:v>
      </x:c>
      <x:c r="J2798" s="185" t="n">
        <x:v>144000</x:v>
      </x:c>
      <x:c r="K2798" s="289" t="n">
        <x:v>144000</x:v>
      </x:c>
    </x:row>
    <x:row r="2799" s="117" customFormat="1" hidden="1">
      <x:c r="A2799" s="184" t="inlineStr">
        <x:is>
          <x:t xml:space="preserve">PLAHDP001015</x:t>
        </x:is>
      </x:c>
      <x:c r="B2799" s="184" t="inlineStr">
        <x:is>
          <x:t xml:space="preserve">PLANCHA HDPE NEGRA 1500X3000X6MM</x:t>
        </x:is>
      </x:c>
      <x:c r="C2799" s="184" t="n">
        <x:v>0</x:v>
      </x:c>
      <x:c r="D2799" s="184" t="n">
        <x:v>0</x:v>
      </x:c>
      <x:c r="E2799" s="184" t="n">
        <x:v>0</x:v>
      </x:c>
      <x:c r="F2799" s="184" t="n">
        <x:v>0</x:v>
      </x:c>
      <x:c r="G2799" s="184" t="n">
        <x:v>0</x:v>
      </x:c>
      <x:c r="H2799" s="193" t="n">
        <x:v>0</x:v>
      </x:c>
      <x:c r="I2799" s="185" t="n">
        <x:v>0</x:v>
      </x:c>
      <x:c r="J2799" s="185" t="n">
        <x:v>0</x:v>
      </x:c>
      <x:c r="K2799" s="289" t="n">
        <x:v>78890</x:v>
      </x:c>
    </x:row>
    <x:row r="2800" s="117" customFormat="1" hidden="1">
      <x:c r="A2800" s="184" t="inlineStr">
        <x:is>
          <x:t xml:space="preserve">PLAHDP001016</x:t>
        </x:is>
      </x:c>
      <x:c r="B2800" s="184" t="inlineStr">
        <x:is>
          <x:t xml:space="preserve">PLANCHA HDPE NEGRA 1500X3000X10MM</x:t>
        </x:is>
      </x:c>
      <x:c r="C2800" s="184" t="n">
        <x:v>0</x:v>
      </x:c>
      <x:c r="D2800" s="184" t="n">
        <x:v>0</x:v>
      </x:c>
      <x:c r="E2800" s="184" t="n">
        <x:v>0</x:v>
      </x:c>
      <x:c r="F2800" s="184" t="n">
        <x:v>0</x:v>
      </x:c>
      <x:c r="G2800" s="184" t="n">
        <x:v>0</x:v>
      </x:c>
      <x:c r="H2800" s="193" t="n">
        <x:v>0</x:v>
      </x:c>
      <x:c r="I2800" s="185" t="n">
        <x:v>0</x:v>
      </x:c>
      <x:c r="J2800" s="185" t="n">
        <x:v>0</x:v>
      </x:c>
      <x:c r="K2800" s="289" t="n">
        <x:v>165029</x:v>
      </x:c>
    </x:row>
    <x:row r="2801" s="117" customFormat="1" hidden="1">
      <x:c r="A2801" s="184" t="inlineStr">
        <x:is>
          <x:t xml:space="preserve">PLAHDP001017</x:t>
        </x:is>
      </x:c>
      <x:c r="B2801" s="184" t="inlineStr">
        <x:is>
          <x:t xml:space="preserve">PLANCHA HDPE NEGRA 1500X3000X12MM</x:t>
        </x:is>
      </x:c>
      <x:c r="C2801" s="184" t="n">
        <x:v>0</x:v>
      </x:c>
      <x:c r="D2801" s="184" t="n">
        <x:v>0</x:v>
      </x:c>
      <x:c r="E2801" s="184" t="n">
        <x:v>0</x:v>
      </x:c>
      <x:c r="F2801" s="184" t="n">
        <x:v>0</x:v>
      </x:c>
      <x:c r="G2801" s="184" t="n">
        <x:v>0</x:v>
      </x:c>
      <x:c r="H2801" s="193" t="n">
        <x:v>0</x:v>
      </x:c>
      <x:c r="I2801" s="185" t="n">
        <x:v>0</x:v>
      </x:c>
      <x:c r="J2801" s="185" t="n">
        <x:v>0</x:v>
      </x:c>
      <x:c r="K2801" s="289" t="n">
        <x:v>0</x:v>
      </x:c>
    </x:row>
    <x:row r="2802" s="117" customFormat="1" hidden="1">
      <x:c r="A2802" s="184" t="inlineStr">
        <x:is>
          <x:t xml:space="preserve">PLAHDP001018</x:t>
        </x:is>
      </x:c>
      <x:c r="B2802" s="184" t="inlineStr">
        <x:is>
          <x:t xml:space="preserve">PLANCHA HDPE NEGRA 1500X3000X15MM</x:t>
        </x:is>
      </x:c>
      <x:c r="C2802" s="184" t="n">
        <x:v>0</x:v>
      </x:c>
      <x:c r="D2802" s="184" t="n">
        <x:v>0</x:v>
      </x:c>
      <x:c r="E2802" s="184" t="n">
        <x:v>0</x:v>
      </x:c>
      <x:c r="F2802" s="184" t="n">
        <x:v>0</x:v>
      </x:c>
      <x:c r="G2802" s="184" t="n">
        <x:v>0</x:v>
      </x:c>
      <x:c r="H2802" s="193" t="n">
        <x:v>0</x:v>
      </x:c>
      <x:c r="I2802" s="185" t="n">
        <x:v>0</x:v>
      </x:c>
      <x:c r="J2802" s="185" t="n">
        <x:v>0</x:v>
      </x:c>
      <x:c r="K2802" s="289" t="n">
        <x:v>219990</x:v>
      </x:c>
    </x:row>
    <x:row r="2803" s="117" customFormat="1" hidden="1">
      <x:c r="A2803" s="184" t="inlineStr">
        <x:is>
          <x:t xml:space="preserve">PLAHDP001019</x:t>
        </x:is>
      </x:c>
      <x:c r="B2803" s="184" t="inlineStr">
        <x:is>
          <x:t xml:space="preserve">PLANCHA HDPE NEGRA 1500X3000X20MM</x:t>
        </x:is>
      </x:c>
      <x:c r="C2803" s="184" t="n">
        <x:v>0</x:v>
      </x:c>
      <x:c r="D2803" s="184" t="n">
        <x:v>0</x:v>
      </x:c>
      <x:c r="E2803" s="184" t="n">
        <x:v>0</x:v>
      </x:c>
      <x:c r="F2803" s="184" t="n">
        <x:v>0</x:v>
      </x:c>
      <x:c r="G2803" s="184" t="n">
        <x:v>0</x:v>
      </x:c>
      <x:c r="H2803" s="193" t="n">
        <x:v>0</x:v>
      </x:c>
      <x:c r="I2803" s="185" t="n">
        <x:v>0</x:v>
      </x:c>
      <x:c r="J2803" s="185" t="n">
        <x:v>0</x:v>
      </x:c>
      <x:c r="K2803" s="289" t="n">
        <x:v>0</x:v>
      </x:c>
    </x:row>
    <x:row r="2804" s="117" customFormat="1" hidden="1">
      <x:c r="A2804" s="184" t="inlineStr">
        <x:is>
          <x:t xml:space="preserve">PLAHDP001020</x:t>
        </x:is>
      </x:c>
      <x:c r="B2804" s="184" t="inlineStr">
        <x:is>
          <x:t xml:space="preserve">PLANCHA HDPE NEGRA 1500X3000X25MM</x:t>
        </x:is>
      </x:c>
      <x:c r="C2804" s="184" t="n">
        <x:v>0</x:v>
      </x:c>
      <x:c r="D2804" s="184" t="n">
        <x:v>0</x:v>
      </x:c>
      <x:c r="E2804" s="184" t="n">
        <x:v>0</x:v>
      </x:c>
      <x:c r="F2804" s="184" t="n">
        <x:v>0</x:v>
      </x:c>
      <x:c r="G2804" s="184" t="n">
        <x:v>0</x:v>
      </x:c>
      <x:c r="H2804" s="193" t="n">
        <x:v>0</x:v>
      </x:c>
      <x:c r="I2804" s="185" t="n">
        <x:v>0</x:v>
      </x:c>
      <x:c r="J2804" s="185" t="n">
        <x:v>0</x:v>
      </x:c>
      <x:c r="K2804" s="289" t="n">
        <x:v>0</x:v>
      </x:c>
    </x:row>
    <x:row r="2805" s="117" customFormat="1" hidden="1">
      <x:c r="A2805" s="184" t="inlineStr">
        <x:is>
          <x:t xml:space="preserve">PLAHDP001021</x:t>
        </x:is>
      </x:c>
      <x:c r="B2805" s="184" t="inlineStr">
        <x:is>
          <x:t xml:space="preserve">PLANCHA HDPE NEGRA 3000 x 1500 x 40MM</x:t>
        </x:is>
      </x:c>
      <x:c r="C2805" s="184" t="n">
        <x:v>0</x:v>
      </x:c>
      <x:c r="D2805" s="184" t="n">
        <x:v>0</x:v>
      </x:c>
      <x:c r="E2805" s="184" t="n">
        <x:v>0</x:v>
      </x:c>
      <x:c r="F2805" s="184" t="n">
        <x:v>0</x:v>
      </x:c>
      <x:c r="G2805" s="184" t="n">
        <x:v>0</x:v>
      </x:c>
      <x:c r="H2805" s="193" t="n">
        <x:v>0</x:v>
      </x:c>
      <x:c r="I2805" s="185" t="n">
        <x:v>0</x:v>
      </x:c>
      <x:c r="J2805" s="185" t="n">
        <x:v>0</x:v>
      </x:c>
      <x:c r="K2805" s="289" t="n">
        <x:v>771350</x:v>
      </x:c>
    </x:row>
    <x:row r="2806" s="117" customFormat="1" hidden="1">
      <x:c r="A2806" s="184" t="inlineStr">
        <x:is>
          <x:t xml:space="preserve">PLAHDP001022</x:t>
        </x:is>
      </x:c>
      <x:c r="B2806" s="184" t="inlineStr">
        <x:is>
          <x:t xml:space="preserve">PLANCHA HDPE NEGRA 3000 x 1500 x 5 MM CON BACKING</x:t>
        </x:is>
      </x:c>
      <x:c r="C2806" s="184" t="n">
        <x:v>1</x:v>
      </x:c>
      <x:c r="D2806" s="184" t="n">
        <x:v>0</x:v>
      </x:c>
      <x:c r="E2806" s="184" t="n">
        <x:v>0</x:v>
      </x:c>
      <x:c r="F2806" s="184" t="n">
        <x:v>1</x:v>
      </x:c>
      <x:c r="G2806" s="184" t="n">
        <x:v>157500</x:v>
      </x:c>
      <x:c r="H2806" s="193" t="n">
        <x:v>0</x:v>
      </x:c>
      <x:c r="I2806" s="185" t="n">
        <x:v>0</x:v>
      </x:c>
      <x:c r="J2806" s="185" t="n">
        <x:v>157500</x:v>
      </x:c>
      <x:c r="K2806" s="289" t="n">
        <x:v>157500</x:v>
      </x:c>
    </x:row>
    <x:row r="2807" s="117" customFormat="1" hidden="1">
      <x:c r="A2807" s="184" t="inlineStr">
        <x:is>
          <x:t xml:space="preserve">PLAPVC001001</x:t>
        </x:is>
      </x:c>
      <x:c r="B2807" s="184" t="inlineStr">
        <x:is>
          <x:t xml:space="preserve">PLANCHA DE PVC 2000X1200X10 MM</x:t>
        </x:is>
      </x:c>
      <x:c r="C2807" s="184" t="n">
        <x:v>0</x:v>
      </x:c>
      <x:c r="D2807" s="184" t="n">
        <x:v>0</x:v>
      </x:c>
      <x:c r="E2807" s="184" t="n">
        <x:v>0</x:v>
      </x:c>
      <x:c r="F2807" s="184" t="n">
        <x:v>0</x:v>
      </x:c>
      <x:c r="G2807" s="184" t="n">
        <x:v>0</x:v>
      </x:c>
      <x:c r="H2807" s="193" t="n">
        <x:v>0</x:v>
      </x:c>
      <x:c r="I2807" s="185" t="n">
        <x:v>0</x:v>
      </x:c>
      <x:c r="J2807" s="185" t="n">
        <x:v>0</x:v>
      </x:c>
      <x:c r="K2807" s="289" t="n">
        <x:v>0</x:v>
      </x:c>
    </x:row>
    <x:row r="2808" s="117" customFormat="1" hidden="1">
      <x:c r="A2808" s="184" t="inlineStr">
        <x:is>
          <x:t xml:space="preserve">PLAPVC001002</x:t>
        </x:is>
      </x:c>
      <x:c r="B2808" s="184" t="inlineStr">
        <x:is>
          <x:t xml:space="preserve">PLANCHA DE PVC 3000X1500X3 MM</x:t>
        </x:is>
      </x:c>
      <x:c r="C2808" s="184" t="n">
        <x:v>0</x:v>
      </x:c>
      <x:c r="D2808" s="184" t="n">
        <x:v>0</x:v>
      </x:c>
      <x:c r="E2808" s="184" t="n">
        <x:v>0</x:v>
      </x:c>
      <x:c r="F2808" s="184" t="n">
        <x:v>0</x:v>
      </x:c>
      <x:c r="G2808" s="184" t="n">
        <x:v>0</x:v>
      </x:c>
      <x:c r="H2808" s="193" t="n">
        <x:v>0</x:v>
      </x:c>
      <x:c r="I2808" s="185" t="n">
        <x:v>0</x:v>
      </x:c>
      <x:c r="J2808" s="185" t="n">
        <x:v>0</x:v>
      </x:c>
      <x:c r="K2808" s="289" t="n">
        <x:v>0</x:v>
      </x:c>
    </x:row>
    <x:row r="2809" s="117" customFormat="1" hidden="1">
      <x:c r="A2809" s="184" t="inlineStr">
        <x:is>
          <x:t xml:space="preserve">PLASUPLIN001</x:t>
        </x:is>
      </x:c>
      <x:c r="B2809" s="184" t="inlineStr">
        <x:is>
          <x:t xml:space="preserve">PLANCHA DE SUPERLINER AZUL(CHINO) 6000X1200X15 MM</x:t>
        </x:is>
      </x:c>
      <x:c r="C2809" s="184" t="n">
        <x:v>0</x:v>
      </x:c>
      <x:c r="D2809" s="184" t="n">
        <x:v>0</x:v>
      </x:c>
      <x:c r="E2809" s="184" t="n">
        <x:v>0</x:v>
      </x:c>
      <x:c r="F2809" s="184" t="n">
        <x:v>0</x:v>
      </x:c>
      <x:c r="G2809" s="184" t="n">
        <x:v>0</x:v>
      </x:c>
      <x:c r="H2809" s="193" t="n">
        <x:v>0</x:v>
      </x:c>
      <x:c r="I2809" s="185" t="n">
        <x:v>0</x:v>
      </x:c>
      <x:c r="J2809" s="185" t="n">
        <x:v>0</x:v>
      </x:c>
      <x:c r="K2809" s="289" t="n">
        <x:v>250000</x:v>
      </x:c>
    </x:row>
    <x:row r="2810" s="117" customFormat="1" hidden="1">
      <x:c r="A2810" s="184" t="inlineStr">
        <x:is>
          <x:t xml:space="preserve">PLASUPLIN002</x:t>
        </x:is>
      </x:c>
      <x:c r="B2810" s="184" t="inlineStr">
        <x:is>
          <x:t xml:space="preserve">PERNOS CAPED BOLT 3/8</x:t>
        </x:is>
      </x:c>
      <x:c r="C2810" s="184" t="n">
        <x:v>1200</x:v>
      </x:c>
      <x:c r="D2810" s="184" t="n">
        <x:v>0</x:v>
      </x:c>
      <x:c r="E2810" s="184" t="n">
        <x:v>0</x:v>
      </x:c>
      <x:c r="F2810" s="184" t="n">
        <x:v>1200</x:v>
      </x:c>
      <x:c r="G2810" s="184" t="n">
        <x:v>1968000</x:v>
      </x:c>
      <x:c r="H2810" s="193" t="n">
        <x:v>0</x:v>
      </x:c>
      <x:c r="I2810" s="185" t="n">
        <x:v>0</x:v>
      </x:c>
      <x:c r="J2810" s="185" t="n">
        <x:v>1968000</x:v>
      </x:c>
      <x:c r="K2810" s="289" t="n">
        <x:v>1640</x:v>
      </x:c>
    </x:row>
    <x:row r="2811" s="117" customFormat="1" hidden="1">
      <x:c r="A2811" s="184" t="inlineStr">
        <x:is>
          <x:t xml:space="preserve">PLASUPLIN003</x:t>
        </x:is>
      </x:c>
      <x:c r="B2811" s="184" t="inlineStr">
        <x:is>
          <x:t xml:space="preserve">PLANCHA TIVAR 88 3000X1200X3/8 PLG</x:t>
        </x:is>
      </x:c>
      <x:c r="C2811" s="184" t="n">
        <x:v>0</x:v>
      </x:c>
      <x:c r="D2811" s="184" t="n">
        <x:v>0</x:v>
      </x:c>
      <x:c r="E2811" s="184" t="n">
        <x:v>0</x:v>
      </x:c>
      <x:c r="F2811" s="184" t="n">
        <x:v>0</x:v>
      </x:c>
      <x:c r="G2811" s="184" t="n">
        <x:v>0</x:v>
      </x:c>
      <x:c r="H2811" s="193" t="n">
        <x:v>0</x:v>
      </x:c>
      <x:c r="I2811" s="185" t="n">
        <x:v>0</x:v>
      </x:c>
      <x:c r="J2811" s="185" t="n">
        <x:v>0</x:v>
      </x:c>
      <x:c r="K2811" s="289" t="n">
        <x:v>0</x:v>
      </x:c>
    </x:row>
    <x:row r="2812" s="117" customFormat="1" hidden="1">
      <x:c r="A2812" s="184" t="inlineStr">
        <x:is>
          <x:t xml:space="preserve">PLASUPLIN004</x:t>
        </x:is>
      </x:c>
      <x:c r="B2812" s="184" t="inlineStr">
        <x:is>
          <x:t xml:space="preserve">PLANCHA TIVAR 88 3000X1200X1/2 PLG</x:t>
        </x:is>
      </x:c>
      <x:c r="C2812" s="184" t="n">
        <x:v>0</x:v>
      </x:c>
      <x:c r="D2812" s="184" t="n">
        <x:v>0</x:v>
      </x:c>
      <x:c r="E2812" s="184" t="n">
        <x:v>0</x:v>
      </x:c>
      <x:c r="F2812" s="184" t="n">
        <x:v>0</x:v>
      </x:c>
      <x:c r="G2812" s="184" t="n">
        <x:v>0</x:v>
      </x:c>
      <x:c r="H2812" s="193" t="n">
        <x:v>0</x:v>
      </x:c>
      <x:c r="I2812" s="185" t="n">
        <x:v>0</x:v>
      </x:c>
      <x:c r="J2812" s="185" t="n">
        <x:v>0</x:v>
      </x:c>
      <x:c r="K2812" s="289" t="n">
        <x:v>0</x:v>
      </x:c>
    </x:row>
    <x:row r="2813" s="117" customFormat="1" hidden="1">
      <x:c r="A2813" s="184" t="inlineStr">
        <x:is>
          <x:t xml:space="preserve">PLASUPLIN005</x:t>
        </x:is>
      </x:c>
      <x:c r="B2813" s="184" t="inlineStr">
        <x:is>
          <x:t xml:space="preserve">PLANCHA SUPERLINER AZUL 1200x3000x1/2</x:t>
        </x:is>
      </x:c>
      <x:c r="C2813" s="184" t="n">
        <x:v>0</x:v>
      </x:c>
      <x:c r="D2813" s="184" t="n">
        <x:v>0</x:v>
      </x:c>
      <x:c r="E2813" s="184" t="n">
        <x:v>0</x:v>
      </x:c>
      <x:c r="F2813" s="184" t="n">
        <x:v>0</x:v>
      </x:c>
      <x:c r="G2813" s="184" t="n">
        <x:v>0</x:v>
      </x:c>
      <x:c r="H2813" s="193" t="n">
        <x:v>0</x:v>
      </x:c>
      <x:c r="I2813" s="185" t="n">
        <x:v>0</x:v>
      </x:c>
      <x:c r="J2813" s="185" t="n">
        <x:v>0</x:v>
      </x:c>
      <x:c r="K2813" s="289" t="n">
        <x:v>280479</x:v>
      </x:c>
    </x:row>
    <x:row r="2814" s="117" customFormat="1" hidden="1">
      <x:c r="A2814" s="184" t="inlineStr">
        <x:is>
          <x:t xml:space="preserve">PLASUPLIN006</x:t>
        </x:is>
      </x:c>
      <x:c r="B2814" s="184" t="inlineStr">
        <x:is>
          <x:t xml:space="preserve">PLANCHA SUPERLINER AZUL 1200x3000x 3/4</x:t>
        </x:is>
      </x:c>
      <x:c r="C2814" s="184" t="n">
        <x:v>2</x:v>
      </x:c>
      <x:c r="D2814" s="184" t="n">
        <x:v>0</x:v>
      </x:c>
      <x:c r="E2814" s="184" t="n">
        <x:v>0</x:v>
      </x:c>
      <x:c r="F2814" s="184" t="n">
        <x:v>2</x:v>
      </x:c>
      <x:c r="G2814" s="184" t="n">
        <x:v>334929</x:v>
      </x:c>
      <x:c r="H2814" s="193" t="n">
        <x:v>0</x:v>
      </x:c>
      <x:c r="I2814" s="185" t="n">
        <x:v>0</x:v>
      </x:c>
      <x:c r="J2814" s="185" t="n">
        <x:v>334929</x:v>
      </x:c>
      <x:c r="K2814" s="289" t="n">
        <x:v>334929</x:v>
      </x:c>
    </x:row>
    <x:row r="2815" s="117" customFormat="1" hidden="1">
      <x:c r="A2815" s="184" t="inlineStr">
        <x:is>
          <x:t xml:space="preserve">PLASUPLIN007</x:t>
        </x:is>
      </x:c>
      <x:c r="B2815" s="184" t="inlineStr">
        <x:is>
          <x:t xml:space="preserve">PLANCHA DE SUPERLINER AZUL (CHINO) 6000 X 1200 X 12 MM</x:t>
        </x:is>
      </x:c>
      <x:c r="C2815" s="184" t="n">
        <x:v>5</x:v>
      </x:c>
      <x:c r="D2815" s="184" t="n">
        <x:v>0</x:v>
      </x:c>
      <x:c r="E2815" s="184" t="n">
        <x:v>0</x:v>
      </x:c>
      <x:c r="F2815" s="184" t="n">
        <x:v>5</x:v>
      </x:c>
      <x:c r="G2815" s="184" t="n">
        <x:v>950000</x:v>
      </x:c>
      <x:c r="H2815" s="193" t="n">
        <x:v>0</x:v>
      </x:c>
      <x:c r="I2815" s="185" t="n">
        <x:v>0</x:v>
      </x:c>
      <x:c r="J2815" s="185" t="n">
        <x:v>950000</x:v>
      </x:c>
      <x:c r="K2815" s="289" t="n">
        <x:v>190000</x:v>
      </x:c>
    </x:row>
    <x:row r="2816" s="117" customFormat="1" hidden="1">
      <x:c r="A2816" s="184" t="inlineStr">
        <x:is>
          <x:t xml:space="preserve">PLASUPLIN008</x:t>
        </x:is>
      </x:c>
      <x:c r="B2816" s="184" t="inlineStr">
        <x:is>
          <x:t xml:space="preserve">PLANCHA DE SUPERLINER AZUL (CHINO) 6000 X 1200 X 19 MM</x:t>
        </x:is>
      </x:c>
      <x:c r="C2816" s="184" t="n">
        <x:v>5</x:v>
      </x:c>
      <x:c r="D2816" s="184" t="n">
        <x:v>0</x:v>
      </x:c>
      <x:c r="E2816" s="184" t="n">
        <x:v>0</x:v>
      </x:c>
      <x:c r="F2816" s="184" t="n">
        <x:v>5</x:v>
      </x:c>
      <x:c r="G2816" s="184" t="n">
        <x:v>1550000</x:v>
      </x:c>
      <x:c r="H2816" s="193" t="n">
        <x:v>0</x:v>
      </x:c>
      <x:c r="I2816" s="185" t="n">
        <x:v>0</x:v>
      </x:c>
      <x:c r="J2816" s="185" t="n">
        <x:v>1550000</x:v>
      </x:c>
      <x:c r="K2816" s="289" t="n">
        <x:v>310000</x:v>
      </x:c>
    </x:row>
    <x:row r="2817" s="117" customFormat="1" hidden="1">
      <x:c r="A2817" s="184" t="inlineStr">
        <x:is>
          <x:t xml:space="preserve">PLASUPLIN009</x:t>
        </x:is>
      </x:c>
      <x:c r="B2817" s="184" t="inlineStr">
        <x:is>
          <x:t xml:space="preserve">PLANCHA DE SUPERLINER AZUL PE-UHMW  3000 X 1200 X 6 MM (1/4PLG)</x:t>
        </x:is>
      </x:c>
      <x:c r="C2817" s="184" t="n">
        <x:v>0</x:v>
      </x:c>
      <x:c r="D2817" s="184" t="n">
        <x:v>0</x:v>
      </x:c>
      <x:c r="E2817" s="184" t="n">
        <x:v>0</x:v>
      </x:c>
      <x:c r="F2817" s="184" t="n">
        <x:v>0</x:v>
      </x:c>
      <x:c r="G2817" s="184" t="n">
        <x:v>0</x:v>
      </x:c>
      <x:c r="H2817" s="193" t="n">
        <x:v>0</x:v>
      </x:c>
      <x:c r="I2817" s="185" t="n">
        <x:v>0</x:v>
      </x:c>
      <x:c r="J2817" s="185" t="n">
        <x:v>0</x:v>
      </x:c>
      <x:c r="K2817" s="289" t="n">
        <x:v>304000</x:v>
      </x:c>
    </x:row>
    <x:row r="2818" s="117" customFormat="1" hidden="1">
      <x:c r="A2818" s="184" t="inlineStr">
        <x:is>
          <x:t xml:space="preserve">PLASUPLIN010</x:t>
        </x:is>
      </x:c>
      <x:c r="B2818" s="184" t="inlineStr">
        <x:is>
          <x:t xml:space="preserve">PLANCHA DE SUPERLINER PE-1000 AZUL  3000 X 1200 X 8 MM (010025851 SIMONA)</x:t>
        </x:is>
      </x:c>
      <x:c r="C2818" s="184" t="n">
        <x:v>0</x:v>
      </x:c>
      <x:c r="D2818" s="184" t="n">
        <x:v>0</x:v>
      </x:c>
      <x:c r="E2818" s="184" t="n">
        <x:v>0</x:v>
      </x:c>
      <x:c r="F2818" s="184" t="n">
        <x:v>0</x:v>
      </x:c>
      <x:c r="G2818" s="184" t="n">
        <x:v>0</x:v>
      </x:c>
      <x:c r="H2818" s="193" t="n">
        <x:v>0</x:v>
      </x:c>
      <x:c r="I2818" s="185" t="n">
        <x:v>0</x:v>
      </x:c>
      <x:c r="J2818" s="185" t="n">
        <x:v>0</x:v>
      </x:c>
      <x:c r="K2818" s="289" t="n">
        <x:v>268247</x:v>
      </x:c>
    </x:row>
    <x:row r="2819" s="117" customFormat="1" hidden="1">
      <x:c r="A2819" s="184" t="inlineStr">
        <x:is>
          <x:t xml:space="preserve">PLASUPLIN011</x:t>
        </x:is>
      </x:c>
      <x:c r="B2819" s="184" t="inlineStr">
        <x:is>
          <x:t xml:space="preserve">PLANCHA PE-1000 SUPERLINING AZUL 3000MM X 1200MM X 10MM  (010025852 SIMONA)</x:t>
        </x:is>
      </x:c>
      <x:c r="C2819" s="184" t="n">
        <x:v>0</x:v>
      </x:c>
      <x:c r="D2819" s="184" t="n">
        <x:v>0</x:v>
      </x:c>
      <x:c r="E2819" s="184" t="n">
        <x:v>0</x:v>
      </x:c>
      <x:c r="F2819" s="184" t="n">
        <x:v>0</x:v>
      </x:c>
      <x:c r="G2819" s="184" t="n">
        <x:v>0</x:v>
      </x:c>
      <x:c r="H2819" s="193" t="n">
        <x:v>0</x:v>
      </x:c>
      <x:c r="I2819" s="185" t="n">
        <x:v>0</x:v>
      </x:c>
      <x:c r="J2819" s="185" t="n">
        <x:v>0</x:v>
      </x:c>
      <x:c r="K2819" s="289" t="n">
        <x:v>317691</x:v>
      </x:c>
    </x:row>
    <x:row r="2820" s="117" customFormat="1" hidden="1">
      <x:c r="A2820" s="184" t="inlineStr">
        <x:is>
          <x:t xml:space="preserve">PLASUPLIN12M</x:t>
        </x:is>
      </x:c>
      <x:c r="B2820" s="184" t="inlineStr">
        <x:is>
          <x:t xml:space="preserve">PLANCHA PE-100 SUPÉRLINING 3000 X 1250 X 12MM -</x:t>
        </x:is>
      </x:c>
      <x:c r="C2820" s="184" t="n">
        <x:v>4</x:v>
      </x:c>
      <x:c r="D2820" s="184" t="n">
        <x:v>0</x:v>
      </x:c>
      <x:c r="E2820" s="184" t="n">
        <x:v>0</x:v>
      </x:c>
      <x:c r="F2820" s="184" t="n">
        <x:v>4</x:v>
      </x:c>
      <x:c r="G2820" s="184" t="n">
        <x:v>865332</x:v>
      </x:c>
      <x:c r="H2820" s="193" t="n">
        <x:v>0</x:v>
      </x:c>
      <x:c r="I2820" s="185" t="n">
        <x:v>0</x:v>
      </x:c>
      <x:c r="J2820" s="185" t="n">
        <x:v>865332</x:v>
      </x:c>
      <x:c r="K2820" s="289" t="n">
        <x:v>216333</x:v>
      </x:c>
    </x:row>
    <x:row r="2821" s="117" customFormat="1" hidden="1">
      <x:c r="A2821" s="184" t="inlineStr">
        <x:is>
          <x:t xml:space="preserve">PLASUPLIN20M</x:t>
        </x:is>
      </x:c>
      <x:c r="B2821" s="184" t="inlineStr">
        <x:is>
          <x:t xml:space="preserve">PLANCHA PE-100 SUPÉRLINING 3000 X 1250 X 20MM -</x:t>
        </x:is>
      </x:c>
      <x:c r="C2821" s="184" t="n">
        <x:v>0</x:v>
      </x:c>
      <x:c r="D2821" s="184" t="n">
        <x:v>0</x:v>
      </x:c>
      <x:c r="E2821" s="184" t="n">
        <x:v>0</x:v>
      </x:c>
      <x:c r="F2821" s="184" t="n">
        <x:v>0</x:v>
      </x:c>
      <x:c r="G2821" s="184" t="n">
        <x:v>0</x:v>
      </x:c>
      <x:c r="H2821" s="193" t="n">
        <x:v>0</x:v>
      </x:c>
      <x:c r="I2821" s="185" t="n">
        <x:v>0</x:v>
      </x:c>
      <x:c r="J2821" s="185" t="n">
        <x:v>0</x:v>
      </x:c>
      <x:c r="K2821" s="289" t="n">
        <x:v>334929</x:v>
      </x:c>
    </x:row>
    <x:row r="2822" s="117" customFormat="1" hidden="1">
      <x:c r="A2822" s="184" t="inlineStr">
        <x:is>
          <x:t xml:space="preserve">PLATEFEXP3MM</x:t>
        </x:is>
      </x:c>
      <x:c r="B2822" s="184" t="inlineStr">
        <x:is>
          <x:t xml:space="preserve">PLANCHA TEFLON EXPANDIDO 60 X 60 X 1/8</x:t>
        </x:is>
      </x:c>
      <x:c r="C2822" s="184" t="n">
        <x:v>0</x:v>
      </x:c>
      <x:c r="D2822" s="184" t="n">
        <x:v>0</x:v>
      </x:c>
      <x:c r="E2822" s="184" t="n">
        <x:v>0</x:v>
      </x:c>
      <x:c r="F2822" s="184" t="n">
        <x:v>0</x:v>
      </x:c>
      <x:c r="G2822" s="184" t="n">
        <x:v>0</x:v>
      </x:c>
      <x:c r="H2822" s="193" t="n">
        <x:v>0</x:v>
      </x:c>
      <x:c r="I2822" s="185" t="n">
        <x:v>0</x:v>
      </x:c>
      <x:c r="J2822" s="185" t="n">
        <x:v>0</x:v>
      </x:c>
      <x:c r="K2822" s="289" t="n">
        <x:v>0</x:v>
      </x:c>
    </x:row>
    <x:row r="2823" s="117" customFormat="1" hidden="1">
      <x:c r="A2823" s="184" t="inlineStr">
        <x:is>
          <x:t xml:space="preserve">PLATEFPUR001</x:t>
        </x:is>
      </x:c>
      <x:c r="B2823" s="184" t="inlineStr">
        <x:is>
          <x:t xml:space="preserve">ROLLO DE TEFLON PURO 0.4 MM X 1000 MM ANCHO ROLLO</x:t>
        </x:is>
      </x:c>
      <x:c r="C2823" s="184" t="n">
        <x:v>1</x:v>
      </x:c>
      <x:c r="D2823" s="184" t="n">
        <x:v>0</x:v>
      </x:c>
      <x:c r="E2823" s="184" t="n">
        <x:v>0</x:v>
      </x:c>
      <x:c r="F2823" s="184" t="n">
        <x:v>1</x:v>
      </x:c>
      <x:c r="G2823" s="184" t="n">
        <x:v>25000</x:v>
      </x:c>
      <x:c r="H2823" s="193" t="n">
        <x:v>0</x:v>
      </x:c>
      <x:c r="I2823" s="185" t="n">
        <x:v>0</x:v>
      </x:c>
      <x:c r="J2823" s="185" t="n">
        <x:v>25000</x:v>
      </x:c>
      <x:c r="K2823" s="289" t="n">
        <x:v>25000</x:v>
      </x:c>
    </x:row>
    <x:row r="2824" s="117" customFormat="1" hidden="1">
      <x:c r="A2824" s="184" t="inlineStr">
        <x:is>
          <x:t xml:space="preserve">PLATEFPUR002</x:t>
        </x:is>
      </x:c>
      <x:c r="B2824" s="184" t="inlineStr">
        <x:is>
          <x:t xml:space="preserve">PLANCHA DE TEFLON PURO 1200 X 1200 X 1/4</x:t>
        </x:is>
      </x:c>
      <x:c r="C2824" s="184" t="n">
        <x:v>2</x:v>
      </x:c>
      <x:c r="D2824" s="184" t="n">
        <x:v>0</x:v>
      </x:c>
      <x:c r="E2824" s="184" t="n">
        <x:v>0</x:v>
      </x:c>
      <x:c r="F2824" s="184" t="n">
        <x:v>2</x:v>
      </x:c>
      <x:c r="G2824" s="184" t="n">
        <x:v>144820</x:v>
      </x:c>
      <x:c r="H2824" s="193" t="n">
        <x:v>0</x:v>
      </x:c>
      <x:c r="I2824" s="185" t="n">
        <x:v>0</x:v>
      </x:c>
      <x:c r="J2824" s="185" t="n">
        <x:v>144820</x:v>
      </x:c>
      <x:c r="K2824" s="289" t="n">
        <x:v>72410</x:v>
      </x:c>
    </x:row>
    <x:row r="2825" s="117" customFormat="1" hidden="1">
      <x:c r="A2825" s="184" t="inlineStr">
        <x:is>
          <x:t xml:space="preserve">PLATEFPUR003</x:t>
        </x:is>
      </x:c>
      <x:c r="B2825" s="184" t="inlineStr">
        <x:is>
          <x:t xml:space="preserve">PLANCHA DE TEFLON PURO 1200 X 1200 X 1/2</x:t>
        </x:is>
      </x:c>
      <x:c r="C2825" s="184" t="n">
        <x:v>0</x:v>
      </x:c>
      <x:c r="D2825" s="184" t="n">
        <x:v>0</x:v>
      </x:c>
      <x:c r="E2825" s="184" t="n">
        <x:v>0</x:v>
      </x:c>
      <x:c r="F2825" s="184" t="n">
        <x:v>0</x:v>
      </x:c>
      <x:c r="G2825" s="184" t="n">
        <x:v>0</x:v>
      </x:c>
      <x:c r="H2825" s="193" t="n">
        <x:v>0</x:v>
      </x:c>
      <x:c r="I2825" s="185" t="n">
        <x:v>0</x:v>
      </x:c>
      <x:c r="J2825" s="185" t="n">
        <x:v>0</x:v>
      </x:c>
      <x:c r="K2825" s="289" t="n">
        <x:v>144820</x:v>
      </x:c>
    </x:row>
    <x:row r="2826" s="117" customFormat="1" hidden="1">
      <x:c r="A2826" s="184" t="inlineStr">
        <x:is>
          <x:t xml:space="preserve">PLATEFPUR004</x:t>
        </x:is>
      </x:c>
      <x:c r="B2826" s="184" t="inlineStr">
        <x:is>
          <x:t xml:space="preserve">PLANCHA DE TEFLON PURO 500X500X1/2</x:t>
        </x:is>
      </x:c>
      <x:c r="C2826" s="184" t="n">
        <x:v>0</x:v>
      </x:c>
      <x:c r="D2826" s="184" t="n">
        <x:v>0</x:v>
      </x:c>
      <x:c r="E2826" s="184" t="n">
        <x:v>0</x:v>
      </x:c>
      <x:c r="F2826" s="184" t="n">
        <x:v>0</x:v>
      </x:c>
      <x:c r="G2826" s="184" t="n">
        <x:v>0</x:v>
      </x:c>
      <x:c r="H2826" s="193" t="n">
        <x:v>0</x:v>
      </x:c>
      <x:c r="I2826" s="185" t="n">
        <x:v>0</x:v>
      </x:c>
      <x:c r="J2826" s="185" t="n">
        <x:v>0</x:v>
      </x:c>
      <x:c r="K2826" s="289" t="n">
        <x:v>170600</x:v>
      </x:c>
    </x:row>
    <x:row r="2827" s="117" customFormat="1" hidden="1">
      <x:c r="A2827" s="184" t="inlineStr">
        <x:is>
          <x:t xml:space="preserve">PPBBARDIN001</x:t>
        </x:is>
      </x:c>
      <x:c r="B2827" s="184" t="inlineStr">
        <x:is>
          <x:t xml:space="preserve">BARRA POLIPROPILENO DIAM.100MM X 1000 MM LGO</x:t>
        </x:is>
      </x:c>
      <x:c r="C2827" s="184" t="n">
        <x:v>14.5</x:v>
      </x:c>
      <x:c r="D2827" s="184" t="n">
        <x:v>0</x:v>
      </x:c>
      <x:c r="E2827" s="184" t="n">
        <x:v>0</x:v>
      </x:c>
      <x:c r="F2827" s="184" t="n">
        <x:v>14.5</x:v>
      </x:c>
      <x:c r="G2827" s="184" t="n">
        <x:v>53839</x:v>
      </x:c>
      <x:c r="H2827" s="193" t="n">
        <x:v>0</x:v>
      </x:c>
      <x:c r="I2827" s="185" t="n">
        <x:v>0</x:v>
      </x:c>
      <x:c r="J2827" s="185" t="n">
        <x:v>53839</x:v>
      </x:c>
      <x:c r="K2827" s="289" t="n">
        <x:v>3713</x:v>
      </x:c>
    </x:row>
    <x:row r="2828" s="117" customFormat="1" hidden="1">
      <x:c r="A2828" s="184" t="inlineStr">
        <x:is>
          <x:t xml:space="preserve">PPBBARDIN002</x:t>
        </x:is>
      </x:c>
      <x:c r="B2828" s="184" t="inlineStr">
        <x:is>
          <x:t xml:space="preserve">BARRA DE POLIPROPILENO DIAMETRO 200</x:t>
        </x:is>
      </x:c>
      <x:c r="C2828" s="184" t="n">
        <x:v>0</x:v>
      </x:c>
      <x:c r="D2828" s="184" t="n">
        <x:v>0</x:v>
      </x:c>
      <x:c r="E2828" s="184" t="n">
        <x:v>0</x:v>
      </x:c>
      <x:c r="F2828" s="184" t="n">
        <x:v>0</x:v>
      </x:c>
      <x:c r="G2828" s="184" t="n">
        <x:v>0</x:v>
      </x:c>
      <x:c r="H2828" s="193" t="n">
        <x:v>0</x:v>
      </x:c>
      <x:c r="I2828" s="185" t="n">
        <x:v>0</x:v>
      </x:c>
      <x:c r="J2828" s="185" t="n">
        <x:v>0</x:v>
      </x:c>
      <x:c r="K2828" s="289" t="n">
        <x:v>164840</x:v>
      </x:c>
    </x:row>
    <x:row r="2829" s="117" customFormat="1" hidden="1">
      <x:c r="A2829" s="184" t="inlineStr">
        <x:is>
          <x:t xml:space="preserve">PPBBARDIN003</x:t>
        </x:is>
      </x:c>
      <x:c r="B2829" s="184" t="inlineStr">
        <x:is>
          <x:t xml:space="preserve">PP BARRA DIAM. 140 MM X 1000 MM LGO</x:t>
        </x:is>
      </x:c>
      <x:c r="C2829" s="184" t="n">
        <x:v>0</x:v>
      </x:c>
      <x:c r="D2829" s="184" t="n">
        <x:v>0</x:v>
      </x:c>
      <x:c r="E2829" s="184" t="n">
        <x:v>0</x:v>
      </x:c>
      <x:c r="F2829" s="184" t="n">
        <x:v>0</x:v>
      </x:c>
      <x:c r="G2829" s="184" t="n">
        <x:v>0</x:v>
      </x:c>
      <x:c r="H2829" s="193" t="n">
        <x:v>0</x:v>
      </x:c>
      <x:c r="I2829" s="185" t="n">
        <x:v>0</x:v>
      </x:c>
      <x:c r="J2829" s="185" t="n">
        <x:v>0</x:v>
      </x:c>
      <x:c r="K2829" s="289" t="n">
        <x:v>3713</x:v>
      </x:c>
    </x:row>
    <x:row r="2830" s="117" customFormat="1" hidden="1">
      <x:c r="A2830" s="184" t="inlineStr">
        <x:is>
          <x:t xml:space="preserve">PPBBARDIN004</x:t>
        </x:is>
      </x:c>
      <x:c r="B2830" s="184" t="inlineStr">
        <x:is>
          <x:t xml:space="preserve">PP BARRA DIAM. 35 MM X 1000 MM LGO</x:t>
        </x:is>
      </x:c>
      <x:c r="C2830" s="184" t="n">
        <x:v>0</x:v>
      </x:c>
      <x:c r="D2830" s="184" t="n">
        <x:v>0</x:v>
      </x:c>
      <x:c r="E2830" s="184" t="n">
        <x:v>0</x:v>
      </x:c>
      <x:c r="F2830" s="184" t="n">
        <x:v>0</x:v>
      </x:c>
      <x:c r="G2830" s="184" t="n">
        <x:v>0</x:v>
      </x:c>
      <x:c r="H2830" s="193" t="n">
        <x:v>0</x:v>
      </x:c>
      <x:c r="I2830" s="185" t="n">
        <x:v>0</x:v>
      </x:c>
      <x:c r="J2830" s="185" t="n">
        <x:v>0</x:v>
      </x:c>
      <x:c r="K2830" s="289" t="n">
        <x:v>5738</x:v>
      </x:c>
    </x:row>
    <x:row r="2831" s="117" customFormat="1" hidden="1">
      <x:c r="A2831" s="184" t="inlineStr">
        <x:is>
          <x:t xml:space="preserve">PPBBARDIN005</x:t>
        </x:is>
      </x:c>
      <x:c r="B2831" s="184" t="inlineStr">
        <x:is>
          <x:t xml:space="preserve">PP BARRA DIAM. 40 MM X 1000 MM LGO</x:t>
        </x:is>
      </x:c>
      <x:c r="C2831" s="184" t="n">
        <x:v>0</x:v>
      </x:c>
      <x:c r="D2831" s="184" t="n">
        <x:v>0</x:v>
      </x:c>
      <x:c r="E2831" s="184" t="n">
        <x:v>0</x:v>
      </x:c>
      <x:c r="F2831" s="184" t="n">
        <x:v>0</x:v>
      </x:c>
      <x:c r="G2831" s="184" t="n">
        <x:v>0</x:v>
      </x:c>
      <x:c r="H2831" s="193" t="n">
        <x:v>0</x:v>
      </x:c>
      <x:c r="I2831" s="185" t="n">
        <x:v>0</x:v>
      </x:c>
      <x:c r="J2831" s="185" t="n">
        <x:v>0</x:v>
      </x:c>
      <x:c r="K2831" s="289" t="n">
        <x:v>7481</x:v>
      </x:c>
    </x:row>
    <x:row r="2832" s="117" customFormat="1" hidden="1">
      <x:c r="A2832" s="184" t="inlineStr">
        <x:is>
          <x:t xml:space="preserve">PPBBARDIN006</x:t>
        </x:is>
      </x:c>
      <x:c r="B2832" s="184" t="inlineStr">
        <x:is>
          <x:t xml:space="preserve">PP BARRA DIAM. 50 MM X 1000 MM LGO</x:t>
        </x:is>
      </x:c>
      <x:c r="C2832" s="184" t="n">
        <x:v>0</x:v>
      </x:c>
      <x:c r="D2832" s="184" t="n">
        <x:v>0</x:v>
      </x:c>
      <x:c r="E2832" s="184" t="n">
        <x:v>0</x:v>
      </x:c>
      <x:c r="F2832" s="184" t="n">
        <x:v>0</x:v>
      </x:c>
      <x:c r="G2832" s="184" t="n">
        <x:v>0</x:v>
      </x:c>
      <x:c r="H2832" s="193" t="n">
        <x:v>0</x:v>
      </x:c>
      <x:c r="I2832" s="185" t="n">
        <x:v>0</x:v>
      </x:c>
      <x:c r="J2832" s="185" t="n">
        <x:v>0</x:v>
      </x:c>
      <x:c r="K2832" s="289" t="n">
        <x:v>11075</x:v>
      </x:c>
    </x:row>
    <x:row r="2833" s="117" customFormat="1" hidden="1">
      <x:c r="A2833" s="184" t="inlineStr">
        <x:is>
          <x:t xml:space="preserve">PPBBARDIN007</x:t>
        </x:is>
      </x:c>
      <x:c r="B2833" s="184" t="inlineStr">
        <x:is>
          <x:t xml:space="preserve">PP BARRA DIAM. 80 MM X 1000 MM LGO</x:t>
        </x:is>
      </x:c>
      <x:c r="C2833" s="184" t="n">
        <x:v>100</x:v>
      </x:c>
      <x:c r="D2833" s="184" t="n">
        <x:v>0</x:v>
      </x:c>
      <x:c r="E2833" s="184" t="n">
        <x:v>0</x:v>
      </x:c>
      <x:c r="F2833" s="184" t="n">
        <x:v>100</x:v>
      </x:c>
      <x:c r="G2833" s="184" t="n">
        <x:v>2781506</x:v>
      </x:c>
      <x:c r="H2833" s="193" t="n">
        <x:v>0</x:v>
      </x:c>
      <x:c r="I2833" s="185" t="n">
        <x:v>0</x:v>
      </x:c>
      <x:c r="J2833" s="185" t="n">
        <x:v>2781506</x:v>
      </x:c>
      <x:c r="K2833" s="289" t="n">
        <x:v>27815.05589837</x:v>
      </x:c>
    </x:row>
    <x:row r="2834" s="117" customFormat="1" hidden="1">
      <x:c r="A2834" s="184" t="inlineStr">
        <x:is>
          <x:t xml:space="preserve">PPBBARDIN008</x:t>
        </x:is>
      </x:c>
      <x:c r="B2834" s="184" t="inlineStr">
        <x:is>
          <x:t xml:space="preserve">11800016010 - PP BARRA DIAM. 160 MM X 1000 MM LGO</x:t>
        </x:is>
      </x:c>
      <x:c r="C2834" s="184" t="n">
        <x:v>22</x:v>
      </x:c>
      <x:c r="D2834" s="184" t="n">
        <x:v>0</x:v>
      </x:c>
      <x:c r="E2834" s="184" t="n">
        <x:v>0</x:v>
      </x:c>
      <x:c r="F2834" s="184" t="n">
        <x:v>22</x:v>
      </x:c>
      <x:c r="G2834" s="184" t="n">
        <x:v>2504974</x:v>
      </x:c>
      <x:c r="H2834" s="193" t="n">
        <x:v>0</x:v>
      </x:c>
      <x:c r="I2834" s="185" t="n">
        <x:v>0</x:v>
      </x:c>
      <x:c r="J2834" s="185" t="n">
        <x:v>2504974</x:v>
      </x:c>
      <x:c r="K2834" s="289" t="n">
        <x:v>113862.41809428</x:v>
      </x:c>
    </x:row>
    <x:row r="2835" s="117" customFormat="1" hidden="1">
      <x:c r="A2835" s="184" t="inlineStr">
        <x:is>
          <x:t xml:space="preserve">PPBBARDIN009</x:t>
        </x:is>
      </x:c>
      <x:c r="B2835" s="184" t="inlineStr">
        <x:is>
          <x:t xml:space="preserve">11800011010 - PP BARRA DIAM. 110 MM X 2000 MM LGO</x:t>
        </x:is>
      </x:c>
      <x:c r="C2835" s="184" t="n">
        <x:v>1</x:v>
      </x:c>
      <x:c r="D2835" s="184" t="n">
        <x:v>0</x:v>
      </x:c>
      <x:c r="E2835" s="184" t="n">
        <x:v>0</x:v>
      </x:c>
      <x:c r="F2835" s="184" t="n">
        <x:v>1</x:v>
      </x:c>
      <x:c r="G2835" s="184" t="n">
        <x:v>65444</x:v>
      </x:c>
      <x:c r="H2835" s="193" t="n">
        <x:v>0</x:v>
      </x:c>
      <x:c r="I2835" s="185" t="n">
        <x:v>0</x:v>
      </x:c>
      <x:c r="J2835" s="185" t="n">
        <x:v>65444</x:v>
      </x:c>
      <x:c r="K2835" s="289" t="n">
        <x:v>65443.33</x:v>
      </x:c>
    </x:row>
    <x:row r="2836" s="117" customFormat="1" hidden="1">
      <x:c r="A2836" s="184" t="inlineStr">
        <x:is>
          <x:t xml:space="preserve">PPBBARDIN010</x:t>
        </x:is>
      </x:c>
      <x:c r="B2836" s="184" t="inlineStr">
        <x:is>
          <x:t xml:space="preserve">11800018010 - PP BARRA DIAM. 180 MM X 1000 MM LGO</x:t>
        </x:is>
      </x:c>
      <x:c r="C2836" s="184" t="n">
        <x:v>0</x:v>
      </x:c>
      <x:c r="D2836" s="184" t="n">
        <x:v>0</x:v>
      </x:c>
      <x:c r="E2836" s="184" t="n">
        <x:v>0</x:v>
      </x:c>
      <x:c r="F2836" s="184" t="n">
        <x:v>0</x:v>
      </x:c>
      <x:c r="G2836" s="184" t="n">
        <x:v>0</x:v>
      </x:c>
      <x:c r="H2836" s="193" t="n">
        <x:v>0</x:v>
      </x:c>
      <x:c r="I2836" s="185" t="n">
        <x:v>0</x:v>
      </x:c>
      <x:c r="J2836" s="185" t="n">
        <x:v>0</x:v>
      </x:c>
      <x:c r="K2836" s="289" t="n">
        <x:v>0</x:v>
      </x:c>
    </x:row>
    <x:row r="2837" s="117" customFormat="1" hidden="1">
      <x:c r="A2837" s="184" t="inlineStr">
        <x:is>
          <x:t xml:space="preserve">PPBBARDIN011</x:t>
        </x:is>
      </x:c>
      <x:c r="B2837" s="184" t="inlineStr">
        <x:is>
          <x:t xml:space="preserve">11800020010 - PP BARRA DIAM. 200 MM X 1000 MM LGO</x:t>
        </x:is>
      </x:c>
      <x:c r="C2837" s="184" t="n">
        <x:v>0</x:v>
      </x:c>
      <x:c r="D2837" s="184" t="n">
        <x:v>0</x:v>
      </x:c>
      <x:c r="E2837" s="184" t="n">
        <x:v>0</x:v>
      </x:c>
      <x:c r="F2837" s="184" t="n">
        <x:v>0</x:v>
      </x:c>
      <x:c r="G2837" s="184" t="n">
        <x:v>0</x:v>
      </x:c>
      <x:c r="H2837" s="193" t="n">
        <x:v>0</x:v>
      </x:c>
      <x:c r="I2837" s="185" t="n">
        <x:v>0</x:v>
      </x:c>
      <x:c r="J2837" s="185" t="n">
        <x:v>0</x:v>
      </x:c>
      <x:c r="K2837" s="289" t="n">
        <x:v>216590.8</x:v>
      </x:c>
    </x:row>
    <x:row r="2838" s="117" customFormat="1" hidden="1">
      <x:c r="A2838" s="184" t="inlineStr">
        <x:is>
          <x:t xml:space="preserve">PPBBARDIN020</x:t>
        </x:is>
      </x:c>
      <x:c r="B2838" s="184" t="inlineStr">
        <x:is>
          <x:t xml:space="preserve">11800025010 - PP BARRA DIAM. 250 MM X 1000 MM LGO</x:t>
        </x:is>
      </x:c>
      <x:c r="C2838" s="184" t="n">
        <x:v>0</x:v>
      </x:c>
      <x:c r="D2838" s="184" t="n">
        <x:v>0</x:v>
      </x:c>
      <x:c r="E2838" s="184" t="n">
        <x:v>0</x:v>
      </x:c>
      <x:c r="F2838" s="184" t="n">
        <x:v>0</x:v>
      </x:c>
      <x:c r="G2838" s="184" t="n">
        <x:v>1</x:v>
      </x:c>
      <x:c r="H2838" s="193" t="n">
        <x:v>0</x:v>
      </x:c>
      <x:c r="I2838" s="185" t="n">
        <x:v>0</x:v>
      </x:c>
      <x:c r="J2838" s="185" t="n">
        <x:v>1</x:v>
      </x:c>
      <x:c r="K2838" s="289" t="n">
        <x:v>398349</x:v>
      </x:c>
    </x:row>
    <x:row r="2839" s="117" customFormat="1" hidden="1">
      <x:c r="A2839" s="184" t="inlineStr">
        <x:is>
          <x:t xml:space="preserve">PPBBARDIN025</x:t>
        </x:is>
      </x:c>
      <x:c r="B2839" s="184" t="inlineStr">
        <x:is>
          <x:t xml:space="preserve">11800030010 - PP BARRA DIAM. 300 MM X 1000 MM LGO</x:t>
        </x:is>
      </x:c>
      <x:c r="C2839" s="184" t="n">
        <x:v>5.2</x:v>
      </x:c>
      <x:c r="D2839" s="184" t="n">
        <x:v>0</x:v>
      </x:c>
      <x:c r="E2839" s="184" t="n">
        <x:v>0</x:v>
      </x:c>
      <x:c r="F2839" s="184" t="n">
        <x:v>5.2</x:v>
      </x:c>
      <x:c r="G2839" s="184" t="n">
        <x:v>2809441</x:v>
      </x:c>
      <x:c r="H2839" s="193" t="n">
        <x:v>0</x:v>
      </x:c>
      <x:c r="I2839" s="185" t="n">
        <x:v>0</x:v>
      </x:c>
      <x:c r="J2839" s="185" t="n">
        <x:v>2809441</x:v>
      </x:c>
      <x:c r="K2839" s="289" t="n">
        <x:v>540277.25</x:v>
      </x:c>
    </x:row>
    <x:row r="2840" s="117" customFormat="1" hidden="1">
      <x:c r="A2840" s="184" t="inlineStr">
        <x:is>
          <x:t xml:space="preserve">PPBBARDIN026</x:t>
        </x:is>
      </x:c>
      <x:c r="B2840" s="184" t="inlineStr">
        <x:is>
          <x:t xml:space="preserve">11800002510 - PP BARRA DIAM. 25 MM X 1000 MM LGO</x:t>
        </x:is>
      </x:c>
      <x:c r="C2840" s="184" t="n">
        <x:v>0</x:v>
      </x:c>
      <x:c r="D2840" s="184" t="n">
        <x:v>0</x:v>
      </x:c>
      <x:c r="E2840" s="184" t="n">
        <x:v>0</x:v>
      </x:c>
      <x:c r="F2840" s="184" t="n">
        <x:v>0</x:v>
      </x:c>
      <x:c r="G2840" s="184" t="n">
        <x:v>0</x:v>
      </x:c>
      <x:c r="H2840" s="193" t="n">
        <x:v>0</x:v>
      </x:c>
      <x:c r="I2840" s="185" t="n">
        <x:v>0</x:v>
      </x:c>
      <x:c r="J2840" s="185" t="n">
        <x:v>0</x:v>
      </x:c>
      <x:c r="K2840" s="289" t="n">
        <x:v>3616</x:v>
      </x:c>
    </x:row>
    <x:row r="2841" s="117" customFormat="1" hidden="1">
      <x:c r="A2841" s="184" t="inlineStr">
        <x:is>
          <x:t xml:space="preserve">PPBBARDIN027</x:t>
        </x:is>
      </x:c>
      <x:c r="B2841" s="184" t="inlineStr">
        <x:is>
          <x:t xml:space="preserve">11800004510 - PP BARRA DIAM. 45 MM X 1000 MM LGO</x:t>
        </x:is>
      </x:c>
      <x:c r="C2841" s="184" t="n">
        <x:v>0</x:v>
      </x:c>
      <x:c r="D2841" s="184" t="n">
        <x:v>0</x:v>
      </x:c>
      <x:c r="E2841" s="184" t="n">
        <x:v>0</x:v>
      </x:c>
      <x:c r="F2841" s="184" t="n">
        <x:v>0</x:v>
      </x:c>
      <x:c r="G2841" s="184" t="n">
        <x:v>0</x:v>
      </x:c>
      <x:c r="H2841" s="193" t="n">
        <x:v>0</x:v>
      </x:c>
      <x:c r="I2841" s="185" t="n">
        <x:v>0</x:v>
      </x:c>
      <x:c r="J2841" s="185" t="n">
        <x:v>0</x:v>
      </x:c>
      <x:c r="K2841" s="289" t="n">
        <x:v>11385</x:v>
      </x:c>
    </x:row>
    <x:row r="2842" s="117" customFormat="1" hidden="1">
      <x:c r="A2842" s="184" t="inlineStr">
        <x:is>
          <x:t xml:space="preserve">PPBBARDIN028</x:t>
        </x:is>
      </x:c>
      <x:c r="B2842" s="184" t="inlineStr">
        <x:is>
          <x:t xml:space="preserve">11800031510 - PP BARRA DIAM. 315 MM X 1000 MM LGO</x:t>
        </x:is>
      </x:c>
      <x:c r="C2842" s="184" t="n">
        <x:v>0</x:v>
      </x:c>
      <x:c r="D2842" s="184" t="n">
        <x:v>0</x:v>
      </x:c>
      <x:c r="E2842" s="184" t="n">
        <x:v>0</x:v>
      </x:c>
      <x:c r="F2842" s="184" t="n">
        <x:v>0</x:v>
      </x:c>
      <x:c r="G2842" s="184" t="n">
        <x:v>0</x:v>
      </x:c>
      <x:c r="H2842" s="193" t="n">
        <x:v>0</x:v>
      </x:c>
      <x:c r="I2842" s="185" t="n">
        <x:v>0</x:v>
      </x:c>
      <x:c r="J2842" s="185" t="n">
        <x:v>0</x:v>
      </x:c>
      <x:c r="K2842" s="289" t="n">
        <x:v>562839.75</x:v>
      </x:c>
    </x:row>
    <x:row r="2843" s="117" customFormat="1" hidden="1">
      <x:c r="A2843" s="184" t="inlineStr">
        <x:is>
          <x:t xml:space="preserve">PPBBARDIN029</x:t>
        </x:is>
      </x:c>
      <x:c r="B2843" s="184" t="inlineStr">
        <x:is>
          <x:t xml:space="preserve">PP BARRA DE 300MM  DIA. X 1450 MM LGO POLIPROPILENO</x:t>
        </x:is>
      </x:c>
      <x:c r="C2843" s="184" t="n">
        <x:v>21</x:v>
      </x:c>
      <x:c r="D2843" s="184" t="n">
        <x:v>0</x:v>
      </x:c>
      <x:c r="E2843" s="184" t="n">
        <x:v>0</x:v>
      </x:c>
      <x:c r="F2843" s="184" t="n">
        <x:v>21</x:v>
      </x:c>
      <x:c r="G2843" s="184" t="n">
        <x:v>14358792</x:v>
      </x:c>
      <x:c r="H2843" s="193" t="n">
        <x:v>0</x:v>
      </x:c>
      <x:c r="I2843" s="185" t="n">
        <x:v>0</x:v>
      </x:c>
      <x:c r="J2843" s="185" t="n">
        <x:v>14358792</x:v>
      </x:c>
      <x:c r="K2843" s="289" t="n">
        <x:v>683752</x:v>
      </x:c>
    </x:row>
    <x:row r="2844" s="117" customFormat="1" hidden="1">
      <x:c r="A2844" s="184" t="inlineStr">
        <x:is>
          <x:t xml:space="preserve">PPBBARDIN35M</x:t>
        </x:is>
      </x:c>
      <x:c r="B2844" s="184" t="inlineStr">
        <x:is>
          <x:t xml:space="preserve">BARRA MACIZA PP-H AlphaPlus. GRIS 35MM SEGÚN DIN-</x:t>
        </x:is>
      </x:c>
      <x:c r="C2844" s="184" t="n">
        <x:v>0</x:v>
      </x:c>
      <x:c r="D2844" s="184" t="n">
        <x:v>0</x:v>
      </x:c>
      <x:c r="E2844" s="184" t="n">
        <x:v>0</x:v>
      </x:c>
      <x:c r="F2844" s="184" t="n">
        <x:v>0</x:v>
      </x:c>
      <x:c r="G2844" s="184" t="n">
        <x:v>0</x:v>
      </x:c>
      <x:c r="H2844" s="193" t="n">
        <x:v>0</x:v>
      </x:c>
      <x:c r="I2844" s="185" t="n">
        <x:v>0</x:v>
      </x:c>
      <x:c r="J2844" s="185" t="n">
        <x:v>0</x:v>
      </x:c>
      <x:c r="K2844" s="289" t="n">
        <x:v>6009</x:v>
      </x:c>
    </x:row>
    <x:row r="2845" s="117" customFormat="1" hidden="1">
      <x:c r="A2845" s="184" t="inlineStr">
        <x:is>
          <x:t xml:space="preserve">PPBBARDIN45M</x:t>
        </x:is>
      </x:c>
      <x:c r="B2845" s="184" t="inlineStr">
        <x:is>
          <x:t xml:space="preserve">BARRA MACIZA PP-H AlphaPlus. GRIS 45MM SEGÚN DIN-</x:t>
        </x:is>
      </x:c>
      <x:c r="C2845" s="184" t="n">
        <x:v>0</x:v>
      </x:c>
      <x:c r="D2845" s="184" t="n">
        <x:v>0</x:v>
      </x:c>
      <x:c r="E2845" s="184" t="n">
        <x:v>0</x:v>
      </x:c>
      <x:c r="F2845" s="184" t="n">
        <x:v>0</x:v>
      </x:c>
      <x:c r="G2845" s="184" t="n">
        <x:v>0</x:v>
      </x:c>
      <x:c r="H2845" s="193" t="n">
        <x:v>0</x:v>
      </x:c>
      <x:c r="I2845" s="185" t="n">
        <x:v>0</x:v>
      </x:c>
      <x:c r="J2845" s="185" t="n">
        <x:v>0</x:v>
      </x:c>
      <x:c r="K2845" s="289" t="n">
        <x:v>3173</x:v>
      </x:c>
    </x:row>
    <x:row r="2846" s="117" customFormat="1" hidden="1">
      <x:c r="A2846" s="184" t="inlineStr">
        <x:is>
          <x:t xml:space="preserve">PPBBARDINA01</x:t>
        </x:is>
      </x:c>
      <x:c r="B2846" s="184" t="inlineStr">
        <x:is>
          <x:t xml:space="preserve">BARRA PP DIM 160MM X 300 M RETAZOSM LGO</x:t>
        </x:is>
      </x:c>
      <x:c r="C2846" s="184" t="n">
        <x:v>0</x:v>
      </x:c>
      <x:c r="D2846" s="184" t="n">
        <x:v>4</x:v>
      </x:c>
      <x:c r="E2846" s="184" t="n">
        <x:v>0</x:v>
      </x:c>
      <x:c r="F2846" s="184" t="n">
        <x:v>4</x:v>
      </x:c>
      <x:c r="G2846" s="184" t="n">
        <x:v>0</x:v>
      </x:c>
      <x:c r="H2846" s="193" t="n">
        <x:v>88812</x:v>
      </x:c>
      <x:c r="I2846" s="185" t="n">
        <x:v>0</x:v>
      </x:c>
      <x:c r="J2846" s="185" t="n">
        <x:v>88812</x:v>
      </x:c>
      <x:c r="K2846" s="289" t="n">
        <x:v>22203</x:v>
      </x:c>
    </x:row>
    <x:row r="2847" s="117" customFormat="1" hidden="1">
      <x:c r="A2847" s="184" t="inlineStr">
        <x:is>
          <x:t xml:space="preserve">PPC45GS11001</x:t>
        </x:is>
      </x:c>
      <x:c r="B2847" s="184" t="inlineStr">
        <x:is>
          <x:t xml:space="preserve">CODO POLIPROPILENO 45 GRD 90 SDR11</x:t>
        </x:is>
      </x:c>
      <x:c r="C2847" s="184" t="n">
        <x:v>5</x:v>
      </x:c>
      <x:c r="D2847" s="184" t="n">
        <x:v>0</x:v>
      </x:c>
      <x:c r="E2847" s="184" t="n">
        <x:v>0</x:v>
      </x:c>
      <x:c r="F2847" s="184" t="n">
        <x:v>5</x:v>
      </x:c>
      <x:c r="G2847" s="184" t="n">
        <x:v>10780</x:v>
      </x:c>
      <x:c r="H2847" s="193" t="n">
        <x:v>0</x:v>
      </x:c>
      <x:c r="I2847" s="185" t="n">
        <x:v>0</x:v>
      </x:c>
      <x:c r="J2847" s="185" t="n">
        <x:v>10780</x:v>
      </x:c>
      <x:c r="K2847" s="289" t="n">
        <x:v>2156</x:v>
      </x:c>
    </x:row>
    <x:row r="2848" s="117" customFormat="1" hidden="1">
      <x:c r="A2848" s="184" t="inlineStr">
        <x:is>
          <x:t xml:space="preserve">PPC45GS11110</x:t>
        </x:is>
      </x:c>
      <x:c r="B2848" s="184" t="inlineStr">
        <x:is>
          <x:t xml:space="preserve">PP-CODO45-110X9.9SDR11</x:t>
        </x:is>
      </x:c>
      <x:c r="C2848" s="184" t="n">
        <x:v>10</x:v>
      </x:c>
      <x:c r="D2848" s="184" t="n">
        <x:v>0</x:v>
      </x:c>
      <x:c r="E2848" s="184" t="n">
        <x:v>0</x:v>
      </x:c>
      <x:c r="F2848" s="184" t="n">
        <x:v>10</x:v>
      </x:c>
      <x:c r="G2848" s="184" t="n">
        <x:v>146145</x:v>
      </x:c>
      <x:c r="H2848" s="193" t="n">
        <x:v>0</x:v>
      </x:c>
      <x:c r="I2848" s="185" t="n">
        <x:v>0</x:v>
      </x:c>
      <x:c r="J2848" s="185" t="n">
        <x:v>146145</x:v>
      </x:c>
      <x:c r="K2848" s="289" t="n">
        <x:v>14614.5</x:v>
      </x:c>
    </x:row>
    <x:row r="2849" s="117" customFormat="1" hidden="1">
      <x:c r="A2849" s="184" t="inlineStr">
        <x:is>
          <x:t xml:space="preserve">PPC45GS17002</x:t>
        </x:is>
      </x:c>
      <x:c r="B2849" s="184" t="inlineStr">
        <x:is>
          <x:t xml:space="preserve">CODO POLIPROPILENO 250X14.8 SDR 17</x:t>
        </x:is>
      </x:c>
      <x:c r="C2849" s="184" t="n">
        <x:v>0</x:v>
      </x:c>
      <x:c r="D2849" s="184" t="n">
        <x:v>0</x:v>
      </x:c>
      <x:c r="E2849" s="184" t="n">
        <x:v>0</x:v>
      </x:c>
      <x:c r="F2849" s="184" t="n">
        <x:v>0</x:v>
      </x:c>
      <x:c r="G2849" s="184" t="n">
        <x:v>0</x:v>
      </x:c>
      <x:c r="H2849" s="193" t="n">
        <x:v>0</x:v>
      </x:c>
      <x:c r="I2849" s="185" t="n">
        <x:v>0</x:v>
      </x:c>
      <x:c r="J2849" s="185" t="n">
        <x:v>0</x:v>
      </x:c>
      <x:c r="K2849" s="289" t="n">
        <x:v>21946</x:v>
      </x:c>
    </x:row>
    <x:row r="2850" s="117" customFormat="1" hidden="1">
      <x:c r="A2850" s="184" t="inlineStr">
        <x:is>
          <x:t xml:space="preserve">PPC45GS17090</x:t>
        </x:is>
      </x:c>
      <x:c r="B2850" s="184" t="inlineStr">
        <x:is>
          <x:t xml:space="preserve">PP-CODO45- 90 X 5.4 SDR17</x:t>
        </x:is>
      </x:c>
      <x:c r="C2850" s="184" t="n">
        <x:v>19</x:v>
      </x:c>
      <x:c r="D2850" s="184" t="n">
        <x:v>0</x:v>
      </x:c>
      <x:c r="E2850" s="184" t="n">
        <x:v>0</x:v>
      </x:c>
      <x:c r="F2850" s="184" t="n">
        <x:v>19</x:v>
      </x:c>
      <x:c r="G2850" s="184" t="n">
        <x:v>122158</x:v>
      </x:c>
      <x:c r="H2850" s="193" t="n">
        <x:v>0</x:v>
      </x:c>
      <x:c r="I2850" s="185" t="n">
        <x:v>0</x:v>
      </x:c>
      <x:c r="J2850" s="185" t="n">
        <x:v>122158</x:v>
      </x:c>
      <x:c r="K2850" s="289" t="n">
        <x:v>6429.38703704</x:v>
      </x:c>
    </x:row>
    <x:row r="2851" s="117" customFormat="1" hidden="1">
      <x:c r="A2851" s="184" t="inlineStr">
        <x:is>
          <x:t xml:space="preserve">PPC45GS17250</x:t>
        </x:is>
      </x:c>
      <x:c r="B2851" s="184" t="inlineStr">
        <x:is>
          <x:t xml:space="preserve">PP-CODO45-250X14.8SDR17</x:t>
        </x:is>
      </x:c>
      <x:c r="C2851" s="184" t="n">
        <x:v>8</x:v>
      </x:c>
      <x:c r="D2851" s="184" t="n">
        <x:v>0</x:v>
      </x:c>
      <x:c r="E2851" s="184" t="n">
        <x:v>0</x:v>
      </x:c>
      <x:c r="F2851" s="184" t="n">
        <x:v>8</x:v>
      </x:c>
      <x:c r="G2851" s="184" t="n">
        <x:v>175568</x:v>
      </x:c>
      <x:c r="H2851" s="193" t="n">
        <x:v>0</x:v>
      </x:c>
      <x:c r="I2851" s="185" t="n">
        <x:v>0</x:v>
      </x:c>
      <x:c r="J2851" s="185" t="n">
        <x:v>175568</x:v>
      </x:c>
      <x:c r="K2851" s="289" t="n">
        <x:v>21946</x:v>
      </x:c>
    </x:row>
    <x:row r="2852" s="117" customFormat="1" hidden="1">
      <x:c r="A2852" s="184" t="inlineStr">
        <x:is>
          <x:t xml:space="preserve">PPC45GS17500</x:t>
        </x:is>
      </x:c>
      <x:c r="B2852" s="184" t="inlineStr">
        <x:is>
          <x:t xml:space="preserve">PP-CODO45-  500MM X 28,3 SDR17 PPGRIS (300MM)</x:t>
        </x:is>
      </x:c>
      <x:c r="C2852" s="184" t="n">
        <x:v>10</x:v>
      </x:c>
      <x:c r="D2852" s="184" t="n">
        <x:v>0</x:v>
      </x:c>
      <x:c r="E2852" s="184" t="n">
        <x:v>0</x:v>
      </x:c>
      <x:c r="F2852" s="184" t="n">
        <x:v>10</x:v>
      </x:c>
      <x:c r="G2852" s="184" t="n">
        <x:v>12785731</x:v>
      </x:c>
      <x:c r="H2852" s="193" t="n">
        <x:v>0</x:v>
      </x:c>
      <x:c r="I2852" s="185" t="n">
        <x:v>0</x:v>
      </x:c>
      <x:c r="J2852" s="185" t="n">
        <x:v>12785731</x:v>
      </x:c>
      <x:c r="K2852" s="289" t="n">
        <x:v>1278573.11</x:v>
      </x:c>
    </x:row>
    <x:row r="2853" s="117" customFormat="1" hidden="1">
      <x:c r="A2853" s="184" t="inlineStr">
        <x:is>
          <x:t xml:space="preserve">PPC45GS33250</x:t>
        </x:is>
      </x:c>
      <x:c r="B2853" s="184" t="inlineStr">
        <x:is>
          <x:t xml:space="preserve">PP-CODO45-250MM X 7.7- SDR33 (300MM)</x:t>
        </x:is>
      </x:c>
      <x:c r="C2853" s="184" t="n">
        <x:v>22</x:v>
      </x:c>
      <x:c r="D2853" s="184" t="n">
        <x:v>0</x:v>
      </x:c>
      <x:c r="E2853" s="184" t="n">
        <x:v>0</x:v>
      </x:c>
      <x:c r="F2853" s="184" t="n">
        <x:v>22</x:v>
      </x:c>
      <x:c r="G2853" s="184" t="n">
        <x:v>6261602</x:v>
      </x:c>
      <x:c r="H2853" s="193" t="n">
        <x:v>0</x:v>
      </x:c>
      <x:c r="I2853" s="185" t="n">
        <x:v>0</x:v>
      </x:c>
      <x:c r="J2853" s="185" t="n">
        <x:v>6261602</x:v>
      </x:c>
      <x:c r="K2853" s="289" t="n">
        <x:v>284618.29</x:v>
      </x:c>
    </x:row>
    <x:row r="2854" s="117" customFormat="1" hidden="1">
      <x:c r="A2854" s="184" t="inlineStr">
        <x:is>
          <x:t xml:space="preserve">PPC45GS33400</x:t>
        </x:is>
      </x:c>
      <x:c r="B2854" s="184" t="inlineStr">
        <x:is>
          <x:t xml:space="preserve">PP-CODO45-400MM X 12.3 SDR33 (300MM)</x:t>
        </x:is>
      </x:c>
      <x:c r="C2854" s="184" t="n">
        <x:v>8</x:v>
      </x:c>
      <x:c r="D2854" s="184" t="n">
        <x:v>0</x:v>
      </x:c>
      <x:c r="E2854" s="184" t="n">
        <x:v>0</x:v>
      </x:c>
      <x:c r="F2854" s="184" t="n">
        <x:v>8</x:v>
      </x:c>
      <x:c r="G2854" s="184" t="n">
        <x:v>4759825</x:v>
      </x:c>
      <x:c r="H2854" s="193" t="n">
        <x:v>0</x:v>
      </x:c>
      <x:c r="I2854" s="185" t="n">
        <x:v>0</x:v>
      </x:c>
      <x:c r="J2854" s="185" t="n">
        <x:v>4759825</x:v>
      </x:c>
      <x:c r="K2854" s="289" t="n">
        <x:v>594978.0699999999</x:v>
      </x:c>
    </x:row>
    <x:row r="2855" s="117" customFormat="1" hidden="1">
      <x:c r="A2855" s="184" t="inlineStr">
        <x:is>
          <x:t xml:space="preserve">PPC90G0FP63X</x:t>
        </x:is>
      </x:c>
      <x:c r="B2855" s="184" t="inlineStr">
        <x:is>
          <x:t xml:space="preserve">PP-CODO90-63X10FP</x:t>
        </x:is>
      </x:c>
      <x:c r="C2855" s="184" t="n">
        <x:v>0</x:v>
      </x:c>
      <x:c r="D2855" s="184" t="n">
        <x:v>0</x:v>
      </x:c>
      <x:c r="E2855" s="184" t="n">
        <x:v>0</x:v>
      </x:c>
      <x:c r="F2855" s="184" t="n">
        <x:v>0</x:v>
      </x:c>
      <x:c r="G2855" s="184" t="n">
        <x:v>0</x:v>
      </x:c>
      <x:c r="H2855" s="193" t="n">
        <x:v>0</x:v>
      </x:c>
      <x:c r="I2855" s="185" t="n">
        <x:v>0</x:v>
      </x:c>
      <x:c r="J2855" s="185" t="n">
        <x:v>0</x:v>
      </x:c>
      <x:c r="K2855" s="289" t="n">
        <x:v>0</x:v>
      </x:c>
    </x:row>
    <x:row r="2856" s="117" customFormat="1" hidden="1">
      <x:c r="A2856" s="184" t="inlineStr">
        <x:is>
          <x:t xml:space="preserve">PPC90GS11110</x:t>
        </x:is>
      </x:c>
      <x:c r="B2856" s="184" t="inlineStr">
        <x:is>
          <x:t xml:space="preserve">PP-CODO90-110X10SDR11</x:t>
        </x:is>
      </x:c>
      <x:c r="C2856" s="184" t="n">
        <x:v>85</x:v>
      </x:c>
      <x:c r="D2856" s="184" t="n">
        <x:v>0</x:v>
      </x:c>
      <x:c r="E2856" s="184" t="n">
        <x:v>0</x:v>
      </x:c>
      <x:c r="F2856" s="184" t="n">
        <x:v>85</x:v>
      </x:c>
      <x:c r="G2856" s="184" t="n">
        <x:v>1223065</x:v>
      </x:c>
      <x:c r="H2856" s="193" t="n">
        <x:v>0</x:v>
      </x:c>
      <x:c r="I2856" s="185" t="n">
        <x:v>0</x:v>
      </x:c>
      <x:c r="J2856" s="185" t="n">
        <x:v>1223065</x:v>
      </x:c>
      <x:c r="K2856" s="289" t="n">
        <x:v>14389</x:v>
      </x:c>
    </x:row>
    <x:row r="2857" s="117" customFormat="1" hidden="1">
      <x:c r="A2857" s="184" t="inlineStr">
        <x:is>
          <x:t xml:space="preserve">PPC90GS11140</x:t>
        </x:is>
      </x:c>
      <x:c r="B2857" s="184" t="inlineStr">
        <x:is>
          <x:t xml:space="preserve">PP-CODO90-140X12.8SDR11</x:t>
        </x:is>
      </x:c>
      <x:c r="C2857" s="184" t="n">
        <x:v>32</x:v>
      </x:c>
      <x:c r="D2857" s="184" t="n">
        <x:v>0</x:v>
      </x:c>
      <x:c r="E2857" s="184" t="n">
        <x:v>0</x:v>
      </x:c>
      <x:c r="F2857" s="184" t="n">
        <x:v>32</x:v>
      </x:c>
      <x:c r="G2857" s="184" t="n">
        <x:v>659200</x:v>
      </x:c>
      <x:c r="H2857" s="193" t="n">
        <x:v>0</x:v>
      </x:c>
      <x:c r="I2857" s="185" t="n">
        <x:v>0</x:v>
      </x:c>
      <x:c r="J2857" s="185" t="n">
        <x:v>659200</x:v>
      </x:c>
      <x:c r="K2857" s="289" t="n">
        <x:v>20600</x:v>
      </x:c>
    </x:row>
    <x:row r="2858" s="117" customFormat="1" hidden="1">
      <x:c r="A2858" s="184" t="inlineStr">
        <x:is>
          <x:t xml:space="preserve">PPC90GS11160</x:t>
        </x:is>
      </x:c>
      <x:c r="B2858" s="184" t="inlineStr">
        <x:is>
          <x:t xml:space="preserve">PP-CODO90-160X14.6SDR11</x:t>
        </x:is>
      </x:c>
      <x:c r="C2858" s="184" t="n">
        <x:v>23</x:v>
      </x:c>
      <x:c r="D2858" s="184" t="n">
        <x:v>0</x:v>
      </x:c>
      <x:c r="E2858" s="184" t="n">
        <x:v>0</x:v>
      </x:c>
      <x:c r="F2858" s="184" t="n">
        <x:v>23</x:v>
      </x:c>
      <x:c r="G2858" s="184" t="n">
        <x:v>634800</x:v>
      </x:c>
      <x:c r="H2858" s="193" t="n">
        <x:v>0</x:v>
      </x:c>
      <x:c r="I2858" s="185" t="n">
        <x:v>0</x:v>
      </x:c>
      <x:c r="J2858" s="185" t="n">
        <x:v>634800</x:v>
      </x:c>
      <x:c r="K2858" s="289" t="n">
        <x:v>27600</x:v>
      </x:c>
    </x:row>
    <x:row r="2859" s="117" customFormat="1" hidden="1">
      <x:c r="A2859" s="184" t="inlineStr">
        <x:is>
          <x:t xml:space="preserve">PPC90GS11200</x:t>
        </x:is>
      </x:c>
      <x:c r="B2859" s="184" t="inlineStr">
        <x:is>
          <x:t xml:space="preserve">PP-CODO90-200X18.2SDR11</x:t>
        </x:is>
      </x:c>
      <x:c r="C2859" s="184" t="n">
        <x:v>13</x:v>
      </x:c>
      <x:c r="D2859" s="184" t="n">
        <x:v>0</x:v>
      </x:c>
      <x:c r="E2859" s="184" t="n">
        <x:v>0</x:v>
      </x:c>
      <x:c r="F2859" s="184" t="n">
        <x:v>13</x:v>
      </x:c>
      <x:c r="G2859" s="184" t="n">
        <x:v>282932</x:v>
      </x:c>
      <x:c r="H2859" s="193" t="n">
        <x:v>0</x:v>
      </x:c>
      <x:c r="I2859" s="185" t="n">
        <x:v>0</x:v>
      </x:c>
      <x:c r="J2859" s="185" t="n">
        <x:v>282932</x:v>
      </x:c>
      <x:c r="K2859" s="289" t="n">
        <x:v>21764</x:v>
      </x:c>
    </x:row>
    <x:row r="2860" s="117" customFormat="1" hidden="1">
      <x:c r="A2860" s="184" t="inlineStr">
        <x:is>
          <x:t xml:space="preserve">PPC90GS11250</x:t>
        </x:is>
      </x:c>
      <x:c r="B2860" s="184" t="inlineStr">
        <x:is>
          <x:t xml:space="preserve">PP-CODO90-250X22.7SDR11</x:t>
        </x:is>
      </x:c>
      <x:c r="C2860" s="184" t="n">
        <x:v>9</x:v>
      </x:c>
      <x:c r="D2860" s="184" t="n">
        <x:v>0</x:v>
      </x:c>
      <x:c r="E2860" s="184" t="n">
        <x:v>0</x:v>
      </x:c>
      <x:c r="F2860" s="184" t="n">
        <x:v>9</x:v>
      </x:c>
      <x:c r="G2860" s="184" t="n">
        <x:v>688500</x:v>
      </x:c>
      <x:c r="H2860" s="193" t="n">
        <x:v>0</x:v>
      </x:c>
      <x:c r="I2860" s="185" t="n">
        <x:v>0</x:v>
      </x:c>
      <x:c r="J2860" s="185" t="n">
        <x:v>688500</x:v>
      </x:c>
      <x:c r="K2860" s="289" t="n">
        <x:v>76500</x:v>
      </x:c>
    </x:row>
    <x:row r="2861" s="117" customFormat="1" hidden="1">
      <x:c r="A2861" s="184" t="inlineStr">
        <x:is>
          <x:t xml:space="preserve">PPC90GS11315</x:t>
        </x:is>
      </x:c>
      <x:c r="B2861" s="184" t="inlineStr">
        <x:is>
          <x:t xml:space="preserve">PP-CODO90-315X28.6SDR11</x:t>
        </x:is>
      </x:c>
      <x:c r="C2861" s="184" t="n">
        <x:v>5</x:v>
      </x:c>
      <x:c r="D2861" s="184" t="n">
        <x:v>0</x:v>
      </x:c>
      <x:c r="E2861" s="184" t="n">
        <x:v>0</x:v>
      </x:c>
      <x:c r="F2861" s="184" t="n">
        <x:v>5</x:v>
      </x:c>
      <x:c r="G2861" s="184" t="n">
        <x:v>283480</x:v>
      </x:c>
      <x:c r="H2861" s="193" t="n">
        <x:v>0</x:v>
      </x:c>
      <x:c r="I2861" s="185" t="n">
        <x:v>0</x:v>
      </x:c>
      <x:c r="J2861" s="185" t="n">
        <x:v>283480</x:v>
      </x:c>
      <x:c r="K2861" s="289" t="n">
        <x:v>56696</x:v>
      </x:c>
    </x:row>
    <x:row r="2862" s="117" customFormat="1" hidden="1">
      <x:c r="A2862" s="184" t="inlineStr">
        <x:is>
          <x:t xml:space="preserve">PPC90GS1132X</x:t>
        </x:is>
      </x:c>
      <x:c r="B2862" s="184" t="inlineStr">
        <x:is>
          <x:t xml:space="preserve">PP-CODO 90-32X3.7SDR11</x:t>
        </x:is>
      </x:c>
      <x:c r="C2862" s="184" t="n">
        <x:v>11</x:v>
      </x:c>
      <x:c r="D2862" s="184" t="n">
        <x:v>0</x:v>
      </x:c>
      <x:c r="E2862" s="184" t="n">
        <x:v>0</x:v>
      </x:c>
      <x:c r="F2862" s="184" t="n">
        <x:v>11</x:v>
      </x:c>
      <x:c r="G2862" s="184" t="n">
        <x:v>16500</x:v>
      </x:c>
      <x:c r="H2862" s="193" t="n">
        <x:v>0</x:v>
      </x:c>
      <x:c r="I2862" s="185" t="n">
        <x:v>0</x:v>
      </x:c>
      <x:c r="J2862" s="185" t="n">
        <x:v>16500</x:v>
      </x:c>
      <x:c r="K2862" s="289" t="n">
        <x:v>1500</x:v>
      </x:c>
    </x:row>
    <x:row r="2863" s="117" customFormat="1" hidden="1">
      <x:c r="A2863" s="184" t="inlineStr">
        <x:is>
          <x:t xml:space="preserve">PPC90GS1140X</x:t>
        </x:is>
      </x:c>
      <x:c r="B2863" s="184" t="inlineStr">
        <x:is>
          <x:t xml:space="preserve">PP-CODO90-40X3.7SDR11</x:t>
        </x:is>
      </x:c>
      <x:c r="C2863" s="184" t="n">
        <x:v>40</x:v>
      </x:c>
      <x:c r="D2863" s="184" t="n">
        <x:v>0</x:v>
      </x:c>
      <x:c r="E2863" s="184" t="n">
        <x:v>0</x:v>
      </x:c>
      <x:c r="F2863" s="184" t="n">
        <x:v>40</x:v>
      </x:c>
      <x:c r="G2863" s="184" t="n">
        <x:v>64000</x:v>
      </x:c>
      <x:c r="H2863" s="193" t="n">
        <x:v>0</x:v>
      </x:c>
      <x:c r="I2863" s="185" t="n">
        <x:v>0</x:v>
      </x:c>
      <x:c r="J2863" s="185" t="n">
        <x:v>64000</x:v>
      </x:c>
      <x:c r="K2863" s="289" t="n">
        <x:v>1600</x:v>
      </x:c>
    </x:row>
    <x:row r="2864" s="117" customFormat="1" hidden="1">
      <x:c r="A2864" s="184" t="inlineStr">
        <x:is>
          <x:t xml:space="preserve">PPC90GS1150X</x:t>
        </x:is>
      </x:c>
      <x:c r="B2864" s="184" t="inlineStr">
        <x:is>
          <x:t xml:space="preserve">PP-CODO90-50X4.6SDR11</x:t>
        </x:is>
      </x:c>
      <x:c r="C2864" s="184" t="n">
        <x:v>15</x:v>
      </x:c>
      <x:c r="D2864" s="184" t="n">
        <x:v>0</x:v>
      </x:c>
      <x:c r="E2864" s="184" t="n">
        <x:v>0</x:v>
      </x:c>
      <x:c r="F2864" s="184" t="n">
        <x:v>15</x:v>
      </x:c>
      <x:c r="G2864" s="184" t="n">
        <x:v>38637</x:v>
      </x:c>
      <x:c r="H2864" s="193" t="n">
        <x:v>0</x:v>
      </x:c>
      <x:c r="I2864" s="185" t="n">
        <x:v>0</x:v>
      </x:c>
      <x:c r="J2864" s="185" t="n">
        <x:v>38637</x:v>
      </x:c>
      <x:c r="K2864" s="289" t="n">
        <x:v>2575.87</x:v>
      </x:c>
    </x:row>
    <x:row r="2865" s="117" customFormat="1" hidden="1">
      <x:c r="A2865" s="184" t="inlineStr">
        <x:is>
          <x:t xml:space="preserve">PPC90GS1163X</x:t>
        </x:is>
      </x:c>
      <x:c r="B2865" s="184" t="inlineStr">
        <x:is>
          <x:t xml:space="preserve">PP-CODO90-63X5.8SDR11</x:t>
        </x:is>
      </x:c>
      <x:c r="C2865" s="184" t="n">
        <x:v>5</x:v>
      </x:c>
      <x:c r="D2865" s="184" t="n">
        <x:v>0</x:v>
      </x:c>
      <x:c r="E2865" s="184" t="n">
        <x:v>0</x:v>
      </x:c>
      <x:c r="F2865" s="184" t="n">
        <x:v>5</x:v>
      </x:c>
      <x:c r="G2865" s="184" t="n">
        <x:v>65515</x:v>
      </x:c>
      <x:c r="H2865" s="193" t="n">
        <x:v>0</x:v>
      </x:c>
      <x:c r="I2865" s="185" t="n">
        <x:v>0</x:v>
      </x:c>
      <x:c r="J2865" s="185" t="n">
        <x:v>65515</x:v>
      </x:c>
      <x:c r="K2865" s="289" t="n">
        <x:v>13103</x:v>
      </x:c>
    </x:row>
    <x:row r="2866" s="117" customFormat="1" hidden="1">
      <x:c r="A2866" s="184" t="inlineStr">
        <x:is>
          <x:t xml:space="preserve">PPC90GS1175X</x:t>
        </x:is>
      </x:c>
      <x:c r="B2866" s="184" t="inlineStr">
        <x:is>
          <x:t xml:space="preserve">PP-CODO90-75X6.9SDR11</x:t>
        </x:is>
      </x:c>
      <x:c r="C2866" s="184" t="n">
        <x:v>10</x:v>
      </x:c>
      <x:c r="D2866" s="184" t="n">
        <x:v>0</x:v>
      </x:c>
      <x:c r="E2866" s="184" t="n">
        <x:v>0</x:v>
      </x:c>
      <x:c r="F2866" s="184" t="n">
        <x:v>10</x:v>
      </x:c>
      <x:c r="G2866" s="184" t="n">
        <x:v>43000</x:v>
      </x:c>
      <x:c r="H2866" s="193" t="n">
        <x:v>0</x:v>
      </x:c>
      <x:c r="I2866" s="185" t="n">
        <x:v>0</x:v>
      </x:c>
      <x:c r="J2866" s="185" t="n">
        <x:v>43000</x:v>
      </x:c>
      <x:c r="K2866" s="289" t="n">
        <x:v>4300</x:v>
      </x:c>
    </x:row>
    <x:row r="2867" s="117" customFormat="1" hidden="1">
      <x:c r="A2867" s="184" t="inlineStr">
        <x:is>
          <x:t xml:space="preserve">PPC90GS1190X</x:t>
        </x:is>
      </x:c>
      <x:c r="B2867" s="184" t="inlineStr">
        <x:is>
          <x:t xml:space="preserve">PP-CODO90-90X8.2SDR11</x:t>
        </x:is>
      </x:c>
      <x:c r="C2867" s="184" t="n">
        <x:v>9</x:v>
      </x:c>
      <x:c r="D2867" s="184" t="n">
        <x:v>0</x:v>
      </x:c>
      <x:c r="E2867" s="184" t="n">
        <x:v>0</x:v>
      </x:c>
      <x:c r="F2867" s="184" t="n">
        <x:v>9</x:v>
      </x:c>
      <x:c r="G2867" s="184" t="n">
        <x:v>73800</x:v>
      </x:c>
      <x:c r="H2867" s="193" t="n">
        <x:v>0</x:v>
      </x:c>
      <x:c r="I2867" s="185" t="n">
        <x:v>0</x:v>
      </x:c>
      <x:c r="J2867" s="185" t="n">
        <x:v>73800</x:v>
      </x:c>
      <x:c r="K2867" s="289" t="n">
        <x:v>8200</x:v>
      </x:c>
    </x:row>
    <x:row r="2868" s="117" customFormat="1" hidden="1">
      <x:c r="A2868" s="184" t="inlineStr">
        <x:is>
          <x:t xml:space="preserve">PPC90GS11E01</x:t>
        </x:is>
      </x:c>
      <x:c r="B2868" s="184" t="inlineStr">
        <x:is>
          <x:t xml:space="preserve">HDPE CODO 90 ELECTROFUSION 110 SDR11 PE100 AGUA 16BAR</x:t>
        </x:is>
      </x:c>
      <x:c r="C2868" s="184" t="n">
        <x:v>15</x:v>
      </x:c>
      <x:c r="D2868" s="184" t="n">
        <x:v>0</x:v>
      </x:c>
      <x:c r="E2868" s="184" t="n">
        <x:v>0</x:v>
      </x:c>
      <x:c r="F2868" s="184" t="n">
        <x:v>15</x:v>
      </x:c>
      <x:c r="G2868" s="184" t="n">
        <x:v>351000</x:v>
      </x:c>
      <x:c r="H2868" s="193" t="n">
        <x:v>0</x:v>
      </x:c>
      <x:c r="I2868" s="185" t="n">
        <x:v>0</x:v>
      </x:c>
      <x:c r="J2868" s="185" t="n">
        <x:v>351000</x:v>
      </x:c>
      <x:c r="K2868" s="289" t="n">
        <x:v>23400</x:v>
      </x:c>
    </x:row>
    <x:row r="2869" s="117" customFormat="1" hidden="1">
      <x:c r="A2869" s="184" t="inlineStr">
        <x:is>
          <x:t xml:space="preserve">PPC90GS17110</x:t>
        </x:is>
      </x:c>
      <x:c r="B2869" s="184" t="inlineStr">
        <x:is>
          <x:t xml:space="preserve">PP-CODO90-110X6.6SDR17</x:t>
        </x:is>
      </x:c>
      <x:c r="C2869" s="184" t="n">
        <x:v>9</x:v>
      </x:c>
      <x:c r="D2869" s="184" t="n">
        <x:v>0</x:v>
      </x:c>
      <x:c r="E2869" s="184" t="n">
        <x:v>0</x:v>
      </x:c>
      <x:c r="F2869" s="184" t="n">
        <x:v>9</x:v>
      </x:c>
      <x:c r="G2869" s="184" t="n">
        <x:v>208489</x:v>
      </x:c>
      <x:c r="H2869" s="193" t="n">
        <x:v>0</x:v>
      </x:c>
      <x:c r="I2869" s="185" t="n">
        <x:v>0</x:v>
      </x:c>
      <x:c r="J2869" s="185" t="n">
        <x:v>208489</x:v>
      </x:c>
      <x:c r="K2869" s="289" t="n">
        <x:v>23165.58573717</x:v>
      </x:c>
    </x:row>
    <x:row r="2870" s="117" customFormat="1" hidden="1">
      <x:c r="A2870" s="184" t="inlineStr">
        <x:is>
          <x:t xml:space="preserve">PPC90GS17125</x:t>
        </x:is>
      </x:c>
      <x:c r="B2870" s="184" t="inlineStr">
        <x:is>
          <x:t xml:space="preserve">PP-CODO90-125X7.4SDR17</x:t>
        </x:is>
      </x:c>
      <x:c r="C2870" s="184" t="n">
        <x:v>5</x:v>
      </x:c>
      <x:c r="D2870" s="184" t="n">
        <x:v>0</x:v>
      </x:c>
      <x:c r="E2870" s="184" t="n">
        <x:v>0</x:v>
      </x:c>
      <x:c r="F2870" s="184" t="n">
        <x:v>5</x:v>
      </x:c>
      <x:c r="G2870" s="184" t="n">
        <x:v>105000</x:v>
      </x:c>
      <x:c r="H2870" s="193" t="n">
        <x:v>0</x:v>
      </x:c>
      <x:c r="I2870" s="185" t="n">
        <x:v>0</x:v>
      </x:c>
      <x:c r="J2870" s="185" t="n">
        <x:v>105000</x:v>
      </x:c>
      <x:c r="K2870" s="289" t="n">
        <x:v>21000</x:v>
      </x:c>
    </x:row>
    <x:row r="2871" s="117" customFormat="1" hidden="1">
      <x:c r="A2871" s="184" t="inlineStr">
        <x:is>
          <x:t xml:space="preserve">PPC90GS17160</x:t>
        </x:is>
      </x:c>
      <x:c r="B2871" s="184" t="inlineStr">
        <x:is>
          <x:t xml:space="preserve">PP-CODO90-160X9.5SDR17</x:t>
        </x:is>
      </x:c>
      <x:c r="C2871" s="184" t="n">
        <x:v>13</x:v>
      </x:c>
      <x:c r="D2871" s="184" t="n">
        <x:v>0</x:v>
      </x:c>
      <x:c r="E2871" s="184" t="n">
        <x:v>0</x:v>
      </x:c>
      <x:c r="F2871" s="184" t="n">
        <x:v>13</x:v>
      </x:c>
      <x:c r="G2871" s="184" t="n">
        <x:v>153400</x:v>
      </x:c>
      <x:c r="H2871" s="193" t="n">
        <x:v>0</x:v>
      </x:c>
      <x:c r="I2871" s="185" t="n">
        <x:v>0</x:v>
      </x:c>
      <x:c r="J2871" s="185" t="n">
        <x:v>153400</x:v>
      </x:c>
      <x:c r="K2871" s="289" t="n">
        <x:v>11800</x:v>
      </x:c>
    </x:row>
    <x:row r="2872" s="117" customFormat="1" hidden="1">
      <x:c r="A2872" s="184" t="inlineStr">
        <x:is>
          <x:t xml:space="preserve">PPC90GS17200</x:t>
        </x:is>
      </x:c>
      <x:c r="B2872" s="184" t="inlineStr">
        <x:is>
          <x:t xml:space="preserve">PP-CODO90-200X11.9SDR17</x:t>
        </x:is>
      </x:c>
      <x:c r="C2872" s="184" t="n">
        <x:v>10</x:v>
      </x:c>
      <x:c r="D2872" s="184" t="n">
        <x:v>0</x:v>
      </x:c>
      <x:c r="E2872" s="184" t="n">
        <x:v>0</x:v>
      </x:c>
      <x:c r="F2872" s="184" t="n">
        <x:v>10</x:v>
      </x:c>
      <x:c r="G2872" s="184" t="n">
        <x:v>217640</x:v>
      </x:c>
      <x:c r="H2872" s="193" t="n">
        <x:v>0</x:v>
      </x:c>
      <x:c r="I2872" s="185" t="n">
        <x:v>0</x:v>
      </x:c>
      <x:c r="J2872" s="185" t="n">
        <x:v>217640</x:v>
      </x:c>
      <x:c r="K2872" s="289" t="n">
        <x:v>21764</x:v>
      </x:c>
    </x:row>
    <x:row r="2873" s="117" customFormat="1" hidden="1">
      <x:c r="A2873" s="184" t="inlineStr">
        <x:is>
          <x:t xml:space="preserve">PPC90GS17250</x:t>
        </x:is>
      </x:c>
      <x:c r="B2873" s="184" t="inlineStr">
        <x:is>
          <x:t xml:space="preserve">PP-CODO90-250X14.8 SDR17</x:t>
        </x:is>
      </x:c>
      <x:c r="C2873" s="184" t="n">
        <x:v>18</x:v>
      </x:c>
      <x:c r="D2873" s="184" t="n">
        <x:v>0</x:v>
      </x:c>
      <x:c r="E2873" s="184" t="n">
        <x:v>0</x:v>
      </x:c>
      <x:c r="F2873" s="184" t="n">
        <x:v>18</x:v>
      </x:c>
      <x:c r="G2873" s="184" t="n">
        <x:v>977382</x:v>
      </x:c>
      <x:c r="H2873" s="193" t="n">
        <x:v>0</x:v>
      </x:c>
      <x:c r="I2873" s="185" t="n">
        <x:v>0</x:v>
      </x:c>
      <x:c r="J2873" s="185" t="n">
        <x:v>977382</x:v>
      </x:c>
      <x:c r="K2873" s="289" t="n">
        <x:v>54299</x:v>
      </x:c>
    </x:row>
    <x:row r="2874" s="117" customFormat="1" hidden="1">
      <x:c r="A2874" s="184" t="inlineStr">
        <x:is>
          <x:t xml:space="preserve">PPC90GS1750M</x:t>
        </x:is>
      </x:c>
      <x:c r="B2874" s="184" t="inlineStr">
        <x:is>
          <x:t xml:space="preserve">PP-CODO90-50MM SDR17</x:t>
        </x:is>
      </x:c>
      <x:c r="C2874" s="184" t="n">
        <x:v>7</x:v>
      </x:c>
      <x:c r="D2874" s="184" t="n">
        <x:v>0</x:v>
      </x:c>
      <x:c r="E2874" s="184" t="n">
        <x:v>0</x:v>
      </x:c>
      <x:c r="F2874" s="184" t="n">
        <x:v>7</x:v>
      </x:c>
      <x:c r="G2874" s="184" t="n">
        <x:v>16331</x:v>
      </x:c>
      <x:c r="H2874" s="193" t="n">
        <x:v>0</x:v>
      </x:c>
      <x:c r="I2874" s="185" t="n">
        <x:v>0</x:v>
      </x:c>
      <x:c r="J2874" s="185" t="n">
        <x:v>16331</x:v>
      </x:c>
      <x:c r="K2874" s="289" t="n">
        <x:v>2333</x:v>
      </x:c>
    </x:row>
    <x:row r="2875" s="117" customFormat="1" hidden="1">
      <x:c r="A2875" s="184" t="inlineStr">
        <x:is>
          <x:t xml:space="preserve">PPC90GS1763X</x:t>
        </x:is>
      </x:c>
      <x:c r="B2875" s="184" t="inlineStr">
        <x:is>
          <x:t xml:space="preserve">PP-CODO90-63MM SDR17</x:t>
        </x:is>
      </x:c>
      <x:c r="C2875" s="184" t="n">
        <x:v>23</x:v>
      </x:c>
      <x:c r="D2875" s="184" t="n">
        <x:v>0</x:v>
      </x:c>
      <x:c r="E2875" s="184" t="n">
        <x:v>0</x:v>
      </x:c>
      <x:c r="F2875" s="184" t="n">
        <x:v>23</x:v>
      </x:c>
      <x:c r="G2875" s="184" t="n">
        <x:v>64576</x:v>
      </x:c>
      <x:c r="H2875" s="193" t="n">
        <x:v>0</x:v>
      </x:c>
      <x:c r="I2875" s="185" t="n">
        <x:v>0</x:v>
      </x:c>
      <x:c r="J2875" s="185" t="n">
        <x:v>64576</x:v>
      </x:c>
      <x:c r="K2875" s="289" t="n">
        <x:v>2807.67004644</x:v>
      </x:c>
    </x:row>
    <x:row r="2876" s="117" customFormat="1" hidden="1">
      <x:c r="A2876" s="184" t="inlineStr">
        <x:is>
          <x:t xml:space="preserve">PPC90GS1790X</x:t>
        </x:is>
      </x:c>
      <x:c r="B2876" s="184" t="inlineStr">
        <x:is>
          <x:t xml:space="preserve">PP-CODO90- 90MM X 5,4 SDR17</x:t>
        </x:is>
      </x:c>
      <x:c r="C2876" s="184" t="n">
        <x:v>16</x:v>
      </x:c>
      <x:c r="D2876" s="184" t="n">
        <x:v>0</x:v>
      </x:c>
      <x:c r="E2876" s="184" t="n">
        <x:v>0</x:v>
      </x:c>
      <x:c r="F2876" s="184" t="n">
        <x:v>16</x:v>
      </x:c>
      <x:c r="G2876" s="184" t="n">
        <x:v>146823</x:v>
      </x:c>
      <x:c r="H2876" s="193" t="n">
        <x:v>0</x:v>
      </x:c>
      <x:c r="I2876" s="185" t="n">
        <x:v>0</x:v>
      </x:c>
      <x:c r="J2876" s="185" t="n">
        <x:v>146823</x:v>
      </x:c>
      <x:c r="K2876" s="289" t="n">
        <x:v>9176.565000000001</x:v>
      </x:c>
    </x:row>
    <x:row r="2877" s="117" customFormat="1" hidden="1">
      <x:c r="A2877" s="184" t="inlineStr">
        <x:is>
          <x:t xml:space="preserve">PPC90GS33110</x:t>
        </x:is>
      </x:c>
      <x:c r="B2877" s="184" t="inlineStr">
        <x:is>
          <x:t xml:space="preserve">PP-CODO90-110X3.4 SDR33</x:t>
        </x:is>
      </x:c>
      <x:c r="C2877" s="184" t="n">
        <x:v>19</x:v>
      </x:c>
      <x:c r="D2877" s="184" t="n">
        <x:v>20</x:v>
      </x:c>
      <x:c r="E2877" s="184" t="n">
        <x:v>5</x:v>
      </x:c>
      <x:c r="F2877" s="184" t="n">
        <x:v>34</x:v>
      </x:c>
      <x:c r="G2877" s="184" t="n">
        <x:v>233700</x:v>
      </x:c>
      <x:c r="H2877" s="193" t="n">
        <x:v>170000</x:v>
      </x:c>
      <x:c r="I2877" s="185" t="n">
        <x:v>51756</x:v>
      </x:c>
      <x:c r="J2877" s="185" t="n">
        <x:v>351944</x:v>
      </x:c>
      <x:c r="K2877" s="289" t="n">
        <x:v>10351.28205128</x:v>
      </x:c>
    </x:row>
    <x:row r="2878" s="117" customFormat="1" hidden="1">
      <x:c r="A2878" s="184" t="inlineStr">
        <x:is>
          <x:t xml:space="preserve">PPC90GS33125</x:t>
        </x:is>
      </x:c>
      <x:c r="B2878" s="184" t="inlineStr">
        <x:is>
          <x:t xml:space="preserve">PP-CODO90-125X3.9 SDR33</x:t>
        </x:is>
      </x:c>
      <x:c r="C2878" s="184" t="n">
        <x:v>131</x:v>
      </x:c>
      <x:c r="D2878" s="184" t="n">
        <x:v>0</x:v>
      </x:c>
      <x:c r="E2878" s="184" t="n">
        <x:v>0</x:v>
      </x:c>
      <x:c r="F2878" s="184" t="n">
        <x:v>131</x:v>
      </x:c>
      <x:c r="G2878" s="184" t="n">
        <x:v>1322969</x:v>
      </x:c>
      <x:c r="H2878" s="193" t="n">
        <x:v>0</x:v>
      </x:c>
      <x:c r="I2878" s="185" t="n">
        <x:v>0</x:v>
      </x:c>
      <x:c r="J2878" s="185" t="n">
        <x:v>1322969</x:v>
      </x:c>
      <x:c r="K2878" s="289" t="n">
        <x:v>10099</x:v>
      </x:c>
    </x:row>
    <x:row r="2879" s="117" customFormat="1" hidden="1">
      <x:c r="A2879" s="184" t="inlineStr">
        <x:is>
          <x:t xml:space="preserve">PPC90GS33160</x:t>
        </x:is>
      </x:c>
      <x:c r="B2879" s="184" t="inlineStr">
        <x:is>
          <x:t xml:space="preserve">PP-CODO90-160MM SDR33</x:t>
        </x:is>
      </x:c>
      <x:c r="C2879" s="184" t="n">
        <x:v>102</x:v>
      </x:c>
      <x:c r="D2879" s="184" t="n">
        <x:v>0</x:v>
      </x:c>
      <x:c r="E2879" s="184" t="n">
        <x:v>0</x:v>
      </x:c>
      <x:c r="F2879" s="184" t="n">
        <x:v>102</x:v>
      </x:c>
      <x:c r="G2879" s="184" t="n">
        <x:v>1290789</x:v>
      </x:c>
      <x:c r="H2879" s="193" t="n">
        <x:v>0</x:v>
      </x:c>
      <x:c r="I2879" s="185" t="n">
        <x:v>0</x:v>
      </x:c>
      <x:c r="J2879" s="185" t="n">
        <x:v>1290789</x:v>
      </x:c>
      <x:c r="K2879" s="289" t="n">
        <x:v>12654.79086859</x:v>
      </x:c>
    </x:row>
    <x:row r="2880" s="117" customFormat="1" hidden="1">
      <x:c r="A2880" s="184" t="inlineStr">
        <x:is>
          <x:t xml:space="preserve">PPC90GS33200</x:t>
        </x:is>
      </x:c>
      <x:c r="B2880" s="184" t="inlineStr">
        <x:is>
          <x:t xml:space="preserve">PP-CODO90-200MM SDR33</x:t>
        </x:is>
      </x:c>
      <x:c r="C2880" s="184" t="n">
        <x:v>135</x:v>
      </x:c>
      <x:c r="D2880" s="184" t="n">
        <x:v>0</x:v>
      </x:c>
      <x:c r="E2880" s="184" t="n">
        <x:v>0</x:v>
      </x:c>
      <x:c r="F2880" s="184" t="n">
        <x:v>135</x:v>
      </x:c>
      <x:c r="G2880" s="184" t="n">
        <x:v>3053512</x:v>
      </x:c>
      <x:c r="H2880" s="193" t="n">
        <x:v>0</x:v>
      </x:c>
      <x:c r="I2880" s="185" t="n">
        <x:v>0</x:v>
      </x:c>
      <x:c r="J2880" s="185" t="n">
        <x:v>3053512</x:v>
      </x:c>
      <x:c r="K2880" s="289" t="n">
        <x:v>22618.61043819</x:v>
      </x:c>
    </x:row>
    <x:row r="2881" s="117" customFormat="1" hidden="1">
      <x:c r="A2881" s="184" t="inlineStr">
        <x:is>
          <x:t xml:space="preserve">PPC90GS33250</x:t>
        </x:is>
      </x:c>
      <x:c r="B2881" s="184" t="inlineStr">
        <x:is>
          <x:t xml:space="preserve">PP-CODO90-250 X 7.7 SDR33</x:t>
        </x:is>
      </x:c>
      <x:c r="C2881" s="184" t="n">
        <x:v>72</x:v>
      </x:c>
      <x:c r="D2881" s="184" t="n">
        <x:v>0</x:v>
      </x:c>
      <x:c r="E2881" s="184" t="n">
        <x:v>0</x:v>
      </x:c>
      <x:c r="F2881" s="184" t="n">
        <x:v>72</x:v>
      </x:c>
      <x:c r="G2881" s="184" t="n">
        <x:v>6265495</x:v>
      </x:c>
      <x:c r="H2881" s="193" t="n">
        <x:v>0</x:v>
      </x:c>
      <x:c r="I2881" s="185" t="n">
        <x:v>0</x:v>
      </x:c>
      <x:c r="J2881" s="185" t="n">
        <x:v>6265495</x:v>
      </x:c>
      <x:c r="K2881" s="289" t="n">
        <x:v>87020.75183685</x:v>
      </x:c>
    </x:row>
    <x:row r="2882" s="117" customFormat="1" hidden="1">
      <x:c r="A2882" s="184" t="inlineStr">
        <x:is>
          <x:t xml:space="preserve">PPC90GS33315</x:t>
        </x:is>
      </x:c>
      <x:c r="B2882" s="184" t="inlineStr">
        <x:is>
          <x:t xml:space="preserve">PP-CODO90-315X9.7 SDR33</x:t>
        </x:is>
      </x:c>
      <x:c r="C2882" s="184" t="n">
        <x:v>3</x:v>
      </x:c>
      <x:c r="D2882" s="184" t="n">
        <x:v>0</x:v>
      </x:c>
      <x:c r="E2882" s="184" t="n">
        <x:v>0</x:v>
      </x:c>
      <x:c r="F2882" s="184" t="n">
        <x:v>3</x:v>
      </x:c>
      <x:c r="G2882" s="184" t="n">
        <x:v>381486</x:v>
      </x:c>
      <x:c r="H2882" s="193" t="n">
        <x:v>0</x:v>
      </x:c>
      <x:c r="I2882" s="185" t="n">
        <x:v>0</x:v>
      </x:c>
      <x:c r="J2882" s="185" t="n">
        <x:v>381486</x:v>
      </x:c>
      <x:c r="K2882" s="289" t="n">
        <x:v>127161.67272727</x:v>
      </x:c>
    </x:row>
    <x:row r="2883" s="117" customFormat="1" hidden="1">
      <x:c r="A2883" s="184" t="inlineStr">
        <x:is>
          <x:t xml:space="preserve">PPC90GS33355</x:t>
        </x:is>
      </x:c>
      <x:c r="B2883" s="184" t="inlineStr">
        <x:is>
          <x:t xml:space="preserve">PP-CODO90-355MM SDR33</x:t>
        </x:is>
      </x:c>
      <x:c r="C2883" s="184" t="n">
        <x:v>41</x:v>
      </x:c>
      <x:c r="D2883" s="184" t="n">
        <x:v>0</x:v>
      </x:c>
      <x:c r="E2883" s="184" t="n">
        <x:v>0</x:v>
      </x:c>
      <x:c r="F2883" s="184" t="n">
        <x:v>41</x:v>
      </x:c>
      <x:c r="G2883" s="184" t="n">
        <x:v>5685388</x:v>
      </x:c>
      <x:c r="H2883" s="193" t="n">
        <x:v>0</x:v>
      </x:c>
      <x:c r="I2883" s="185" t="n">
        <x:v>0</x:v>
      </x:c>
      <x:c r="J2883" s="185" t="n">
        <x:v>5685388</x:v>
      </x:c>
      <x:c r="K2883" s="289" t="n">
        <x:v>138668</x:v>
      </x:c>
    </x:row>
    <x:row r="2884" s="117" customFormat="1" hidden="1">
      <x:c r="A2884" s="184" t="inlineStr">
        <x:is>
          <x:t xml:space="preserve">PPC90GS33400</x:t>
        </x:is>
      </x:c>
      <x:c r="B2884" s="184" t="inlineStr">
        <x:is>
          <x:t xml:space="preserve">PP-CODO90-400MM X 12,3 SDR33</x:t>
        </x:is>
      </x:c>
      <x:c r="C2884" s="184" t="n">
        <x:v>53</x:v>
      </x:c>
      <x:c r="D2884" s="184" t="n">
        <x:v>0</x:v>
      </x:c>
      <x:c r="E2884" s="184" t="n">
        <x:v>0</x:v>
      </x:c>
      <x:c r="F2884" s="184" t="n">
        <x:v>53</x:v>
      </x:c>
      <x:c r="G2884" s="184" t="n">
        <x:v>15392690</x:v>
      </x:c>
      <x:c r="H2884" s="193" t="n">
        <x:v>0</x:v>
      </x:c>
      <x:c r="I2884" s="185" t="n">
        <x:v>0</x:v>
      </x:c>
      <x:c r="J2884" s="185" t="n">
        <x:v>15392690</x:v>
      </x:c>
      <x:c r="K2884" s="289" t="n">
        <x:v>290428.22939134</x:v>
      </x:c>
    </x:row>
    <x:row r="2885" s="117" customFormat="1" hidden="1">
      <x:c r="A2885" s="184" t="inlineStr">
        <x:is>
          <x:t xml:space="preserve">PPC90GS33450</x:t>
        </x:is>
      </x:c>
      <x:c r="B2885" s="184" t="inlineStr">
        <x:is>
          <x:t xml:space="preserve">PP-CODO90 -450MM X 13.8 SDR 33</x:t>
        </x:is>
      </x:c>
      <x:c r="C2885" s="184" t="n">
        <x:v>7</x:v>
      </x:c>
      <x:c r="D2885" s="184" t="n">
        <x:v>0</x:v>
      </x:c>
      <x:c r="E2885" s="184" t="n">
        <x:v>0</x:v>
      </x:c>
      <x:c r="F2885" s="184" t="n">
        <x:v>7</x:v>
      </x:c>
      <x:c r="G2885" s="184" t="n">
        <x:v>2758154</x:v>
      </x:c>
      <x:c r="H2885" s="193" t="n">
        <x:v>0</x:v>
      </x:c>
      <x:c r="I2885" s="185" t="n">
        <x:v>0</x:v>
      </x:c>
      <x:c r="J2885" s="185" t="n">
        <x:v>2758154</x:v>
      </x:c>
      <x:c r="K2885" s="289" t="n">
        <x:v>394022.0187013</x:v>
      </x:c>
    </x:row>
    <x:row r="2886" s="117" customFormat="1" hidden="1">
      <x:c r="A2886" s="184" t="inlineStr">
        <x:is>
          <x:t xml:space="preserve">PPC90GS33500</x:t>
        </x:is>
      </x:c>
      <x:c r="B2886" s="184" t="inlineStr">
        <x:is>
          <x:t xml:space="preserve">PP-CODO90-500MM SDR33</x:t>
        </x:is>
      </x:c>
      <x:c r="C2886" s="184" t="n">
        <x:v>2</x:v>
      </x:c>
      <x:c r="D2886" s="184" t="n">
        <x:v>0</x:v>
      </x:c>
      <x:c r="E2886" s="184" t="n">
        <x:v>0</x:v>
      </x:c>
      <x:c r="F2886" s="184" t="n">
        <x:v>2</x:v>
      </x:c>
      <x:c r="G2886" s="184" t="n">
        <x:v>714526</x:v>
      </x:c>
      <x:c r="H2886" s="193" t="n">
        <x:v>0</x:v>
      </x:c>
      <x:c r="I2886" s="185" t="n">
        <x:v>0</x:v>
      </x:c>
      <x:c r="J2886" s="185" t="n">
        <x:v>714526</x:v>
      </x:c>
      <x:c r="K2886" s="289" t="n">
        <x:v>357263</x:v>
      </x:c>
    </x:row>
    <x:row r="2887" s="117" customFormat="1" hidden="1">
      <x:c r="A2887" s="184" t="inlineStr">
        <x:is>
          <x:t xml:space="preserve">PPC90GSOC200</x:t>
        </x:is>
      </x:c>
      <x:c r="B2887" s="184" t="inlineStr">
        <x:is>
          <x:t xml:space="preserve">PP-CODO90-200XSOC</x:t>
        </x:is>
      </x:c>
      <x:c r="C2887" s="184" t="n">
        <x:v>0</x:v>
      </x:c>
      <x:c r="D2887" s="184" t="n">
        <x:v>0</x:v>
      </x:c>
      <x:c r="E2887" s="184" t="n">
        <x:v>0</x:v>
      </x:c>
      <x:c r="F2887" s="184" t="n">
        <x:v>0</x:v>
      </x:c>
      <x:c r="G2887" s="184" t="n">
        <x:v>0</x:v>
      </x:c>
      <x:c r="H2887" s="193" t="n">
        <x:v>0</x:v>
      </x:c>
      <x:c r="I2887" s="185" t="n">
        <x:v>0</x:v>
      </x:c>
      <x:c r="J2887" s="185" t="n">
        <x:v>0</x:v>
      </x:c>
      <x:c r="K2887" s="289" t="n">
        <x:v>22764</x:v>
      </x:c>
    </x:row>
    <x:row r="2888" s="117" customFormat="1" hidden="1">
      <x:c r="A2888" s="184" t="inlineStr">
        <x:is>
          <x:t xml:space="preserve">PPEPLA001001</x:t>
        </x:is>
      </x:c>
      <x:c r="B2888" s="184" t="inlineStr">
        <x:is>
          <x:t xml:space="preserve">CODO PE 90° 110 ELECTROFUCION</x:t>
        </x:is>
      </x:c>
      <x:c r="C2888" s="184" t="n">
        <x:v>0</x:v>
      </x:c>
      <x:c r="D2888" s="184" t="n">
        <x:v>0</x:v>
      </x:c>
      <x:c r="E2888" s="184" t="n">
        <x:v>0</x:v>
      </x:c>
      <x:c r="F2888" s="184" t="n">
        <x:v>0</x:v>
      </x:c>
      <x:c r="G2888" s="184" t="n">
        <x:v>0</x:v>
      </x:c>
      <x:c r="H2888" s="193" t="n">
        <x:v>0</x:v>
      </x:c>
      <x:c r="I2888" s="185" t="n">
        <x:v>0</x:v>
      </x:c>
      <x:c r="J2888" s="185" t="n">
        <x:v>0</x:v>
      </x:c>
      <x:c r="K2888" s="289" t="n">
        <x:v>22000</x:v>
      </x:c>
    </x:row>
    <x:row r="2889" s="117" customFormat="1" hidden="1">
      <x:c r="A2889" s="184" t="inlineStr">
        <x:is>
          <x:t xml:space="preserve">PPEPLA001002</x:t>
        </x:is>
      </x:c>
      <x:c r="B2889" s="184" t="inlineStr">
        <x:is>
          <x:t xml:space="preserve">CODO 90° PE P100 63X3.5</x:t>
        </x:is>
      </x:c>
      <x:c r="C2889" s="184" t="n">
        <x:v>0</x:v>
      </x:c>
      <x:c r="D2889" s="184" t="n">
        <x:v>0</x:v>
      </x:c>
      <x:c r="E2889" s="184" t="n">
        <x:v>0</x:v>
      </x:c>
      <x:c r="F2889" s="184" t="n">
        <x:v>0</x:v>
      </x:c>
      <x:c r="G2889" s="184" t="n">
        <x:v>0</x:v>
      </x:c>
      <x:c r="H2889" s="193" t="n">
        <x:v>0</x:v>
      </x:c>
      <x:c r="I2889" s="185" t="n">
        <x:v>0</x:v>
      </x:c>
      <x:c r="J2889" s="185" t="n">
        <x:v>0</x:v>
      </x:c>
      <x:c r="K2889" s="289" t="n">
        <x:v>2632</x:v>
      </x:c>
    </x:row>
    <x:row r="2890" s="117" customFormat="1" hidden="1">
      <x:c r="A2890" s="184" t="inlineStr">
        <x:is>
          <x:t xml:space="preserve">PPEPLA001003</x:t>
        </x:is>
      </x:c>
      <x:c r="B2890" s="184" t="inlineStr">
        <x:is>
          <x:t xml:space="preserve">CODO 90° PE P100 110X3.5</x:t>
        </x:is>
      </x:c>
      <x:c r="C2890" s="184" t="n">
        <x:v>10</x:v>
      </x:c>
      <x:c r="D2890" s="184" t="n">
        <x:v>0</x:v>
      </x:c>
      <x:c r="E2890" s="184" t="n">
        <x:v>0</x:v>
      </x:c>
      <x:c r="F2890" s="184" t="n">
        <x:v>10</x:v>
      </x:c>
      <x:c r="G2890" s="184" t="n">
        <x:v>102350</x:v>
      </x:c>
      <x:c r="H2890" s="193" t="n">
        <x:v>0</x:v>
      </x:c>
      <x:c r="I2890" s="185" t="n">
        <x:v>0</x:v>
      </x:c>
      <x:c r="J2890" s="185" t="n">
        <x:v>102350</x:v>
      </x:c>
      <x:c r="K2890" s="289" t="n">
        <x:v>10235</x:v>
      </x:c>
    </x:row>
    <x:row r="2891" s="117" customFormat="1" hidden="1">
      <x:c r="A2891" s="184" t="inlineStr">
        <x:is>
          <x:t xml:space="preserve">PPEPLA001004</x:t>
        </x:is>
      </x:c>
      <x:c r="B2891" s="184" t="inlineStr">
        <x:is>
          <x:t xml:space="preserve">CODO 45° PE P100 160X3.5</x:t>
        </x:is>
      </x:c>
      <x:c r="C2891" s="184" t="n">
        <x:v>9</x:v>
      </x:c>
      <x:c r="D2891" s="184" t="n">
        <x:v>0</x:v>
      </x:c>
      <x:c r="E2891" s="184" t="n">
        <x:v>0</x:v>
      </x:c>
      <x:c r="F2891" s="184" t="n">
        <x:v>9</x:v>
      </x:c>
      <x:c r="G2891" s="184" t="n">
        <x:v>45000</x:v>
      </x:c>
      <x:c r="H2891" s="193" t="n">
        <x:v>0</x:v>
      </x:c>
      <x:c r="I2891" s="185" t="n">
        <x:v>0</x:v>
      </x:c>
      <x:c r="J2891" s="185" t="n">
        <x:v>45000</x:v>
      </x:c>
      <x:c r="K2891" s="289" t="n">
        <x:v>5000</x:v>
      </x:c>
    </x:row>
    <x:row r="2892" s="117" customFormat="1" hidden="1">
      <x:c r="A2892" s="184" t="inlineStr">
        <x:is>
          <x:t xml:space="preserve">PPEPLA001005</x:t>
        </x:is>
      </x:c>
      <x:c r="B2892" s="184" t="inlineStr">
        <x:is>
          <x:t xml:space="preserve">STUB END PE P100 110X6 HDPE</x:t>
        </x:is>
      </x:c>
      <x:c r="C2892" s="184" t="n">
        <x:v>12</x:v>
      </x:c>
      <x:c r="D2892" s="184" t="n">
        <x:v>0</x:v>
      </x:c>
      <x:c r="E2892" s="184" t="n">
        <x:v>0</x:v>
      </x:c>
      <x:c r="F2892" s="184" t="n">
        <x:v>12</x:v>
      </x:c>
      <x:c r="G2892" s="184" t="n">
        <x:v>60000</x:v>
      </x:c>
      <x:c r="H2892" s="193" t="n">
        <x:v>0</x:v>
      </x:c>
      <x:c r="I2892" s="185" t="n">
        <x:v>0</x:v>
      </x:c>
      <x:c r="J2892" s="185" t="n">
        <x:v>60000</x:v>
      </x:c>
      <x:c r="K2892" s="289" t="n">
        <x:v>5000</x:v>
      </x:c>
    </x:row>
    <x:row r="2893" s="117" customFormat="1" hidden="1">
      <x:c r="A2893" s="184" t="inlineStr">
        <x:is>
          <x:t xml:space="preserve">PPEPLA001006</x:t>
        </x:is>
      </x:c>
      <x:c r="B2893" s="184" t="inlineStr">
        <x:is>
          <x:t xml:space="preserve">STUB END PE P100 90X3.58 SDR11</x:t>
        </x:is>
      </x:c>
      <x:c r="C2893" s="184" t="n">
        <x:v>6</x:v>
      </x:c>
      <x:c r="D2893" s="184" t="n">
        <x:v>0</x:v>
      </x:c>
      <x:c r="E2893" s="184" t="n">
        <x:v>0</x:v>
      </x:c>
      <x:c r="F2893" s="184" t="n">
        <x:v>6</x:v>
      </x:c>
      <x:c r="G2893" s="184" t="n">
        <x:v>30000</x:v>
      </x:c>
      <x:c r="H2893" s="193" t="n">
        <x:v>0</x:v>
      </x:c>
      <x:c r="I2893" s="185" t="n">
        <x:v>0</x:v>
      </x:c>
      <x:c r="J2893" s="185" t="n">
        <x:v>30000</x:v>
      </x:c>
      <x:c r="K2893" s="289" t="n">
        <x:v>5000</x:v>
      </x:c>
    </x:row>
    <x:row r="2894" s="117" customFormat="1" hidden="1">
      <x:c r="A2894" s="184" t="inlineStr">
        <x:is>
          <x:t xml:space="preserve">PPEPLA001007</x:t>
        </x:is>
      </x:c>
      <x:c r="B2894" s="184" t="inlineStr">
        <x:is>
          <x:t xml:space="preserve">TEE PE P100 110X110 SDR 17 HDPE</x:t>
        </x:is>
      </x:c>
      <x:c r="C2894" s="184" t="n">
        <x:v>8</x:v>
      </x:c>
      <x:c r="D2894" s="184" t="n">
        <x:v>0</x:v>
      </x:c>
      <x:c r="E2894" s="184" t="n">
        <x:v>0</x:v>
      </x:c>
      <x:c r="F2894" s="184" t="n">
        <x:v>8</x:v>
      </x:c>
      <x:c r="G2894" s="184" t="n">
        <x:v>93096</x:v>
      </x:c>
      <x:c r="H2894" s="193" t="n">
        <x:v>0</x:v>
      </x:c>
      <x:c r="I2894" s="185" t="n">
        <x:v>0</x:v>
      </x:c>
      <x:c r="J2894" s="185" t="n">
        <x:v>93096</x:v>
      </x:c>
      <x:c r="K2894" s="289" t="n">
        <x:v>11637</x:v>
      </x:c>
    </x:row>
    <x:row r="2895" s="117" customFormat="1" hidden="1">
      <x:c r="A2895" s="184" t="inlineStr">
        <x:is>
          <x:t xml:space="preserve">PPEPLA001008</x:t>
        </x:is>
      </x:c>
      <x:c r="B2895" s="184" t="inlineStr">
        <x:is>
          <x:t xml:space="preserve">TEE PE P100 110X110 SDR 11 HDPE</x:t>
        </x:is>
      </x:c>
      <x:c r="C2895" s="184" t="n">
        <x:v>0</x:v>
      </x:c>
      <x:c r="D2895" s="184" t="n">
        <x:v>0</x:v>
      </x:c>
      <x:c r="E2895" s="184" t="n">
        <x:v>0</x:v>
      </x:c>
      <x:c r="F2895" s="184" t="n">
        <x:v>0</x:v>
      </x:c>
      <x:c r="G2895" s="184" t="n">
        <x:v>0</x:v>
      </x:c>
      <x:c r="H2895" s="193" t="n">
        <x:v>0</x:v>
      </x:c>
      <x:c r="I2895" s="185" t="n">
        <x:v>0</x:v>
      </x:c>
      <x:c r="J2895" s="185" t="n">
        <x:v>0</x:v>
      </x:c>
      <x:c r="K2895" s="289" t="n">
        <x:v>11637</x:v>
      </x:c>
    </x:row>
    <x:row r="2896" s="117" customFormat="1" hidden="1">
      <x:c r="A2896" s="184" t="inlineStr">
        <x:is>
          <x:t xml:space="preserve">PPEPLA001009</x:t>
        </x:is>
      </x:c>
      <x:c r="B2896" s="184" t="inlineStr">
        <x:is>
          <x:t xml:space="preserve">TEE PE P100 125X110</x:t>
        </x:is>
      </x:c>
      <x:c r="C2896" s="184" t="n">
        <x:v>1</x:v>
      </x:c>
      <x:c r="D2896" s="184" t="n">
        <x:v>0</x:v>
      </x:c>
      <x:c r="E2896" s="184" t="n">
        <x:v>0</x:v>
      </x:c>
      <x:c r="F2896" s="184" t="n">
        <x:v>1</x:v>
      </x:c>
      <x:c r="G2896" s="184" t="n">
        <x:v>11637</x:v>
      </x:c>
      <x:c r="H2896" s="193" t="n">
        <x:v>0</x:v>
      </x:c>
      <x:c r="I2896" s="185" t="n">
        <x:v>0</x:v>
      </x:c>
      <x:c r="J2896" s="185" t="n">
        <x:v>11637</x:v>
      </x:c>
      <x:c r="K2896" s="289" t="n">
        <x:v>11637</x:v>
      </x:c>
    </x:row>
    <x:row r="2897" s="117" customFormat="1" hidden="1">
      <x:c r="A2897" s="184" t="inlineStr">
        <x:is>
          <x:t xml:space="preserve">PPEPLA001010</x:t>
        </x:is>
      </x:c>
      <x:c r="B2897" s="184" t="inlineStr">
        <x:is>
          <x:t xml:space="preserve">Tee 90° ELECTROFUSION PE100 PN16 d= 63 mm</x:t>
        </x:is>
      </x:c>
      <x:c r="C2897" s="184" t="n">
        <x:v>0</x:v>
      </x:c>
      <x:c r="D2897" s="184" t="n">
        <x:v>0</x:v>
      </x:c>
      <x:c r="E2897" s="184" t="n">
        <x:v>0</x:v>
      </x:c>
      <x:c r="F2897" s="184" t="n">
        <x:v>0</x:v>
      </x:c>
      <x:c r="G2897" s="184" t="n">
        <x:v>0</x:v>
      </x:c>
      <x:c r="H2897" s="193" t="n">
        <x:v>0</x:v>
      </x:c>
      <x:c r="I2897" s="185" t="n">
        <x:v>0</x:v>
      </x:c>
      <x:c r="J2897" s="185" t="n">
        <x:v>0</x:v>
      </x:c>
      <x:c r="K2897" s="289" t="n">
        <x:v>14100</x:v>
      </x:c>
    </x:row>
    <x:row r="2898" s="117" customFormat="1" hidden="1">
      <x:c r="A2898" s="184" t="inlineStr">
        <x:is>
          <x:t xml:space="preserve">PPEPLA001011</x:t>
        </x:is>
      </x:c>
      <x:c r="B2898" s="184" t="inlineStr">
        <x:is>
          <x:t xml:space="preserve">Coplas ELECTROFUSION PE100 PN16 d= 63 mm</x:t>
        </x:is>
      </x:c>
      <x:c r="C2898" s="184" t="n">
        <x:v>0</x:v>
      </x:c>
      <x:c r="D2898" s="184" t="n">
        <x:v>0</x:v>
      </x:c>
      <x:c r="E2898" s="184" t="n">
        <x:v>0</x:v>
      </x:c>
      <x:c r="F2898" s="184" t="n">
        <x:v>0</x:v>
      </x:c>
      <x:c r="G2898" s="184" t="n">
        <x:v>0</x:v>
      </x:c>
      <x:c r="H2898" s="193" t="n">
        <x:v>0</x:v>
      </x:c>
      <x:c r="I2898" s="185" t="n">
        <x:v>0</x:v>
      </x:c>
      <x:c r="J2898" s="185" t="n">
        <x:v>0</x:v>
      </x:c>
      <x:c r="K2898" s="289" t="n">
        <x:v>2749</x:v>
      </x:c>
    </x:row>
    <x:row r="2899" s="117" customFormat="1" hidden="1">
      <x:c r="A2899" s="184" t="inlineStr">
        <x:is>
          <x:t xml:space="preserve">PPEPLA001012</x:t>
        </x:is>
      </x:c>
      <x:c r="B2899" s="184" t="inlineStr">
        <x:is>
          <x:t xml:space="preserve">STUB END PE100 PN16 d= 200MM</x:t>
        </x:is>
      </x:c>
      <x:c r="C2899" s="184" t="n">
        <x:v>20</x:v>
      </x:c>
      <x:c r="D2899" s="184" t="n">
        <x:v>0</x:v>
      </x:c>
      <x:c r="E2899" s="184" t="n">
        <x:v>0</x:v>
      </x:c>
      <x:c r="F2899" s="184" t="n">
        <x:v>20</x:v>
      </x:c>
      <x:c r="G2899" s="184" t="n">
        <x:v>365400</x:v>
      </x:c>
      <x:c r="H2899" s="193" t="n">
        <x:v>0</x:v>
      </x:c>
      <x:c r="I2899" s="185" t="n">
        <x:v>0</x:v>
      </x:c>
      <x:c r="J2899" s="185" t="n">
        <x:v>365400</x:v>
      </x:c>
      <x:c r="K2899" s="289" t="n">
        <x:v>18270</x:v>
      </x:c>
    </x:row>
    <x:row r="2900" s="117" customFormat="1" hidden="1">
      <x:c r="A2900" s="184" t="inlineStr">
        <x:is>
          <x:t xml:space="preserve">PPEPLA001013</x:t>
        </x:is>
      </x:c>
      <x:c r="B2900" s="184" t="inlineStr">
        <x:is>
          <x:t xml:space="preserve">COPLAS ELECTROFUSION PE100 PN16 d= 200 mm</x:t>
        </x:is>
      </x:c>
      <x:c r="C2900" s="184" t="n">
        <x:v>20</x:v>
      </x:c>
      <x:c r="D2900" s="184" t="n">
        <x:v>0</x:v>
      </x:c>
      <x:c r="E2900" s="184" t="n">
        <x:v>0</x:v>
      </x:c>
      <x:c r="F2900" s="184" t="n">
        <x:v>20</x:v>
      </x:c>
      <x:c r="G2900" s="184" t="n">
        <x:v>527260</x:v>
      </x:c>
      <x:c r="H2900" s="193" t="n">
        <x:v>0</x:v>
      </x:c>
      <x:c r="I2900" s="185" t="n">
        <x:v>0</x:v>
      </x:c>
      <x:c r="J2900" s="185" t="n">
        <x:v>527260</x:v>
      </x:c>
      <x:c r="K2900" s="289" t="n">
        <x:v>26363</x:v>
      </x:c>
    </x:row>
    <x:row r="2901" s="117" customFormat="1" hidden="1">
      <x:c r="A2901" s="184" t="inlineStr">
        <x:is>
          <x:t xml:space="preserve">PPEPLA001014</x:t>
        </x:is>
      </x:c>
      <x:c r="B2901" s="184" t="inlineStr">
        <x:is>
          <x:t xml:space="preserve">HDPE COPLA 110 ELECTROFUSION SDR11 PE100 AGUA 25BAR</x:t>
        </x:is>
      </x:c>
      <x:c r="C2901" s="184" t="n">
        <x:v>20</x:v>
      </x:c>
      <x:c r="D2901" s="184" t="n">
        <x:v>0</x:v>
      </x:c>
      <x:c r="E2901" s="184" t="n">
        <x:v>0</x:v>
      </x:c>
      <x:c r="F2901" s="184" t="n">
        <x:v>20</x:v>
      </x:c>
      <x:c r="G2901" s="184" t="n">
        <x:v>110000</x:v>
      </x:c>
      <x:c r="H2901" s="193" t="n">
        <x:v>0</x:v>
      </x:c>
      <x:c r="I2901" s="185" t="n">
        <x:v>0</x:v>
      </x:c>
      <x:c r="J2901" s="185" t="n">
        <x:v>110000</x:v>
      </x:c>
      <x:c r="K2901" s="289" t="n">
        <x:v>5500</x:v>
      </x:c>
    </x:row>
    <x:row r="2902" s="117" customFormat="1" hidden="1">
      <x:c r="A2902" s="184" t="inlineStr">
        <x:is>
          <x:t xml:space="preserve">PPEPLA001015</x:t>
        </x:is>
      </x:c>
      <x:c r="B2902" s="184" t="inlineStr">
        <x:is>
          <x:t xml:space="preserve">STUB END T.F. (C.L.) PE100 PN16 D= 110MM HDPE</x:t>
        </x:is>
      </x:c>
      <x:c r="C2902" s="184" t="n">
        <x:v>20</x:v>
      </x:c>
      <x:c r="D2902" s="184" t="n">
        <x:v>0</x:v>
      </x:c>
      <x:c r="E2902" s="184" t="n">
        <x:v>0</x:v>
      </x:c>
      <x:c r="F2902" s="184" t="n">
        <x:v>20</x:v>
      </x:c>
      <x:c r="G2902" s="184" t="n">
        <x:v>85840</x:v>
      </x:c>
      <x:c r="H2902" s="193" t="n">
        <x:v>0</x:v>
      </x:c>
      <x:c r="I2902" s="185" t="n">
        <x:v>0</x:v>
      </x:c>
      <x:c r="J2902" s="185" t="n">
        <x:v>85840</x:v>
      </x:c>
      <x:c r="K2902" s="289" t="n">
        <x:v>4292</x:v>
      </x:c>
    </x:row>
    <x:row r="2903" s="117" customFormat="1" hidden="1">
      <x:c r="A2903" s="184" t="inlineStr">
        <x:is>
          <x:t xml:space="preserve">PPEPLA001016</x:t>
        </x:is>
      </x:c>
      <x:c r="B2903" s="184" t="inlineStr">
        <x:is>
          <x:t xml:space="preserve">COPLAS ELECTROFUSION PE100 PN16 D=110 MM HDPE</x:t>
        </x:is>
      </x:c>
      <x:c r="C2903" s="184" t="n">
        <x:v>20</x:v>
      </x:c>
      <x:c r="D2903" s="184" t="n">
        <x:v>0</x:v>
      </x:c>
      <x:c r="E2903" s="184" t="n">
        <x:v>0</x:v>
      </x:c>
      <x:c r="F2903" s="184" t="n">
        <x:v>20</x:v>
      </x:c>
      <x:c r="G2903" s="184" t="n">
        <x:v>127140</x:v>
      </x:c>
      <x:c r="H2903" s="193" t="n">
        <x:v>0</x:v>
      </x:c>
      <x:c r="I2903" s="185" t="n">
        <x:v>0</x:v>
      </x:c>
      <x:c r="J2903" s="185" t="n">
        <x:v>127140</x:v>
      </x:c>
      <x:c r="K2903" s="289" t="n">
        <x:v>6357</x:v>
      </x:c>
    </x:row>
    <x:row r="2904" s="117" customFormat="1" hidden="1">
      <x:c r="A2904" s="184" t="inlineStr">
        <x:is>
          <x:t xml:space="preserve">PPFFGCANS063</x:t>
        </x:is>
      </x:c>
      <x:c r="B2904" s="184" t="inlineStr">
        <x:is>
          <x:t xml:space="preserve">PP FLANGE CIEGO 63 ANSI</x:t>
        </x:is>
      </x:c>
      <x:c r="C2904" s="184" t="n">
        <x:v>13</x:v>
      </x:c>
      <x:c r="D2904" s="184" t="n">
        <x:v>0</x:v>
      </x:c>
      <x:c r="E2904" s="184" t="n">
        <x:v>0</x:v>
      </x:c>
      <x:c r="F2904" s="184" t="n">
        <x:v>13</x:v>
      </x:c>
      <x:c r="G2904" s="184" t="n">
        <x:v>571486</x:v>
      </x:c>
      <x:c r="H2904" s="193" t="n">
        <x:v>0</x:v>
      </x:c>
      <x:c r="I2904" s="185" t="n">
        <x:v>0</x:v>
      </x:c>
      <x:c r="J2904" s="185" t="n">
        <x:v>571486</x:v>
      </x:c>
      <x:c r="K2904" s="289" t="n">
        <x:v>43960.44615384</x:v>
      </x:c>
    </x:row>
    <x:row r="2905" s="117" customFormat="1" hidden="1">
      <x:c r="A2905" s="184" t="inlineStr">
        <x:is>
          <x:t xml:space="preserve">PPFFGCANS160</x:t>
        </x:is>
      </x:c>
      <x:c r="B2905" s="184" t="inlineStr">
        <x:is>
          <x:t xml:space="preserve">PP FLANGE CIEGO 160 ANSI</x:t>
        </x:is>
      </x:c>
      <x:c r="C2905" s="184" t="n">
        <x:v>0</x:v>
      </x:c>
      <x:c r="D2905" s="184" t="n">
        <x:v>0</x:v>
      </x:c>
      <x:c r="E2905" s="184" t="n">
        <x:v>0</x:v>
      </x:c>
      <x:c r="F2905" s="184" t="n">
        <x:v>0</x:v>
      </x:c>
      <x:c r="G2905" s="184" t="n">
        <x:v>0</x:v>
      </x:c>
      <x:c r="H2905" s="193" t="n">
        <x:v>0</x:v>
      </x:c>
      <x:c r="I2905" s="185" t="n">
        <x:v>0</x:v>
      </x:c>
      <x:c r="J2905" s="185" t="n">
        <x:v>0</x:v>
      </x:c>
      <x:c r="K2905" s="289" t="n">
        <x:v>84700</x:v>
      </x:c>
    </x:row>
    <x:row r="2906" s="117" customFormat="1" hidden="1">
      <x:c r="A2906" s="184" t="inlineStr">
        <x:is>
          <x:t xml:space="preserve">PPFFGCANS200</x:t>
        </x:is>
      </x:c>
      <x:c r="B2906" s="184" t="inlineStr">
        <x:is>
          <x:t xml:space="preserve">PP FLANGE CIEGO 200 ANSI</x:t>
        </x:is>
      </x:c>
      <x:c r="C2906" s="184" t="n">
        <x:v>10</x:v>
      </x:c>
      <x:c r="D2906" s="184" t="n">
        <x:v>0</x:v>
      </x:c>
      <x:c r="E2906" s="184" t="n">
        <x:v>0</x:v>
      </x:c>
      <x:c r="F2906" s="184" t="n">
        <x:v>10</x:v>
      </x:c>
      <x:c r="G2906" s="184" t="n">
        <x:v>870000</x:v>
      </x:c>
      <x:c r="H2906" s="193" t="n">
        <x:v>0</x:v>
      </x:c>
      <x:c r="I2906" s="185" t="n">
        <x:v>0</x:v>
      </x:c>
      <x:c r="J2906" s="185" t="n">
        <x:v>870000</x:v>
      </x:c>
      <x:c r="K2906" s="289" t="n">
        <x:v>87000</x:v>
      </x:c>
    </x:row>
    <x:row r="2907" s="117" customFormat="1" hidden="1">
      <x:c r="A2907" s="184" t="inlineStr">
        <x:is>
          <x:t xml:space="preserve">PPFFLAANS001</x:t>
        </x:is>
      </x:c>
      <x:c r="B2907" s="184" t="inlineStr">
        <x:is>
          <x:t xml:space="preserve">FLANGE PP/Ac ANSI 250.10 PLG CIEGO</x:t>
        </x:is>
      </x:c>
      <x:c r="C2907" s="184" t="n">
        <x:v>14</x:v>
      </x:c>
      <x:c r="D2907" s="184" t="n">
        <x:v>0</x:v>
      </x:c>
      <x:c r="E2907" s="184" t="n">
        <x:v>0</x:v>
      </x:c>
      <x:c r="F2907" s="184" t="n">
        <x:v>14</x:v>
      </x:c>
      <x:c r="G2907" s="184" t="n">
        <x:v>882263</x:v>
      </x:c>
      <x:c r="H2907" s="193" t="n">
        <x:v>0</x:v>
      </x:c>
      <x:c r="I2907" s="185" t="n">
        <x:v>0</x:v>
      </x:c>
      <x:c r="J2907" s="185" t="n">
        <x:v>882263</x:v>
      </x:c>
      <x:c r="K2907" s="289" t="n">
        <x:v>63018.76190476</x:v>
      </x:c>
    </x:row>
    <x:row r="2908" s="117" customFormat="1" hidden="1">
      <x:c r="A2908" s="184" t="inlineStr">
        <x:is>
          <x:t xml:space="preserve">PPFFLAANS002</x:t>
        </x:is>
      </x:c>
      <x:c r="B2908" s="184" t="inlineStr">
        <x:is>
          <x:t xml:space="preserve">FLANGE PP/Ac ANSI 500 PN10</x:t>
        </x:is>
      </x:c>
      <x:c r="C2908" s="184" t="n">
        <x:v>0</x:v>
      </x:c>
      <x:c r="D2908" s="184" t="n">
        <x:v>0</x:v>
      </x:c>
      <x:c r="E2908" s="184" t="n">
        <x:v>0</x:v>
      </x:c>
      <x:c r="F2908" s="184" t="n">
        <x:v>0</x:v>
      </x:c>
      <x:c r="G2908" s="184" t="n">
        <x:v>0</x:v>
      </x:c>
      <x:c r="H2908" s="193" t="n">
        <x:v>0</x:v>
      </x:c>
      <x:c r="I2908" s="185" t="n">
        <x:v>0</x:v>
      </x:c>
      <x:c r="J2908" s="185" t="n">
        <x:v>0</x:v>
      </x:c>
      <x:c r="K2908" s="289" t="n">
        <x:v>132300</x:v>
      </x:c>
    </x:row>
    <x:row r="2909" s="117" customFormat="1" hidden="1">
      <x:c r="A2909" s="184" t="inlineStr">
        <x:is>
          <x:t xml:space="preserve">PPFFLAANS003</x:t>
        </x:is>
      </x:c>
      <x:c r="B2909" s="184" t="inlineStr">
        <x:is>
          <x:t xml:space="preserve">PP FLANGE CIEGO ANSI DN110</x:t>
        </x:is>
      </x:c>
      <x:c r="C2909" s="184" t="n">
        <x:v>0</x:v>
      </x:c>
      <x:c r="D2909" s="184" t="n">
        <x:v>0</x:v>
      </x:c>
      <x:c r="E2909" s="184" t="n">
        <x:v>0</x:v>
      </x:c>
      <x:c r="F2909" s="184" t="n">
        <x:v>0</x:v>
      </x:c>
      <x:c r="G2909" s="184" t="n">
        <x:v>0</x:v>
      </x:c>
      <x:c r="H2909" s="193" t="n">
        <x:v>0</x:v>
      </x:c>
      <x:c r="I2909" s="185" t="n">
        <x:v>0</x:v>
      </x:c>
      <x:c r="J2909" s="185" t="n">
        <x:v>0</x:v>
      </x:c>
      <x:c r="K2909" s="289" t="n">
        <x:v>47800</x:v>
      </x:c>
    </x:row>
    <x:row r="2910" s="117" customFormat="1" hidden="1">
      <x:c r="A2910" s="184" t="inlineStr">
        <x:is>
          <x:t xml:space="preserve">PPFFLAANS020</x:t>
        </x:is>
      </x:c>
      <x:c r="B2910" s="184" t="inlineStr">
        <x:is>
          <x:t xml:space="preserve">PP FLANGE 20 ANSI</x:t>
        </x:is>
      </x:c>
      <x:c r="C2910" s="184" t="n">
        <x:v>4</x:v>
      </x:c>
      <x:c r="D2910" s="184" t="n">
        <x:v>0</x:v>
      </x:c>
      <x:c r="E2910" s="184" t="n">
        <x:v>0</x:v>
      </x:c>
      <x:c r="F2910" s="184" t="n">
        <x:v>4</x:v>
      </x:c>
      <x:c r="G2910" s="184" t="n">
        <x:v>10000</x:v>
      </x:c>
      <x:c r="H2910" s="193" t="n">
        <x:v>0</x:v>
      </x:c>
      <x:c r="I2910" s="185" t="n">
        <x:v>0</x:v>
      </x:c>
      <x:c r="J2910" s="185" t="n">
        <x:v>10000</x:v>
      </x:c>
      <x:c r="K2910" s="289" t="n">
        <x:v>2500</x:v>
      </x:c>
    </x:row>
    <x:row r="2911" s="117" customFormat="1" hidden="1">
      <x:c r="A2911" s="184" t="inlineStr">
        <x:is>
          <x:t xml:space="preserve">PPFFLAANS025</x:t>
        </x:is>
      </x:c>
      <x:c r="B2911" s="184" t="inlineStr">
        <x:is>
          <x:t xml:space="preserve">PP FLANGE 25 ANSI</x:t>
        </x:is>
      </x:c>
      <x:c r="C2911" s="184" t="n">
        <x:v>9</x:v>
      </x:c>
      <x:c r="D2911" s="184" t="n">
        <x:v>0</x:v>
      </x:c>
      <x:c r="E2911" s="184" t="n">
        <x:v>0</x:v>
      </x:c>
      <x:c r="F2911" s="184" t="n">
        <x:v>9</x:v>
      </x:c>
      <x:c r="G2911" s="184" t="n">
        <x:v>45000</x:v>
      </x:c>
      <x:c r="H2911" s="193" t="n">
        <x:v>0</x:v>
      </x:c>
      <x:c r="I2911" s="185" t="n">
        <x:v>0</x:v>
      </x:c>
      <x:c r="J2911" s="185" t="n">
        <x:v>45000</x:v>
      </x:c>
      <x:c r="K2911" s="289" t="n">
        <x:v>5000</x:v>
      </x:c>
    </x:row>
    <x:row r="2912" s="117" customFormat="1" hidden="1">
      <x:c r="A2912" s="184" t="inlineStr">
        <x:is>
          <x:t xml:space="preserve">PPFFLAANS032</x:t>
        </x:is>
      </x:c>
      <x:c r="B2912" s="184" t="inlineStr">
        <x:is>
          <x:t xml:space="preserve">PP FLANGE 32 ANSI</x:t>
        </x:is>
      </x:c>
      <x:c r="C2912" s="184" t="n">
        <x:v>13</x:v>
      </x:c>
      <x:c r="D2912" s="184" t="n">
        <x:v>0</x:v>
      </x:c>
      <x:c r="E2912" s="184" t="n">
        <x:v>0</x:v>
      </x:c>
      <x:c r="F2912" s="184" t="n">
        <x:v>13</x:v>
      </x:c>
      <x:c r="G2912" s="184" t="n">
        <x:v>92950</x:v>
      </x:c>
      <x:c r="H2912" s="193" t="n">
        <x:v>0</x:v>
      </x:c>
      <x:c r="I2912" s="185" t="n">
        <x:v>0</x:v>
      </x:c>
      <x:c r="J2912" s="185" t="n">
        <x:v>92950</x:v>
      </x:c>
      <x:c r="K2912" s="289" t="n">
        <x:v>7150</x:v>
      </x:c>
    </x:row>
    <x:row r="2913" s="117" customFormat="1" hidden="1">
      <x:c r="A2913" s="184" t="inlineStr">
        <x:is>
          <x:t xml:space="preserve">PPFFLAANS050</x:t>
        </x:is>
      </x:c>
      <x:c r="B2913" s="184" t="inlineStr">
        <x:is>
          <x:t xml:space="preserve">PP FLANGE 50 ANSI</x:t>
        </x:is>
      </x:c>
      <x:c r="C2913" s="184" t="n">
        <x:v>38</x:v>
      </x:c>
      <x:c r="D2913" s="184" t="n">
        <x:v>0</x:v>
      </x:c>
      <x:c r="E2913" s="184" t="n">
        <x:v>0</x:v>
      </x:c>
      <x:c r="F2913" s="184" t="n">
        <x:v>38</x:v>
      </x:c>
      <x:c r="G2913" s="184" t="n">
        <x:v>287196</x:v>
      </x:c>
      <x:c r="H2913" s="193" t="n">
        <x:v>0</x:v>
      </x:c>
      <x:c r="I2913" s="185" t="n">
        <x:v>0</x:v>
      </x:c>
      <x:c r="J2913" s="185" t="n">
        <x:v>287196</x:v>
      </x:c>
      <x:c r="K2913" s="289" t="n">
        <x:v>7557.85394621</x:v>
      </x:c>
    </x:row>
    <x:row r="2914" s="117" customFormat="1" hidden="1">
      <x:c r="A2914" s="184" t="inlineStr">
        <x:is>
          <x:t xml:space="preserve">PPFFLAANS063</x:t>
        </x:is>
      </x:c>
      <x:c r="B2914" s="184" t="inlineStr">
        <x:is>
          <x:t xml:space="preserve">PP FLANGE 63 ANSI</x:t>
        </x:is>
      </x:c>
      <x:c r="C2914" s="184" t="n">
        <x:v>0</x:v>
      </x:c>
      <x:c r="D2914" s="184" t="n">
        <x:v>34</x:v>
      </x:c>
      <x:c r="E2914" s="184" t="n">
        <x:v>0</x:v>
      </x:c>
      <x:c r="F2914" s="184" t="n">
        <x:v>34</x:v>
      </x:c>
      <x:c r="G2914" s="184" t="n">
        <x:v>-8</x:v>
      </x:c>
      <x:c r="H2914" s="193" t="n">
        <x:v>479400</x:v>
      </x:c>
      <x:c r="I2914" s="185" t="n">
        <x:v>0</x:v>
      </x:c>
      <x:c r="J2914" s="185" t="n">
        <x:v>479392</x:v>
      </x:c>
      <x:c r="K2914" s="289" t="n">
        <x:v>14100</x:v>
      </x:c>
    </x:row>
    <x:row r="2915" s="117" customFormat="1" hidden="1">
      <x:c r="A2915" s="184" t="inlineStr">
        <x:is>
          <x:t xml:space="preserve">PPFFLAANS075</x:t>
        </x:is>
      </x:c>
      <x:c r="B2915" s="184" t="inlineStr">
        <x:is>
          <x:t xml:space="preserve">PP FLANGE 75 ANSI</x:t>
        </x:is>
      </x:c>
      <x:c r="C2915" s="184" t="n">
        <x:v>0</x:v>
      </x:c>
      <x:c r="D2915" s="184" t="n">
        <x:v>0</x:v>
      </x:c>
      <x:c r="E2915" s="184" t="n">
        <x:v>0</x:v>
      </x:c>
      <x:c r="F2915" s="184" t="n">
        <x:v>0</x:v>
      </x:c>
      <x:c r="G2915" s="184" t="n">
        <x:v>0</x:v>
      </x:c>
      <x:c r="H2915" s="193" t="n">
        <x:v>0</x:v>
      </x:c>
      <x:c r="I2915" s="185" t="n">
        <x:v>0</x:v>
      </x:c>
      <x:c r="J2915" s="185" t="n">
        <x:v>0</x:v>
      </x:c>
      <x:c r="K2915" s="289" t="n">
        <x:v>8100</x:v>
      </x:c>
    </x:row>
    <x:row r="2916" s="117" customFormat="1" hidden="1">
      <x:c r="A2916" s="184" t="inlineStr">
        <x:is>
          <x:t xml:space="preserve">PPFFLAANS090</x:t>
        </x:is>
      </x:c>
      <x:c r="B2916" s="184" t="inlineStr">
        <x:is>
          <x:t xml:space="preserve">PP FLANGE 90 ANSI</x:t>
        </x:is>
      </x:c>
      <x:c r="C2916" s="184" t="n">
        <x:v>48</x:v>
      </x:c>
      <x:c r="D2916" s="184" t="n">
        <x:v>0</x:v>
      </x:c>
      <x:c r="E2916" s="184" t="n">
        <x:v>0</x:v>
      </x:c>
      <x:c r="F2916" s="184" t="n">
        <x:v>48</x:v>
      </x:c>
      <x:c r="G2916" s="184" t="n">
        <x:v>691502</x:v>
      </x:c>
      <x:c r="H2916" s="193" t="n">
        <x:v>0</x:v>
      </x:c>
      <x:c r="I2916" s="185" t="n">
        <x:v>0</x:v>
      </x:c>
      <x:c r="J2916" s="185" t="n">
        <x:v>691502</x:v>
      </x:c>
      <x:c r="K2916" s="289" t="n">
        <x:v>14406.25</x:v>
      </x:c>
    </x:row>
    <x:row r="2917" s="117" customFormat="1" hidden="1">
      <x:c r="A2917" s="184" t="inlineStr">
        <x:is>
          <x:t xml:space="preserve">PPFFLAANS110</x:t>
        </x:is>
      </x:c>
      <x:c r="B2917" s="184" t="inlineStr">
        <x:is>
          <x:t xml:space="preserve">PP FLANGE 110 ANSI</x:t>
        </x:is>
      </x:c>
      <x:c r="C2917" s="184" t="n">
        <x:v>21</x:v>
      </x:c>
      <x:c r="D2917" s="184" t="n">
        <x:v>0</x:v>
      </x:c>
      <x:c r="E2917" s="184" t="n">
        <x:v>0</x:v>
      </x:c>
      <x:c r="F2917" s="184" t="n">
        <x:v>21</x:v>
      </x:c>
      <x:c r="G2917" s="184" t="n">
        <x:v>327143</x:v>
      </x:c>
      <x:c r="H2917" s="193" t="n">
        <x:v>0</x:v>
      </x:c>
      <x:c r="I2917" s="185" t="n">
        <x:v>0</x:v>
      </x:c>
      <x:c r="J2917" s="185" t="n">
        <x:v>327143</x:v>
      </x:c>
      <x:c r="K2917" s="289" t="n">
        <x:v>15578.11111111</x:v>
      </x:c>
    </x:row>
    <x:row r="2918" s="117" customFormat="1" hidden="1">
      <x:c r="A2918" s="184" t="inlineStr">
        <x:is>
          <x:t xml:space="preserve">PPFFLAANS125</x:t>
        </x:is>
      </x:c>
      <x:c r="B2918" s="184" t="inlineStr">
        <x:is>
          <x:t xml:space="preserve">PP FLANGE 125 ANSI</x:t>
        </x:is>
      </x:c>
      <x:c r="C2918" s="184" t="n">
        <x:v>10</x:v>
      </x:c>
      <x:c r="D2918" s="184" t="n">
        <x:v>0</x:v>
      </x:c>
      <x:c r="E2918" s="184" t="n">
        <x:v>0</x:v>
      </x:c>
      <x:c r="F2918" s="184" t="n">
        <x:v>10</x:v>
      </x:c>
      <x:c r="G2918" s="184" t="n">
        <x:v>223559</x:v>
      </x:c>
      <x:c r="H2918" s="193" t="n">
        <x:v>0</x:v>
      </x:c>
      <x:c r="I2918" s="185" t="n">
        <x:v>0</x:v>
      </x:c>
      <x:c r="J2918" s="185" t="n">
        <x:v>223559</x:v>
      </x:c>
      <x:c r="K2918" s="289" t="n">
        <x:v>22356</x:v>
      </x:c>
    </x:row>
    <x:row r="2919" s="117" customFormat="1" hidden="1">
      <x:c r="A2919" s="184" t="inlineStr">
        <x:is>
          <x:t xml:space="preserve">PPFFLAANS160</x:t>
        </x:is>
      </x:c>
      <x:c r="B2919" s="184" t="inlineStr">
        <x:is>
          <x:t xml:space="preserve">PP FLANGE 160 ANSI</x:t>
        </x:is>
      </x:c>
      <x:c r="C2919" s="184" t="n">
        <x:v>96</x:v>
      </x:c>
      <x:c r="D2919" s="184" t="n">
        <x:v>0</x:v>
      </x:c>
      <x:c r="E2919" s="184" t="n">
        <x:v>0</x:v>
      </x:c>
      <x:c r="F2919" s="184" t="n">
        <x:v>96</x:v>
      </x:c>
      <x:c r="G2919" s="184" t="n">
        <x:v>2876061</x:v>
      </x:c>
      <x:c r="H2919" s="193" t="n">
        <x:v>0</x:v>
      </x:c>
      <x:c r="I2919" s="185" t="n">
        <x:v>0</x:v>
      </x:c>
      <x:c r="J2919" s="185" t="n">
        <x:v>2876061</x:v>
      </x:c>
      <x:c r="K2919" s="289" t="n">
        <x:v>29958.92214742</x:v>
      </x:c>
    </x:row>
    <x:row r="2920" s="117" customFormat="1" hidden="1">
      <x:c r="A2920" s="184" t="inlineStr">
        <x:is>
          <x:t xml:space="preserve">PPFFLAANS200</x:t>
        </x:is>
      </x:c>
      <x:c r="B2920" s="184" t="inlineStr">
        <x:is>
          <x:t xml:space="preserve">PP FLANGE 200 ANSI</x:t>
        </x:is>
      </x:c>
      <x:c r="C2920" s="184" t="n">
        <x:v>6</x:v>
      </x:c>
      <x:c r="D2920" s="184" t="n">
        <x:v>0</x:v>
      </x:c>
      <x:c r="E2920" s="184" t="n">
        <x:v>0</x:v>
      </x:c>
      <x:c r="F2920" s="184" t="n">
        <x:v>6</x:v>
      </x:c>
      <x:c r="G2920" s="184" t="n">
        <x:v>233213</x:v>
      </x:c>
      <x:c r="H2920" s="193" t="n">
        <x:v>0</x:v>
      </x:c>
      <x:c r="I2920" s="185" t="n">
        <x:v>0</x:v>
      </x:c>
      <x:c r="J2920" s="185" t="n">
        <x:v>233213</x:v>
      </x:c>
      <x:c r="K2920" s="289" t="n">
        <x:v>38868.99150245</x:v>
      </x:c>
    </x:row>
    <x:row r="2921" s="117" customFormat="1" hidden="1">
      <x:c r="A2921" s="184" t="inlineStr">
        <x:is>
          <x:t xml:space="preserve">PPFFLAANS250</x:t>
        </x:is>
      </x:c>
      <x:c r="B2921" s="184" t="inlineStr">
        <x:is>
          <x:t xml:space="preserve">PP FLANGE 250 ANSI</x:t>
        </x:is>
      </x:c>
      <x:c r="C2921" s="184" t="n">
        <x:v>53</x:v>
      </x:c>
      <x:c r="D2921" s="184" t="n">
        <x:v>0</x:v>
      </x:c>
      <x:c r="E2921" s="184" t="n">
        <x:v>0</x:v>
      </x:c>
      <x:c r="F2921" s="184" t="n">
        <x:v>53</x:v>
      </x:c>
      <x:c r="G2921" s="184" t="n">
        <x:v>2883019</x:v>
      </x:c>
      <x:c r="H2921" s="193" t="n">
        <x:v>0</x:v>
      </x:c>
      <x:c r="I2921" s="185" t="n">
        <x:v>0</x:v>
      </x:c>
      <x:c r="J2921" s="185" t="n">
        <x:v>2883019</x:v>
      </x:c>
      <x:c r="K2921" s="289" t="n">
        <x:v>54396.61402801</x:v>
      </x:c>
    </x:row>
    <x:row r="2922" s="117" customFormat="1" hidden="1">
      <x:c r="A2922" s="184" t="inlineStr">
        <x:is>
          <x:t xml:space="preserve">PPFFLAANS315</x:t>
        </x:is>
      </x:c>
      <x:c r="B2922" s="184" t="inlineStr">
        <x:is>
          <x:t xml:space="preserve">PP FLANGE 315 ANSI</x:t>
        </x:is>
      </x:c>
      <x:c r="C2922" s="184" t="n">
        <x:v>12</x:v>
      </x:c>
      <x:c r="D2922" s="184" t="n">
        <x:v>0</x:v>
      </x:c>
      <x:c r="E2922" s="184" t="n">
        <x:v>0</x:v>
      </x:c>
      <x:c r="F2922" s="184" t="n">
        <x:v>12</x:v>
      </x:c>
      <x:c r="G2922" s="184" t="n">
        <x:v>818877</x:v>
      </x:c>
      <x:c r="H2922" s="193" t="n">
        <x:v>0</x:v>
      </x:c>
      <x:c r="I2922" s="185" t="n">
        <x:v>0</x:v>
      </x:c>
      <x:c r="J2922" s="185" t="n">
        <x:v>818877</x:v>
      </x:c>
      <x:c r="K2922" s="289" t="n">
        <x:v>68239.21465759</x:v>
      </x:c>
    </x:row>
    <x:row r="2923" s="117" customFormat="1" hidden="1">
      <x:c r="A2923" s="184" t="inlineStr">
        <x:is>
          <x:t xml:space="preserve">PPFFLAANS355</x:t>
        </x:is>
      </x:c>
      <x:c r="B2923" s="184" t="inlineStr">
        <x:is>
          <x:t xml:space="preserve">FLANGE PP-FRP NEGRO ANSI 355 14 PLG</x:t>
        </x:is>
      </x:c>
      <x:c r="C2923" s="184" t="n">
        <x:v>0</x:v>
      </x:c>
      <x:c r="D2923" s="184" t="n">
        <x:v>0</x:v>
      </x:c>
      <x:c r="E2923" s="184" t="n">
        <x:v>0</x:v>
      </x:c>
      <x:c r="F2923" s="184" t="n">
        <x:v>0</x:v>
      </x:c>
      <x:c r="G2923" s="184" t="n">
        <x:v>-1</x:v>
      </x:c>
      <x:c r="H2923" s="193" t="n">
        <x:v>0</x:v>
      </x:c>
      <x:c r="I2923" s="185" t="n">
        <x:v>0</x:v>
      </x:c>
      <x:c r="J2923" s="185" t="n">
        <x:v>-1</x:v>
      </x:c>
      <x:c r="K2923" s="289" t="n">
        <x:v>135637.5</x:v>
      </x:c>
    </x:row>
    <x:row r="2924" s="117" customFormat="1" hidden="1">
      <x:c r="A2924" s="184" t="inlineStr">
        <x:is>
          <x:t xml:space="preserve">PPFFLAANS400</x:t>
        </x:is>
      </x:c>
      <x:c r="B2924" s="184" t="inlineStr">
        <x:is>
          <x:t xml:space="preserve">PP FLANGE 400 ANSI</x:t>
        </x:is>
      </x:c>
      <x:c r="C2924" s="184" t="n">
        <x:v>163</x:v>
      </x:c>
      <x:c r="D2924" s="184" t="n">
        <x:v>0</x:v>
      </x:c>
      <x:c r="E2924" s="184" t="n">
        <x:v>0</x:v>
      </x:c>
      <x:c r="F2924" s="184" t="n">
        <x:v>163</x:v>
      </x:c>
      <x:c r="G2924" s="184" t="n">
        <x:v>39382203</x:v>
      </x:c>
      <x:c r="H2924" s="193" t="n">
        <x:v>0</x:v>
      </x:c>
      <x:c r="I2924" s="185" t="n">
        <x:v>0</x:v>
      </x:c>
      <x:c r="J2924" s="185" t="n">
        <x:v>39382203</x:v>
      </x:c>
      <x:c r="K2924" s="289" t="n">
        <x:v>241608.58685494</x:v>
      </x:c>
    </x:row>
    <x:row r="2925" s="117" customFormat="1" hidden="1">
      <x:c r="A2925" s="184" t="inlineStr">
        <x:is>
          <x:t xml:space="preserve">PPFFLAANS450</x:t>
        </x:is>
      </x:c>
      <x:c r="B2925" s="184" t="inlineStr">
        <x:is>
          <x:t xml:space="preserve">PP FLANGE 450 ANSI</x:t>
        </x:is>
      </x:c>
      <x:c r="C2925" s="184" t="n">
        <x:v>19</x:v>
      </x:c>
      <x:c r="D2925" s="184" t="n">
        <x:v>0</x:v>
      </x:c>
      <x:c r="E2925" s="184" t="n">
        <x:v>0</x:v>
      </x:c>
      <x:c r="F2925" s="184" t="n">
        <x:v>19</x:v>
      </x:c>
      <x:c r="G2925" s="184" t="n">
        <x:v>7174606</x:v>
      </x:c>
      <x:c r="H2925" s="193" t="n">
        <x:v>0</x:v>
      </x:c>
      <x:c r="I2925" s="185" t="n">
        <x:v>0</x:v>
      </x:c>
      <x:c r="J2925" s="185" t="n">
        <x:v>7174606</x:v>
      </x:c>
      <x:c r="K2925" s="289" t="n">
        <x:v>377610.868</x:v>
      </x:c>
    </x:row>
    <x:row r="2926" s="117" customFormat="1" hidden="1">
      <x:c r="A2926" s="184" t="inlineStr">
        <x:is>
          <x:t xml:space="preserve">PPFFLAANS500</x:t>
        </x:is>
      </x:c>
      <x:c r="B2926" s="184" t="inlineStr">
        <x:is>
          <x:t xml:space="preserve">PP FLANGE 500 ANSI - 20 PULGADAS</x:t>
        </x:is>
      </x:c>
      <x:c r="C2926" s="184" t="n">
        <x:v>0</x:v>
      </x:c>
      <x:c r="D2926" s="184" t="n">
        <x:v>0</x:v>
      </x:c>
      <x:c r="E2926" s="184" t="n">
        <x:v>0</x:v>
      </x:c>
      <x:c r="F2926" s="184" t="n">
        <x:v>0</x:v>
      </x:c>
      <x:c r="G2926" s="184" t="n">
        <x:v>1</x:v>
      </x:c>
      <x:c r="H2926" s="193" t="n">
        <x:v>0</x:v>
      </x:c>
      <x:c r="I2926" s="185" t="n">
        <x:v>0</x:v>
      </x:c>
      <x:c r="J2926" s="185" t="n">
        <x:v>1</x:v>
      </x:c>
      <x:c r="K2926" s="289" t="n">
        <x:v>543972.838</x:v>
      </x:c>
    </x:row>
    <x:row r="2927" s="117" customFormat="1" hidden="1">
      <x:c r="A2927" s="184" t="inlineStr">
        <x:is>
          <x:t xml:space="preserve">PPFFLADIN001</x:t>
        </x:is>
      </x:c>
      <x:c r="B2927" s="184" t="inlineStr">
        <x:is>
          <x:t xml:space="preserve">FLANGE PP/Ac-DIN 50-1.1/2 CIEGO</x:t>
        </x:is>
      </x:c>
      <x:c r="C2927" s="184" t="n">
        <x:v>0</x:v>
      </x:c>
      <x:c r="D2927" s="184" t="n">
        <x:v>0</x:v>
      </x:c>
      <x:c r="E2927" s="184" t="n">
        <x:v>0</x:v>
      </x:c>
      <x:c r="F2927" s="184" t="n">
        <x:v>0</x:v>
      </x:c>
      <x:c r="G2927" s="184" t="n">
        <x:v>0</x:v>
      </x:c>
      <x:c r="H2927" s="193" t="n">
        <x:v>0</x:v>
      </x:c>
      <x:c r="I2927" s="185" t="n">
        <x:v>0</x:v>
      </x:c>
      <x:c r="J2927" s="185" t="n">
        <x:v>0</x:v>
      </x:c>
      <x:c r="K2927" s="289" t="n">
        <x:v>4800</x:v>
      </x:c>
    </x:row>
    <x:row r="2928" s="117" customFormat="1" hidden="1">
      <x:c r="A2928" s="184" t="inlineStr">
        <x:is>
          <x:t xml:space="preserve">PPFFLADIN002</x:t>
        </x:is>
      </x:c>
      <x:c r="B2928" s="184" t="inlineStr">
        <x:is>
          <x:t xml:space="preserve">FLANGE PP/Ac-DIN 114-5 PLG MOP-16 BAR</x:t>
        </x:is>
      </x:c>
      <x:c r="C2928" s="184" t="n">
        <x:v>0</x:v>
      </x:c>
      <x:c r="D2928" s="184" t="n">
        <x:v>0</x:v>
      </x:c>
      <x:c r="E2928" s="184" t="n">
        <x:v>0</x:v>
      </x:c>
      <x:c r="F2928" s="184" t="n">
        <x:v>0</x:v>
      </x:c>
      <x:c r="G2928" s="184" t="n">
        <x:v>0</x:v>
      </x:c>
      <x:c r="H2928" s="193" t="n">
        <x:v>0</x:v>
      </x:c>
      <x:c r="I2928" s="185" t="n">
        <x:v>0</x:v>
      </x:c>
      <x:c r="J2928" s="185" t="n">
        <x:v>0</x:v>
      </x:c>
      <x:c r="K2928" s="289" t="n">
        <x:v>12300</x:v>
      </x:c>
    </x:row>
    <x:row r="2929" s="117" customFormat="1" hidden="1">
      <x:c r="A2929" s="184" t="inlineStr">
        <x:is>
          <x:t xml:space="preserve">PPFFLADIN003</x:t>
        </x:is>
      </x:c>
      <x:c r="B2929" s="184" t="inlineStr">
        <x:is>
          <x:t xml:space="preserve">FLANGE RESPALDO 110 MM DIN REVESTIDO HDPE S/PLANO</x:t>
        </x:is>
      </x:c>
      <x:c r="C2929" s="184" t="n">
        <x:v>0</x:v>
      </x:c>
      <x:c r="D2929" s="184" t="n">
        <x:v>0</x:v>
      </x:c>
      <x:c r="E2929" s="184" t="n">
        <x:v>0</x:v>
      </x:c>
      <x:c r="F2929" s="184" t="n">
        <x:v>0</x:v>
      </x:c>
      <x:c r="G2929" s="184" t="n">
        <x:v>0</x:v>
      </x:c>
      <x:c r="H2929" s="193" t="n">
        <x:v>0</x:v>
      </x:c>
      <x:c r="I2929" s="185" t="n">
        <x:v>0</x:v>
      </x:c>
      <x:c r="J2929" s="185" t="n">
        <x:v>0</x:v>
      </x:c>
      <x:c r="K2929" s="289" t="n">
        <x:v>16080</x:v>
      </x:c>
    </x:row>
    <x:row r="2930" s="117" customFormat="1" hidden="1">
      <x:c r="A2930" s="184" t="inlineStr">
        <x:is>
          <x:t xml:space="preserve">PPFFLADIN063</x:t>
        </x:is>
      </x:c>
      <x:c r="B2930" s="184" t="inlineStr">
        <x:is>
          <x:t xml:space="preserve">PP FLANGE 63 DIN</x:t>
        </x:is>
      </x:c>
      <x:c r="C2930" s="184" t="n">
        <x:v>0</x:v>
      </x:c>
      <x:c r="D2930" s="184" t="n">
        <x:v>0</x:v>
      </x:c>
      <x:c r="E2930" s="184" t="n">
        <x:v>0</x:v>
      </x:c>
      <x:c r="F2930" s="184" t="n">
        <x:v>0</x:v>
      </x:c>
      <x:c r="G2930" s="184" t="n">
        <x:v>-2</x:v>
      </x:c>
      <x:c r="H2930" s="193" t="n">
        <x:v>0</x:v>
      </x:c>
      <x:c r="I2930" s="185" t="n">
        <x:v>0</x:v>
      </x:c>
      <x:c r="J2930" s="185" t="n">
        <x:v>-2</x:v>
      </x:c>
      <x:c r="K2930" s="289" t="n">
        <x:v>11023.80882353</x:v>
      </x:c>
    </x:row>
    <x:row r="2931" s="117" customFormat="1" hidden="1">
      <x:c r="A2931" s="184" t="inlineStr">
        <x:is>
          <x:t xml:space="preserve">PPFFLADIN110</x:t>
        </x:is>
      </x:c>
      <x:c r="B2931" s="184" t="inlineStr">
        <x:is>
          <x:t xml:space="preserve">PP FLANGE 110 DIN</x:t>
        </x:is>
      </x:c>
      <x:c r="C2931" s="184" t="n">
        <x:v>11</x:v>
      </x:c>
      <x:c r="D2931" s="184" t="n">
        <x:v>0</x:v>
      </x:c>
      <x:c r="E2931" s="184" t="n">
        <x:v>0</x:v>
      </x:c>
      <x:c r="F2931" s="184" t="n">
        <x:v>11</x:v>
      </x:c>
      <x:c r="G2931" s="184" t="n">
        <x:v>135300</x:v>
      </x:c>
      <x:c r="H2931" s="193" t="n">
        <x:v>0</x:v>
      </x:c>
      <x:c r="I2931" s="185" t="n">
        <x:v>0</x:v>
      </x:c>
      <x:c r="J2931" s="185" t="n">
        <x:v>135300</x:v>
      </x:c>
      <x:c r="K2931" s="289" t="n">
        <x:v>12300</x:v>
      </x:c>
    </x:row>
    <x:row r="2932" s="117" customFormat="1" hidden="1">
      <x:c r="A2932" s="184" t="inlineStr">
        <x:is>
          <x:t xml:space="preserve">PPFFLADIN125</x:t>
        </x:is>
      </x:c>
      <x:c r="B2932" s="184" t="inlineStr">
        <x:is>
          <x:t xml:space="preserve">PP FLANGE 125 DIN</x:t>
        </x:is>
      </x:c>
      <x:c r="C2932" s="184" t="n">
        <x:v>184</x:v>
      </x:c>
      <x:c r="D2932" s="184" t="n">
        <x:v>0</x:v>
      </x:c>
      <x:c r="E2932" s="184" t="n">
        <x:v>0</x:v>
      </x:c>
      <x:c r="F2932" s="184" t="n">
        <x:v>184</x:v>
      </x:c>
      <x:c r="G2932" s="184" t="n">
        <x:v>940795</x:v>
      </x:c>
      <x:c r="H2932" s="193" t="n">
        <x:v>0</x:v>
      </x:c>
      <x:c r="I2932" s="185" t="n">
        <x:v>0</x:v>
      </x:c>
      <x:c r="J2932" s="185" t="n">
        <x:v>940795</x:v>
      </x:c>
      <x:c r="K2932" s="289" t="n">
        <x:v>5113.01838056</x:v>
      </x:c>
    </x:row>
    <x:row r="2933" s="117" customFormat="1" hidden="1">
      <x:c r="A2933" s="184" t="inlineStr">
        <x:is>
          <x:t xml:space="preserve">PPFFLADIN140</x:t>
        </x:is>
      </x:c>
      <x:c r="B2933" s="184" t="inlineStr">
        <x:is>
          <x:t xml:space="preserve">PP FLANGE 140 DIN</x:t>
        </x:is>
      </x:c>
      <x:c r="C2933" s="184" t="n">
        <x:v>0</x:v>
      </x:c>
      <x:c r="D2933" s="184" t="n">
        <x:v>0</x:v>
      </x:c>
      <x:c r="E2933" s="184" t="n">
        <x:v>0</x:v>
      </x:c>
      <x:c r="F2933" s="184" t="n">
        <x:v>0</x:v>
      </x:c>
      <x:c r="G2933" s="184" t="n">
        <x:v>0</x:v>
      </x:c>
      <x:c r="H2933" s="193" t="n">
        <x:v>0</x:v>
      </x:c>
      <x:c r="I2933" s="185" t="n">
        <x:v>0</x:v>
      </x:c>
      <x:c r="J2933" s="185" t="n">
        <x:v>0</x:v>
      </x:c>
      <x:c r="K2933" s="289" t="n">
        <x:v>0</x:v>
      </x:c>
    </x:row>
    <x:row r="2934" s="117" customFormat="1" hidden="1">
      <x:c r="A2934" s="184" t="inlineStr">
        <x:is>
          <x:t xml:space="preserve">PPFFLADIN160</x:t>
        </x:is>
      </x:c>
      <x:c r="B2934" s="184" t="inlineStr">
        <x:is>
          <x:t xml:space="preserve">PP FLANGE 160 DIN</x:t>
        </x:is>
      </x:c>
      <x:c r="C2934" s="184" t="n">
        <x:v>15</x:v>
      </x:c>
      <x:c r="D2934" s="184" t="n">
        <x:v>0</x:v>
      </x:c>
      <x:c r="E2934" s="184" t="n">
        <x:v>0</x:v>
      </x:c>
      <x:c r="F2934" s="184" t="n">
        <x:v>15</x:v>
      </x:c>
      <x:c r="G2934" s="184" t="n">
        <x:v>291450</x:v>
      </x:c>
      <x:c r="H2934" s="193" t="n">
        <x:v>0</x:v>
      </x:c>
      <x:c r="I2934" s="185" t="n">
        <x:v>0</x:v>
      </x:c>
      <x:c r="J2934" s="185" t="n">
        <x:v>291450</x:v>
      </x:c>
      <x:c r="K2934" s="289" t="n">
        <x:v>19430</x:v>
      </x:c>
    </x:row>
    <x:row r="2935" s="117" customFormat="1" hidden="1">
      <x:c r="A2935" s="184" t="inlineStr">
        <x:is>
          <x:t xml:space="preserve">PPFFLADIN200</x:t>
        </x:is>
      </x:c>
      <x:c r="B2935" s="184" t="inlineStr">
        <x:is>
          <x:t xml:space="preserve">PP FLANGE 200 DIN</x:t>
        </x:is>
      </x:c>
      <x:c r="C2935" s="184" t="n">
        <x:v>135</x:v>
      </x:c>
      <x:c r="D2935" s="184" t="n">
        <x:v>0</x:v>
      </x:c>
      <x:c r="E2935" s="184" t="n">
        <x:v>0</x:v>
      </x:c>
      <x:c r="F2935" s="184" t="n">
        <x:v>135</x:v>
      </x:c>
      <x:c r="G2935" s="184" t="n">
        <x:v>3241343</x:v>
      </x:c>
      <x:c r="H2935" s="193" t="n">
        <x:v>0</x:v>
      </x:c>
      <x:c r="I2935" s="185" t="n">
        <x:v>0</x:v>
      </x:c>
      <x:c r="J2935" s="185" t="n">
        <x:v>3241343</x:v>
      </x:c>
      <x:c r="K2935" s="289" t="n">
        <x:v>24009.94420392</x:v>
      </x:c>
    </x:row>
    <x:row r="2936" s="117" customFormat="1" hidden="1">
      <x:c r="A2936" s="184" t="inlineStr">
        <x:is>
          <x:t xml:space="preserve">PPFFLADIN250</x:t>
        </x:is>
      </x:c>
      <x:c r="B2936" s="184" t="inlineStr">
        <x:is>
          <x:t xml:space="preserve">PP FLANGE 250 DIN</x:t>
        </x:is>
      </x:c>
      <x:c r="C2936" s="184" t="n">
        <x:v>26</x:v>
      </x:c>
      <x:c r="D2936" s="184" t="n">
        <x:v>0</x:v>
      </x:c>
      <x:c r="E2936" s="184" t="n">
        <x:v>0</x:v>
      </x:c>
      <x:c r="F2936" s="184" t="n">
        <x:v>26</x:v>
      </x:c>
      <x:c r="G2936" s="184" t="n">
        <x:v>1241864</x:v>
      </x:c>
      <x:c r="H2936" s="193" t="n">
        <x:v>0</x:v>
      </x:c>
      <x:c r="I2936" s="185" t="n">
        <x:v>0</x:v>
      </x:c>
      <x:c r="J2936" s="185" t="n">
        <x:v>1241864</x:v>
      </x:c>
      <x:c r="K2936" s="289" t="n">
        <x:v>47764.01234568</x:v>
      </x:c>
    </x:row>
    <x:row r="2937" s="117" customFormat="1" hidden="1">
      <x:c r="A2937" s="184" t="inlineStr">
        <x:is>
          <x:t xml:space="preserve">PPFFLADIN315</x:t>
        </x:is>
      </x:c>
      <x:c r="B2937" s="184" t="inlineStr">
        <x:is>
          <x:t xml:space="preserve">PP FLANGE 315 DIN</x:t>
        </x:is>
      </x:c>
      <x:c r="C2937" s="184" t="n">
        <x:v>0</x:v>
      </x:c>
      <x:c r="D2937" s="184" t="n">
        <x:v>0</x:v>
      </x:c>
      <x:c r="E2937" s="184" t="n">
        <x:v>0</x:v>
      </x:c>
      <x:c r="F2937" s="184" t="n">
        <x:v>0</x:v>
      </x:c>
      <x:c r="G2937" s="184" t="n">
        <x:v>0</x:v>
      </x:c>
      <x:c r="H2937" s="193" t="n">
        <x:v>0</x:v>
      </x:c>
      <x:c r="I2937" s="185" t="n">
        <x:v>0</x:v>
      </x:c>
      <x:c r="J2937" s="185" t="n">
        <x:v>0</x:v>
      </x:c>
      <x:c r="K2937" s="289" t="n">
        <x:v>68671.95266272</x:v>
      </x:c>
    </x:row>
    <x:row r="2938" s="117" customFormat="1" hidden="1">
      <x:c r="A2938" s="184" t="inlineStr">
        <x:is>
          <x:t xml:space="preserve">PPFFLADIN355</x:t>
        </x:is>
      </x:c>
      <x:c r="B2938" s="184" t="inlineStr">
        <x:is>
          <x:t xml:space="preserve">PP FLANGE 355 DIN</x:t>
        </x:is>
      </x:c>
      <x:c r="C2938" s="184" t="n">
        <x:v>6</x:v>
      </x:c>
      <x:c r="D2938" s="184" t="n">
        <x:v>0</x:v>
      </x:c>
      <x:c r="E2938" s="184" t="n">
        <x:v>0</x:v>
      </x:c>
      <x:c r="F2938" s="184" t="n">
        <x:v>6</x:v>
      </x:c>
      <x:c r="G2938" s="184" t="n">
        <x:v>684144</x:v>
      </x:c>
      <x:c r="H2938" s="193" t="n">
        <x:v>0</x:v>
      </x:c>
      <x:c r="I2938" s="185" t="n">
        <x:v>0</x:v>
      </x:c>
      <x:c r="J2938" s="185" t="n">
        <x:v>684144</x:v>
      </x:c>
      <x:c r="K2938" s="289" t="n">
        <x:v>114023.93333333</x:v>
      </x:c>
    </x:row>
    <x:row r="2939" s="117" customFormat="1" hidden="1">
      <x:c r="A2939" s="184" t="inlineStr">
        <x:is>
          <x:t xml:space="preserve">PPFFLADIN400</x:t>
        </x:is>
      </x:c>
      <x:c r="B2939" s="184" t="inlineStr">
        <x:is>
          <x:t xml:space="preserve">PP FLANGE 400 DIN</x:t>
        </x:is>
      </x:c>
      <x:c r="C2939" s="184" t="n">
        <x:v>0</x:v>
      </x:c>
      <x:c r="D2939" s="184" t="n">
        <x:v>0</x:v>
      </x:c>
      <x:c r="E2939" s="184" t="n">
        <x:v>0</x:v>
      </x:c>
      <x:c r="F2939" s="184" t="n">
        <x:v>0</x:v>
      </x:c>
      <x:c r="G2939" s="184" t="n">
        <x:v>-1</x:v>
      </x:c>
      <x:c r="H2939" s="193" t="n">
        <x:v>0</x:v>
      </x:c>
      <x:c r="I2939" s="185" t="n">
        <x:v>0</x:v>
      </x:c>
      <x:c r="J2939" s="185" t="n">
        <x:v>-1</x:v>
      </x:c>
      <x:c r="K2939" s="289" t="n">
        <x:v>157311.43891403</x:v>
      </x:c>
    </x:row>
    <x:row r="2940" s="117" customFormat="1" hidden="1">
      <x:c r="A2940" s="184" t="inlineStr">
        <x:is>
          <x:t xml:space="preserve">PPFFLADIN450</x:t>
        </x:is>
      </x:c>
      <x:c r="B2940" s="184" t="inlineStr">
        <x:is>
          <x:t xml:space="preserve">PP FLANGE 450 DIN</x:t>
        </x:is>
      </x:c>
      <x:c r="C2940" s="184" t="n">
        <x:v>0</x:v>
      </x:c>
      <x:c r="D2940" s="184" t="n">
        <x:v>0</x:v>
      </x:c>
      <x:c r="E2940" s="184" t="n">
        <x:v>0</x:v>
      </x:c>
      <x:c r="F2940" s="184" t="n">
        <x:v>0</x:v>
      </x:c>
      <x:c r="G2940" s="184" t="n">
        <x:v>0</x:v>
      </x:c>
      <x:c r="H2940" s="193" t="n">
        <x:v>0</x:v>
      </x:c>
      <x:c r="I2940" s="185" t="n">
        <x:v>0</x:v>
      </x:c>
      <x:c r="J2940" s="185" t="n">
        <x:v>0</x:v>
      </x:c>
      <x:c r="K2940" s="289" t="n">
        <x:v>188320</x:v>
      </x:c>
    </x:row>
    <x:row r="2941" s="117" customFormat="1" hidden="1">
      <x:c r="A2941" s="184" t="inlineStr">
        <x:is>
          <x:t xml:space="preserve">PPFFLADIN500</x:t>
        </x:is>
      </x:c>
      <x:c r="B2941" s="184" t="inlineStr">
        <x:is>
          <x:t xml:space="preserve">PP FLANGE 500 DIN</x:t>
        </x:is>
      </x:c>
      <x:c r="C2941" s="184" t="n">
        <x:v>0</x:v>
      </x:c>
      <x:c r="D2941" s="184" t="n">
        <x:v>0</x:v>
      </x:c>
      <x:c r="E2941" s="184" t="n">
        <x:v>0</x:v>
      </x:c>
      <x:c r="F2941" s="184" t="n">
        <x:v>0</x:v>
      </x:c>
      <x:c r="G2941" s="184" t="n">
        <x:v>0</x:v>
      </x:c>
      <x:c r="H2941" s="193" t="n">
        <x:v>0</x:v>
      </x:c>
      <x:c r="I2941" s="185" t="n">
        <x:v>0</x:v>
      </x:c>
      <x:c r="J2941" s="185" t="n">
        <x:v>0</x:v>
      </x:c>
      <x:c r="K2941" s="289" t="n">
        <x:v>239291</x:v>
      </x:c>
    </x:row>
    <x:row r="2942" s="117" customFormat="1" hidden="1">
      <x:c r="A2942" s="184" t="inlineStr">
        <x:is>
          <x:t xml:space="preserve">PPFFLADINO25</x:t>
        </x:is>
      </x:c>
      <x:c r="B2942" s="184" t="inlineStr">
        <x:is>
          <x:t xml:space="preserve">PP FLANGE 25 DIN</x:t>
        </x:is>
      </x:c>
      <x:c r="C2942" s="184" t="n">
        <x:v>0</x:v>
      </x:c>
      <x:c r="D2942" s="184" t="n">
        <x:v>0</x:v>
      </x:c>
      <x:c r="E2942" s="184" t="n">
        <x:v>0</x:v>
      </x:c>
      <x:c r="F2942" s="184" t="n">
        <x:v>0</x:v>
      </x:c>
      <x:c r="G2942" s="184" t="n">
        <x:v>0</x:v>
      </x:c>
      <x:c r="H2942" s="193" t="n">
        <x:v>0</x:v>
      </x:c>
      <x:c r="I2942" s="185" t="n">
        <x:v>0</x:v>
      </x:c>
      <x:c r="J2942" s="185" t="n">
        <x:v>0</x:v>
      </x:c>
      <x:c r="K2942" s="289" t="n">
        <x:v>31000</x:v>
      </x:c>
    </x:row>
    <x:row r="2943" s="117" customFormat="1" hidden="1">
      <x:c r="A2943" s="184" t="inlineStr">
        <x:is>
          <x:t xml:space="preserve">PPFFLADINO32</x:t>
        </x:is>
      </x:c>
      <x:c r="B2943" s="184" t="inlineStr">
        <x:is>
          <x:t xml:space="preserve">PP FLANGE 32 DIN</x:t>
        </x:is>
      </x:c>
      <x:c r="C2943" s="184" t="n">
        <x:v>9</x:v>
      </x:c>
      <x:c r="D2943" s="184" t="n">
        <x:v>0</x:v>
      </x:c>
      <x:c r="E2943" s="184" t="n">
        <x:v>0</x:v>
      </x:c>
      <x:c r="F2943" s="184" t="n">
        <x:v>9</x:v>
      </x:c>
      <x:c r="G2943" s="184" t="n">
        <x:v>28800</x:v>
      </x:c>
      <x:c r="H2943" s="193" t="n">
        <x:v>0</x:v>
      </x:c>
      <x:c r="I2943" s="185" t="n">
        <x:v>0</x:v>
      </x:c>
      <x:c r="J2943" s="185" t="n">
        <x:v>28800</x:v>
      </x:c>
      <x:c r="K2943" s="289" t="n">
        <x:v>3200</x:v>
      </x:c>
    </x:row>
    <x:row r="2944" s="117" customFormat="1" hidden="1">
      <x:c r="A2944" s="184" t="inlineStr">
        <x:is>
          <x:t xml:space="preserve">PPFFLADINO40</x:t>
        </x:is>
      </x:c>
      <x:c r="B2944" s="184" t="inlineStr">
        <x:is>
          <x:t xml:space="preserve">PP FLANGE 40 DIN</x:t>
        </x:is>
      </x:c>
      <x:c r="C2944" s="184" t="n">
        <x:v>13</x:v>
      </x:c>
      <x:c r="D2944" s="184" t="n">
        <x:v>0</x:v>
      </x:c>
      <x:c r="E2944" s="184" t="n">
        <x:v>0</x:v>
      </x:c>
      <x:c r="F2944" s="184" t="n">
        <x:v>13</x:v>
      </x:c>
      <x:c r="G2944" s="184" t="n">
        <x:v>50700</x:v>
      </x:c>
      <x:c r="H2944" s="193" t="n">
        <x:v>0</x:v>
      </x:c>
      <x:c r="I2944" s="185" t="n">
        <x:v>0</x:v>
      </x:c>
      <x:c r="J2944" s="185" t="n">
        <x:v>50700</x:v>
      </x:c>
      <x:c r="K2944" s="289" t="n">
        <x:v>3900</x:v>
      </x:c>
    </x:row>
    <x:row r="2945" s="117" customFormat="1" hidden="1">
      <x:c r="A2945" s="184" t="inlineStr">
        <x:is>
          <x:t xml:space="preserve">PPFFLADINO44</x:t>
        </x:is>
      </x:c>
      <x:c r="B2945" s="184" t="inlineStr">
        <x:is>
          <x:t xml:space="preserve">PP FLANGE 44 DIN</x:t>
        </x:is>
      </x:c>
      <x:c r="C2945" s="184" t="n">
        <x:v>0</x:v>
      </x:c>
      <x:c r="D2945" s="184" t="n">
        <x:v>0</x:v>
      </x:c>
      <x:c r="E2945" s="184" t="n">
        <x:v>0</x:v>
      </x:c>
      <x:c r="F2945" s="184" t="n">
        <x:v>0</x:v>
      </x:c>
      <x:c r="G2945" s="184" t="n">
        <x:v>0</x:v>
      </x:c>
      <x:c r="H2945" s="193" t="n">
        <x:v>0</x:v>
      </x:c>
      <x:c r="I2945" s="185" t="n">
        <x:v>0</x:v>
      </x:c>
      <x:c r="J2945" s="185" t="n">
        <x:v>0</x:v>
      </x:c>
      <x:c r="K2945" s="289" t="n">
        <x:v>0</x:v>
      </x:c>
    </x:row>
    <x:row r="2946" s="117" customFormat="1" hidden="1">
      <x:c r="A2946" s="184" t="inlineStr">
        <x:is>
          <x:t xml:space="preserve">PPFFLADINO50</x:t>
        </x:is>
      </x:c>
      <x:c r="B2946" s="184" t="inlineStr">
        <x:is>
          <x:t xml:space="preserve">PP FLANGE 50 DIN</x:t>
        </x:is>
      </x:c>
      <x:c r="C2946" s="184" t="n">
        <x:v>11</x:v>
      </x:c>
      <x:c r="D2946" s="184" t="n">
        <x:v>0</x:v>
      </x:c>
      <x:c r="E2946" s="184" t="n">
        <x:v>0</x:v>
      </x:c>
      <x:c r="F2946" s="184" t="n">
        <x:v>11</x:v>
      </x:c>
      <x:c r="G2946" s="184" t="n">
        <x:v>95335</x:v>
      </x:c>
      <x:c r="H2946" s="193" t="n">
        <x:v>0</x:v>
      </x:c>
      <x:c r="I2946" s="185" t="n">
        <x:v>0</x:v>
      </x:c>
      <x:c r="J2946" s="185" t="n">
        <x:v>95335</x:v>
      </x:c>
      <x:c r="K2946" s="289" t="n">
        <x:v>8666.82857143</x:v>
      </x:c>
    </x:row>
    <x:row r="2947" s="117" customFormat="1" hidden="1">
      <x:c r="A2947" s="184" t="inlineStr">
        <x:is>
          <x:t xml:space="preserve">PPFFLADINO63</x:t>
        </x:is>
      </x:c>
      <x:c r="B2947" s="184" t="inlineStr">
        <x:is>
          <x:t xml:space="preserve">PP FLANGE 63 DIN</x:t>
        </x:is>
      </x:c>
      <x:c r="C2947" s="184" t="n">
        <x:v>3</x:v>
      </x:c>
      <x:c r="D2947" s="184" t="n">
        <x:v>0</x:v>
      </x:c>
      <x:c r="E2947" s="184" t="n">
        <x:v>0</x:v>
      </x:c>
      <x:c r="F2947" s="184" t="n">
        <x:v>3</x:v>
      </x:c>
      <x:c r="G2947" s="184" t="n">
        <x:v>5400</x:v>
      </x:c>
      <x:c r="H2947" s="193" t="n">
        <x:v>0</x:v>
      </x:c>
      <x:c r="I2947" s="185" t="n">
        <x:v>0</x:v>
      </x:c>
      <x:c r="J2947" s="185" t="n">
        <x:v>5400</x:v>
      </x:c>
      <x:c r="K2947" s="289" t="n">
        <x:v>1800</x:v>
      </x:c>
    </x:row>
    <x:row r="2948" s="117" customFormat="1" hidden="1">
      <x:c r="A2948" s="184" t="inlineStr">
        <x:is>
          <x:t xml:space="preserve">PPFFLADINO75</x:t>
        </x:is>
      </x:c>
      <x:c r="B2948" s="184" t="inlineStr">
        <x:is>
          <x:t xml:space="preserve">PP FLANGE 75 DIN</x:t>
        </x:is>
      </x:c>
      <x:c r="C2948" s="184" t="n">
        <x:v>1</x:v>
      </x:c>
      <x:c r="D2948" s="184" t="n">
        <x:v>0</x:v>
      </x:c>
      <x:c r="E2948" s="184" t="n">
        <x:v>0</x:v>
      </x:c>
      <x:c r="F2948" s="184" t="n">
        <x:v>1</x:v>
      </x:c>
      <x:c r="G2948" s="184" t="n">
        <x:v>1800</x:v>
      </x:c>
      <x:c r="H2948" s="193" t="n">
        <x:v>0</x:v>
      </x:c>
      <x:c r="I2948" s="185" t="n">
        <x:v>0</x:v>
      </x:c>
      <x:c r="J2948" s="185" t="n">
        <x:v>1800</x:v>
      </x:c>
      <x:c r="K2948" s="289" t="n">
        <x:v>1800</x:v>
      </x:c>
    </x:row>
    <x:row r="2949" s="117" customFormat="1" hidden="1">
      <x:c r="A2949" s="184" t="inlineStr">
        <x:is>
          <x:t xml:space="preserve">PPFFLADINO90</x:t>
        </x:is>
      </x:c>
      <x:c r="B2949" s="184" t="inlineStr">
        <x:is>
          <x:t xml:space="preserve">PP FLANGE 90 DIN</x:t>
        </x:is>
      </x:c>
      <x:c r="C2949" s="184" t="n">
        <x:v>10</x:v>
      </x:c>
      <x:c r="D2949" s="184" t="n">
        <x:v>0</x:v>
      </x:c>
      <x:c r="E2949" s="184" t="n">
        <x:v>0</x:v>
      </x:c>
      <x:c r="F2949" s="184" t="n">
        <x:v>10</x:v>
      </x:c>
      <x:c r="G2949" s="184" t="n">
        <x:v>100000</x:v>
      </x:c>
      <x:c r="H2949" s="193" t="n">
        <x:v>0</x:v>
      </x:c>
      <x:c r="I2949" s="185" t="n">
        <x:v>0</x:v>
      </x:c>
      <x:c r="J2949" s="185" t="n">
        <x:v>100000</x:v>
      </x:c>
      <x:c r="K2949" s="289" t="n">
        <x:v>10000</x:v>
      </x:c>
    </x:row>
    <x:row r="2950" s="117" customFormat="1" hidden="1">
      <x:c r="A2950" s="184" t="inlineStr">
        <x:is>
          <x:t xml:space="preserve">PPP90GSOC001</x:t>
        </x:is>
      </x:c>
      <x:c r="B2950" s="184" t="inlineStr">
        <x:is>
          <x:t xml:space="preserve">CODO POLIPROPILENO 200XSOC VENT</x:t>
        </x:is>
      </x:c>
      <x:c r="C2950" s="184" t="n">
        <x:v>0</x:v>
      </x:c>
      <x:c r="D2950" s="184" t="n">
        <x:v>0</x:v>
      </x:c>
      <x:c r="E2950" s="184" t="n">
        <x:v>0</x:v>
      </x:c>
      <x:c r="F2950" s="184" t="n">
        <x:v>0</x:v>
      </x:c>
      <x:c r="G2950" s="184" t="n">
        <x:v>0</x:v>
      </x:c>
      <x:c r="H2950" s="193" t="n">
        <x:v>0</x:v>
      </x:c>
      <x:c r="I2950" s="185" t="n">
        <x:v>0</x:v>
      </x:c>
      <x:c r="J2950" s="185" t="n">
        <x:v>0</x:v>
      </x:c>
      <x:c r="K2950" s="289" t="n">
        <x:v>22764</x:v>
      </x:c>
    </x:row>
    <x:row r="2951" s="117" customFormat="1" hidden="1">
      <x:c r="A2951" s="184" t="inlineStr">
        <x:is>
          <x:t xml:space="preserve">PPPPLA001001</x:t>
        </x:is>
      </x:c>
      <x:c r="B2951" s="184" t="inlineStr">
        <x:is>
          <x:t xml:space="preserve">PLANCHAS DE POLIPROPILENO PP SIN BACKING 3000X1500X3 MM</x:t>
        </x:is>
      </x:c>
      <x:c r="C2951" s="184" t="n">
        <x:v>0</x:v>
      </x:c>
      <x:c r="D2951" s="184" t="n">
        <x:v>0</x:v>
      </x:c>
      <x:c r="E2951" s="184" t="n">
        <x:v>0</x:v>
      </x:c>
      <x:c r="F2951" s="184" t="n">
        <x:v>0</x:v>
      </x:c>
      <x:c r="G2951" s="184" t="n">
        <x:v>0</x:v>
      </x:c>
      <x:c r="H2951" s="193" t="n">
        <x:v>0</x:v>
      </x:c>
      <x:c r="I2951" s="185" t="n">
        <x:v>0</x:v>
      </x:c>
      <x:c r="J2951" s="185" t="n">
        <x:v>0</x:v>
      </x:c>
      <x:c r="K2951" s="289" t="n">
        <x:v>82974</x:v>
      </x:c>
    </x:row>
    <x:row r="2952" s="117" customFormat="1" hidden="1">
      <x:c r="A2952" s="184" t="inlineStr">
        <x:is>
          <x:t xml:space="preserve">PPPPLA001002</x:t>
        </x:is>
      </x:c>
      <x:c r="B2952" s="184" t="inlineStr">
        <x:is>
          <x:t xml:space="preserve">PLANCHAS DE POLIPROPILENO PP SIN BACKING 3000X1500X5 MM</x:t>
        </x:is>
      </x:c>
      <x:c r="C2952" s="184" t="n">
        <x:v>13</x:v>
      </x:c>
      <x:c r="D2952" s="184" t="n">
        <x:v>0</x:v>
      </x:c>
      <x:c r="E2952" s="184" t="n">
        <x:v>0</x:v>
      </x:c>
      <x:c r="F2952" s="184" t="n">
        <x:v>13</x:v>
      </x:c>
      <x:c r="G2952" s="184" t="n">
        <x:v>2417571</x:v>
      </x:c>
      <x:c r="H2952" s="193" t="n">
        <x:v>0</x:v>
      </x:c>
      <x:c r="I2952" s="185" t="n">
        <x:v>0</x:v>
      </x:c>
      <x:c r="J2952" s="185" t="n">
        <x:v>2417571</x:v>
      </x:c>
      <x:c r="K2952" s="289" t="n">
        <x:v>185967.00009146</x:v>
      </x:c>
    </x:row>
    <x:row r="2953" s="117" customFormat="1" hidden="1">
      <x:c r="A2953" s="184" t="inlineStr">
        <x:is>
          <x:t xml:space="preserve">PPPPLA001003</x:t>
        </x:is>
      </x:c>
      <x:c r="B2953" s="184" t="inlineStr">
        <x:is>
          <x:t xml:space="preserve">PLANCHAS DE POLIPROPILENO PP SIN BACKING 3000X1500X15 MM</x:t>
        </x:is>
      </x:c>
      <x:c r="C2953" s="184" t="n">
        <x:v>0</x:v>
      </x:c>
      <x:c r="D2953" s="184" t="n">
        <x:v>0</x:v>
      </x:c>
      <x:c r="E2953" s="184" t="n">
        <x:v>0</x:v>
      </x:c>
      <x:c r="F2953" s="184" t="n">
        <x:v>0</x:v>
      </x:c>
      <x:c r="G2953" s="184" t="n">
        <x:v>0</x:v>
      </x:c>
      <x:c r="H2953" s="193" t="n">
        <x:v>0</x:v>
      </x:c>
      <x:c r="I2953" s="185" t="n">
        <x:v>0</x:v>
      </x:c>
      <x:c r="J2953" s="185" t="n">
        <x:v>0</x:v>
      </x:c>
      <x:c r="K2953" s="289" t="n">
        <x:v>297559.789474</x:v>
      </x:c>
    </x:row>
    <x:row r="2954" s="117" customFormat="1" hidden="1">
      <x:c r="A2954" s="184" t="inlineStr">
        <x:is>
          <x:t xml:space="preserve">PPPPLA001004</x:t>
        </x:is>
      </x:c>
      <x:c r="B2954" s="184" t="inlineStr">
        <x:is>
          <x:t xml:space="preserve">PLANCHAS DE POLIPROPILENO PP SIN BACKING 3000X1500X5/8 PLG</x:t>
        </x:is>
      </x:c>
      <x:c r="C2954" s="184" t="n">
        <x:v>0</x:v>
      </x:c>
      <x:c r="D2954" s="184" t="n">
        <x:v>0</x:v>
      </x:c>
      <x:c r="E2954" s="184" t="n">
        <x:v>0</x:v>
      </x:c>
      <x:c r="F2954" s="184" t="n">
        <x:v>0</x:v>
      </x:c>
      <x:c r="G2954" s="184" t="n">
        <x:v>0</x:v>
      </x:c>
      <x:c r="H2954" s="193" t="n">
        <x:v>0</x:v>
      </x:c>
      <x:c r="I2954" s="185" t="n">
        <x:v>0</x:v>
      </x:c>
      <x:c r="J2954" s="185" t="n">
        <x:v>0</x:v>
      </x:c>
      <x:c r="K2954" s="289" t="n">
        <x:v>124913</x:v>
      </x:c>
    </x:row>
    <x:row r="2955" s="117" customFormat="1" hidden="1">
      <x:c r="A2955" s="184" t="inlineStr">
        <x:is>
          <x:t xml:space="preserve">PPPPLA001005</x:t>
        </x:is>
      </x:c>
      <x:c r="B2955" s="184" t="inlineStr">
        <x:is>
          <x:t xml:space="preserve">PLANCHAS DE POLIPROPILENO PP SIN BACKING 3000X1500X3/4 PLG</x:t>
        </x:is>
      </x:c>
      <x:c r="C2955" s="184" t="n">
        <x:v>0</x:v>
      </x:c>
      <x:c r="D2955" s="184" t="n">
        <x:v>0</x:v>
      </x:c>
      <x:c r="E2955" s="184" t="n">
        <x:v>0</x:v>
      </x:c>
      <x:c r="F2955" s="184" t="n">
        <x:v>0</x:v>
      </x:c>
      <x:c r="G2955" s="184" t="n">
        <x:v>0</x:v>
      </x:c>
      <x:c r="H2955" s="193" t="n">
        <x:v>0</x:v>
      </x:c>
      <x:c r="I2955" s="185" t="n">
        <x:v>0</x:v>
      </x:c>
      <x:c r="J2955" s="185" t="n">
        <x:v>0</x:v>
      </x:c>
      <x:c r="K2955" s="289" t="n">
        <x:v>379368</x:v>
      </x:c>
    </x:row>
    <x:row r="2956" s="117" customFormat="1" hidden="1">
      <x:c r="A2956" s="184" t="inlineStr">
        <x:is>
          <x:t xml:space="preserve">PPPPLA001006</x:t>
        </x:is>
      </x:c>
      <x:c r="B2956" s="184" t="inlineStr">
        <x:is>
          <x:t xml:space="preserve">PLANCHAS DE POLIPROPILENO PP SIN BACKING 3000X1500X25mm</x:t>
        </x:is>
      </x:c>
      <x:c r="C2956" s="184" t="n">
        <x:v>1</x:v>
      </x:c>
      <x:c r="D2956" s="184" t="n">
        <x:v>4</x:v>
      </x:c>
      <x:c r="E2956" s="184" t="n">
        <x:v>0</x:v>
      </x:c>
      <x:c r="F2956" s="184" t="n">
        <x:v>5</x:v>
      </x:c>
      <x:c r="G2956" s="184" t="n">
        <x:v>352800</x:v>
      </x:c>
      <x:c r="H2956" s="193" t="n">
        <x:v>1390400</x:v>
      </x:c>
      <x:c r="I2956" s="185" t="n">
        <x:v>0</x:v>
      </x:c>
      <x:c r="J2956" s="185" t="n">
        <x:v>1743200</x:v>
      </x:c>
      <x:c r="K2956" s="289" t="n">
        <x:v>348640</x:v>
      </x:c>
    </x:row>
    <x:row r="2957" s="117" customFormat="1" hidden="1">
      <x:c r="A2957" s="184" t="inlineStr">
        <x:is>
          <x:t xml:space="preserve">PPPPLA001007</x:t>
        </x:is>
      </x:c>
      <x:c r="B2957" s="184" t="inlineStr">
        <x:is>
          <x:t xml:space="preserve">PLANCHAS DE POLIPROPILENO PP SIN BACKING 3000X1500X10 MM</x:t>
        </x:is>
      </x:c>
      <x:c r="C2957" s="184" t="n">
        <x:v>3</x:v>
      </x:c>
      <x:c r="D2957" s="184" t="n">
        <x:v>0</x:v>
      </x:c>
      <x:c r="E2957" s="184" t="n">
        <x:v>0</x:v>
      </x:c>
      <x:c r="F2957" s="184" t="n">
        <x:v>3</x:v>
      </x:c>
      <x:c r="G2957" s="184" t="n">
        <x:v>420603</x:v>
      </x:c>
      <x:c r="H2957" s="193" t="n">
        <x:v>0</x:v>
      </x:c>
      <x:c r="I2957" s="185" t="n">
        <x:v>0</x:v>
      </x:c>
      <x:c r="J2957" s="185" t="n">
        <x:v>420603</x:v>
      </x:c>
      <x:c r="K2957" s="289" t="n">
        <x:v>140200</x:v>
      </x:c>
    </x:row>
    <x:row r="2958" s="117" customFormat="1" hidden="1">
      <x:c r="A2958" s="184" t="inlineStr">
        <x:is>
          <x:t xml:space="preserve">PPPPLA001008</x:t>
        </x:is>
      </x:c>
      <x:c r="B2958" s="184" t="inlineStr">
        <x:is>
          <x:t xml:space="preserve">PLANCHAS DE POLIPROPILENO PP CON BACKING 20000X1500X3 MM (ROLLO)</x:t>
        </x:is>
      </x:c>
      <x:c r="C2958" s="184" t="n">
        <x:v>0</x:v>
      </x:c>
      <x:c r="D2958" s="184" t="n">
        <x:v>0</x:v>
      </x:c>
      <x:c r="E2958" s="184" t="n">
        <x:v>0</x:v>
      </x:c>
      <x:c r="F2958" s="184" t="n">
        <x:v>0</x:v>
      </x:c>
      <x:c r="G2958" s="184" t="n">
        <x:v>0</x:v>
      </x:c>
      <x:c r="H2958" s="193" t="n">
        <x:v>0</x:v>
      </x:c>
      <x:c r="I2958" s="185" t="n">
        <x:v>0</x:v>
      </x:c>
      <x:c r="J2958" s="185" t="n">
        <x:v>0</x:v>
      </x:c>
      <x:c r="K2958" s="289" t="n">
        <x:v>620052</x:v>
      </x:c>
    </x:row>
    <x:row r="2959" s="117" customFormat="1" hidden="1">
      <x:c r="A2959" s="184" t="inlineStr">
        <x:is>
          <x:t xml:space="preserve">PPPPLA001009</x:t>
        </x:is>
      </x:c>
      <x:c r="B2959" s="184" t="inlineStr">
        <x:is>
          <x:t xml:space="preserve">PLANCHAS DE POLIPROPILENO PP CON BACKING 3000X1500X3 MM</x:t>
        </x:is>
      </x:c>
      <x:c r="C2959" s="184" t="n">
        <x:v>23</x:v>
      </x:c>
      <x:c r="D2959" s="184" t="n">
        <x:v>0</x:v>
      </x:c>
      <x:c r="E2959" s="184" t="n">
        <x:v>0</x:v>
      </x:c>
      <x:c r="F2959" s="184" t="n">
        <x:v>23</x:v>
      </x:c>
      <x:c r="G2959" s="184" t="n">
        <x:v>2139094</x:v>
      </x:c>
      <x:c r="H2959" s="193" t="n">
        <x:v>0</x:v>
      </x:c>
      <x:c r="I2959" s="185" t="n">
        <x:v>0</x:v>
      </x:c>
      <x:c r="J2959" s="185" t="n">
        <x:v>2139094</x:v>
      </x:c>
      <x:c r="K2959" s="289" t="n">
        <x:v>93004</x:v>
      </x:c>
    </x:row>
    <x:row r="2960" s="117" customFormat="1" hidden="1">
      <x:c r="A2960" s="184" t="inlineStr">
        <x:is>
          <x:t xml:space="preserve">PPPPLA001010</x:t>
        </x:is>
      </x:c>
      <x:c r="B2960" s="184" t="inlineStr">
        <x:is>
          <x:t xml:space="preserve">PLANCHAS DE POLIPROPILENO PP CON BACKING 3000X1500X5 MM</x:t>
        </x:is>
      </x:c>
      <x:c r="C2960" s="184" t="n">
        <x:v>8</x:v>
      </x:c>
      <x:c r="D2960" s="184" t="n">
        <x:v>0</x:v>
      </x:c>
      <x:c r="E2960" s="184" t="n">
        <x:v>0</x:v>
      </x:c>
      <x:c r="F2960" s="184" t="n">
        <x:v>8</x:v>
      </x:c>
      <x:c r="G2960" s="184" t="n">
        <x:v>1474648</x:v>
      </x:c>
      <x:c r="H2960" s="193" t="n">
        <x:v>0</x:v>
      </x:c>
      <x:c r="I2960" s="185" t="n">
        <x:v>0</x:v>
      </x:c>
      <x:c r="J2960" s="185" t="n">
        <x:v>1474648</x:v>
      </x:c>
      <x:c r="K2960" s="289" t="n">
        <x:v>184330.81725888</x:v>
      </x:c>
    </x:row>
    <x:row r="2961" s="117" customFormat="1" hidden="1">
      <x:c r="A2961" s="184" t="inlineStr">
        <x:is>
          <x:t xml:space="preserve">PPPPLA001011</x:t>
        </x:is>
      </x:c>
      <x:c r="B2961" s="184" t="inlineStr">
        <x:is>
          <x:t xml:space="preserve">PLANCHAS DE POLIPROPILENO PP SIN BACKING 3000X1500X12 MM</x:t>
        </x:is>
      </x:c>
      <x:c r="C2961" s="184" t="n">
        <x:v>5</x:v>
      </x:c>
      <x:c r="D2961" s="184" t="n">
        <x:v>0</x:v>
      </x:c>
      <x:c r="E2961" s="184" t="n">
        <x:v>0</x:v>
      </x:c>
      <x:c r="F2961" s="184" t="n">
        <x:v>5</x:v>
      </x:c>
      <x:c r="G2961" s="184" t="n">
        <x:v>853000</x:v>
      </x:c>
      <x:c r="H2961" s="193" t="n">
        <x:v>0</x:v>
      </x:c>
      <x:c r="I2961" s="185" t="n">
        <x:v>0</x:v>
      </x:c>
      <x:c r="J2961" s="185" t="n">
        <x:v>853000</x:v>
      </x:c>
      <x:c r="K2961" s="289" t="n">
        <x:v>170600</x:v>
      </x:c>
    </x:row>
    <x:row r="2962" s="117" customFormat="1" hidden="1">
      <x:c r="A2962" s="184" t="inlineStr">
        <x:is>
          <x:t xml:space="preserve">PPPPLA001012</x:t>
        </x:is>
      </x:c>
      <x:c r="B2962" s="184" t="inlineStr">
        <x:is>
          <x:t xml:space="preserve">PLANCHAS DE POLIPROPILENO PP CON BACKING 3000X1500X20 MM</x:t>
        </x:is>
      </x:c>
      <x:c r="C2962" s="184" t="n">
        <x:v>0</x:v>
      </x:c>
      <x:c r="D2962" s="184" t="n">
        <x:v>0</x:v>
      </x:c>
      <x:c r="E2962" s="184" t="n">
        <x:v>0</x:v>
      </x:c>
      <x:c r="F2962" s="184" t="n">
        <x:v>0</x:v>
      </x:c>
      <x:c r="G2962" s="184" t="n">
        <x:v>0</x:v>
      </x:c>
      <x:c r="H2962" s="193" t="n">
        <x:v>0</x:v>
      </x:c>
      <x:c r="I2962" s="185" t="n">
        <x:v>0</x:v>
      </x:c>
      <x:c r="J2962" s="185" t="n">
        <x:v>0</x:v>
      </x:c>
      <x:c r="K2962" s="289" t="n">
        <x:v>203564</x:v>
      </x:c>
    </x:row>
    <x:row r="2963" s="117" customFormat="1" hidden="1">
      <x:c r="A2963" s="184" t="inlineStr">
        <x:is>
          <x:t xml:space="preserve">PPPPLA001013</x:t>
        </x:is>
      </x:c>
      <x:c r="B2963" s="184" t="inlineStr">
        <x:is>
          <x:t xml:space="preserve">PLANCHAS DE POLIPROPILENO PP SIN BACKING 3000X1500X12 MM</x:t>
        </x:is>
      </x:c>
      <x:c r="C2963" s="184" t="n">
        <x:v>0</x:v>
      </x:c>
      <x:c r="D2963" s="184" t="n">
        <x:v>0</x:v>
      </x:c>
      <x:c r="E2963" s="184" t="n">
        <x:v>0</x:v>
      </x:c>
      <x:c r="F2963" s="184" t="n">
        <x:v>0</x:v>
      </x:c>
      <x:c r="G2963" s="184" t="n">
        <x:v>0</x:v>
      </x:c>
      <x:c r="H2963" s="193" t="n">
        <x:v>0</x:v>
      </x:c>
      <x:c r="I2963" s="185" t="n">
        <x:v>0</x:v>
      </x:c>
      <x:c r="J2963" s="185" t="n">
        <x:v>0</x:v>
      </x:c>
      <x:c r="K2963" s="289" t="n">
        <x:v>143191</x:v>
      </x:c>
    </x:row>
    <x:row r="2964" s="117" customFormat="1" hidden="1">
      <x:c r="A2964" s="184" t="inlineStr">
        <x:is>
          <x:t xml:space="preserve">PPPPLA001014</x:t>
        </x:is>
      </x:c>
      <x:c r="B2964" s="184" t="inlineStr">
        <x:is>
          <x:t xml:space="preserve">PLANCHAS DE POLIPROPILENO PP SIN BACKING 3000X1500X20 MM</x:t>
        </x:is>
      </x:c>
      <x:c r="C2964" s="184" t="n">
        <x:v>1</x:v>
      </x:c>
      <x:c r="D2964" s="184" t="n">
        <x:v>0</x:v>
      </x:c>
      <x:c r="E2964" s="184" t="n">
        <x:v>0</x:v>
      </x:c>
      <x:c r="F2964" s="184" t="n">
        <x:v>1</x:v>
      </x:c>
      <x:c r="G2964" s="184" t="n">
        <x:v>245142</x:v>
      </x:c>
      <x:c r="H2964" s="193" t="n">
        <x:v>0</x:v>
      </x:c>
      <x:c r="I2964" s="185" t="n">
        <x:v>0</x:v>
      </x:c>
      <x:c r="J2964" s="185" t="n">
        <x:v>245142</x:v>
      </x:c>
      <x:c r="K2964" s="289" t="n">
        <x:v>245142</x:v>
      </x:c>
    </x:row>
    <x:row r="2965" s="117" customFormat="1" hidden="1">
      <x:c r="A2965" s="184" t="inlineStr">
        <x:is>
          <x:t xml:space="preserve">PPPPLA001015</x:t>
        </x:is>
      </x:c>
      <x:c r="B2965" s="184" t="inlineStr">
        <x:is>
          <x:t xml:space="preserve">PLANCHAS DE POLIPROPILENO PP SIN BACKING 2000 X 1000 X 40 MM</x:t>
        </x:is>
      </x:c>
      <x:c r="C2965" s="184" t="n">
        <x:v>0</x:v>
      </x:c>
      <x:c r="D2965" s="184" t="n">
        <x:v>0</x:v>
      </x:c>
      <x:c r="E2965" s="184" t="n">
        <x:v>0</x:v>
      </x:c>
      <x:c r="F2965" s="184" t="n">
        <x:v>0</x:v>
      </x:c>
      <x:c r="G2965" s="184" t="n">
        <x:v>-1</x:v>
      </x:c>
      <x:c r="H2965" s="193" t="n">
        <x:v>0</x:v>
      </x:c>
      <x:c r="I2965" s="185" t="n">
        <x:v>0</x:v>
      </x:c>
      <x:c r="J2965" s="185" t="n">
        <x:v>-1</x:v>
      </x:c>
      <x:c r="K2965" s="289" t="n">
        <x:v>393506</x:v>
      </x:c>
    </x:row>
    <x:row r="2966" s="117" customFormat="1" hidden="1">
      <x:c r="A2966" s="184" t="inlineStr">
        <x:is>
          <x:t xml:space="preserve">PPPPLA001016</x:t>
        </x:is>
      </x:c>
      <x:c r="B2966" s="184" t="inlineStr">
        <x:is>
          <x:t xml:space="preserve">PLANCHAS DE POLIPROPILENO PP CON BACKING 3000X1500X 6 MM</x:t>
        </x:is>
      </x:c>
      <x:c r="C2966" s="184" t="n">
        <x:v>1</x:v>
      </x:c>
      <x:c r="D2966" s="184" t="n">
        <x:v>0</x:v>
      </x:c>
      <x:c r="E2966" s="184" t="n">
        <x:v>0</x:v>
      </x:c>
      <x:c r="F2966" s="184" t="n">
        <x:v>1</x:v>
      </x:c>
      <x:c r="G2966" s="184" t="n">
        <x:v>177158</x:v>
      </x:c>
      <x:c r="H2966" s="193" t="n">
        <x:v>0</x:v>
      </x:c>
      <x:c r="I2966" s="185" t="n">
        <x:v>0</x:v>
      </x:c>
      <x:c r="J2966" s="185" t="n">
        <x:v>177158</x:v>
      </x:c>
      <x:c r="K2966" s="289" t="n">
        <x:v>177158</x:v>
      </x:c>
    </x:row>
    <x:row r="2967" s="117" customFormat="1" hidden="1">
      <x:c r="A2967" s="184" t="inlineStr">
        <x:is>
          <x:t xml:space="preserve">PPPPLA001017</x:t>
        </x:is>
      </x:c>
      <x:c r="B2967" s="184" t="inlineStr">
        <x:is>
          <x:t xml:space="preserve">PL. PP S/BACKING 2000X1000X50 MM</x:t>
        </x:is>
      </x:c>
      <x:c r="C2967" s="184" t="n">
        <x:v>0</x:v>
      </x:c>
      <x:c r="D2967" s="184" t="n">
        <x:v>0</x:v>
      </x:c>
      <x:c r="E2967" s="184" t="n">
        <x:v>0</x:v>
      </x:c>
      <x:c r="F2967" s="184" t="n">
        <x:v>0</x:v>
      </x:c>
      <x:c r="G2967" s="184" t="n">
        <x:v>0</x:v>
      </x:c>
      <x:c r="H2967" s="193" t="n">
        <x:v>0</x:v>
      </x:c>
      <x:c r="I2967" s="185" t="n">
        <x:v>0</x:v>
      </x:c>
      <x:c r="J2967" s="185" t="n">
        <x:v>0</x:v>
      </x:c>
      <x:c r="K2967" s="289" t="n">
        <x:v>1149785</x:v>
      </x:c>
    </x:row>
    <x:row r="2968" s="117" customFormat="1" hidden="1">
      <x:c r="A2968" s="184" t="inlineStr">
        <x:is>
          <x:t xml:space="preserve">PPPPLA001018</x:t>
        </x:is>
      </x:c>
      <x:c r="B2968" s="184" t="inlineStr">
        <x:is>
          <x:t xml:space="preserve">PLANCHAS DE POLIPROPILENO PP CON BACKING 3000 X 1500 X 4 MM</x:t>
        </x:is>
      </x:c>
      <x:c r="C2968" s="184" t="n">
        <x:v>0</x:v>
      </x:c>
      <x:c r="D2968" s="184" t="n">
        <x:v>0</x:v>
      </x:c>
      <x:c r="E2968" s="184" t="n">
        <x:v>0</x:v>
      </x:c>
      <x:c r="F2968" s="184" t="n">
        <x:v>0</x:v>
      </x:c>
      <x:c r="G2968" s="184" t="n">
        <x:v>1</x:v>
      </x:c>
      <x:c r="H2968" s="193" t="n">
        <x:v>0</x:v>
      </x:c>
      <x:c r="I2968" s="185" t="n">
        <x:v>0</x:v>
      </x:c>
      <x:c r="J2968" s="185" t="n">
        <x:v>1</x:v>
      </x:c>
      <x:c r="K2968" s="289" t="n">
        <x:v>124774.01706192</x:v>
      </x:c>
    </x:row>
    <x:row r="2969" s="117" customFormat="1" hidden="1">
      <x:c r="A2969" s="184" t="inlineStr">
        <x:is>
          <x:t xml:space="preserve">PPPPLA001019</x:t>
        </x:is>
      </x:c>
      <x:c r="B2969" s="184" t="inlineStr">
        <x:is>
          <x:t xml:space="preserve">PLANCHA DE POLIPROPILENO PP CON BACKING EXTERIOR 25000 X 1500 X 3 MM (ROLLO)</x:t>
        </x:is>
      </x:c>
      <x:c r="C2969" s="184" t="n">
        <x:v>50</x:v>
      </x:c>
      <x:c r="D2969" s="184" t="n">
        <x:v>0</x:v>
      </x:c>
      <x:c r="E2969" s="184" t="n">
        <x:v>0</x:v>
      </x:c>
      <x:c r="F2969" s="184" t="n">
        <x:v>50</x:v>
      </x:c>
      <x:c r="G2969" s="184" t="n">
        <x:v>1430000</x:v>
      </x:c>
      <x:c r="H2969" s="193" t="n">
        <x:v>0</x:v>
      </x:c>
      <x:c r="I2969" s="185" t="n">
        <x:v>0</x:v>
      </x:c>
      <x:c r="J2969" s="185" t="n">
        <x:v>1430000</x:v>
      </x:c>
      <x:c r="K2969" s="289" t="n">
        <x:v>28600</x:v>
      </x:c>
    </x:row>
    <x:row r="2970" s="117" customFormat="1" hidden="1">
      <x:c r="A2970" s="184" t="inlineStr">
        <x:is>
          <x:t xml:space="preserve">PPPPLAHUE040</x:t>
        </x:is>
      </x:c>
      <x:c r="B2970" s="184" t="inlineStr">
        <x:is>
          <x:t xml:space="preserve">PP PLANCHA CAMARA HUECA 40mm</x:t>
        </x:is>
      </x:c>
      <x:c r="C2970" s="184" t="n">
        <x:v>10</x:v>
      </x:c>
      <x:c r="D2970" s="184" t="n">
        <x:v>0</x:v>
      </x:c>
      <x:c r="E2970" s="184" t="n">
        <x:v>0</x:v>
      </x:c>
      <x:c r="F2970" s="184" t="n">
        <x:v>10</x:v>
      </x:c>
      <x:c r="G2970" s="184" t="n">
        <x:v>1500000</x:v>
      </x:c>
      <x:c r="H2970" s="193" t="n">
        <x:v>0</x:v>
      </x:c>
      <x:c r="I2970" s="185" t="n">
        <x:v>0</x:v>
      </x:c>
      <x:c r="J2970" s="185" t="n">
        <x:v>1500000</x:v>
      </x:c>
      <x:c r="K2970" s="289" t="n">
        <x:v>150000</x:v>
      </x:c>
    </x:row>
    <x:row r="2971" s="117" customFormat="1" hidden="1">
      <x:c r="A2971" s="184" t="inlineStr">
        <x:is>
          <x:t xml:space="preserve">PPPRED001001</x:t>
        </x:is>
      </x:c>
      <x:c r="B2971" s="184" t="inlineStr">
        <x:is>
          <x:t xml:space="preserve">REDUCCION DE POLIPROPILENO 32 XD 25 SDR11</x:t>
        </x:is>
      </x:c>
      <x:c r="C2971" s="184" t="n">
        <x:v>0</x:v>
      </x:c>
      <x:c r="D2971" s="184" t="n">
        <x:v>0</x:v>
      </x:c>
      <x:c r="E2971" s="184" t="n">
        <x:v>0</x:v>
      </x:c>
      <x:c r="F2971" s="184" t="n">
        <x:v>0</x:v>
      </x:c>
      <x:c r="G2971" s="184" t="n">
        <x:v>0</x:v>
      </x:c>
      <x:c r="H2971" s="193" t="n">
        <x:v>0</x:v>
      </x:c>
      <x:c r="I2971" s="185" t="n">
        <x:v>0</x:v>
      </x:c>
      <x:c r="J2971" s="185" t="n">
        <x:v>0</x:v>
      </x:c>
      <x:c r="K2971" s="289" t="n">
        <x:v>2499</x:v>
      </x:c>
    </x:row>
    <x:row r="2972" s="117" customFormat="1" hidden="1">
      <x:c r="A2972" s="184" t="inlineStr">
        <x:is>
          <x:t xml:space="preserve">PPPRED001002</x:t>
        </x:is>
      </x:c>
      <x:c r="B2972" s="184" t="inlineStr">
        <x:is>
          <x:t xml:space="preserve">REDUCCION DE POLIPROPILENO 50X40</x:t>
        </x:is>
      </x:c>
      <x:c r="C2972" s="184" t="n">
        <x:v>0</x:v>
      </x:c>
      <x:c r="D2972" s="184" t="n">
        <x:v>0</x:v>
      </x:c>
      <x:c r="E2972" s="184" t="n">
        <x:v>0</x:v>
      </x:c>
      <x:c r="F2972" s="184" t="n">
        <x:v>0</x:v>
      </x:c>
      <x:c r="G2972" s="184" t="n">
        <x:v>0</x:v>
      </x:c>
      <x:c r="H2972" s="193" t="n">
        <x:v>0</x:v>
      </x:c>
      <x:c r="I2972" s="185" t="n">
        <x:v>0</x:v>
      </x:c>
      <x:c r="J2972" s="185" t="n">
        <x:v>0</x:v>
      </x:c>
      <x:c r="K2972" s="289" t="n">
        <x:v>2499</x:v>
      </x:c>
    </x:row>
    <x:row r="2973" s="117" customFormat="1" hidden="1">
      <x:c r="A2973" s="184" t="inlineStr">
        <x:is>
          <x:t xml:space="preserve">PPPRED001003</x:t>
        </x:is>
      </x:c>
      <x:c r="B2973" s="184" t="inlineStr">
        <x:is>
          <x:t xml:space="preserve">REDUCCION DE POLIPROPILENO 63X32</x:t>
        </x:is>
      </x:c>
      <x:c r="C2973" s="184" t="n">
        <x:v>1</x:v>
      </x:c>
      <x:c r="D2973" s="184" t="n">
        <x:v>0</x:v>
      </x:c>
      <x:c r="E2973" s="184" t="n">
        <x:v>0</x:v>
      </x:c>
      <x:c r="F2973" s="184" t="n">
        <x:v>1</x:v>
      </x:c>
      <x:c r="G2973" s="184" t="n">
        <x:v>1800</x:v>
      </x:c>
      <x:c r="H2973" s="193" t="n">
        <x:v>0</x:v>
      </x:c>
      <x:c r="I2973" s="185" t="n">
        <x:v>0</x:v>
      </x:c>
      <x:c r="J2973" s="185" t="n">
        <x:v>1800</x:v>
      </x:c>
      <x:c r="K2973" s="289" t="n">
        <x:v>1800</x:v>
      </x:c>
    </x:row>
    <x:row r="2974" s="117" customFormat="1" hidden="1">
      <x:c r="A2974" s="184" t="inlineStr">
        <x:is>
          <x:t xml:space="preserve">PPPRED001004</x:t>
        </x:is>
      </x:c>
      <x:c r="B2974" s="184" t="inlineStr">
        <x:is>
          <x:t xml:space="preserve">REDUCCION DE POLIPROPILENO 90X75</x:t>
        </x:is>
      </x:c>
      <x:c r="C2974" s="184" t="n">
        <x:v>0</x:v>
      </x:c>
      <x:c r="D2974" s="184" t="n">
        <x:v>0</x:v>
      </x:c>
      <x:c r="E2974" s="184" t="n">
        <x:v>0</x:v>
      </x:c>
      <x:c r="F2974" s="184" t="n">
        <x:v>0</x:v>
      </x:c>
      <x:c r="G2974" s="184" t="n">
        <x:v>0</x:v>
      </x:c>
      <x:c r="H2974" s="193" t="n">
        <x:v>0</x:v>
      </x:c>
      <x:c r="I2974" s="185" t="n">
        <x:v>0</x:v>
      </x:c>
      <x:c r="J2974" s="185" t="n">
        <x:v>0</x:v>
      </x:c>
      <x:c r="K2974" s="289" t="n">
        <x:v>11784</x:v>
      </x:c>
    </x:row>
    <x:row r="2975" s="117" customFormat="1" hidden="1">
      <x:c r="A2975" s="184" t="inlineStr">
        <x:is>
          <x:t xml:space="preserve">PPPRED001005</x:t>
        </x:is>
      </x:c>
      <x:c r="B2975" s="184" t="inlineStr">
        <x:is>
          <x:t xml:space="preserve">REDUCCION DE POLIPROPILENO 110X63X10 SDR17</x:t>
        </x:is>
      </x:c>
      <x:c r="C2975" s="184" t="n">
        <x:v>11</x:v>
      </x:c>
      <x:c r="D2975" s="184" t="n">
        <x:v>0</x:v>
      </x:c>
      <x:c r="E2975" s="184" t="n">
        <x:v>0</x:v>
      </x:c>
      <x:c r="F2975" s="184" t="n">
        <x:v>11</x:v>
      </x:c>
      <x:c r="G2975" s="184" t="n">
        <x:v>105600</x:v>
      </x:c>
      <x:c r="H2975" s="193" t="n">
        <x:v>0</x:v>
      </x:c>
      <x:c r="I2975" s="185" t="n">
        <x:v>0</x:v>
      </x:c>
      <x:c r="J2975" s="185" t="n">
        <x:v>105600</x:v>
      </x:c>
      <x:c r="K2975" s="289" t="n">
        <x:v>9600</x:v>
      </x:c>
    </x:row>
    <x:row r="2976" s="117" customFormat="1" hidden="1">
      <x:c r="A2976" s="184" t="inlineStr">
        <x:is>
          <x:t xml:space="preserve">PPPRED001006</x:t>
        </x:is>
      </x:c>
      <x:c r="B2976" s="184" t="inlineStr">
        <x:is>
          <x:t xml:space="preserve">REDUCCION DE POLIPROPILENO 110X90X10</x:t>
        </x:is>
      </x:c>
      <x:c r="C2976" s="184" t="n">
        <x:v>13</x:v>
      </x:c>
      <x:c r="D2976" s="184" t="n">
        <x:v>0</x:v>
      </x:c>
      <x:c r="E2976" s="184" t="n">
        <x:v>0</x:v>
      </x:c>
      <x:c r="F2976" s="184" t="n">
        <x:v>13</x:v>
      </x:c>
      <x:c r="G2976" s="184" t="n">
        <x:v>102700</x:v>
      </x:c>
      <x:c r="H2976" s="193" t="n">
        <x:v>0</x:v>
      </x:c>
      <x:c r="I2976" s="185" t="n">
        <x:v>0</x:v>
      </x:c>
      <x:c r="J2976" s="185" t="n">
        <x:v>102700</x:v>
      </x:c>
      <x:c r="K2976" s="289" t="n">
        <x:v>7900</x:v>
      </x:c>
    </x:row>
    <x:row r="2977" s="117" customFormat="1" hidden="1">
      <x:c r="A2977" s="184" t="inlineStr">
        <x:is>
          <x:t xml:space="preserve">PPPRED001007</x:t>
        </x:is>
      </x:c>
      <x:c r="B2977" s="184" t="inlineStr">
        <x:is>
          <x:t xml:space="preserve">REDUCCION DE POLIPROPILENO 140X160 SDR11</x:t>
        </x:is>
      </x:c>
      <x:c r="C2977" s="184" t="n">
        <x:v>0</x:v>
      </x:c>
      <x:c r="D2977" s="184" t="n">
        <x:v>0</x:v>
      </x:c>
      <x:c r="E2977" s="184" t="n">
        <x:v>0</x:v>
      </x:c>
      <x:c r="F2977" s="184" t="n">
        <x:v>0</x:v>
      </x:c>
      <x:c r="G2977" s="184" t="n">
        <x:v>0</x:v>
      </x:c>
      <x:c r="H2977" s="193" t="n">
        <x:v>0</x:v>
      </x:c>
      <x:c r="I2977" s="185" t="n">
        <x:v>0</x:v>
      </x:c>
      <x:c r="J2977" s="185" t="n">
        <x:v>0</x:v>
      </x:c>
      <x:c r="K2977" s="289" t="n">
        <x:v>8900</x:v>
      </x:c>
    </x:row>
    <x:row r="2978" s="117" customFormat="1" hidden="1">
      <x:c r="A2978" s="184" t="inlineStr">
        <x:is>
          <x:t xml:space="preserve">PPPRED001008</x:t>
        </x:is>
      </x:c>
      <x:c r="B2978" s="184" t="inlineStr">
        <x:is>
          <x:t xml:space="preserve">REDUCCION EXENTRICA DE POLIPROPILENO 140X160 SDR11</x:t>
        </x:is>
      </x:c>
      <x:c r="C2978" s="184" t="n">
        <x:v>0</x:v>
      </x:c>
      <x:c r="D2978" s="184" t="n">
        <x:v>0</x:v>
      </x:c>
      <x:c r="E2978" s="184" t="n">
        <x:v>0</x:v>
      </x:c>
      <x:c r="F2978" s="184" t="n">
        <x:v>0</x:v>
      </x:c>
      <x:c r="G2978" s="184" t="n">
        <x:v>0</x:v>
      </x:c>
      <x:c r="H2978" s="193" t="n">
        <x:v>0</x:v>
      </x:c>
      <x:c r="I2978" s="185" t="n">
        <x:v>0</x:v>
      </x:c>
      <x:c r="J2978" s="185" t="n">
        <x:v>0</x:v>
      </x:c>
      <x:c r="K2978" s="289" t="n">
        <x:v>8900</x:v>
      </x:c>
    </x:row>
    <x:row r="2979" s="117" customFormat="1" hidden="1">
      <x:c r="A2979" s="184" t="inlineStr">
        <x:is>
          <x:t xml:space="preserve">PPPRED001009</x:t>
        </x:is>
      </x:c>
      <x:c r="B2979" s="184" t="inlineStr">
        <x:is>
          <x:t xml:space="preserve">REDUCCION DE POLIPROPILENO 90 X75</x:t>
        </x:is>
      </x:c>
      <x:c r="C2979" s="184" t="n">
        <x:v>0</x:v>
      </x:c>
      <x:c r="D2979" s="184" t="n">
        <x:v>0</x:v>
      </x:c>
      <x:c r="E2979" s="184" t="n">
        <x:v>0</x:v>
      </x:c>
      <x:c r="F2979" s="184" t="n">
        <x:v>0</x:v>
      </x:c>
      <x:c r="G2979" s="184" t="n">
        <x:v>0</x:v>
      </x:c>
      <x:c r="H2979" s="193" t="n">
        <x:v>0</x:v>
      </x:c>
      <x:c r="I2979" s="185" t="n">
        <x:v>0</x:v>
      </x:c>
      <x:c r="J2979" s="185" t="n">
        <x:v>0</x:v>
      </x:c>
      <x:c r="K2979" s="289" t="n">
        <x:v>11784</x:v>
      </x:c>
    </x:row>
    <x:row r="2980" s="117" customFormat="1" hidden="1">
      <x:c r="A2980" s="184" t="inlineStr">
        <x:is>
          <x:t xml:space="preserve">PPPRED001010</x:t>
        </x:is>
      </x:c>
      <x:c r="B2980" s="184" t="inlineStr">
        <x:is>
          <x:t xml:space="preserve">REDUCCION DE POLIPROPILENO 160X110X5 MM</x:t>
        </x:is>
      </x:c>
      <x:c r="C2980" s="184" t="n">
        <x:v>0</x:v>
      </x:c>
      <x:c r="D2980" s="184" t="n">
        <x:v>0</x:v>
      </x:c>
      <x:c r="E2980" s="184" t="n">
        <x:v>0</x:v>
      </x:c>
      <x:c r="F2980" s="184" t="n">
        <x:v>0</x:v>
      </x:c>
      <x:c r="G2980" s="184" t="n">
        <x:v>0</x:v>
      </x:c>
      <x:c r="H2980" s="193" t="n">
        <x:v>0</x:v>
      </x:c>
      <x:c r="I2980" s="185" t="n">
        <x:v>0</x:v>
      </x:c>
      <x:c r="J2980" s="185" t="n">
        <x:v>0</x:v>
      </x:c>
      <x:c r="K2980" s="289" t="n">
        <x:v>15000</x:v>
      </x:c>
    </x:row>
    <x:row r="2981" s="117" customFormat="1" hidden="1">
      <x:c r="A2981" s="184" t="inlineStr">
        <x:is>
          <x:t xml:space="preserve">PPPRED001011</x:t>
        </x:is>
      </x:c>
      <x:c r="B2981" s="184" t="inlineStr">
        <x:is>
          <x:t xml:space="preserve">REDUCCION DE POLIPROPILENO 200X160 SDR11</x:t>
        </x:is>
      </x:c>
      <x:c r="C2981" s="184" t="n">
        <x:v>0</x:v>
      </x:c>
      <x:c r="D2981" s="184" t="n">
        <x:v>0</x:v>
      </x:c>
      <x:c r="E2981" s="184" t="n">
        <x:v>0</x:v>
      </x:c>
      <x:c r="F2981" s="184" t="n">
        <x:v>0</x:v>
      </x:c>
      <x:c r="G2981" s="184" t="n">
        <x:v>0</x:v>
      </x:c>
      <x:c r="H2981" s="193" t="n">
        <x:v>0</x:v>
      </x:c>
      <x:c r="I2981" s="185" t="n">
        <x:v>0</x:v>
      </x:c>
      <x:c r="J2981" s="185" t="n">
        <x:v>0</x:v>
      </x:c>
      <x:c r="K2981" s="289" t="n">
        <x:v>36900</x:v>
      </x:c>
    </x:row>
    <x:row r="2982" s="117" customFormat="1" hidden="1">
      <x:c r="A2982" s="184" t="inlineStr">
        <x:is>
          <x:t xml:space="preserve">PPPRED001012</x:t>
        </x:is>
      </x:c>
      <x:c r="B2982" s="184" t="inlineStr">
        <x:is>
          <x:t xml:space="preserve">REDUCCION DE POLIPROPILENO 200X160X11 MM SDR33</x:t>
        </x:is>
      </x:c>
      <x:c r="C2982" s="184" t="n">
        <x:v>12</x:v>
      </x:c>
      <x:c r="D2982" s="184" t="n">
        <x:v>0</x:v>
      </x:c>
      <x:c r="E2982" s="184" t="n">
        <x:v>0</x:v>
      </x:c>
      <x:c r="F2982" s="184" t="n">
        <x:v>12</x:v>
      </x:c>
      <x:c r="G2982" s="184" t="n">
        <x:v>442800</x:v>
      </x:c>
      <x:c r="H2982" s="193" t="n">
        <x:v>0</x:v>
      </x:c>
      <x:c r="I2982" s="185" t="n">
        <x:v>0</x:v>
      </x:c>
      <x:c r="J2982" s="185" t="n">
        <x:v>442800</x:v>
      </x:c>
      <x:c r="K2982" s="289" t="n">
        <x:v>36900</x:v>
      </x:c>
    </x:row>
    <x:row r="2983" s="117" customFormat="1" hidden="1">
      <x:c r="A2983" s="184" t="inlineStr">
        <x:is>
          <x:t xml:space="preserve">PPPRED001013</x:t>
        </x:is>
      </x:c>
      <x:c r="B2983" s="184" t="inlineStr">
        <x:is>
          <x:t xml:space="preserve">REDUCCION DE POLIPROPILENO 250/200 SDR11 ISOS5 PPR GRIS</x:t>
        </x:is>
      </x:c>
      <x:c r="C2983" s="184" t="n">
        <x:v>0</x:v>
      </x:c>
      <x:c r="D2983" s="184" t="n">
        <x:v>0</x:v>
      </x:c>
      <x:c r="E2983" s="184" t="n">
        <x:v>0</x:v>
      </x:c>
      <x:c r="F2983" s="184" t="n">
        <x:v>0</x:v>
      </x:c>
      <x:c r="G2983" s="184" t="n">
        <x:v>0</x:v>
      </x:c>
      <x:c r="H2983" s="193" t="n">
        <x:v>0</x:v>
      </x:c>
      <x:c r="I2983" s="185" t="n">
        <x:v>0</x:v>
      </x:c>
      <x:c r="J2983" s="185" t="n">
        <x:v>0</x:v>
      </x:c>
      <x:c r="K2983" s="289" t="n">
        <x:v>72094</x:v>
      </x:c>
    </x:row>
    <x:row r="2984" s="117" customFormat="1" hidden="1">
      <x:c r="A2984" s="184" t="inlineStr">
        <x:is>
          <x:t xml:space="preserve">PPPRED001014</x:t>
        </x:is>
      </x:c>
      <x:c r="B2984" s="184" t="inlineStr">
        <x:is>
          <x:t xml:space="preserve">REDUCCION PP 50X63 SDR11</x:t>
        </x:is>
      </x:c>
      <x:c r="C2984" s="184" t="n">
        <x:v>5</x:v>
      </x:c>
      <x:c r="D2984" s="184" t="n">
        <x:v>0</x:v>
      </x:c>
      <x:c r="E2984" s="184" t="n">
        <x:v>0</x:v>
      </x:c>
      <x:c r="F2984" s="184" t="n">
        <x:v>5</x:v>
      </x:c>
      <x:c r="G2984" s="184" t="n">
        <x:v>12495</x:v>
      </x:c>
      <x:c r="H2984" s="193" t="n">
        <x:v>0</x:v>
      </x:c>
      <x:c r="I2984" s="185" t="n">
        <x:v>0</x:v>
      </x:c>
      <x:c r="J2984" s="185" t="n">
        <x:v>12495</x:v>
      </x:c>
      <x:c r="K2984" s="289" t="n">
        <x:v>2499</x:v>
      </x:c>
    </x:row>
    <x:row r="2985" s="117" customFormat="1" hidden="1">
      <x:c r="A2985" s="184" t="inlineStr">
        <x:is>
          <x:t xml:space="preserve">PPPRED001015</x:t>
        </x:is>
      </x:c>
      <x:c r="B2985" s="184" t="inlineStr">
        <x:is>
          <x:t xml:space="preserve">REDUCCION PP 63 X 90</x:t>
        </x:is>
      </x:c>
      <x:c r="C2985" s="184" t="n">
        <x:v>4</x:v>
      </x:c>
      <x:c r="D2985" s="184" t="n">
        <x:v>0</x:v>
      </x:c>
      <x:c r="E2985" s="184" t="n">
        <x:v>0</x:v>
      </x:c>
      <x:c r="F2985" s="184" t="n">
        <x:v>4</x:v>
      </x:c>
      <x:c r="G2985" s="184" t="n">
        <x:v>9996</x:v>
      </x:c>
      <x:c r="H2985" s="193" t="n">
        <x:v>0</x:v>
      </x:c>
      <x:c r="I2985" s="185" t="n">
        <x:v>0</x:v>
      </x:c>
      <x:c r="J2985" s="185" t="n">
        <x:v>9996</x:v>
      </x:c>
      <x:c r="K2985" s="289" t="n">
        <x:v>2499</x:v>
      </x:c>
    </x:row>
    <x:row r="2986" s="117" customFormat="1" hidden="1">
      <x:c r="A2986" s="184" t="inlineStr">
        <x:is>
          <x:t xml:space="preserve">PPPRED001016</x:t>
        </x:is>
      </x:c>
      <x:c r="B2986" s="184" t="inlineStr">
        <x:is>
          <x:t xml:space="preserve">REDUCCION PP 250X160X11 MM</x:t>
        </x:is>
      </x:c>
      <x:c r="C2986" s="184" t="n">
        <x:v>0</x:v>
      </x:c>
      <x:c r="D2986" s="184" t="n">
        <x:v>0</x:v>
      </x:c>
      <x:c r="E2986" s="184" t="n">
        <x:v>0</x:v>
      </x:c>
      <x:c r="F2986" s="184" t="n">
        <x:v>0</x:v>
      </x:c>
      <x:c r="G2986" s="184" t="n">
        <x:v>1</x:v>
      </x:c>
      <x:c r="H2986" s="193" t="n">
        <x:v>0</x:v>
      </x:c>
      <x:c r="I2986" s="185" t="n">
        <x:v>0</x:v>
      </x:c>
      <x:c r="J2986" s="185" t="n">
        <x:v>1</x:v>
      </x:c>
      <x:c r="K2986" s="289" t="n">
        <x:v>55839.05882353</x:v>
      </x:c>
    </x:row>
    <x:row r="2987" s="117" customFormat="1" hidden="1">
      <x:c r="A2987" s="184" t="inlineStr">
        <x:is>
          <x:t xml:space="preserve">PPPRED001017</x:t>
        </x:is>
      </x:c>
      <x:c r="B2987" s="184" t="inlineStr">
        <x:is>
          <x:t xml:space="preserve">REDUCCION EXENTRICA PP  300X200</x:t>
        </x:is>
      </x:c>
      <x:c r="C2987" s="184" t="n">
        <x:v>0</x:v>
      </x:c>
      <x:c r="D2987" s="184" t="n">
        <x:v>0</x:v>
      </x:c>
      <x:c r="E2987" s="184" t="n">
        <x:v>0</x:v>
      </x:c>
      <x:c r="F2987" s="184" t="n">
        <x:v>0</x:v>
      </x:c>
      <x:c r="G2987" s="184" t="n">
        <x:v>0</x:v>
      </x:c>
      <x:c r="H2987" s="193" t="n">
        <x:v>0</x:v>
      </x:c>
      <x:c r="I2987" s="185" t="n">
        <x:v>0</x:v>
      </x:c>
      <x:c r="J2987" s="185" t="n">
        <x:v>0</x:v>
      </x:c>
      <x:c r="K2987" s="289" t="n">
        <x:v>63700</x:v>
      </x:c>
    </x:row>
    <x:row r="2988" s="117" customFormat="1" hidden="1">
      <x:c r="A2988" s="184" t="inlineStr">
        <x:is>
          <x:t xml:space="preserve">PPPRED001018</x:t>
        </x:is>
      </x:c>
      <x:c r="B2988" s="184" t="inlineStr">
        <x:is>
          <x:t xml:space="preserve">REDUCCION DE POLIPROPILENO EXCENTRICA 63/50 SDR11 ISOS5 PPRGris L.Largo,Termo.</x:t>
        </x:is>
      </x:c>
      <x:c r="C2988" s="184" t="n">
        <x:v>0</x:v>
      </x:c>
      <x:c r="D2988" s="184" t="n">
        <x:v>0</x:v>
      </x:c>
      <x:c r="E2988" s="184" t="n">
        <x:v>0</x:v>
      </x:c>
      <x:c r="F2988" s="184" t="n">
        <x:v>0</x:v>
      </x:c>
      <x:c r="G2988" s="184" t="n">
        <x:v>0</x:v>
      </x:c>
      <x:c r="H2988" s="193" t="n">
        <x:v>0</x:v>
      </x:c>
      <x:c r="I2988" s="185" t="n">
        <x:v>0</x:v>
      </x:c>
      <x:c r="J2988" s="185" t="n">
        <x:v>0</x:v>
      </x:c>
      <x:c r="K2988" s="289" t="n">
        <x:v>3500</x:v>
      </x:c>
    </x:row>
    <x:row r="2989" s="117" customFormat="1" hidden="1">
      <x:c r="A2989" s="184" t="inlineStr">
        <x:is>
          <x:t xml:space="preserve">PPPRED001019</x:t>
        </x:is>
      </x:c>
      <x:c r="B2989" s="184" t="inlineStr">
        <x:is>
          <x:t xml:space="preserve">REDUCCION CONCENTRICA 315/250 SDR17 PPR GRIS</x:t>
        </x:is>
      </x:c>
      <x:c r="C2989" s="184" t="n">
        <x:v>2</x:v>
      </x:c>
      <x:c r="D2989" s="184" t="n">
        <x:v>0</x:v>
      </x:c>
      <x:c r="E2989" s="184" t="n">
        <x:v>0</x:v>
      </x:c>
      <x:c r="F2989" s="184" t="n">
        <x:v>2</x:v>
      </x:c>
      <x:c r="G2989" s="184" t="n">
        <x:v>215078</x:v>
      </x:c>
      <x:c r="H2989" s="193" t="n">
        <x:v>0</x:v>
      </x:c>
      <x:c r="I2989" s="185" t="n">
        <x:v>0</x:v>
      </x:c>
      <x:c r="J2989" s="185" t="n">
        <x:v>215078</x:v>
      </x:c>
      <x:c r="K2989" s="289" t="n">
        <x:v>107539</x:v>
      </x:c>
    </x:row>
    <x:row r="2990" s="117" customFormat="1" hidden="1">
      <x:c r="A2990" s="184" t="inlineStr">
        <x:is>
          <x:t xml:space="preserve">PPPRED001020</x:t>
        </x:is>
      </x:c>
      <x:c r="B2990" s="184" t="inlineStr">
        <x:is>
          <x:t xml:space="preserve">REDUCCION CONCENTRICA 250/200 SDR17 PPR GRIS</x:t>
        </x:is>
      </x:c>
      <x:c r="C2990" s="184" t="n">
        <x:v>0</x:v>
      </x:c>
      <x:c r="D2990" s="184" t="n">
        <x:v>0</x:v>
      </x:c>
      <x:c r="E2990" s="184" t="n">
        <x:v>0</x:v>
      </x:c>
      <x:c r="F2990" s="184" t="n">
        <x:v>0</x:v>
      </x:c>
      <x:c r="G2990" s="184" t="n">
        <x:v>0</x:v>
      </x:c>
      <x:c r="H2990" s="193" t="n">
        <x:v>0</x:v>
      </x:c>
      <x:c r="I2990" s="185" t="n">
        <x:v>0</x:v>
      </x:c>
      <x:c r="J2990" s="185" t="n">
        <x:v>0</x:v>
      </x:c>
      <x:c r="K2990" s="289" t="n">
        <x:v>46652</x:v>
      </x:c>
    </x:row>
    <x:row r="2991" s="117" customFormat="1" hidden="1">
      <x:c r="A2991" s="184" t="inlineStr">
        <x:is>
          <x:t xml:space="preserve">PPPRED001021</x:t>
        </x:is>
      </x:c>
      <x:c r="B2991" s="184" t="inlineStr">
        <x:is>
          <x:t xml:space="preserve">REDUCCION CONCENTRICA 250/160 SDR17 PPR GRIS</x:t>
        </x:is>
      </x:c>
      <x:c r="C2991" s="184" t="n">
        <x:v>13</x:v>
      </x:c>
      <x:c r="D2991" s="184" t="n">
        <x:v>0</x:v>
      </x:c>
      <x:c r="E2991" s="184" t="n">
        <x:v>0</x:v>
      </x:c>
      <x:c r="F2991" s="184" t="n">
        <x:v>13</x:v>
      </x:c>
      <x:c r="G2991" s="184" t="n">
        <x:v>618709</x:v>
      </x:c>
      <x:c r="H2991" s="193" t="n">
        <x:v>0</x:v>
      </x:c>
      <x:c r="I2991" s="185" t="n">
        <x:v>0</x:v>
      </x:c>
      <x:c r="J2991" s="185" t="n">
        <x:v>618709</x:v>
      </x:c>
      <x:c r="K2991" s="289" t="n">
        <x:v>47593</x:v>
      </x:c>
    </x:row>
    <x:row r="2992" s="117" customFormat="1" hidden="1">
      <x:c r="A2992" s="184" t="inlineStr">
        <x:is>
          <x:t xml:space="preserve">PPPRED001022</x:t>
        </x:is>
      </x:c>
      <x:c r="B2992" s="184" t="inlineStr">
        <x:is>
          <x:t xml:space="preserve">REDUCCION CONCENTRICA 315/225 SDR33 PPR GRIS</x:t>
        </x:is>
      </x:c>
      <x:c r="C2992" s="184" t="n">
        <x:v>2</x:v>
      </x:c>
      <x:c r="D2992" s="184" t="n">
        <x:v>0</x:v>
      </x:c>
      <x:c r="E2992" s="184" t="n">
        <x:v>0</x:v>
      </x:c>
      <x:c r="F2992" s="184" t="n">
        <x:v>2</x:v>
      </x:c>
      <x:c r="G2992" s="184" t="n">
        <x:v>96560</x:v>
      </x:c>
      <x:c r="H2992" s="193" t="n">
        <x:v>0</x:v>
      </x:c>
      <x:c r="I2992" s="185" t="n">
        <x:v>0</x:v>
      </x:c>
      <x:c r="J2992" s="185" t="n">
        <x:v>96560</x:v>
      </x:c>
      <x:c r="K2992" s="289" t="n">
        <x:v>48280</x:v>
      </x:c>
    </x:row>
    <x:row r="2993" s="117" customFormat="1" hidden="1">
      <x:c r="A2993" s="184" t="inlineStr">
        <x:is>
          <x:t xml:space="preserve">PPPSTBS17001</x:t>
        </x:is>
      </x:c>
      <x:c r="B2993" s="184" t="inlineStr">
        <x:is>
          <x:t xml:space="preserve">STUB END POLIPROPILENO 250 X 22.7 SDR17</x:t>
        </x:is>
      </x:c>
      <x:c r="C2993" s="184" t="n">
        <x:v>0</x:v>
      </x:c>
      <x:c r="D2993" s="184" t="n">
        <x:v>0</x:v>
      </x:c>
      <x:c r="E2993" s="184" t="n">
        <x:v>0</x:v>
      </x:c>
      <x:c r="F2993" s="184" t="n">
        <x:v>0</x:v>
      </x:c>
      <x:c r="G2993" s="184" t="n">
        <x:v>0</x:v>
      </x:c>
      <x:c r="H2993" s="193" t="n">
        <x:v>0</x:v>
      </x:c>
      <x:c r="I2993" s="185" t="n">
        <x:v>0</x:v>
      </x:c>
      <x:c r="J2993" s="185" t="n">
        <x:v>0</x:v>
      </x:c>
      <x:c r="K2993" s="289" t="n">
        <x:v>1</x:v>
      </x:c>
    </x:row>
    <x:row r="2994" s="117" customFormat="1" hidden="1">
      <x:c r="A2994" s="184" t="inlineStr">
        <x:is>
          <x:t xml:space="preserve">PPPSTBS33001</x:t>
        </x:is>
      </x:c>
      <x:c r="B2994" s="184" t="inlineStr">
        <x:is>
          <x:t xml:space="preserve">STUB END  POLIPROPILENO 600 X 10</x:t>
        </x:is>
      </x:c>
      <x:c r="C2994" s="184" t="n">
        <x:v>0</x:v>
      </x:c>
      <x:c r="D2994" s="184" t="n">
        <x:v>0</x:v>
      </x:c>
      <x:c r="E2994" s="184" t="n">
        <x:v>0</x:v>
      </x:c>
      <x:c r="F2994" s="184" t="n">
        <x:v>0</x:v>
      </x:c>
      <x:c r="G2994" s="184" t="n">
        <x:v>0</x:v>
      </x:c>
      <x:c r="H2994" s="193" t="n">
        <x:v>0</x:v>
      </x:c>
      <x:c r="I2994" s="185" t="n">
        <x:v>0</x:v>
      </x:c>
      <x:c r="J2994" s="185" t="n">
        <x:v>0</x:v>
      </x:c>
      <x:c r="K2994" s="289" t="n">
        <x:v>169148</x:v>
      </x:c>
    </x:row>
    <x:row r="2995" s="117" customFormat="1" hidden="1">
      <x:c r="A2995" s="184" t="inlineStr">
        <x:is>
          <x:t xml:space="preserve">PPPTUBS11001</x:t>
        </x:is>
      </x:c>
      <x:c r="B2995" s="184" t="inlineStr">
        <x:is>
          <x:t xml:space="preserve">TUBO POLIPROPILENO DE 25 X 2.9 SDR 11</x:t>
        </x:is>
      </x:c>
      <x:c r="C2995" s="184" t="n">
        <x:v>0</x:v>
      </x:c>
      <x:c r="D2995" s="184" t="n">
        <x:v>0</x:v>
      </x:c>
      <x:c r="E2995" s="184" t="n">
        <x:v>0</x:v>
      </x:c>
      <x:c r="F2995" s="184" t="n">
        <x:v>0</x:v>
      </x:c>
      <x:c r="G2995" s="184" t="n">
        <x:v>0</x:v>
      </x:c>
      <x:c r="H2995" s="193" t="n">
        <x:v>0</x:v>
      </x:c>
      <x:c r="I2995" s="185" t="n">
        <x:v>0</x:v>
      </x:c>
      <x:c r="J2995" s="185" t="n">
        <x:v>0</x:v>
      </x:c>
      <x:c r="K2995" s="289" t="n">
        <x:v>1068</x:v>
      </x:c>
    </x:row>
    <x:row r="2996" s="117" customFormat="1" hidden="1">
      <x:c r="A2996" s="184" t="inlineStr">
        <x:is>
          <x:t xml:space="preserve">PPPTUBS11002</x:t>
        </x:is>
      </x:c>
      <x:c r="B2996" s="184" t="inlineStr">
        <x:is>
          <x:t xml:space="preserve">TUBO POLIPROPILENO DE 32  SDR 11</x:t>
        </x:is>
      </x:c>
      <x:c r="C2996" s="184" t="n">
        <x:v>0</x:v>
      </x:c>
      <x:c r="D2996" s="184" t="n">
        <x:v>0</x:v>
      </x:c>
      <x:c r="E2996" s="184" t="n">
        <x:v>0</x:v>
      </x:c>
      <x:c r="F2996" s="184" t="n">
        <x:v>0</x:v>
      </x:c>
      <x:c r="G2996" s="184" t="n">
        <x:v>0</x:v>
      </x:c>
      <x:c r="H2996" s="193" t="n">
        <x:v>0</x:v>
      </x:c>
      <x:c r="I2996" s="185" t="n">
        <x:v>0</x:v>
      </x:c>
      <x:c r="J2996" s="185" t="n">
        <x:v>0</x:v>
      </x:c>
      <x:c r="K2996" s="289" t="n">
        <x:v>1068</x:v>
      </x:c>
    </x:row>
    <x:row r="2997" s="117" customFormat="1" hidden="1">
      <x:c r="A2997" s="184" t="inlineStr">
        <x:is>
          <x:t xml:space="preserve">PPPTUBS11003</x:t>
        </x:is>
      </x:c>
      <x:c r="B2997" s="184" t="inlineStr">
        <x:is>
          <x:t xml:space="preserve">TUBO POLIPROPILENO DN 20  SDR 11</x:t>
        </x:is>
      </x:c>
      <x:c r="C2997" s="184" t="n">
        <x:v>185</x:v>
      </x:c>
      <x:c r="D2997" s="184" t="n">
        <x:v>0</x:v>
      </x:c>
      <x:c r="E2997" s="184" t="n">
        <x:v>0</x:v>
      </x:c>
      <x:c r="F2997" s="184" t="n">
        <x:v>185</x:v>
      </x:c>
      <x:c r="G2997" s="184" t="n">
        <x:v>99900</x:v>
      </x:c>
      <x:c r="H2997" s="193" t="n">
        <x:v>0</x:v>
      </x:c>
      <x:c r="I2997" s="185" t="n">
        <x:v>0</x:v>
      </x:c>
      <x:c r="J2997" s="185" t="n">
        <x:v>99900</x:v>
      </x:c>
      <x:c r="K2997" s="289" t="n">
        <x:v>540</x:v>
      </x:c>
    </x:row>
    <x:row r="2998" s="117" customFormat="1" hidden="1">
      <x:c r="A2998" s="184" t="inlineStr">
        <x:is>
          <x:t xml:space="preserve">PPPTUBS11075</x:t>
        </x:is>
      </x:c>
      <x:c r="B2998" s="184" t="inlineStr">
        <x:is>
          <x:t xml:space="preserve">TUBO PP S11 DN75</x:t>
        </x:is>
      </x:c>
      <x:c r="C2998" s="184" t="n">
        <x:v>0</x:v>
      </x:c>
      <x:c r="D2998" s="184" t="n">
        <x:v>0</x:v>
      </x:c>
      <x:c r="E2998" s="184" t="n">
        <x:v>0</x:v>
      </x:c>
      <x:c r="F2998" s="184" t="n">
        <x:v>0</x:v>
      </x:c>
      <x:c r="G2998" s="184" t="n">
        <x:v>0</x:v>
      </x:c>
      <x:c r="H2998" s="193" t="n">
        <x:v>0</x:v>
      </x:c>
      <x:c r="I2998" s="185" t="n">
        <x:v>0</x:v>
      </x:c>
      <x:c r="J2998" s="185" t="n">
        <x:v>0</x:v>
      </x:c>
      <x:c r="K2998" s="289" t="n">
        <x:v>6000</x:v>
      </x:c>
    </x:row>
    <x:row r="2999" s="117" customFormat="1" hidden="1">
      <x:c r="A2999" s="184" t="inlineStr">
        <x:is>
          <x:t xml:space="preserve">PPPTUBS11110</x:t>
        </x:is>
      </x:c>
      <x:c r="B2999" s="184" t="inlineStr">
        <x:is>
          <x:t xml:space="preserve">PP TUBO 110MM SDR 11</x:t>
        </x:is>
      </x:c>
      <x:c r="C2999" s="184" t="n">
        <x:v>0</x:v>
      </x:c>
      <x:c r="D2999" s="184" t="n">
        <x:v>0</x:v>
      </x:c>
      <x:c r="E2999" s="184" t="n">
        <x:v>0</x:v>
      </x:c>
      <x:c r="F2999" s="184" t="n">
        <x:v>0</x:v>
      </x:c>
      <x:c r="G2999" s="184" t="n">
        <x:v>0</x:v>
      </x:c>
      <x:c r="H2999" s="193" t="n">
        <x:v>0</x:v>
      </x:c>
      <x:c r="I2999" s="185" t="n">
        <x:v>0</x:v>
      </x:c>
      <x:c r="J2999" s="185" t="n">
        <x:v>0</x:v>
      </x:c>
      <x:c r="K2999" s="289" t="n">
        <x:v>9886</x:v>
      </x:c>
    </x:row>
    <x:row r="3000" s="117" customFormat="1" hidden="1">
      <x:c r="A3000" s="184" t="inlineStr">
        <x:is>
          <x:t xml:space="preserve">PPPTUBS11125</x:t>
        </x:is>
      </x:c>
      <x:c r="B3000" s="184" t="inlineStr">
        <x:is>
          <x:t xml:space="preserve">PP TUBO 125 MM SDR 11</x:t>
        </x:is>
      </x:c>
      <x:c r="C3000" s="184" t="n">
        <x:v>55</x:v>
      </x:c>
      <x:c r="D3000" s="184" t="n">
        <x:v>0</x:v>
      </x:c>
      <x:c r="E3000" s="184" t="n">
        <x:v>0</x:v>
      </x:c>
      <x:c r="F3000" s="184" t="n">
        <x:v>55</x:v>
      </x:c>
      <x:c r="G3000" s="184" t="n">
        <x:v>3591665</x:v>
      </x:c>
      <x:c r="H3000" s="193" t="n">
        <x:v>0</x:v>
      </x:c>
      <x:c r="I3000" s="185" t="n">
        <x:v>0</x:v>
      </x:c>
      <x:c r="J3000" s="185" t="n">
        <x:v>3591665</x:v>
      </x:c>
      <x:c r="K3000" s="289" t="n">
        <x:v>65303</x:v>
      </x:c>
    </x:row>
    <x:row r="3001" s="117" customFormat="1" hidden="1">
      <x:c r="A3001" s="184" t="inlineStr">
        <x:is>
          <x:t xml:space="preserve">PPPTUBS11200</x:t>
        </x:is>
      </x:c>
      <x:c r="B3001" s="184" t="inlineStr">
        <x:is>
          <x:t xml:space="preserve">PP TUBO 200MM SDR 11</x:t>
        </x:is>
      </x:c>
      <x:c r="C3001" s="184" t="n">
        <x:v>70</x:v>
      </x:c>
      <x:c r="D3001" s="184" t="n">
        <x:v>0</x:v>
      </x:c>
      <x:c r="E3001" s="184" t="n">
        <x:v>0</x:v>
      </x:c>
      <x:c r="F3001" s="184" t="n">
        <x:v>70</x:v>
      </x:c>
      <x:c r="G3001" s="184" t="n">
        <x:v>1016400</x:v>
      </x:c>
      <x:c r="H3001" s="193" t="n">
        <x:v>0</x:v>
      </x:c>
      <x:c r="I3001" s="185" t="n">
        <x:v>0</x:v>
      </x:c>
      <x:c r="J3001" s="185" t="n">
        <x:v>1016400</x:v>
      </x:c>
      <x:c r="K3001" s="289" t="n">
        <x:v>14520</x:v>
      </x:c>
    </x:row>
    <x:row r="3002" s="117" customFormat="1" hidden="1">
      <x:c r="A3002" s="184" t="inlineStr">
        <x:is>
          <x:t xml:space="preserve">PPPTUBS11250</x:t>
        </x:is>
      </x:c>
      <x:c r="B3002" s="184" t="inlineStr">
        <x:is>
          <x:t xml:space="preserve">PP TUBO 250MM SDR 11</x:t>
        </x:is>
      </x:c>
      <x:c r="C3002" s="184" t="n">
        <x:v>0</x:v>
      </x:c>
      <x:c r="D3002" s="184" t="n">
        <x:v>0</x:v>
      </x:c>
      <x:c r="E3002" s="184" t="n">
        <x:v>0</x:v>
      </x:c>
      <x:c r="F3002" s="184" t="n">
        <x:v>0</x:v>
      </x:c>
      <x:c r="G3002" s="184" t="n">
        <x:v>0</x:v>
      </x:c>
      <x:c r="H3002" s="193" t="n">
        <x:v>0</x:v>
      </x:c>
      <x:c r="I3002" s="185" t="n">
        <x:v>0</x:v>
      </x:c>
      <x:c r="J3002" s="185" t="n">
        <x:v>0</x:v>
      </x:c>
      <x:c r="K3002" s="289" t="n">
        <x:v>0</x:v>
      </x:c>
    </x:row>
    <x:row r="3003" s="117" customFormat="1" hidden="1">
      <x:c r="A3003" s="184" t="inlineStr">
        <x:is>
          <x:t xml:space="preserve">PPPTUBS11315</x:t>
        </x:is>
      </x:c>
      <x:c r="B3003" s="184" t="inlineStr">
        <x:is>
          <x:t xml:space="preserve">PP TUBO 315X28.6 SDR11</x:t>
        </x:is>
      </x:c>
      <x:c r="C3003" s="184" t="n">
        <x:v>20</x:v>
      </x:c>
      <x:c r="D3003" s="184" t="n">
        <x:v>0</x:v>
      </x:c>
      <x:c r="E3003" s="184" t="n">
        <x:v>0</x:v>
      </x:c>
      <x:c r="F3003" s="184" t="n">
        <x:v>20</x:v>
      </x:c>
      <x:c r="G3003" s="184" t="n">
        <x:v>1328000</x:v>
      </x:c>
      <x:c r="H3003" s="193" t="n">
        <x:v>0</x:v>
      </x:c>
      <x:c r="I3003" s="185" t="n">
        <x:v>0</x:v>
      </x:c>
      <x:c r="J3003" s="185" t="n">
        <x:v>1328000</x:v>
      </x:c>
      <x:c r="K3003" s="289" t="n">
        <x:v>66400</x:v>
      </x:c>
    </x:row>
    <x:row r="3004" s="117" customFormat="1" hidden="1">
      <x:c r="A3004" s="184" t="inlineStr">
        <x:is>
          <x:t xml:space="preserve">PPPTUBS1132X</x:t>
        </x:is>
      </x:c>
      <x:c r="B3004" s="184" t="inlineStr">
        <x:is>
          <x:t xml:space="preserve">PP TUBO 32MM SDR 11 x 2.9</x:t>
        </x:is>
      </x:c>
      <x:c r="C3004" s="184" t="n">
        <x:v>0</x:v>
      </x:c>
      <x:c r="D3004" s="184" t="n">
        <x:v>0</x:v>
      </x:c>
      <x:c r="E3004" s="184" t="n">
        <x:v>0</x:v>
      </x:c>
      <x:c r="F3004" s="184" t="n">
        <x:v>0</x:v>
      </x:c>
      <x:c r="G3004" s="184" t="n">
        <x:v>0</x:v>
      </x:c>
      <x:c r="H3004" s="193" t="n">
        <x:v>0</x:v>
      </x:c>
      <x:c r="I3004" s="185" t="n">
        <x:v>0</x:v>
      </x:c>
      <x:c r="J3004" s="185" t="n">
        <x:v>0</x:v>
      </x:c>
      <x:c r="K3004" s="289" t="n">
        <x:v>1290</x:v>
      </x:c>
    </x:row>
    <x:row r="3005" s="117" customFormat="1" hidden="1">
      <x:c r="A3005" s="184" t="inlineStr">
        <x:is>
          <x:t xml:space="preserve">PPPTUBS1150X</x:t>
        </x:is>
      </x:c>
      <x:c r="B3005" s="184" t="inlineStr">
        <x:is>
          <x:t xml:space="preserve">PP TUBO 50MM SDR 11</x:t>
        </x:is>
      </x:c>
      <x:c r="C3005" s="184" t="n">
        <x:v>0</x:v>
      </x:c>
      <x:c r="D3005" s="184" t="n">
        <x:v>0</x:v>
      </x:c>
      <x:c r="E3005" s="184" t="n">
        <x:v>0</x:v>
      </x:c>
      <x:c r="F3005" s="184" t="n">
        <x:v>0</x:v>
      </x:c>
      <x:c r="G3005" s="184" t="n">
        <x:v>6</x:v>
      </x:c>
      <x:c r="H3005" s="193" t="n">
        <x:v>0</x:v>
      </x:c>
      <x:c r="I3005" s="185" t="n">
        <x:v>0</x:v>
      </x:c>
      <x:c r="J3005" s="185" t="n">
        <x:v>6</x:v>
      </x:c>
      <x:c r="K3005" s="289" t="n">
        <x:v>2723.36354241</x:v>
      </x:c>
    </x:row>
    <x:row r="3006" s="117" customFormat="1" hidden="1">
      <x:c r="A3006" s="184" t="inlineStr">
        <x:is>
          <x:t xml:space="preserve">PPPTUBS1163X</x:t>
        </x:is>
      </x:c>
      <x:c r="B3006" s="184" t="inlineStr">
        <x:is>
          <x:t xml:space="preserve">PP TUBO 63MM SDR 11</x:t>
        </x:is>
      </x:c>
      <x:c r="C3006" s="184" t="n">
        <x:v>98</x:v>
      </x:c>
      <x:c r="D3006" s="184" t="n">
        <x:v>0</x:v>
      </x:c>
      <x:c r="E3006" s="184" t="n">
        <x:v>0</x:v>
      </x:c>
      <x:c r="F3006" s="184" t="n">
        <x:v>98</x:v>
      </x:c>
      <x:c r="G3006" s="184" t="n">
        <x:v>1412099</x:v>
      </x:c>
      <x:c r="H3006" s="193" t="n">
        <x:v>0</x:v>
      </x:c>
      <x:c r="I3006" s="185" t="n">
        <x:v>0</x:v>
      </x:c>
      <x:c r="J3006" s="185" t="n">
        <x:v>1412099</x:v>
      </x:c>
      <x:c r="K3006" s="289" t="n">
        <x:v>14409.1523227</x:v>
      </x:c>
    </x:row>
    <x:row r="3007" s="117" customFormat="1" hidden="1">
      <x:c r="A3007" s="184" t="inlineStr">
        <x:is>
          <x:t xml:space="preserve">PPPTUBS1175X</x:t>
        </x:is>
      </x:c>
      <x:c r="B3007" s="184" t="inlineStr">
        <x:is>
          <x:t xml:space="preserve">PP TUBO 75 MM SDR 11 x 6.8</x:t>
        </x:is>
      </x:c>
      <x:c r="C3007" s="184" t="n">
        <x:v>0</x:v>
      </x:c>
      <x:c r="D3007" s="184" t="n">
        <x:v>0</x:v>
      </x:c>
      <x:c r="E3007" s="184" t="n">
        <x:v>0</x:v>
      </x:c>
      <x:c r="F3007" s="184" t="n">
        <x:v>0</x:v>
      </x:c>
      <x:c r="G3007" s="184" t="n">
        <x:v>0</x:v>
      </x:c>
      <x:c r="H3007" s="193" t="n">
        <x:v>0</x:v>
      </x:c>
      <x:c r="I3007" s="185" t="n">
        <x:v>0</x:v>
      </x:c>
      <x:c r="J3007" s="185" t="n">
        <x:v>0</x:v>
      </x:c>
      <x:c r="K3007" s="289" t="n">
        <x:v>6798</x:v>
      </x:c>
    </x:row>
    <x:row r="3008" s="117" customFormat="1" hidden="1">
      <x:c r="A3008" s="184" t="inlineStr">
        <x:is>
          <x:t xml:space="preserve">PPPTUBS1190X</x:t>
        </x:is>
      </x:c>
      <x:c r="B3008" s="184" t="inlineStr">
        <x:is>
          <x:t xml:space="preserve">PP TUBO 90MM X 8,2 SDR 11</x:t>
        </x:is>
      </x:c>
      <x:c r="C3008" s="184" t="n">
        <x:v>10</x:v>
      </x:c>
      <x:c r="D3008" s="184" t="n">
        <x:v>0</x:v>
      </x:c>
      <x:c r="E3008" s="184" t="n">
        <x:v>0</x:v>
      </x:c>
      <x:c r="F3008" s="184" t="n">
        <x:v>10</x:v>
      </x:c>
      <x:c r="G3008" s="184" t="n">
        <x:v>90000</x:v>
      </x:c>
      <x:c r="H3008" s="193" t="n">
        <x:v>0</x:v>
      </x:c>
      <x:c r="I3008" s="185" t="n">
        <x:v>0</x:v>
      </x:c>
      <x:c r="J3008" s="185" t="n">
        <x:v>90000</x:v>
      </x:c>
      <x:c r="K3008" s="289" t="n">
        <x:v>9000</x:v>
      </x:c>
    </x:row>
    <x:row r="3009" s="117" customFormat="1" hidden="1">
      <x:c r="A3009" s="184" t="inlineStr">
        <x:is>
          <x:t xml:space="preserve">PPPTUBS17001</x:t>
        </x:is>
      </x:c>
      <x:c r="B3009" s="184" t="inlineStr">
        <x:is>
          <x:t xml:space="preserve">TUBO DE POLIPROPILENO DE 50 X 2.9 SDR17</x:t>
        </x:is>
      </x:c>
      <x:c r="C3009" s="184" t="n">
        <x:v>19</x:v>
      </x:c>
      <x:c r="D3009" s="184" t="n">
        <x:v>0</x:v>
      </x:c>
      <x:c r="E3009" s="184" t="n">
        <x:v>0</x:v>
      </x:c>
      <x:c r="F3009" s="184" t="n">
        <x:v>19</x:v>
      </x:c>
      <x:c r="G3009" s="184" t="n">
        <x:v>34200</x:v>
      </x:c>
      <x:c r="H3009" s="193" t="n">
        <x:v>0</x:v>
      </x:c>
      <x:c r="I3009" s="185" t="n">
        <x:v>0</x:v>
      </x:c>
      <x:c r="J3009" s="185" t="n">
        <x:v>34200</x:v>
      </x:c>
      <x:c r="K3009" s="289" t="n">
        <x:v>1800</x:v>
      </x:c>
    </x:row>
    <x:row r="3010" s="117" customFormat="1" hidden="1">
      <x:c r="A3010" s="184" t="inlineStr">
        <x:is>
          <x:t xml:space="preserve">PPPTUBS17002</x:t>
        </x:is>
      </x:c>
      <x:c r="B3010" s="184" t="inlineStr">
        <x:is>
          <x:t xml:space="preserve">TUBO POLIPROPILENO DE 63X3.6  SDR17</x:t>
        </x:is>
      </x:c>
      <x:c r="C3010" s="184" t="n">
        <x:v>0</x:v>
      </x:c>
      <x:c r="D3010" s="184" t="n">
        <x:v>0</x:v>
      </x:c>
      <x:c r="E3010" s="184" t="n">
        <x:v>0</x:v>
      </x:c>
      <x:c r="F3010" s="184" t="n">
        <x:v>0</x:v>
      </x:c>
      <x:c r="G3010" s="184" t="n">
        <x:v>0</x:v>
      </x:c>
      <x:c r="H3010" s="193" t="n">
        <x:v>0</x:v>
      </x:c>
      <x:c r="I3010" s="185" t="n">
        <x:v>0</x:v>
      </x:c>
      <x:c r="J3010" s="185" t="n">
        <x:v>0</x:v>
      </x:c>
      <x:c r="K3010" s="289" t="n">
        <x:v>3318</x:v>
      </x:c>
    </x:row>
    <x:row r="3011" s="117" customFormat="1" hidden="1">
      <x:c r="A3011" s="184" t="inlineStr">
        <x:is>
          <x:t xml:space="preserve">PPPTUBS17003</x:t>
        </x:is>
      </x:c>
      <x:c r="B3011" s="184" t="inlineStr">
        <x:is>
          <x:t xml:space="preserve">TUBO POLIPROPILENO DE 90X35.1  SDR17</x:t>
        </x:is>
      </x:c>
      <x:c r="C3011" s="184" t="n">
        <x:v>5</x:v>
      </x:c>
      <x:c r="D3011" s="184" t="n">
        <x:v>0</x:v>
      </x:c>
      <x:c r="E3011" s="184" t="n">
        <x:v>0</x:v>
      </x:c>
      <x:c r="F3011" s="184" t="n">
        <x:v>5</x:v>
      </x:c>
      <x:c r="G3011" s="184" t="n">
        <x:v>30000</x:v>
      </x:c>
      <x:c r="H3011" s="193" t="n">
        <x:v>0</x:v>
      </x:c>
      <x:c r="I3011" s="185" t="n">
        <x:v>0</x:v>
      </x:c>
      <x:c r="J3011" s="185" t="n">
        <x:v>30000</x:v>
      </x:c>
      <x:c r="K3011" s="289" t="n">
        <x:v>6000</x:v>
      </x:c>
    </x:row>
    <x:row r="3012" s="117" customFormat="1" hidden="1">
      <x:c r="A3012" s="184" t="inlineStr">
        <x:is>
          <x:t xml:space="preserve">PPPTUBS17110</x:t>
        </x:is>
      </x:c>
      <x:c r="B3012" s="184" t="inlineStr">
        <x:is>
          <x:t xml:space="preserve">PP TUBO 110X6.3 SDR 17</x:t>
        </x:is>
      </x:c>
      <x:c r="C3012" s="184" t="n">
        <x:v>0</x:v>
      </x:c>
      <x:c r="D3012" s="184" t="n">
        <x:v>0</x:v>
      </x:c>
      <x:c r="E3012" s="184" t="n">
        <x:v>0</x:v>
      </x:c>
      <x:c r="F3012" s="184" t="n">
        <x:v>0</x:v>
      </x:c>
      <x:c r="G3012" s="184" t="n">
        <x:v>1</x:v>
      </x:c>
      <x:c r="H3012" s="193" t="n">
        <x:v>0</x:v>
      </x:c>
      <x:c r="I3012" s="185" t="n">
        <x:v>0</x:v>
      </x:c>
      <x:c r="J3012" s="185" t="n">
        <x:v>1</x:v>
      </x:c>
      <x:c r="K3012" s="289" t="n">
        <x:v>6514</x:v>
      </x:c>
    </x:row>
    <x:row r="3013" s="117" customFormat="1" hidden="1">
      <x:c r="A3013" s="184" t="inlineStr">
        <x:is>
          <x:t xml:space="preserve">PPPTUBS17160</x:t>
        </x:is>
      </x:c>
      <x:c r="B3013" s="184" t="inlineStr">
        <x:is>
          <x:t xml:space="preserve">PP TUBO 160X9.1 SDR17</x:t>
        </x:is>
      </x:c>
      <x:c r="C3013" s="184" t="n">
        <x:v>85</x:v>
      </x:c>
      <x:c r="D3013" s="184" t="n">
        <x:v>0</x:v>
      </x:c>
      <x:c r="E3013" s="184" t="n">
        <x:v>0</x:v>
      </x:c>
      <x:c r="F3013" s="184" t="n">
        <x:v>85</x:v>
      </x:c>
      <x:c r="G3013" s="184" t="n">
        <x:v>3043000</x:v>
      </x:c>
      <x:c r="H3013" s="193" t="n">
        <x:v>0</x:v>
      </x:c>
      <x:c r="I3013" s="185" t="n">
        <x:v>0</x:v>
      </x:c>
      <x:c r="J3013" s="185" t="n">
        <x:v>3043000</x:v>
      </x:c>
      <x:c r="K3013" s="289" t="n">
        <x:v>35800</x:v>
      </x:c>
    </x:row>
    <x:row r="3014" s="117" customFormat="1" hidden="1">
      <x:c r="A3014" s="184" t="inlineStr">
        <x:is>
          <x:t xml:space="preserve">PPPTUBS17315</x:t>
        </x:is>
      </x:c>
      <x:c r="B3014" s="184" t="inlineStr">
        <x:is>
          <x:t xml:space="preserve">PP TUBO 315X5.0 SDR17</x:t>
        </x:is>
      </x:c>
      <x:c r="C3014" s="184" t="n">
        <x:v>0</x:v>
      </x:c>
      <x:c r="D3014" s="184" t="n">
        <x:v>0</x:v>
      </x:c>
      <x:c r="E3014" s="184" t="n">
        <x:v>0</x:v>
      </x:c>
      <x:c r="F3014" s="184" t="n">
        <x:v>0</x:v>
      </x:c>
      <x:c r="G3014" s="184" t="n">
        <x:v>0</x:v>
      </x:c>
      <x:c r="H3014" s="193" t="n">
        <x:v>0</x:v>
      </x:c>
      <x:c r="I3014" s="185" t="n">
        <x:v>0</x:v>
      </x:c>
      <x:c r="J3014" s="185" t="n">
        <x:v>0</x:v>
      </x:c>
      <x:c r="K3014" s="289" t="n">
        <x:v>0</x:v>
      </x:c>
    </x:row>
    <x:row r="3015" s="117" customFormat="1" hidden="1">
      <x:c r="A3015" s="184" t="inlineStr">
        <x:is>
          <x:t xml:space="preserve">PPPTUBS17355</x:t>
        </x:is>
      </x:c>
      <x:c r="B3015" s="184" t="inlineStr">
        <x:is>
          <x:t xml:space="preserve">PP TUBO 355X0.5 SDR17</x:t>
        </x:is>
      </x:c>
      <x:c r="C3015" s="184" t="n">
        <x:v>0</x:v>
      </x:c>
      <x:c r="D3015" s="184" t="n">
        <x:v>0</x:v>
      </x:c>
      <x:c r="E3015" s="184" t="n">
        <x:v>0</x:v>
      </x:c>
      <x:c r="F3015" s="184" t="n">
        <x:v>0</x:v>
      </x:c>
      <x:c r="G3015" s="184" t="n">
        <x:v>0</x:v>
      </x:c>
      <x:c r="H3015" s="193" t="n">
        <x:v>0</x:v>
      </x:c>
      <x:c r="I3015" s="185" t="n">
        <x:v>0</x:v>
      </x:c>
      <x:c r="J3015" s="185" t="n">
        <x:v>0</x:v>
      </x:c>
      <x:c r="K3015" s="289" t="n">
        <x:v>0</x:v>
      </x:c>
    </x:row>
    <x:row r="3016" s="117" customFormat="1" hidden="1">
      <x:c r="A3016" s="184" t="inlineStr">
        <x:is>
          <x:t xml:space="preserve">PPPTUBS17401</x:t>
        </x:is>
      </x:c>
      <x:c r="B3016" s="184" t="inlineStr">
        <x:is>
          <x:t xml:space="preserve">PP TUBO 400 X 15.3MM SDR26</x:t>
        </x:is>
      </x:c>
      <x:c r="C3016" s="184" t="n">
        <x:v>0</x:v>
      </x:c>
      <x:c r="D3016" s="184" t="n">
        <x:v>0</x:v>
      </x:c>
      <x:c r="E3016" s="184" t="n">
        <x:v>0</x:v>
      </x:c>
      <x:c r="F3016" s="184" t="n">
        <x:v>0</x:v>
      </x:c>
      <x:c r="G3016" s="184" t="n">
        <x:v>0</x:v>
      </x:c>
      <x:c r="H3016" s="193" t="n">
        <x:v>0</x:v>
      </x:c>
      <x:c r="I3016" s="185" t="n">
        <x:v>0</x:v>
      </x:c>
      <x:c r="J3016" s="185" t="n">
        <x:v>0</x:v>
      </x:c>
      <x:c r="K3016" s="289" t="n">
        <x:v>59292</x:v>
      </x:c>
    </x:row>
    <x:row r="3017" s="117" customFormat="1" hidden="1">
      <x:c r="A3017" s="184" t="inlineStr">
        <x:is>
          <x:t xml:space="preserve">PPPTUBS1750X</x:t>
        </x:is>
      </x:c>
      <x:c r="B3017" s="184" t="inlineStr">
        <x:is>
          <x:t xml:space="preserve">PP TUBO 50X2.9 SDR 17</x:t>
        </x:is>
      </x:c>
      <x:c r="C3017" s="184" t="n">
        <x:v>14.5</x:v>
      </x:c>
      <x:c r="D3017" s="184" t="n">
        <x:v>0</x:v>
      </x:c>
      <x:c r="E3017" s="184" t="n">
        <x:v>0</x:v>
      </x:c>
      <x:c r="F3017" s="184" t="n">
        <x:v>14.5</x:v>
      </x:c>
      <x:c r="G3017" s="184" t="n">
        <x:v>41513</x:v>
      </x:c>
      <x:c r="H3017" s="193" t="n">
        <x:v>0</x:v>
      </x:c>
      <x:c r="I3017" s="185" t="n">
        <x:v>0</x:v>
      </x:c>
      <x:c r="J3017" s="185" t="n">
        <x:v>41513</x:v>
      </x:c>
      <x:c r="K3017" s="289" t="n">
        <x:v>2863</x:v>
      </x:c>
    </x:row>
    <x:row r="3018" s="117" customFormat="1" hidden="1">
      <x:c r="A3018" s="184" t="inlineStr">
        <x:is>
          <x:t xml:space="preserve">PPPTUBS1763X</x:t>
        </x:is>
      </x:c>
      <x:c r="B3018" s="184" t="inlineStr">
        <x:is>
          <x:t xml:space="preserve">PP TUBO 63X3.6 SDR17</x:t>
        </x:is>
      </x:c>
      <x:c r="C3018" s="184" t="n">
        <x:v>0</x:v>
      </x:c>
      <x:c r="D3018" s="184" t="n">
        <x:v>0</x:v>
      </x:c>
      <x:c r="E3018" s="184" t="n">
        <x:v>0</x:v>
      </x:c>
      <x:c r="F3018" s="184" t="n">
        <x:v>0</x:v>
      </x:c>
      <x:c r="G3018" s="184" t="n">
        <x:v>-1</x:v>
      </x:c>
      <x:c r="H3018" s="193" t="n">
        <x:v>0</x:v>
      </x:c>
      <x:c r="I3018" s="185" t="n">
        <x:v>0</x:v>
      </x:c>
      <x:c r="J3018" s="185" t="n">
        <x:v>-1</x:v>
      </x:c>
      <x:c r="K3018" s="289" t="n">
        <x:v>2975.3</x:v>
      </x:c>
    </x:row>
    <x:row r="3019" s="117" customFormat="1" hidden="1">
      <x:c r="A3019" s="184" t="inlineStr">
        <x:is>
          <x:t xml:space="preserve">PPPTUBS1790X</x:t>
        </x:is>
      </x:c>
      <x:c r="B3019" s="184" t="inlineStr">
        <x:is>
          <x:t xml:space="preserve">PP TUBO 90X5.1 SDR 17 (METROS)</x:t>
        </x:is>
      </x:c>
      <x:c r="C3019" s="184" t="n">
        <x:v>35</x:v>
      </x:c>
      <x:c r="D3019" s="184" t="n">
        <x:v>0</x:v>
      </x:c>
      <x:c r="E3019" s="184" t="n">
        <x:v>0</x:v>
      </x:c>
      <x:c r="F3019" s="184" t="n">
        <x:v>35</x:v>
      </x:c>
      <x:c r="G3019" s="184" t="n">
        <x:v>249693</x:v>
      </x:c>
      <x:c r="H3019" s="193" t="n">
        <x:v>0</x:v>
      </x:c>
      <x:c r="I3019" s="185" t="n">
        <x:v>0</x:v>
      </x:c>
      <x:c r="J3019" s="185" t="n">
        <x:v>249693</x:v>
      </x:c>
      <x:c r="K3019" s="289" t="n">
        <x:v>7134.1</x:v>
      </x:c>
    </x:row>
    <x:row r="3020" s="117" customFormat="1" hidden="1">
      <x:c r="A3020" s="184" t="inlineStr">
        <x:is>
          <x:t xml:space="preserve">PPPTUBS33001</x:t>
        </x:is>
      </x:c>
      <x:c r="B3020" s="184" t="inlineStr">
        <x:is>
          <x:t xml:space="preserve">TUBO POLIPROPILENO DE 125X3.4  SDR33</x:t>
        </x:is>
      </x:c>
      <x:c r="C3020" s="184" t="n">
        <x:v>0</x:v>
      </x:c>
      <x:c r="D3020" s="184" t="n">
        <x:v>0</x:v>
      </x:c>
      <x:c r="E3020" s="184" t="n">
        <x:v>0</x:v>
      </x:c>
      <x:c r="F3020" s="184" t="n">
        <x:v>0</x:v>
      </x:c>
      <x:c r="G3020" s="184" t="n">
        <x:v>0</x:v>
      </x:c>
      <x:c r="H3020" s="193" t="n">
        <x:v>0</x:v>
      </x:c>
      <x:c r="I3020" s="185" t="n">
        <x:v>0</x:v>
      </x:c>
      <x:c r="J3020" s="185" t="n">
        <x:v>0</x:v>
      </x:c>
      <x:c r="K3020" s="289" t="n">
        <x:v>10811</x:v>
      </x:c>
    </x:row>
    <x:row r="3021" s="117" customFormat="1" hidden="1">
      <x:c r="A3021" s="184" t="inlineStr">
        <x:is>
          <x:t xml:space="preserve">PPPTUBS33002</x:t>
        </x:is>
      </x:c>
      <x:c r="B3021" s="184" t="inlineStr">
        <x:is>
          <x:t xml:space="preserve">TUBO POLIPROPILENO DE 450X13.8  SDR33</x:t>
        </x:is>
      </x:c>
      <x:c r="C3021" s="184" t="n">
        <x:v>0</x:v>
      </x:c>
      <x:c r="D3021" s="184" t="n">
        <x:v>0</x:v>
      </x:c>
      <x:c r="E3021" s="184" t="n">
        <x:v>0</x:v>
      </x:c>
      <x:c r="F3021" s="184" t="n">
        <x:v>0</x:v>
      </x:c>
      <x:c r="G3021" s="184" t="n">
        <x:v>0</x:v>
      </x:c>
      <x:c r="H3021" s="193" t="n">
        <x:v>0</x:v>
      </x:c>
      <x:c r="I3021" s="185" t="n">
        <x:v>0</x:v>
      </x:c>
      <x:c r="J3021" s="185" t="n">
        <x:v>0</x:v>
      </x:c>
      <x:c r="K3021" s="289" t="n">
        <x:v>470507</x:v>
      </x:c>
    </x:row>
    <x:row r="3022" s="117" customFormat="1" hidden="1">
      <x:c r="A3022" s="184" t="inlineStr">
        <x:is>
          <x:t xml:space="preserve">PPPTUBS33003</x:t>
        </x:is>
      </x:c>
      <x:c r="B3022" s="184" t="inlineStr">
        <x:is>
          <x:t xml:space="preserve">TUBO POLIPROPILENO DE 600X13.8  SDR33</x:t>
        </x:is>
      </x:c>
      <x:c r="C3022" s="184" t="n">
        <x:v>0</x:v>
      </x:c>
      <x:c r="D3022" s="184" t="n">
        <x:v>0</x:v>
      </x:c>
      <x:c r="E3022" s="184" t="n">
        <x:v>0</x:v>
      </x:c>
      <x:c r="F3022" s="184" t="n">
        <x:v>0</x:v>
      </x:c>
      <x:c r="G3022" s="184" t="n">
        <x:v>0</x:v>
      </x:c>
      <x:c r="H3022" s="193" t="n">
        <x:v>0</x:v>
      </x:c>
      <x:c r="I3022" s="185" t="n">
        <x:v>0</x:v>
      </x:c>
      <x:c r="J3022" s="185" t="n">
        <x:v>0</x:v>
      </x:c>
      <x:c r="K3022" s="289" t="n">
        <x:v>88400</x:v>
      </x:c>
    </x:row>
    <x:row r="3023" s="117" customFormat="1" hidden="1">
      <x:c r="A3023" s="184" t="inlineStr">
        <x:is>
          <x:t xml:space="preserve">PPPTUBS33110</x:t>
        </x:is>
      </x:c>
      <x:c r="B3023" s="184" t="inlineStr">
        <x:is>
          <x:t xml:space="preserve">PP TUBO 110X3.4 SDR33</x:t>
        </x:is>
      </x:c>
      <x:c r="C3023" s="184" t="n">
        <x:v>15</x:v>
      </x:c>
      <x:c r="D3023" s="184" t="n">
        <x:v>0</x:v>
      </x:c>
      <x:c r="E3023" s="184" t="n">
        <x:v>0</x:v>
      </x:c>
      <x:c r="F3023" s="184" t="n">
        <x:v>15</x:v>
      </x:c>
      <x:c r="G3023" s="184" t="n">
        <x:v>102745</x:v>
      </x:c>
      <x:c r="H3023" s="193" t="n">
        <x:v>0</x:v>
      </x:c>
      <x:c r="I3023" s="185" t="n">
        <x:v>0</x:v>
      </x:c>
      <x:c r="J3023" s="185" t="n">
        <x:v>102745</x:v>
      </x:c>
      <x:c r="K3023" s="289" t="n">
        <x:v>6849.69230769</x:v>
      </x:c>
    </x:row>
    <x:row r="3024" s="117" customFormat="1" hidden="1">
      <x:c r="A3024" s="184" t="inlineStr">
        <x:is>
          <x:t xml:space="preserve">PPPTUBS33125</x:t>
        </x:is>
      </x:c>
      <x:c r="B3024" s="184" t="inlineStr">
        <x:is>
          <x:t xml:space="preserve">PP TUBO 125MM SDR33</x:t>
        </x:is>
      </x:c>
      <x:c r="C3024" s="184" t="n">
        <x:v>210</x:v>
      </x:c>
      <x:c r="D3024" s="184" t="n">
        <x:v>0</x:v>
      </x:c>
      <x:c r="E3024" s="184" t="n">
        <x:v>0</x:v>
      </x:c>
      <x:c r="F3024" s="184" t="n">
        <x:v>210</x:v>
      </x:c>
      <x:c r="G3024" s="184" t="n">
        <x:v>1547719</x:v>
      </x:c>
      <x:c r="H3024" s="193" t="n">
        <x:v>0</x:v>
      </x:c>
      <x:c r="I3024" s="185" t="n">
        <x:v>0</x:v>
      </x:c>
      <x:c r="J3024" s="185" t="n">
        <x:v>1547719</x:v>
      </x:c>
      <x:c r="K3024" s="289" t="n">
        <x:v>7370.09104348</x:v>
      </x:c>
    </x:row>
    <x:row r="3025" s="117" customFormat="1" hidden="1">
      <x:c r="A3025" s="184" t="inlineStr">
        <x:is>
          <x:t xml:space="preserve">PPPTUBS33160</x:t>
        </x:is>
      </x:c>
      <x:c r="B3025" s="184" t="inlineStr">
        <x:is>
          <x:t xml:space="preserve">PP TUBO 160X4.9 SDR33 (METROS)</x:t>
        </x:is>
      </x:c>
      <x:c r="C3025" s="184" t="n">
        <x:v>148.5</x:v>
      </x:c>
      <x:c r="D3025" s="184" t="n">
        <x:v>0</x:v>
      </x:c>
      <x:c r="E3025" s="184" t="n">
        <x:v>0</x:v>
      </x:c>
      <x:c r="F3025" s="184" t="n">
        <x:v>148.5</x:v>
      </x:c>
      <x:c r="G3025" s="184" t="n">
        <x:v>2130840</x:v>
      </x:c>
      <x:c r="H3025" s="193" t="n">
        <x:v>0</x:v>
      </x:c>
      <x:c r="I3025" s="185" t="n">
        <x:v>0</x:v>
      </x:c>
      <x:c r="J3025" s="185" t="n">
        <x:v>2130840</x:v>
      </x:c>
      <x:c r="K3025" s="289" t="n">
        <x:v>14349.05925765</x:v>
      </x:c>
    </x:row>
    <x:row r="3026" s="117" customFormat="1" hidden="1">
      <x:c r="A3026" s="184" t="inlineStr">
        <x:is>
          <x:t xml:space="preserve">PPPTUBS33200</x:t>
        </x:is>
      </x:c>
      <x:c r="B3026" s="184" t="inlineStr">
        <x:is>
          <x:t xml:space="preserve">PP TUBO 200X6.2 SDR33</x:t>
        </x:is>
      </x:c>
      <x:c r="C3026" s="184" t="n">
        <x:v>214</x:v>
      </x:c>
      <x:c r="D3026" s="184" t="n">
        <x:v>0</x:v>
      </x:c>
      <x:c r="E3026" s="184" t="n">
        <x:v>0</x:v>
      </x:c>
      <x:c r="F3026" s="184" t="n">
        <x:v>214</x:v>
      </x:c>
      <x:c r="G3026" s="184" t="n">
        <x:v>8477024</x:v>
      </x:c>
      <x:c r="H3026" s="193" t="n">
        <x:v>0</x:v>
      </x:c>
      <x:c r="I3026" s="185" t="n">
        <x:v>0</x:v>
      </x:c>
      <x:c r="J3026" s="185" t="n">
        <x:v>8477024</x:v>
      </x:c>
      <x:c r="K3026" s="289" t="n">
        <x:v>39612.26333855</x:v>
      </x:c>
    </x:row>
    <x:row r="3027" s="117" customFormat="1" hidden="1">
      <x:c r="A3027" s="184" t="inlineStr">
        <x:is>
          <x:t xml:space="preserve">PPPTUBS33250</x:t>
        </x:is>
      </x:c>
      <x:c r="B3027" s="184" t="inlineStr">
        <x:is>
          <x:t xml:space="preserve">PP TUBO 250X7.7 SDR33 (METROS)</x:t>
        </x:is>
      </x:c>
      <x:c r="C3027" s="184" t="n">
        <x:v>260</x:v>
      </x:c>
      <x:c r="D3027" s="184" t="n">
        <x:v>0</x:v>
      </x:c>
      <x:c r="E3027" s="184" t="n">
        <x:v>5</x:v>
      </x:c>
      <x:c r="F3027" s="184" t="n">
        <x:v>255</x:v>
      </x:c>
      <x:c r="G3027" s="184" t="n">
        <x:v>8282976</x:v>
      </x:c>
      <x:c r="H3027" s="193" t="n">
        <x:v>0</x:v>
      </x:c>
      <x:c r="I3027" s="185" t="n">
        <x:v>159288</x:v>
      </x:c>
      <x:c r="J3027" s="185" t="n">
        <x:v>8123688</x:v>
      </x:c>
      <x:c r="K3027" s="289" t="n">
        <x:v>31857.60371012</x:v>
      </x:c>
    </x:row>
    <x:row r="3028" s="117" customFormat="1" hidden="1">
      <x:c r="A3028" s="184" t="inlineStr">
        <x:is>
          <x:t xml:space="preserve">PPPTUBS33260</x:t>
        </x:is>
      </x:c>
      <x:c r="B3028" s="184" t="inlineStr">
        <x:is>
          <x:t xml:space="preserve">PP TUBO 260X0.9 SDR33</x:t>
        </x:is>
      </x:c>
      <x:c r="C3028" s="184" t="n">
        <x:v>0</x:v>
      </x:c>
      <x:c r="D3028" s="184" t="n">
        <x:v>0</x:v>
      </x:c>
      <x:c r="E3028" s="184" t="n">
        <x:v>0</x:v>
      </x:c>
      <x:c r="F3028" s="184" t="n">
        <x:v>0</x:v>
      </x:c>
      <x:c r="G3028" s="184" t="n">
        <x:v>0</x:v>
      </x:c>
      <x:c r="H3028" s="193" t="n">
        <x:v>0</x:v>
      </x:c>
      <x:c r="I3028" s="185" t="n">
        <x:v>0</x:v>
      </x:c>
      <x:c r="J3028" s="185" t="n">
        <x:v>0</x:v>
      </x:c>
      <x:c r="K3028" s="289" t="n">
        <x:v>0</x:v>
      </x:c>
    </x:row>
    <x:row r="3029" s="117" customFormat="1" hidden="1">
      <x:c r="A3029" s="184" t="inlineStr">
        <x:is>
          <x:t xml:space="preserve">PPPTUBS33280</x:t>
        </x:is>
      </x:c>
      <x:c r="B3029" s="184" t="inlineStr">
        <x:is>
          <x:t xml:space="preserve">PP TUBO 280X8.6 SDR33</x:t>
        </x:is>
      </x:c>
      <x:c r="C3029" s="184" t="n">
        <x:v>0</x:v>
      </x:c>
      <x:c r="D3029" s="184" t="n">
        <x:v>0</x:v>
      </x:c>
      <x:c r="E3029" s="184" t="n">
        <x:v>0</x:v>
      </x:c>
      <x:c r="F3029" s="184" t="n">
        <x:v>0</x:v>
      </x:c>
      <x:c r="G3029" s="184" t="n">
        <x:v>0</x:v>
      </x:c>
      <x:c r="H3029" s="193" t="n">
        <x:v>0</x:v>
      </x:c>
      <x:c r="I3029" s="185" t="n">
        <x:v>0</x:v>
      </x:c>
      <x:c r="J3029" s="185" t="n">
        <x:v>0</x:v>
      </x:c>
      <x:c r="K3029" s="289" t="n">
        <x:v>35800</x:v>
      </x:c>
    </x:row>
    <x:row r="3030" s="117" customFormat="1" hidden="1">
      <x:c r="A3030" s="184" t="inlineStr">
        <x:is>
          <x:t xml:space="preserve">PPPTUBS33315</x:t>
        </x:is>
      </x:c>
      <x:c r="B3030" s="184" t="inlineStr">
        <x:is>
          <x:t xml:space="preserve">PP TUBO 315X9.7 SDR33</x:t>
        </x:is>
      </x:c>
      <x:c r="C3030" s="184" t="n">
        <x:v>25</x:v>
      </x:c>
      <x:c r="D3030" s="184" t="n">
        <x:v>0</x:v>
      </x:c>
      <x:c r="E3030" s="184" t="n">
        <x:v>7.8</x:v>
      </x:c>
      <x:c r="F3030" s="184" t="n">
        <x:v>17.2</x:v>
      </x:c>
      <x:c r="G3030" s="184" t="n">
        <x:v>1402002</x:v>
      </x:c>
      <x:c r="H3030" s="193" t="n">
        <x:v>0</x:v>
      </x:c>
      <x:c r="I3030" s="185" t="n">
        <x:v>437424</x:v>
      </x:c>
      <x:c r="J3030" s="185" t="n">
        <x:v>964578</x:v>
      </x:c>
      <x:c r="K3030" s="289" t="n">
        <x:v>56079.96314746</x:v>
      </x:c>
    </x:row>
    <x:row r="3031" s="117" customFormat="1" hidden="1">
      <x:c r="A3031" s="184" t="inlineStr">
        <x:is>
          <x:t xml:space="preserve">PPPTUBS33355</x:t>
        </x:is>
      </x:c>
      <x:c r="B3031" s="184" t="inlineStr">
        <x:is>
          <x:t xml:space="preserve">PP TUBO 355MM X 10,9 - SDR33 (METROS)</x:t>
        </x:is>
      </x:c>
      <x:c r="C3031" s="184" t="n">
        <x:v>102</x:v>
      </x:c>
      <x:c r="D3031" s="184" t="n">
        <x:v>0</x:v>
      </x:c>
      <x:c r="E3031" s="184" t="n">
        <x:v>0</x:v>
      </x:c>
      <x:c r="F3031" s="184" t="n">
        <x:v>102</x:v>
      </x:c>
      <x:c r="G3031" s="184" t="n">
        <x:v>5013944</x:v>
      </x:c>
      <x:c r="H3031" s="193" t="n">
        <x:v>0</x:v>
      </x:c>
      <x:c r="I3031" s="185" t="n">
        <x:v>0</x:v>
      </x:c>
      <x:c r="J3031" s="185" t="n">
        <x:v>5013944</x:v>
      </x:c>
      <x:c r="K3031" s="289" t="n">
        <x:v>49156.32006424</x:v>
      </x:c>
    </x:row>
    <x:row r="3032" s="117" customFormat="1" hidden="1">
      <x:c r="A3032" s="184" t="inlineStr">
        <x:is>
          <x:t xml:space="preserve">PPPTUBS33400</x:t>
        </x:is>
      </x:c>
      <x:c r="B3032" s="184" t="inlineStr">
        <x:is>
          <x:t xml:space="preserve">PP TUBO 400MM X 12,3 SDR33 (METROS)</x:t>
        </x:is>
      </x:c>
      <x:c r="C3032" s="184" t="n">
        <x:v>224.5</x:v>
      </x:c>
      <x:c r="D3032" s="184" t="n">
        <x:v>0</x:v>
      </x:c>
      <x:c r="E3032" s="184" t="n">
        <x:v>7.6</x:v>
      </x:c>
      <x:c r="F3032" s="184" t="n">
        <x:v>216.9</x:v>
      </x:c>
      <x:c r="G3032" s="184" t="n">
        <x:v>15828914</x:v>
      </x:c>
      <x:c r="H3032" s="193" t="n">
        <x:v>0</x:v>
      </x:c>
      <x:c r="I3032" s="185" t="n">
        <x:v>535856</x:v>
      </x:c>
      <x:c r="J3032" s="185" t="n">
        <x:v>15293058</x:v>
      </x:c>
      <x:c r="K3032" s="289" t="n">
        <x:v>70507.42947073</x:v>
      </x:c>
    </x:row>
    <x:row r="3033" s="117" customFormat="1" hidden="1">
      <x:c r="A3033" s="184" t="inlineStr">
        <x:is>
          <x:t xml:space="preserve">PPPTUBS33450</x:t>
        </x:is>
      </x:c>
      <x:c r="B3033" s="184" t="inlineStr">
        <x:is>
          <x:t xml:space="preserve">PP TUBO 450MM X 13,8 - SDR33 (METROS)</x:t>
        </x:is>
      </x:c>
      <x:c r="C3033" s="184" t="n">
        <x:v>55</x:v>
      </x:c>
      <x:c r="D3033" s="184" t="n">
        <x:v>0</x:v>
      </x:c>
      <x:c r="E3033" s="184" t="n">
        <x:v>0</x:v>
      </x:c>
      <x:c r="F3033" s="184" t="n">
        <x:v>55</x:v>
      </x:c>
      <x:c r="G3033" s="184" t="n">
        <x:v>5495535</x:v>
      </x:c>
      <x:c r="H3033" s="193" t="n">
        <x:v>0</x:v>
      </x:c>
      <x:c r="I3033" s="185" t="n">
        <x:v>0</x:v>
      </x:c>
      <x:c r="J3033" s="185" t="n">
        <x:v>5495535</x:v>
      </x:c>
      <x:c r="K3033" s="289" t="n">
        <x:v>99918.81818182</x:v>
      </x:c>
    </x:row>
    <x:row r="3034" s="117" customFormat="1" hidden="1">
      <x:c r="A3034" s="184" t="inlineStr">
        <x:is>
          <x:t xml:space="preserve">PPPTUBS33500</x:t>
        </x:is>
      </x:c>
      <x:c r="B3034" s="184" t="inlineStr">
        <x:is>
          <x:t xml:space="preserve">PP TUBO 500X17 SDR33</x:t>
        </x:is>
      </x:c>
      <x:c r="C3034" s="184" t="n">
        <x:v>10</x:v>
      </x:c>
      <x:c r="D3034" s="184" t="n">
        <x:v>0</x:v>
      </x:c>
      <x:c r="E3034" s="184" t="n">
        <x:v>0</x:v>
      </x:c>
      <x:c r="F3034" s="184" t="n">
        <x:v>10</x:v>
      </x:c>
      <x:c r="G3034" s="184" t="n">
        <x:v>1339247</x:v>
      </x:c>
      <x:c r="H3034" s="193" t="n">
        <x:v>0</x:v>
      </x:c>
      <x:c r="I3034" s="185" t="n">
        <x:v>0</x:v>
      </x:c>
      <x:c r="J3034" s="185" t="n">
        <x:v>1339247</x:v>
      </x:c>
      <x:c r="K3034" s="289" t="n">
        <x:v>133924.80519481</x:v>
      </x:c>
    </x:row>
    <x:row r="3035" s="117" customFormat="1" hidden="1">
      <x:c r="A3035" s="184" t="inlineStr">
        <x:is>
          <x:t xml:space="preserve">PPPTUBS33600</x:t>
        </x:is>
      </x:c>
      <x:c r="B3035" s="184" t="inlineStr">
        <x:is>
          <x:t xml:space="preserve">PP TUBO DE 600X13,8 SDR33</x:t>
        </x:is>
      </x:c>
      <x:c r="C3035" s="184" t="n">
        <x:v>0</x:v>
      </x:c>
      <x:c r="D3035" s="184" t="n">
        <x:v>0</x:v>
      </x:c>
      <x:c r="E3035" s="184" t="n">
        <x:v>0</x:v>
      </x:c>
      <x:c r="F3035" s="184" t="n">
        <x:v>0</x:v>
      </x:c>
      <x:c r="G3035" s="184" t="n">
        <x:v>0</x:v>
      </x:c>
      <x:c r="H3035" s="193" t="n">
        <x:v>0</x:v>
      </x:c>
      <x:c r="I3035" s="185" t="n">
        <x:v>0</x:v>
      </x:c>
      <x:c r="J3035" s="185" t="n">
        <x:v>0</x:v>
      </x:c>
      <x:c r="K3035" s="289" t="n">
        <x:v>88400</x:v>
      </x:c>
    </x:row>
    <x:row r="3036" s="117" customFormat="1" hidden="1">
      <x:c r="A3036" s="184" t="inlineStr">
        <x:is>
          <x:t xml:space="preserve">PPPTUBS3363X</x:t>
        </x:is>
      </x:c>
      <x:c r="B3036" s="184" t="inlineStr">
        <x:is>
          <x:t xml:space="preserve">PP TUBO 63X8.1 SDR33</x:t>
        </x:is>
      </x:c>
      <x:c r="C3036" s="184" t="n">
        <x:v>0</x:v>
      </x:c>
      <x:c r="D3036" s="184" t="n">
        <x:v>0</x:v>
      </x:c>
      <x:c r="E3036" s="184" t="n">
        <x:v>0</x:v>
      </x:c>
      <x:c r="F3036" s="184" t="n">
        <x:v>0</x:v>
      </x:c>
      <x:c r="G3036" s="184" t="n">
        <x:v>0</x:v>
      </x:c>
      <x:c r="H3036" s="193" t="n">
        <x:v>0</x:v>
      </x:c>
      <x:c r="I3036" s="185" t="n">
        <x:v>0</x:v>
      </x:c>
      <x:c r="J3036" s="185" t="n">
        <x:v>0</x:v>
      </x:c>
      <x:c r="K3036" s="289" t="n">
        <x:v>1200</x:v>
      </x:c>
    </x:row>
    <x:row r="3037" s="117" customFormat="1" hidden="1">
      <x:c r="A3037" s="184" t="inlineStr">
        <x:is>
          <x:t xml:space="preserve">PPPTUBVEN001</x:t>
        </x:is>
      </x:c>
      <x:c r="B3037" s="184" t="inlineStr">
        <x:is>
          <x:t xml:space="preserve">TUBO POLIPROPILENO DE 32X2.9  SDR  VENT</x:t>
        </x:is>
      </x:c>
      <x:c r="C3037" s="184" t="n">
        <x:v>0</x:v>
      </x:c>
      <x:c r="D3037" s="184" t="n">
        <x:v>0</x:v>
      </x:c>
      <x:c r="E3037" s="184" t="n">
        <x:v>0</x:v>
      </x:c>
      <x:c r="F3037" s="184" t="n">
        <x:v>0</x:v>
      </x:c>
      <x:c r="G3037" s="184" t="n">
        <x:v>0</x:v>
      </x:c>
      <x:c r="H3037" s="193" t="n">
        <x:v>0</x:v>
      </x:c>
      <x:c r="I3037" s="185" t="n">
        <x:v>0</x:v>
      </x:c>
      <x:c r="J3037" s="185" t="n">
        <x:v>0</x:v>
      </x:c>
      <x:c r="K3037" s="289" t="n">
        <x:v>1068</x:v>
      </x:c>
    </x:row>
    <x:row r="3038" s="117" customFormat="1" hidden="1">
      <x:c r="A3038" s="184" t="inlineStr">
        <x:is>
          <x:t xml:space="preserve">PPPTUBVEN002</x:t>
        </x:is>
      </x:c>
      <x:c r="B3038" s="184" t="inlineStr">
        <x:is>
          <x:t xml:space="preserve">TUBO POLIPROPILENO DE 63X3.6  SDR VEN</x:t>
        </x:is>
      </x:c>
      <x:c r="C3038" s="184" t="n">
        <x:v>0</x:v>
      </x:c>
      <x:c r="D3038" s="184" t="n">
        <x:v>0</x:v>
      </x:c>
      <x:c r="E3038" s="184" t="n">
        <x:v>0</x:v>
      </x:c>
      <x:c r="F3038" s="184" t="n">
        <x:v>0</x:v>
      </x:c>
      <x:c r="G3038" s="184" t="n">
        <x:v>0</x:v>
      </x:c>
      <x:c r="H3038" s="193" t="n">
        <x:v>0</x:v>
      </x:c>
      <x:c r="I3038" s="185" t="n">
        <x:v>0</x:v>
      </x:c>
      <x:c r="J3038" s="185" t="n">
        <x:v>0</x:v>
      </x:c>
      <x:c r="K3038" s="289" t="n">
        <x:v>3096</x:v>
      </x:c>
    </x:row>
    <x:row r="3039" s="117" customFormat="1" hidden="1">
      <x:c r="A3039" s="184" t="inlineStr">
        <x:is>
          <x:t xml:space="preserve">PPPTUBVEN003</x:t>
        </x:is>
      </x:c>
      <x:c r="B3039" s="184" t="inlineStr">
        <x:is>
          <x:t xml:space="preserve">TUBO POLIPROPILENO DE 160  SDR VENT</x:t>
        </x:is>
      </x:c>
      <x:c r="C3039" s="184" t="n">
        <x:v>0</x:v>
      </x:c>
      <x:c r="D3039" s="184" t="n">
        <x:v>0</x:v>
      </x:c>
      <x:c r="E3039" s="184" t="n">
        <x:v>0</x:v>
      </x:c>
      <x:c r="F3039" s="184" t="n">
        <x:v>0</x:v>
      </x:c>
      <x:c r="G3039" s="184" t="n">
        <x:v>0</x:v>
      </x:c>
      <x:c r="H3039" s="193" t="n">
        <x:v>0</x:v>
      </x:c>
      <x:c r="I3039" s="185" t="n">
        <x:v>0</x:v>
      </x:c>
      <x:c r="J3039" s="185" t="n">
        <x:v>0</x:v>
      </x:c>
      <x:c r="K3039" s="289" t="n">
        <x:v>38800</x:v>
      </x:c>
    </x:row>
    <x:row r="3040" s="117" customFormat="1" hidden="1">
      <x:c r="A3040" s="184" t="inlineStr">
        <x:is>
          <x:t xml:space="preserve">PPPTUBVEN004</x:t>
        </x:is>
      </x:c>
      <x:c r="B3040" s="184" t="inlineStr">
        <x:is>
          <x:t xml:space="preserve">TUBO POLIPROPILENO DE 355X3.7  SDR VENT</x:t>
        </x:is>
      </x:c>
      <x:c r="C3040" s="184" t="n">
        <x:v>0</x:v>
      </x:c>
      <x:c r="D3040" s="184" t="n">
        <x:v>0</x:v>
      </x:c>
      <x:c r="E3040" s="184" t="n">
        <x:v>0</x:v>
      </x:c>
      <x:c r="F3040" s="184" t="n">
        <x:v>0</x:v>
      </x:c>
      <x:c r="G3040" s="184" t="n">
        <x:v>0</x:v>
      </x:c>
      <x:c r="H3040" s="193" t="n">
        <x:v>0</x:v>
      </x:c>
      <x:c r="I3040" s="185" t="n">
        <x:v>0</x:v>
      </x:c>
      <x:c r="J3040" s="185" t="n">
        <x:v>0</x:v>
      </x:c>
      <x:c r="K3040" s="289" t="n">
        <x:v>14333</x:v>
      </x:c>
    </x:row>
    <x:row r="3041" s="117" customFormat="1" hidden="1">
      <x:c r="A3041" s="184" t="inlineStr">
        <x:is>
          <x:t xml:space="preserve">PPPTUBVEN005</x:t>
        </x:is>
      </x:c>
      <x:c r="B3041" s="184" t="inlineStr">
        <x:is>
          <x:t xml:space="preserve">TUBERÍA PPR 32 MM 6 MTS</x:t>
        </x:is>
      </x:c>
      <x:c r="C3041" s="184" t="n">
        <x:v>10</x:v>
      </x:c>
      <x:c r="D3041" s="184" t="n">
        <x:v>0</x:v>
      </x:c>
      <x:c r="E3041" s="184" t="n">
        <x:v>0</x:v>
      </x:c>
      <x:c r="F3041" s="184" t="n">
        <x:v>10</x:v>
      </x:c>
      <x:c r="G3041" s="184" t="n">
        <x:v>67140</x:v>
      </x:c>
      <x:c r="H3041" s="193" t="n">
        <x:v>0</x:v>
      </x:c>
      <x:c r="I3041" s="185" t="n">
        <x:v>0</x:v>
      </x:c>
      <x:c r="J3041" s="185" t="n">
        <x:v>67140</x:v>
      </x:c>
      <x:c r="K3041" s="289" t="n">
        <x:v>6714</x:v>
      </x:c>
    </x:row>
    <x:row r="3042" s="117" customFormat="1" hidden="1">
      <x:c r="A3042" s="184" t="inlineStr">
        <x:is>
          <x:t xml:space="preserve">PPPTUBVEN006</x:t>
        </x:is>
      </x:c>
      <x:c r="B3042" s="184" t="inlineStr">
        <x:is>
          <x:t xml:space="preserve">PPR UNION AMERICANA 32 MM</x:t>
        </x:is>
      </x:c>
      <x:c r="C3042" s="184" t="n">
        <x:v>8</x:v>
      </x:c>
      <x:c r="D3042" s="184" t="n">
        <x:v>0</x:v>
      </x:c>
      <x:c r="E3042" s="184" t="n">
        <x:v>0</x:v>
      </x:c>
      <x:c r="F3042" s="184" t="n">
        <x:v>8</x:v>
      </x:c>
      <x:c r="G3042" s="184" t="n">
        <x:v>4632</x:v>
      </x:c>
      <x:c r="H3042" s="193" t="n">
        <x:v>0</x:v>
      </x:c>
      <x:c r="I3042" s="185" t="n">
        <x:v>0</x:v>
      </x:c>
      <x:c r="J3042" s="185" t="n">
        <x:v>4632</x:v>
      </x:c>
      <x:c r="K3042" s="289" t="n">
        <x:v>579</x:v>
      </x:c>
    </x:row>
    <x:row r="3043" s="117" customFormat="1" hidden="1">
      <x:c r="A3043" s="184" t="inlineStr">
        <x:is>
          <x:t xml:space="preserve">PPPTUBVEN007</x:t>
        </x:is>
      </x:c>
      <x:c r="B3043" s="184" t="inlineStr">
        <x:is>
          <x:t xml:space="preserve">PPR CODO 32 MM x 90°</x:t>
        </x:is>
      </x:c>
      <x:c r="C3043" s="184" t="n">
        <x:v>20</x:v>
      </x:c>
      <x:c r="D3043" s="184" t="n">
        <x:v>0</x:v>
      </x:c>
      <x:c r="E3043" s="184" t="n">
        <x:v>0</x:v>
      </x:c>
      <x:c r="F3043" s="184" t="n">
        <x:v>20</x:v>
      </x:c>
      <x:c r="G3043" s="184" t="n">
        <x:v>4860</x:v>
      </x:c>
      <x:c r="H3043" s="193" t="n">
        <x:v>0</x:v>
      </x:c>
      <x:c r="I3043" s="185" t="n">
        <x:v>0</x:v>
      </x:c>
      <x:c r="J3043" s="185" t="n">
        <x:v>4860</x:v>
      </x:c>
      <x:c r="K3043" s="289" t="n">
        <x:v>243</x:v>
      </x:c>
    </x:row>
    <x:row r="3044" s="117" customFormat="1" hidden="1">
      <x:c r="A3044" s="184" t="inlineStr">
        <x:is>
          <x:t xml:space="preserve">PPPTUBVEN008</x:t>
        </x:is>
      </x:c>
      <x:c r="B3044" s="184" t="inlineStr">
        <x:is>
          <x:t xml:space="preserve">PPR COPLA 32MM</x:t>
        </x:is>
      </x:c>
      <x:c r="C3044" s="184" t="n">
        <x:v>15</x:v>
      </x:c>
      <x:c r="D3044" s="184" t="n">
        <x:v>0</x:v>
      </x:c>
      <x:c r="E3044" s="184" t="n">
        <x:v>0</x:v>
      </x:c>
      <x:c r="F3044" s="184" t="n">
        <x:v>15</x:v>
      </x:c>
      <x:c r="G3044" s="184" t="n">
        <x:v>2385</x:v>
      </x:c>
      <x:c r="H3044" s="193" t="n">
        <x:v>0</x:v>
      </x:c>
      <x:c r="I3044" s="185" t="n">
        <x:v>0</x:v>
      </x:c>
      <x:c r="J3044" s="185" t="n">
        <x:v>2385</x:v>
      </x:c>
      <x:c r="K3044" s="289" t="n">
        <x:v>159</x:v>
      </x:c>
    </x:row>
    <x:row r="3045" s="117" customFormat="1" hidden="1">
      <x:c r="A3045" s="184" t="inlineStr">
        <x:is>
          <x:t xml:space="preserve">PPPTUBVEN009</x:t>
        </x:is>
      </x:c>
      <x:c r="B3045" s="184" t="inlineStr">
        <x:is>
          <x:t xml:space="preserve">PPR TERMINAL HI 32 MM</x:t>
        </x:is>
      </x:c>
      <x:c r="C3045" s="184" t="n">
        <x:v>5</x:v>
      </x:c>
      <x:c r="D3045" s="184" t="n">
        <x:v>0</x:v>
      </x:c>
      <x:c r="E3045" s="184" t="n">
        <x:v>0</x:v>
      </x:c>
      <x:c r="F3045" s="184" t="n">
        <x:v>5</x:v>
      </x:c>
      <x:c r="G3045" s="184" t="n">
        <x:v>9200</x:v>
      </x:c>
      <x:c r="H3045" s="193" t="n">
        <x:v>0</x:v>
      </x:c>
      <x:c r="I3045" s="185" t="n">
        <x:v>0</x:v>
      </x:c>
      <x:c r="J3045" s="185" t="n">
        <x:v>9200</x:v>
      </x:c>
      <x:c r="K3045" s="289" t="n">
        <x:v>1840</x:v>
      </x:c>
    </x:row>
    <x:row r="3046" s="117" customFormat="1" hidden="1">
      <x:c r="A3046" s="184" t="inlineStr">
        <x:is>
          <x:t xml:space="preserve">PPPTUBVEN010</x:t>
        </x:is>
      </x:c>
      <x:c r="B3046" s="184" t="inlineStr">
        <x:is>
          <x:t xml:space="preserve">PPR TERMINAL HE 32 MM</x:t>
        </x:is>
      </x:c>
      <x:c r="C3046" s="184" t="n">
        <x:v>4</x:v>
      </x:c>
      <x:c r="D3046" s="184" t="n">
        <x:v>0</x:v>
      </x:c>
      <x:c r="E3046" s="184" t="n">
        <x:v>0</x:v>
      </x:c>
      <x:c r="F3046" s="184" t="n">
        <x:v>4</x:v>
      </x:c>
      <x:c r="G3046" s="184" t="n">
        <x:v>8032</x:v>
      </x:c>
      <x:c r="H3046" s="193" t="n">
        <x:v>0</x:v>
      </x:c>
      <x:c r="I3046" s="185" t="n">
        <x:v>0</x:v>
      </x:c>
      <x:c r="J3046" s="185" t="n">
        <x:v>8032</x:v>
      </x:c>
      <x:c r="K3046" s="289" t="n">
        <x:v>2008</x:v>
      </x:c>
    </x:row>
    <x:row r="3047" s="117" customFormat="1" hidden="1">
      <x:c r="A3047" s="184" t="inlineStr">
        <x:is>
          <x:t xml:space="preserve">PPPTUBVEN011</x:t>
        </x:is>
      </x:c>
      <x:c r="B3047" s="184" t="inlineStr">
        <x:is>
          <x:t xml:space="preserve">TB 16x6 mt POLIFUSION-BETA S3. (TIRAS DE 6MTS)</x:t>
        </x:is>
      </x:c>
      <x:c r="C3047" s="184" t="n">
        <x:v>0</x:v>
      </x:c>
      <x:c r="D3047" s="184" t="n">
        <x:v>0</x:v>
      </x:c>
      <x:c r="E3047" s="184" t="n">
        <x:v>0</x:v>
      </x:c>
      <x:c r="F3047" s="184" t="n">
        <x:v>0</x:v>
      </x:c>
      <x:c r="G3047" s="184" t="n">
        <x:v>0</x:v>
      </x:c>
      <x:c r="H3047" s="193" t="n">
        <x:v>0</x:v>
      </x:c>
      <x:c r="I3047" s="185" t="n">
        <x:v>0</x:v>
      </x:c>
      <x:c r="J3047" s="185" t="n">
        <x:v>0</x:v>
      </x:c>
      <x:c r="K3047" s="289" t="n">
        <x:v>6090</x:v>
      </x:c>
    </x:row>
    <x:row r="3048" s="117" customFormat="1" hidden="1">
      <x:c r="A3048" s="184" t="inlineStr">
        <x:is>
          <x:t xml:space="preserve">PPRBARDIN35M</x:t>
        </x:is>
      </x:c>
      <x:c r="B3048" s="184" t="inlineStr">
        <x:is>
          <x:t xml:space="preserve">Barra maciza de PP-H AlphaPlus. GRIS 35MM SEGÚN DIN-</x:t>
        </x:is>
      </x:c>
      <x:c r="C3048" s="184" t="n">
        <x:v>0</x:v>
      </x:c>
      <x:c r="D3048" s="184" t="n">
        <x:v>0</x:v>
      </x:c>
      <x:c r="E3048" s="184" t="n">
        <x:v>0</x:v>
      </x:c>
      <x:c r="F3048" s="184" t="n">
        <x:v>0</x:v>
      </x:c>
      <x:c r="G3048" s="184" t="n">
        <x:v>0</x:v>
      </x:c>
      <x:c r="H3048" s="193" t="n">
        <x:v>0</x:v>
      </x:c>
      <x:c r="I3048" s="185" t="n">
        <x:v>0</x:v>
      </x:c>
      <x:c r="J3048" s="185" t="n">
        <x:v>0</x:v>
      </x:c>
      <x:c r="K3048" s="289" t="n">
        <x:v>0</x:v>
      </x:c>
    </x:row>
    <x:row r="3049" s="117" customFormat="1" hidden="1">
      <x:c r="A3049" s="184" t="inlineStr">
        <x:is>
          <x:t xml:space="preserve">PPRBARDIN45M</x:t>
        </x:is>
      </x:c>
      <x:c r="B3049" s="184" t="inlineStr">
        <x:is>
          <x:t xml:space="preserve">Barra maciza de PP-H AlphaPlus. GRIS 45MM SEGÚN DIN-</x:t>
        </x:is>
      </x:c>
      <x:c r="C3049" s="184" t="n">
        <x:v>0</x:v>
      </x:c>
      <x:c r="D3049" s="184" t="n">
        <x:v>0</x:v>
      </x:c>
      <x:c r="E3049" s="184" t="n">
        <x:v>0</x:v>
      </x:c>
      <x:c r="F3049" s="184" t="n">
        <x:v>0</x:v>
      </x:c>
      <x:c r="G3049" s="184" t="n">
        <x:v>0</x:v>
      </x:c>
      <x:c r="H3049" s="193" t="n">
        <x:v>0</x:v>
      </x:c>
      <x:c r="I3049" s="185" t="n">
        <x:v>0</x:v>
      </x:c>
      <x:c r="J3049" s="185" t="n">
        <x:v>0</x:v>
      </x:c>
      <x:c r="K3049" s="289" t="n">
        <x:v>3173</x:v>
      </x:c>
    </x:row>
    <x:row r="3050" s="117" customFormat="1" hidden="1">
      <x:c r="A3050" s="184" t="inlineStr">
        <x:is>
          <x:t xml:space="preserve">PPRRDCS11110</x:t>
        </x:is>
      </x:c>
      <x:c r="B3050" s="184" t="inlineStr">
        <x:is>
          <x:t xml:space="preserve">RE-CO PP-H ALPHAPLUS CORTA INYECTADA D. 110MM SDR 11</x:t>
        </x:is>
      </x:c>
      <x:c r="C3050" s="184" t="n">
        <x:v>0</x:v>
      </x:c>
      <x:c r="D3050" s="184" t="n">
        <x:v>0</x:v>
      </x:c>
      <x:c r="E3050" s="184" t="n">
        <x:v>0</x:v>
      </x:c>
      <x:c r="F3050" s="184" t="n">
        <x:v>0</x:v>
      </x:c>
      <x:c r="G3050" s="184" t="n">
        <x:v>0</x:v>
      </x:c>
      <x:c r="H3050" s="193" t="n">
        <x:v>0</x:v>
      </x:c>
      <x:c r="I3050" s="185" t="n">
        <x:v>0</x:v>
      </x:c>
      <x:c r="J3050" s="185" t="n">
        <x:v>0</x:v>
      </x:c>
      <x:c r="K3050" s="289" t="n">
        <x:v>0</x:v>
      </x:c>
    </x:row>
    <x:row r="3051" s="117" customFormat="1" hidden="1">
      <x:c r="A3051" s="184" t="inlineStr">
        <x:is>
          <x:t xml:space="preserve">PPRRDCS11250</x:t>
        </x:is>
      </x:c>
      <x:c r="B3051" s="184" t="inlineStr">
        <x:is>
          <x:t xml:space="preserve">RE-CO PP-H ALPHAPLUS CORTA INYECTADA D. 250MM SDR 11</x:t>
        </x:is>
      </x:c>
      <x:c r="C3051" s="184" t="n">
        <x:v>0</x:v>
      </x:c>
      <x:c r="D3051" s="184" t="n">
        <x:v>0</x:v>
      </x:c>
      <x:c r="E3051" s="184" t="n">
        <x:v>0</x:v>
      </x:c>
      <x:c r="F3051" s="184" t="n">
        <x:v>0</x:v>
      </x:c>
      <x:c r="G3051" s="184" t="n">
        <x:v>0</x:v>
      </x:c>
      <x:c r="H3051" s="193" t="n">
        <x:v>0</x:v>
      </x:c>
      <x:c r="I3051" s="185" t="n">
        <x:v>0</x:v>
      </x:c>
      <x:c r="J3051" s="185" t="n">
        <x:v>0</x:v>
      </x:c>
      <x:c r="K3051" s="289" t="n">
        <x:v>0</x:v>
      </x:c>
    </x:row>
    <x:row r="3052" s="117" customFormat="1" hidden="1">
      <x:c r="A3052" s="184" t="inlineStr">
        <x:is>
          <x:t xml:space="preserve">PPSENDS11063</x:t>
        </x:is>
      </x:c>
      <x:c r="B3052" s="184" t="inlineStr">
        <x:is>
          <x:t xml:space="preserve">PP STUB END 63 x 5,8 SDR11</x:t>
        </x:is>
      </x:c>
      <x:c r="C3052" s="184" t="n">
        <x:v>4</x:v>
      </x:c>
      <x:c r="D3052" s="184" t="n">
        <x:v>34</x:v>
      </x:c>
      <x:c r="E3052" s="184" t="n">
        <x:v>34</x:v>
      </x:c>
      <x:c r="F3052" s="184" t="n">
        <x:v>4</x:v>
      </x:c>
      <x:c r="G3052" s="184" t="n">
        <x:v>11600</x:v>
      </x:c>
      <x:c r="H3052" s="193" t="n">
        <x:v>150600</x:v>
      </x:c>
      <x:c r="I3052" s="185" t="n">
        <x:v>145126</x:v>
      </x:c>
      <x:c r="J3052" s="185" t="n">
        <x:v>17074</x:v>
      </x:c>
      <x:c r="K3052" s="289" t="n">
        <x:v>4268.42105263</x:v>
      </x:c>
    </x:row>
    <x:row r="3053" s="117" customFormat="1" hidden="1">
      <x:c r="A3053" s="184" t="inlineStr">
        <x:is>
          <x:t xml:space="preserve">PPSENDS11110</x:t>
        </x:is>
      </x:c>
      <x:c r="B3053" s="184" t="inlineStr">
        <x:is>
          <x:t xml:space="preserve">PP STUB-END 110X10 SDR11</x:t>
        </x:is>
      </x:c>
      <x:c r="C3053" s="184" t="n">
        <x:v>4</x:v>
      </x:c>
      <x:c r="D3053" s="184" t="n">
        <x:v>0</x:v>
      </x:c>
      <x:c r="E3053" s="184" t="n">
        <x:v>0</x:v>
      </x:c>
      <x:c r="F3053" s="184" t="n">
        <x:v>4</x:v>
      </x:c>
      <x:c r="G3053" s="184" t="n">
        <x:v>25109</x:v>
      </x:c>
      <x:c r="H3053" s="193" t="n">
        <x:v>0</x:v>
      </x:c>
      <x:c r="I3053" s="185" t="n">
        <x:v>0</x:v>
      </x:c>
      <x:c r="J3053" s="185" t="n">
        <x:v>25109</x:v>
      </x:c>
      <x:c r="K3053" s="289" t="n">
        <x:v>6277.04411765</x:v>
      </x:c>
    </x:row>
    <x:row r="3054" s="117" customFormat="1" hidden="1">
      <x:c r="A3054" s="184" t="inlineStr">
        <x:is>
          <x:t xml:space="preserve">PPSENDS11160</x:t>
        </x:is>
      </x:c>
      <x:c r="B3054" s="184" t="inlineStr">
        <x:is>
          <x:t xml:space="preserve">PP STUB-END 160X14.6 SDR11</x:t>
        </x:is>
      </x:c>
      <x:c r="C3054" s="184" t="n">
        <x:v>91</x:v>
      </x:c>
      <x:c r="D3054" s="184" t="n">
        <x:v>0</x:v>
      </x:c>
      <x:c r="E3054" s="184" t="n">
        <x:v>0</x:v>
      </x:c>
      <x:c r="F3054" s="184" t="n">
        <x:v>91</x:v>
      </x:c>
      <x:c r="G3054" s="184" t="n">
        <x:v>591500</x:v>
      </x:c>
      <x:c r="H3054" s="193" t="n">
        <x:v>0</x:v>
      </x:c>
      <x:c r="I3054" s="185" t="n">
        <x:v>0</x:v>
      </x:c>
      <x:c r="J3054" s="185" t="n">
        <x:v>591500</x:v>
      </x:c>
      <x:c r="K3054" s="289" t="n">
        <x:v>6500</x:v>
      </x:c>
    </x:row>
    <x:row r="3055" s="117" customFormat="1" hidden="1">
      <x:c r="A3055" s="184" t="inlineStr">
        <x:is>
          <x:t xml:space="preserve">PPSENDS1120X</x:t>
        </x:is>
      </x:c>
      <x:c r="B3055" s="184" t="inlineStr">
        <x:is>
          <x:t xml:space="preserve">PP STUB-END 20X1.9 SDR11</x:t>
        </x:is>
      </x:c>
      <x:c r="C3055" s="184" t="n">
        <x:v>4</x:v>
      </x:c>
      <x:c r="D3055" s="184" t="n">
        <x:v>0</x:v>
      </x:c>
      <x:c r="E3055" s="184" t="n">
        <x:v>0</x:v>
      </x:c>
      <x:c r="F3055" s="184" t="n">
        <x:v>4</x:v>
      </x:c>
      <x:c r="G3055" s="184" t="n">
        <x:v>4948</x:v>
      </x:c>
      <x:c r="H3055" s="193" t="n">
        <x:v>0</x:v>
      </x:c>
      <x:c r="I3055" s="185" t="n">
        <x:v>0</x:v>
      </x:c>
      <x:c r="J3055" s="185" t="n">
        <x:v>4948</x:v>
      </x:c>
      <x:c r="K3055" s="289" t="n">
        <x:v>1237</x:v>
      </x:c>
    </x:row>
    <x:row r="3056" s="117" customFormat="1" hidden="1">
      <x:c r="A3056" s="184" t="inlineStr">
        <x:is>
          <x:t xml:space="preserve">PPSENDS11250</x:t>
        </x:is>
      </x:c>
      <x:c r="B3056" s="184" t="inlineStr">
        <x:is>
          <x:t xml:space="preserve">PP STUB-END 250X22.7 SDR11</x:t>
        </x:is>
      </x:c>
      <x:c r="C3056" s="184" t="n">
        <x:v>2</x:v>
      </x:c>
      <x:c r="D3056" s="184" t="n">
        <x:v>0</x:v>
      </x:c>
      <x:c r="E3056" s="184" t="n">
        <x:v>0</x:v>
      </x:c>
      <x:c r="F3056" s="184" t="n">
        <x:v>2</x:v>
      </x:c>
      <x:c r="G3056" s="184" t="n">
        <x:v>-338629</x:v>
      </x:c>
      <x:c r="H3056" s="193" t="n">
        <x:v>0</x:v>
      </x:c>
      <x:c r="I3056" s="185" t="n">
        <x:v>0</x:v>
      </x:c>
      <x:c r="J3056" s="185" t="n">
        <x:v>-338629</x:v>
      </x:c>
      <x:c r="K3056" s="289" t="n">
        <x:v>33312.12521739</x:v>
      </x:c>
    </x:row>
    <x:row r="3057" s="117" customFormat="1" hidden="1">
      <x:c r="A3057" s="184" t="inlineStr">
        <x:is>
          <x:t xml:space="preserve">PPSENDS11280</x:t>
        </x:is>
      </x:c>
      <x:c r="B3057" s="184" t="inlineStr">
        <x:is>
          <x:t xml:space="preserve">PP STUB END 280 X 22.7 SDR11</x:t>
        </x:is>
      </x:c>
      <x:c r="C3057" s="184" t="n">
        <x:v>0</x:v>
      </x:c>
      <x:c r="D3057" s="184" t="n">
        <x:v>0</x:v>
      </x:c>
      <x:c r="E3057" s="184" t="n">
        <x:v>0</x:v>
      </x:c>
      <x:c r="F3057" s="184" t="n">
        <x:v>0</x:v>
      </x:c>
      <x:c r="G3057" s="184" t="n">
        <x:v>0</x:v>
      </x:c>
      <x:c r="H3057" s="193" t="n">
        <x:v>0</x:v>
      </x:c>
      <x:c r="I3057" s="185" t="n">
        <x:v>0</x:v>
      </x:c>
      <x:c r="J3057" s="185" t="n">
        <x:v>0</x:v>
      </x:c>
      <x:c r="K3057" s="289" t="n">
        <x:v>25400</x:v>
      </x:c>
    </x:row>
    <x:row r="3058" s="117" customFormat="1" hidden="1">
      <x:c r="A3058" s="184" t="inlineStr">
        <x:is>
          <x:t xml:space="preserve">PPSENDS1132X</x:t>
        </x:is>
      </x:c>
      <x:c r="B3058" s="184" t="inlineStr">
        <x:is>
          <x:t xml:space="preserve">PP STUB-END 32X2.9 SDR11</x:t>
        </x:is>
      </x:c>
      <x:c r="C3058" s="184" t="n">
        <x:v>45</x:v>
      </x:c>
      <x:c r="D3058" s="184" t="n">
        <x:v>0</x:v>
      </x:c>
      <x:c r="E3058" s="184" t="n">
        <x:v>0</x:v>
      </x:c>
      <x:c r="F3058" s="184" t="n">
        <x:v>45</x:v>
      </x:c>
      <x:c r="G3058" s="184" t="n">
        <x:v>63572</x:v>
      </x:c>
      <x:c r="H3058" s="193" t="n">
        <x:v>0</x:v>
      </x:c>
      <x:c r="I3058" s="185" t="n">
        <x:v>0</x:v>
      </x:c>
      <x:c r="J3058" s="185" t="n">
        <x:v>63572</x:v>
      </x:c>
      <x:c r="K3058" s="289" t="n">
        <x:v>1412.73822477</x:v>
      </x:c>
    </x:row>
    <x:row r="3059" s="117" customFormat="1" hidden="1">
      <x:c r="A3059" s="184" t="inlineStr">
        <x:is>
          <x:t xml:space="preserve">PPSENDS1150X</x:t>
        </x:is>
      </x:c>
      <x:c r="B3059" s="184" t="inlineStr">
        <x:is>
          <x:t xml:space="preserve">PP STUB-END 50X4.6 SDR11</x:t>
        </x:is>
      </x:c>
      <x:c r="C3059" s="184" t="n">
        <x:v>56</x:v>
      </x:c>
      <x:c r="D3059" s="184" t="n">
        <x:v>0</x:v>
      </x:c>
      <x:c r="E3059" s="184" t="n">
        <x:v>0</x:v>
      </x:c>
      <x:c r="F3059" s="184" t="n">
        <x:v>56</x:v>
      </x:c>
      <x:c r="G3059" s="184" t="n">
        <x:v>183972</x:v>
      </x:c>
      <x:c r="H3059" s="193" t="n">
        <x:v>0</x:v>
      </x:c>
      <x:c r="I3059" s="185" t="n">
        <x:v>0</x:v>
      </x:c>
      <x:c r="J3059" s="185" t="n">
        <x:v>183972</x:v>
      </x:c>
      <x:c r="K3059" s="289" t="n">
        <x:v>3285.29392857</x:v>
      </x:c>
    </x:row>
    <x:row r="3060" s="117" customFormat="1" hidden="1">
      <x:c r="A3060" s="184" t="inlineStr">
        <x:is>
          <x:t xml:space="preserve">PPSENDS1160X</x:t>
        </x:is>
      </x:c>
      <x:c r="B3060" s="184" t="inlineStr">
        <x:is>
          <x:t xml:space="preserve">PP STUB-END 60X5 SDR11</x:t>
        </x:is>
      </x:c>
      <x:c r="C3060" s="184" t="n">
        <x:v>0</x:v>
      </x:c>
      <x:c r="D3060" s="184" t="n">
        <x:v>0</x:v>
      </x:c>
      <x:c r="E3060" s="184" t="n">
        <x:v>0</x:v>
      </x:c>
      <x:c r="F3060" s="184" t="n">
        <x:v>0</x:v>
      </x:c>
      <x:c r="G3060" s="184" t="n">
        <x:v>0</x:v>
      </x:c>
      <x:c r="H3060" s="193" t="n">
        <x:v>0</x:v>
      </x:c>
      <x:c r="I3060" s="185" t="n">
        <x:v>0</x:v>
      </x:c>
      <x:c r="J3060" s="185" t="n">
        <x:v>0</x:v>
      </x:c>
      <x:c r="K3060" s="289" t="n">
        <x:v>0</x:v>
      </x:c>
    </x:row>
    <x:row r="3061" s="117" customFormat="1" hidden="1">
      <x:c r="A3061" s="184" t="inlineStr">
        <x:is>
          <x:t xml:space="preserve">PPSENDS1163X</x:t>
        </x:is>
      </x:c>
      <x:c r="B3061" s="184" t="inlineStr">
        <x:is>
          <x:t xml:space="preserve">PP STUB-END 63X5.8 SDR11</x:t>
        </x:is>
      </x:c>
      <x:c r="C3061" s="184" t="n">
        <x:v>0</x:v>
      </x:c>
      <x:c r="D3061" s="184" t="n">
        <x:v>0</x:v>
      </x:c>
      <x:c r="E3061" s="184" t="n">
        <x:v>0</x:v>
      </x:c>
      <x:c r="F3061" s="184" t="n">
        <x:v>0</x:v>
      </x:c>
      <x:c r="G3061" s="184" t="n">
        <x:v>1</x:v>
      </x:c>
      <x:c r="H3061" s="193" t="n">
        <x:v>0</x:v>
      </x:c>
      <x:c r="I3061" s="185" t="n">
        <x:v>0</x:v>
      </x:c>
      <x:c r="J3061" s="185" t="n">
        <x:v>1</x:v>
      </x:c>
      <x:c r="K3061" s="289" t="n">
        <x:v>5208.77192982</x:v>
      </x:c>
    </x:row>
    <x:row r="3062" s="117" customFormat="1" hidden="1">
      <x:c r="A3062" s="184" t="inlineStr">
        <x:is>
          <x:t xml:space="preserve">PPSENDS1175X</x:t>
        </x:is>
      </x:c>
      <x:c r="B3062" s="184" t="inlineStr">
        <x:is>
          <x:t xml:space="preserve">PP STUB-END 75X6.8 SDR11</x:t>
        </x:is>
      </x:c>
      <x:c r="C3062" s="184" t="n">
        <x:v>0</x:v>
      </x:c>
      <x:c r="D3062" s="184" t="n">
        <x:v>0</x:v>
      </x:c>
      <x:c r="E3062" s="184" t="n">
        <x:v>0</x:v>
      </x:c>
      <x:c r="F3062" s="184" t="n">
        <x:v>0</x:v>
      </x:c>
      <x:c r="G3062" s="184" t="n">
        <x:v>0</x:v>
      </x:c>
      <x:c r="H3062" s="193" t="n">
        <x:v>0</x:v>
      </x:c>
      <x:c r="I3062" s="185" t="n">
        <x:v>0</x:v>
      </x:c>
      <x:c r="J3062" s="185" t="n">
        <x:v>0</x:v>
      </x:c>
      <x:c r="K3062" s="289" t="n">
        <x:v>4000</x:v>
      </x:c>
    </x:row>
    <x:row r="3063" s="117" customFormat="1" hidden="1">
      <x:c r="A3063" s="184" t="inlineStr">
        <x:is>
          <x:t xml:space="preserve">PPSENDS1190X</x:t>
        </x:is>
      </x:c>
      <x:c r="B3063" s="184" t="inlineStr">
        <x:is>
          <x:t xml:space="preserve">PP STUB-END 90X15 SDR11</x:t>
        </x:is>
      </x:c>
      <x:c r="C3063" s="184" t="n">
        <x:v>9</x:v>
      </x:c>
      <x:c r="D3063" s="184" t="n">
        <x:v>0</x:v>
      </x:c>
      <x:c r="E3063" s="184" t="n">
        <x:v>0</x:v>
      </x:c>
      <x:c r="F3063" s="184" t="n">
        <x:v>9</x:v>
      </x:c>
      <x:c r="G3063" s="184" t="n">
        <x:v>34086</x:v>
      </x:c>
      <x:c r="H3063" s="193" t="n">
        <x:v>0</x:v>
      </x:c>
      <x:c r="I3063" s="185" t="n">
        <x:v>0</x:v>
      </x:c>
      <x:c r="J3063" s="185" t="n">
        <x:v>34086</x:v>
      </x:c>
      <x:c r="K3063" s="289" t="n">
        <x:v>5286</x:v>
      </x:c>
    </x:row>
    <x:row r="3064" s="117" customFormat="1" hidden="1">
      <x:c r="A3064" s="184" t="inlineStr">
        <x:is>
          <x:t xml:space="preserve">PPSENDS17063</x:t>
        </x:is>
      </x:c>
      <x:c r="B3064" s="184" t="inlineStr">
        <x:is>
          <x:t xml:space="preserve">PP STUB END 63x 3,8 SDR17</x:t>
        </x:is>
      </x:c>
      <x:c r="C3064" s="184" t="n">
        <x:v>0</x:v>
      </x:c>
      <x:c r="D3064" s="184" t="n">
        <x:v>0</x:v>
      </x:c>
      <x:c r="E3064" s="184" t="n">
        <x:v>0</x:v>
      </x:c>
      <x:c r="F3064" s="184" t="n">
        <x:v>0</x:v>
      </x:c>
      <x:c r="G3064" s="184" t="n">
        <x:v>0</x:v>
      </x:c>
      <x:c r="H3064" s="193" t="n">
        <x:v>0</x:v>
      </x:c>
      <x:c r="I3064" s="185" t="n">
        <x:v>0</x:v>
      </x:c>
      <x:c r="J3064" s="185" t="n">
        <x:v>0</x:v>
      </x:c>
      <x:c r="K3064" s="289" t="n">
        <x:v>1800</x:v>
      </x:c>
    </x:row>
    <x:row r="3065" s="117" customFormat="1" hidden="1">
      <x:c r="A3065" s="184" t="inlineStr">
        <x:is>
          <x:t xml:space="preserve">PPSENDS17110</x:t>
        </x:is>
      </x:c>
      <x:c r="B3065" s="184" t="inlineStr">
        <x:is>
          <x:t xml:space="preserve">PP STUB-END 110X6.6 SDR17</x:t>
        </x:is>
      </x:c>
      <x:c r="C3065" s="184" t="n">
        <x:v>14</x:v>
      </x:c>
      <x:c r="D3065" s="184" t="n">
        <x:v>0</x:v>
      </x:c>
      <x:c r="E3065" s="184" t="n">
        <x:v>0</x:v>
      </x:c>
      <x:c r="F3065" s="184" t="n">
        <x:v>14</x:v>
      </x:c>
      <x:c r="G3065" s="184" t="n">
        <x:v>141818</x:v>
      </x:c>
      <x:c r="H3065" s="193" t="n">
        <x:v>0</x:v>
      </x:c>
      <x:c r="I3065" s="185" t="n">
        <x:v>0</x:v>
      </x:c>
      <x:c r="J3065" s="185" t="n">
        <x:v>141818</x:v>
      </x:c>
      <x:c r="K3065" s="289" t="n">
        <x:v>10130.0552381</x:v>
      </x:c>
    </x:row>
    <x:row r="3066" s="117" customFormat="1" hidden="1">
      <x:c r="A3066" s="184" t="inlineStr">
        <x:is>
          <x:t xml:space="preserve">PPSENDS17125</x:t>
        </x:is>
      </x:c>
      <x:c r="B3066" s="184" t="inlineStr">
        <x:is>
          <x:t xml:space="preserve">PP STUB-END 125X7.4 SDR17</x:t>
        </x:is>
      </x:c>
      <x:c r="C3066" s="184" t="n">
        <x:v>88</x:v>
      </x:c>
      <x:c r="D3066" s="184" t="n">
        <x:v>0</x:v>
      </x:c>
      <x:c r="E3066" s="184" t="n">
        <x:v>0</x:v>
      </x:c>
      <x:c r="F3066" s="184" t="n">
        <x:v>88</x:v>
      </x:c>
      <x:c r="G3066" s="184" t="n">
        <x:v>1230075</x:v>
      </x:c>
      <x:c r="H3066" s="193" t="n">
        <x:v>0</x:v>
      </x:c>
      <x:c r="I3066" s="185" t="n">
        <x:v>0</x:v>
      </x:c>
      <x:c r="J3066" s="185" t="n">
        <x:v>1230075</x:v>
      </x:c>
      <x:c r="K3066" s="289" t="n">
        <x:v>13978.12659091</x:v>
      </x:c>
    </x:row>
    <x:row r="3067" s="117" customFormat="1" hidden="1">
      <x:c r="A3067" s="184" t="inlineStr">
        <x:is>
          <x:t xml:space="preserve">PPSENDS17140</x:t>
        </x:is>
      </x:c>
      <x:c r="B3067" s="184" t="inlineStr">
        <x:is>
          <x:t xml:space="preserve">PP STUB-END 140X7.0 SDR17</x:t>
        </x:is>
      </x:c>
      <x:c r="C3067" s="184" t="n">
        <x:v>2</x:v>
      </x:c>
      <x:c r="D3067" s="184" t="n">
        <x:v>0</x:v>
      </x:c>
      <x:c r="E3067" s="184" t="n">
        <x:v>0</x:v>
      </x:c>
      <x:c r="F3067" s="184" t="n">
        <x:v>2</x:v>
      </x:c>
      <x:c r="G3067" s="184" t="n">
        <x:v>10000</x:v>
      </x:c>
      <x:c r="H3067" s="193" t="n">
        <x:v>0</x:v>
      </x:c>
      <x:c r="I3067" s="185" t="n">
        <x:v>0</x:v>
      </x:c>
      <x:c r="J3067" s="185" t="n">
        <x:v>10000</x:v>
      </x:c>
      <x:c r="K3067" s="289" t="n">
        <x:v>5000</x:v>
      </x:c>
    </x:row>
    <x:row r="3068" s="117" customFormat="1" hidden="1">
      <x:c r="A3068" s="184" t="inlineStr">
        <x:is>
          <x:t xml:space="preserve">PPSENDS17200</x:t>
        </x:is>
      </x:c>
      <x:c r="B3068" s="184" t="inlineStr">
        <x:is>
          <x:t xml:space="preserve">PP STUB END 200 x 11,9 SDR17</x:t>
        </x:is>
      </x:c>
      <x:c r="C3068" s="184" t="n">
        <x:v>126</x:v>
      </x:c>
      <x:c r="D3068" s="184" t="n">
        <x:v>0</x:v>
      </x:c>
      <x:c r="E3068" s="184" t="n">
        <x:v>0</x:v>
      </x:c>
      <x:c r="F3068" s="184" t="n">
        <x:v>126</x:v>
      </x:c>
      <x:c r="G3068" s="184" t="n">
        <x:v>2340450</x:v>
      </x:c>
      <x:c r="H3068" s="193" t="n">
        <x:v>0</x:v>
      </x:c>
      <x:c r="I3068" s="185" t="n">
        <x:v>0</x:v>
      </x:c>
      <x:c r="J3068" s="185" t="n">
        <x:v>2340450</x:v>
      </x:c>
      <x:c r="K3068" s="289" t="n">
        <x:v>18575</x:v>
      </x:c>
    </x:row>
    <x:row r="3069" s="117" customFormat="1" hidden="1">
      <x:c r="A3069" s="184" t="inlineStr">
        <x:is>
          <x:t xml:space="preserve">PPSENDS1720X</x:t>
        </x:is>
      </x:c>
      <x:c r="B3069" s="184" t="inlineStr">
        <x:is>
          <x:t xml:space="preserve">PP STUB END 20X2.3 SDR17</x:t>
        </x:is>
      </x:c>
      <x:c r="C3069" s="184" t="n">
        <x:v>0</x:v>
      </x:c>
      <x:c r="D3069" s="184" t="n">
        <x:v>0</x:v>
      </x:c>
      <x:c r="E3069" s="184" t="n">
        <x:v>0</x:v>
      </x:c>
      <x:c r="F3069" s="184" t="n">
        <x:v>0</x:v>
      </x:c>
      <x:c r="G3069" s="184" t="n">
        <x:v>0</x:v>
      </x:c>
      <x:c r="H3069" s="193" t="n">
        <x:v>0</x:v>
      </x:c>
      <x:c r="I3069" s="185" t="n">
        <x:v>0</x:v>
      </x:c>
      <x:c r="J3069" s="185" t="n">
        <x:v>0</x:v>
      </x:c>
      <x:c r="K3069" s="289" t="n">
        <x:v>1200</x:v>
      </x:c>
    </x:row>
    <x:row r="3070" s="117" customFormat="1" hidden="1">
      <x:c r="A3070" s="184" t="inlineStr">
        <x:is>
          <x:t xml:space="preserve">PPSENDS1725X</x:t>
        </x:is>
      </x:c>
      <x:c r="B3070" s="184" t="inlineStr">
        <x:is>
          <x:t xml:space="preserve">PP STUB-END 25X2.3 SDR17</x:t>
        </x:is>
      </x:c>
      <x:c r="C3070" s="184" t="n">
        <x:v>10</x:v>
      </x:c>
      <x:c r="D3070" s="184" t="n">
        <x:v>0</x:v>
      </x:c>
      <x:c r="E3070" s="184" t="n">
        <x:v>0</x:v>
      </x:c>
      <x:c r="F3070" s="184" t="n">
        <x:v>10</x:v>
      </x:c>
      <x:c r="G3070" s="184" t="n">
        <x:v>8350</x:v>
      </x:c>
      <x:c r="H3070" s="193" t="n">
        <x:v>0</x:v>
      </x:c>
      <x:c r="I3070" s="185" t="n">
        <x:v>0</x:v>
      </x:c>
      <x:c r="J3070" s="185" t="n">
        <x:v>8350</x:v>
      </x:c>
      <x:c r="K3070" s="289" t="n">
        <x:v>835</x:v>
      </x:c>
    </x:row>
    <x:row r="3071" s="117" customFormat="1" hidden="1">
      <x:c r="A3071" s="184" t="inlineStr">
        <x:is>
          <x:t xml:space="preserve">PPSENDS17400</x:t>
        </x:is>
      </x:c>
      <x:c r="B3071" s="184" t="inlineStr">
        <x:is>
          <x:t xml:space="preserve">STUB END DIN PPR GRIS 400X26.7 SDR17 LADOS CORTOS</x:t>
        </x:is>
      </x:c>
      <x:c r="C3071" s="184" t="n">
        <x:v>0</x:v>
      </x:c>
      <x:c r="D3071" s="184" t="n">
        <x:v>0</x:v>
      </x:c>
      <x:c r="E3071" s="184" t="n">
        <x:v>0</x:v>
      </x:c>
      <x:c r="F3071" s="184" t="n">
        <x:v>0</x:v>
      </x:c>
      <x:c r="G3071" s="184" t="n">
        <x:v>0</x:v>
      </x:c>
      <x:c r="H3071" s="193" t="n">
        <x:v>0</x:v>
      </x:c>
      <x:c r="I3071" s="185" t="n">
        <x:v>0</x:v>
      </x:c>
      <x:c r="J3071" s="185" t="n">
        <x:v>0</x:v>
      </x:c>
      <x:c r="K3071" s="289" t="n">
        <x:v>174496</x:v>
      </x:c>
    </x:row>
    <x:row r="3072" s="117" customFormat="1" hidden="1">
      <x:c r="A3072" s="184" t="inlineStr">
        <x:is>
          <x:t xml:space="preserve">PPSENDS1740X</x:t>
        </x:is>
      </x:c>
      <x:c r="B3072" s="184" t="inlineStr">
        <x:is>
          <x:t xml:space="preserve">PP STUB-END 40X3.7 SDR17</x:t>
        </x:is>
      </x:c>
      <x:c r="C3072" s="184" t="n">
        <x:v>0</x:v>
      </x:c>
      <x:c r="D3072" s="184" t="n">
        <x:v>0</x:v>
      </x:c>
      <x:c r="E3072" s="184" t="n">
        <x:v>0</x:v>
      </x:c>
      <x:c r="F3072" s="184" t="n">
        <x:v>0</x:v>
      </x:c>
      <x:c r="G3072" s="184" t="n">
        <x:v>0</x:v>
      </x:c>
      <x:c r="H3072" s="193" t="n">
        <x:v>0</x:v>
      </x:c>
      <x:c r="I3072" s="185" t="n">
        <x:v>0</x:v>
      </x:c>
      <x:c r="J3072" s="185" t="n">
        <x:v>0</x:v>
      </x:c>
      <x:c r="K3072" s="289" t="n">
        <x:v>3000</x:v>
      </x:c>
    </x:row>
    <x:row r="3073" s="117" customFormat="1" hidden="1">
      <x:c r="A3073" s="184" t="inlineStr">
        <x:is>
          <x:t xml:space="preserve">PPSENDS17450</x:t>
        </x:is>
      </x:c>
      <x:c r="B3073" s="184" t="inlineStr">
        <x:is>
          <x:t xml:space="preserve">STUB END DIN PPR GRIS 450 X 26.7 SDR17 LADOS CORTOS</x:t>
        </x:is>
      </x:c>
      <x:c r="C3073" s="184" t="n">
        <x:v>0</x:v>
      </x:c>
      <x:c r="D3073" s="184" t="n">
        <x:v>0</x:v>
      </x:c>
      <x:c r="E3073" s="184" t="n">
        <x:v>0</x:v>
      </x:c>
      <x:c r="F3073" s="184" t="n">
        <x:v>0</x:v>
      </x:c>
      <x:c r="G3073" s="184" t="n">
        <x:v>0</x:v>
      </x:c>
      <x:c r="H3073" s="193" t="n">
        <x:v>0</x:v>
      </x:c>
      <x:c r="I3073" s="185" t="n">
        <x:v>0</x:v>
      </x:c>
      <x:c r="J3073" s="185" t="n">
        <x:v>0</x:v>
      </x:c>
      <x:c r="K3073" s="289" t="n">
        <x:v>149651</x:v>
      </x:c>
    </x:row>
    <x:row r="3074" s="117" customFormat="1" hidden="1">
      <x:c r="A3074" s="184" t="inlineStr">
        <x:is>
          <x:t xml:space="preserve">PPSENDS17500</x:t>
        </x:is>
      </x:c>
      <x:c r="B3074" s="184" t="inlineStr">
        <x:is>
          <x:t xml:space="preserve">STUB END DIN PPR GRIS 500X29.7 SDR17 LADOS CORTOS</x:t>
        </x:is>
      </x:c>
      <x:c r="C3074" s="184" t="n">
        <x:v>3</x:v>
      </x:c>
      <x:c r="D3074" s="184" t="n">
        <x:v>0</x:v>
      </x:c>
      <x:c r="E3074" s="184" t="n">
        <x:v>0</x:v>
      </x:c>
      <x:c r="F3074" s="184" t="n">
        <x:v>3</x:v>
      </x:c>
      <x:c r="G3074" s="184" t="n">
        <x:v>760503</x:v>
      </x:c>
      <x:c r="H3074" s="193" t="n">
        <x:v>0</x:v>
      </x:c>
      <x:c r="I3074" s="185" t="n">
        <x:v>0</x:v>
      </x:c>
      <x:c r="J3074" s="185" t="n">
        <x:v>760503</x:v>
      </x:c>
      <x:c r="K3074" s="289" t="n">
        <x:v>253501</x:v>
      </x:c>
    </x:row>
    <x:row r="3075" s="117" customFormat="1" hidden="1">
      <x:c r="A3075" s="184" t="inlineStr">
        <x:is>
          <x:t xml:space="preserve">PPSENDS1750X</x:t>
        </x:is>
      </x:c>
      <x:c r="B3075" s="184" t="inlineStr">
        <x:is>
          <x:t xml:space="preserve">PP STUB-END 50X3.8 SDR17</x:t>
        </x:is>
      </x:c>
      <x:c r="C3075" s="184" t="n">
        <x:v>24</x:v>
      </x:c>
      <x:c r="D3075" s="184" t="n">
        <x:v>0</x:v>
      </x:c>
      <x:c r="E3075" s="184" t="n">
        <x:v>0</x:v>
      </x:c>
      <x:c r="F3075" s="184" t="n">
        <x:v>24</x:v>
      </x:c>
      <x:c r="G3075" s="184" t="n">
        <x:v>28800</x:v>
      </x:c>
      <x:c r="H3075" s="193" t="n">
        <x:v>0</x:v>
      </x:c>
      <x:c r="I3075" s="185" t="n">
        <x:v>0</x:v>
      </x:c>
      <x:c r="J3075" s="185" t="n">
        <x:v>28800</x:v>
      </x:c>
      <x:c r="K3075" s="289" t="n">
        <x:v>1200</x:v>
      </x:c>
    </x:row>
    <x:row r="3076" s="117" customFormat="1" hidden="1">
      <x:c r="A3076" s="184" t="inlineStr">
        <x:is>
          <x:t xml:space="preserve">PPSENDS1763X</x:t>
        </x:is>
      </x:c>
      <x:c r="B3076" s="184" t="inlineStr">
        <x:is>
          <x:t xml:space="preserve">PP STUB-END 63X2.2 SDR17</x:t>
        </x:is>
      </x:c>
      <x:c r="C3076" s="184" t="n">
        <x:v>0</x:v>
      </x:c>
      <x:c r="D3076" s="184" t="n">
        <x:v>0</x:v>
      </x:c>
      <x:c r="E3076" s="184" t="n">
        <x:v>0</x:v>
      </x:c>
      <x:c r="F3076" s="184" t="n">
        <x:v>0</x:v>
      </x:c>
      <x:c r="G3076" s="184" t="n">
        <x:v>0</x:v>
      </x:c>
      <x:c r="H3076" s="193" t="n">
        <x:v>0</x:v>
      </x:c>
      <x:c r="I3076" s="185" t="n">
        <x:v>0</x:v>
      </x:c>
      <x:c r="J3076" s="185" t="n">
        <x:v>0</x:v>
      </x:c>
      <x:c r="K3076" s="289" t="n">
        <x:v>2288</x:v>
      </x:c>
    </x:row>
    <x:row r="3077" s="117" customFormat="1" hidden="1">
      <x:c r="A3077" s="184" t="inlineStr">
        <x:is>
          <x:t xml:space="preserve">PPSENDS1775X</x:t>
        </x:is>
      </x:c>
      <x:c r="B3077" s="184" t="inlineStr">
        <x:is>
          <x:t xml:space="preserve">PP STUB-END 75X4.5 SDR17</x:t>
        </x:is>
      </x:c>
      <x:c r="C3077" s="184" t="n">
        <x:v>22</x:v>
      </x:c>
      <x:c r="D3077" s="184" t="n">
        <x:v>0</x:v>
      </x:c>
      <x:c r="E3077" s="184" t="n">
        <x:v>0</x:v>
      </x:c>
      <x:c r="F3077" s="184" t="n">
        <x:v>22</x:v>
      </x:c>
      <x:c r="G3077" s="184" t="n">
        <x:v>102637</x:v>
      </x:c>
      <x:c r="H3077" s="193" t="n">
        <x:v>0</x:v>
      </x:c>
      <x:c r="I3077" s="185" t="n">
        <x:v>0</x:v>
      </x:c>
      <x:c r="J3077" s="185" t="n">
        <x:v>102637</x:v>
      </x:c>
      <x:c r="K3077" s="289" t="n">
        <x:v>4665.21981364</x:v>
      </x:c>
    </x:row>
    <x:row r="3078" s="117" customFormat="1" hidden="1">
      <x:c r="A3078" s="184" t="inlineStr">
        <x:is>
          <x:t xml:space="preserve">PPSENDS1790X</x:t>
        </x:is>
      </x:c>
      <x:c r="B3078" s="184" t="inlineStr">
        <x:is>
          <x:t xml:space="preserve">PP STUB-END 90X5.4 SDR17</x:t>
        </x:is>
      </x:c>
      <x:c r="C3078" s="184" t="n">
        <x:v>67</x:v>
      </x:c>
      <x:c r="D3078" s="184" t="n">
        <x:v>0</x:v>
      </x:c>
      <x:c r="E3078" s="184" t="n">
        <x:v>0</x:v>
      </x:c>
      <x:c r="F3078" s="184" t="n">
        <x:v>67</x:v>
      </x:c>
      <x:c r="G3078" s="184" t="n">
        <x:v>318155</x:v>
      </x:c>
      <x:c r="H3078" s="193" t="n">
        <x:v>0</x:v>
      </x:c>
      <x:c r="I3078" s="185" t="n">
        <x:v>0</x:v>
      </x:c>
      <x:c r="J3078" s="185" t="n">
        <x:v>318155</x:v>
      </x:c>
      <x:c r="K3078" s="289" t="n">
        <x:v>4748.58632911</x:v>
      </x:c>
    </x:row>
    <x:row r="3079" s="117" customFormat="1" hidden="1">
      <x:c r="A3079" s="184" t="inlineStr">
        <x:is>
          <x:t xml:space="preserve">PPSENDS33110</x:t>
        </x:is>
      </x:c>
      <x:c r="B3079" s="184" t="inlineStr">
        <x:is>
          <x:t xml:space="preserve">PP STUB-END 110X3.4 SDR33</x:t>
        </x:is>
      </x:c>
      <x:c r="C3079" s="184" t="n">
        <x:v>3</x:v>
      </x:c>
      <x:c r="D3079" s="184" t="n">
        <x:v>0</x:v>
      </x:c>
      <x:c r="E3079" s="184" t="n">
        <x:v>0</x:v>
      </x:c>
      <x:c r="F3079" s="184" t="n">
        <x:v>3</x:v>
      </x:c>
      <x:c r="G3079" s="184" t="n">
        <x:v>16277</x:v>
      </x:c>
      <x:c r="H3079" s="193" t="n">
        <x:v>0</x:v>
      </x:c>
      <x:c r="I3079" s="185" t="n">
        <x:v>0</x:v>
      </x:c>
      <x:c r="J3079" s="185" t="n">
        <x:v>16277</x:v>
      </x:c>
      <x:c r="K3079" s="289" t="n">
        <x:v>5425.81818182</x:v>
      </x:c>
    </x:row>
    <x:row r="3080" s="117" customFormat="1" hidden="1">
      <x:c r="A3080" s="184" t="inlineStr">
        <x:is>
          <x:t xml:space="preserve">PPSENDS33125</x:t>
        </x:is>
      </x:c>
      <x:c r="B3080" s="184" t="inlineStr">
        <x:is>
          <x:t xml:space="preserve">PP STUB-END 125X4.5 SDR33</x:t>
        </x:is>
      </x:c>
      <x:c r="C3080" s="184" t="n">
        <x:v>112</x:v>
      </x:c>
      <x:c r="D3080" s="184" t="n">
        <x:v>0</x:v>
      </x:c>
      <x:c r="E3080" s="184" t="n">
        <x:v>0</x:v>
      </x:c>
      <x:c r="F3080" s="184" t="n">
        <x:v>112</x:v>
      </x:c>
      <x:c r="G3080" s="184" t="n">
        <x:v>702581</x:v>
      </x:c>
      <x:c r="H3080" s="193" t="n">
        <x:v>0</x:v>
      </x:c>
      <x:c r="I3080" s="185" t="n">
        <x:v>0</x:v>
      </x:c>
      <x:c r="J3080" s="185" t="n">
        <x:v>702581</x:v>
      </x:c>
      <x:c r="K3080" s="289" t="n">
        <x:v>6273.04347826</x:v>
      </x:c>
    </x:row>
    <x:row r="3081" s="117" customFormat="1" hidden="1">
      <x:c r="A3081" s="184" t="inlineStr">
        <x:is>
          <x:t xml:space="preserve">PPSENDS33160</x:t>
        </x:is>
      </x:c>
      <x:c r="B3081" s="184" t="inlineStr">
        <x:is>
          <x:t xml:space="preserve">PP STUB-END 160MM SDR33</x:t>
        </x:is>
      </x:c>
      <x:c r="C3081" s="184" t="n">
        <x:v>122</x:v>
      </x:c>
      <x:c r="D3081" s="184" t="n">
        <x:v>0</x:v>
      </x:c>
      <x:c r="E3081" s="184" t="n">
        <x:v>0</x:v>
      </x:c>
      <x:c r="F3081" s="184" t="n">
        <x:v>122</x:v>
      </x:c>
      <x:c r="G3081" s="184" t="n">
        <x:v>1861073</x:v>
      </x:c>
      <x:c r="H3081" s="193" t="n">
        <x:v>0</x:v>
      </x:c>
      <x:c r="I3081" s="185" t="n">
        <x:v>0</x:v>
      </x:c>
      <x:c r="J3081" s="185" t="n">
        <x:v>1861073</x:v>
      </x:c>
      <x:c r="K3081" s="289" t="n">
        <x:v>15254.72336989</x:v>
      </x:c>
    </x:row>
    <x:row r="3082" s="117" customFormat="1" hidden="1">
      <x:c r="A3082" s="184" t="inlineStr">
        <x:is>
          <x:t xml:space="preserve">PPSENDS33200</x:t>
        </x:is>
      </x:c>
      <x:c r="B3082" s="184" t="inlineStr">
        <x:is>
          <x:t xml:space="preserve">PP STUB-END 200X6.2 SDR33</x:t>
        </x:is>
      </x:c>
      <x:c r="C3082" s="184" t="n">
        <x:v>141</x:v>
      </x:c>
      <x:c r="D3082" s="184" t="n">
        <x:v>0</x:v>
      </x:c>
      <x:c r="E3082" s="184" t="n">
        <x:v>0</x:v>
      </x:c>
      <x:c r="F3082" s="184" t="n">
        <x:v>141</x:v>
      </x:c>
      <x:c r="G3082" s="184" t="n">
        <x:v>2063500</x:v>
      </x:c>
      <x:c r="H3082" s="193" t="n">
        <x:v>0</x:v>
      </x:c>
      <x:c r="I3082" s="185" t="n">
        <x:v>0</x:v>
      </x:c>
      <x:c r="J3082" s="185" t="n">
        <x:v>2063500</x:v>
      </x:c>
      <x:c r="K3082" s="289" t="n">
        <x:v>14634.75113314</x:v>
      </x:c>
    </x:row>
    <x:row r="3083" s="117" customFormat="1" hidden="1">
      <x:c r="A3083" s="184" t="inlineStr">
        <x:is>
          <x:t xml:space="preserve">PPSENDS33250</x:t>
        </x:is>
      </x:c>
      <x:c r="B3083" s="184" t="inlineStr">
        <x:is>
          <x:t xml:space="preserve">PP STUB-END 250X7.7 SDR33</x:t>
        </x:is>
      </x:c>
      <x:c r="C3083" s="184" t="n">
        <x:v>116</x:v>
      </x:c>
      <x:c r="D3083" s="184" t="n">
        <x:v>0</x:v>
      </x:c>
      <x:c r="E3083" s="184" t="n">
        <x:v>8</x:v>
      </x:c>
      <x:c r="F3083" s="184" t="n">
        <x:v>108</x:v>
      </x:c>
      <x:c r="G3083" s="184" t="n">
        <x:v>3490169</x:v>
      </x:c>
      <x:c r="H3083" s="193" t="n">
        <x:v>0</x:v>
      </x:c>
      <x:c r="I3083" s="185" t="n">
        <x:v>240701</x:v>
      </x:c>
      <x:c r="J3083" s="185" t="n">
        <x:v>3249468</x:v>
      </x:c>
      <x:c r="K3083" s="289" t="n">
        <x:v>30087.66530172</x:v>
      </x:c>
    </x:row>
    <x:row r="3084" s="117" customFormat="1" hidden="1">
      <x:c r="A3084" s="184" t="inlineStr">
        <x:is>
          <x:t xml:space="preserve">PPSENDS33280</x:t>
        </x:is>
      </x:c>
      <x:c r="B3084" s="184" t="inlineStr">
        <x:is>
          <x:t xml:space="preserve">PP STUB-END 280X8.6 SDR33</x:t>
        </x:is>
      </x:c>
      <x:c r="C3084" s="184" t="n">
        <x:v>4</x:v>
      </x:c>
      <x:c r="D3084" s="184" t="n">
        <x:v>0</x:v>
      </x:c>
      <x:c r="E3084" s="184" t="n">
        <x:v>0</x:v>
      </x:c>
      <x:c r="F3084" s="184" t="n">
        <x:v>4</x:v>
      </x:c>
      <x:c r="G3084" s="184" t="n">
        <x:v>101600</x:v>
      </x:c>
      <x:c r="H3084" s="193" t="n">
        <x:v>0</x:v>
      </x:c>
      <x:c r="I3084" s="185" t="n">
        <x:v>0</x:v>
      </x:c>
      <x:c r="J3084" s="185" t="n">
        <x:v>101600</x:v>
      </x:c>
      <x:c r="K3084" s="289" t="n">
        <x:v>25400</x:v>
      </x:c>
    </x:row>
    <x:row r="3085" s="117" customFormat="1" hidden="1">
      <x:c r="A3085" s="184" t="inlineStr">
        <x:is>
          <x:t xml:space="preserve">PPSENDS33315</x:t>
        </x:is>
      </x:c>
      <x:c r="B3085" s="184" t="inlineStr">
        <x:is>
          <x:t xml:space="preserve">PP STUB-END 315X9.7 SDR33</x:t>
        </x:is>
      </x:c>
      <x:c r="C3085" s="184" t="n">
        <x:v>31</x:v>
      </x:c>
      <x:c r="D3085" s="184" t="n">
        <x:v>0</x:v>
      </x:c>
      <x:c r="E3085" s="184" t="n">
        <x:v>0</x:v>
      </x:c>
      <x:c r="F3085" s="184" t="n">
        <x:v>31</x:v>
      </x:c>
      <x:c r="G3085" s="184" t="n">
        <x:v>1424381</x:v>
      </x:c>
      <x:c r="H3085" s="193" t="n">
        <x:v>0</x:v>
      </x:c>
      <x:c r="I3085" s="185" t="n">
        <x:v>0</x:v>
      </x:c>
      <x:c r="J3085" s="185" t="n">
        <x:v>1424381</x:v>
      </x:c>
      <x:c r="K3085" s="289" t="n">
        <x:v>45947.57654372</x:v>
      </x:c>
    </x:row>
    <x:row r="3086" s="117" customFormat="1" hidden="1">
      <x:c r="A3086" s="184" t="inlineStr">
        <x:is>
          <x:t xml:space="preserve">PPSENDS33355</x:t>
        </x:is>
      </x:c>
      <x:c r="B3086" s="184" t="inlineStr">
        <x:is>
          <x:t xml:space="preserve">PP STUB-END 355X10.9 SDR33</x:t>
        </x:is>
      </x:c>
      <x:c r="C3086" s="184" t="n">
        <x:v>21</x:v>
      </x:c>
      <x:c r="D3086" s="184" t="n">
        <x:v>0</x:v>
      </x:c>
      <x:c r="E3086" s="184" t="n">
        <x:v>0</x:v>
      </x:c>
      <x:c r="F3086" s="184" t="n">
        <x:v>21</x:v>
      </x:c>
      <x:c r="G3086" s="184" t="n">
        <x:v>935865</x:v>
      </x:c>
      <x:c r="H3086" s="193" t="n">
        <x:v>0</x:v>
      </x:c>
      <x:c r="I3086" s="185" t="n">
        <x:v>0</x:v>
      </x:c>
      <x:c r="J3086" s="185" t="n">
        <x:v>935865</x:v>
      </x:c>
      <x:c r="K3086" s="289" t="n">
        <x:v>44565</x:v>
      </x:c>
    </x:row>
    <x:row r="3087" s="117" customFormat="1" hidden="1">
      <x:c r="A3087" s="184" t="inlineStr">
        <x:is>
          <x:t xml:space="preserve">PPSENDS33400</x:t>
        </x:is>
      </x:c>
      <x:c r="B3087" s="184" t="inlineStr">
        <x:is>
          <x:t xml:space="preserve">PP STUB-END 400X12.3 SDR33</x:t>
        </x:is>
      </x:c>
      <x:c r="C3087" s="184" t="n">
        <x:v>206</x:v>
      </x:c>
      <x:c r="D3087" s="184" t="n">
        <x:v>0</x:v>
      </x:c>
      <x:c r="E3087" s="184" t="n">
        <x:v>8</x:v>
      </x:c>
      <x:c r="F3087" s="184" t="n">
        <x:v>198</x:v>
      </x:c>
      <x:c r="G3087" s="184" t="n">
        <x:v>28245561</x:v>
      </x:c>
      <x:c r="H3087" s="193" t="n">
        <x:v>0</x:v>
      </x:c>
      <x:c r="I3087" s="185" t="n">
        <x:v>1096915</x:v>
      </x:c>
      <x:c r="J3087" s="185" t="n">
        <x:v>27148646</x:v>
      </x:c>
      <x:c r="K3087" s="289" t="n">
        <x:v>137114.38203267</x:v>
      </x:c>
    </x:row>
    <x:row r="3088" s="117" customFormat="1" hidden="1">
      <x:c r="A3088" s="184" t="inlineStr">
        <x:is>
          <x:t xml:space="preserve">PPSENDS33450</x:t>
        </x:is>
      </x:c>
      <x:c r="B3088" s="184" t="inlineStr">
        <x:is>
          <x:t xml:space="preserve">PP STUB-END 450X13.8 SDR33</x:t>
        </x:is>
      </x:c>
      <x:c r="C3088" s="184" t="n">
        <x:v>12</x:v>
      </x:c>
      <x:c r="D3088" s="184" t="n">
        <x:v>0</x:v>
      </x:c>
      <x:c r="E3088" s="184" t="n">
        <x:v>0</x:v>
      </x:c>
      <x:c r="F3088" s="184" t="n">
        <x:v>12</x:v>
      </x:c>
      <x:c r="G3088" s="184" t="n">
        <x:v>1985577</x:v>
      </x:c>
      <x:c r="H3088" s="193" t="n">
        <x:v>0</x:v>
      </x:c>
      <x:c r="I3088" s="185" t="n">
        <x:v>0</x:v>
      </x:c>
      <x:c r="J3088" s="185" t="n">
        <x:v>1985577</x:v>
      </x:c>
      <x:c r="K3088" s="289" t="n">
        <x:v>165464.7925</x:v>
      </x:c>
    </x:row>
    <x:row r="3089" s="117" customFormat="1" hidden="1">
      <x:c r="A3089" s="184" t="inlineStr">
        <x:is>
          <x:t xml:space="preserve">PPSENDS33500</x:t>
        </x:is>
      </x:c>
      <x:c r="B3089" s="184" t="inlineStr">
        <x:is>
          <x:t xml:space="preserve">PP STUB END 500 X 15.3 SDR33</x:t>
        </x:is>
      </x:c>
      <x:c r="C3089" s="184" t="n">
        <x:v>17</x:v>
      </x:c>
      <x:c r="D3089" s="184" t="n">
        <x:v>0</x:v>
      </x:c>
      <x:c r="E3089" s="184" t="n">
        <x:v>0</x:v>
      </x:c>
      <x:c r="F3089" s="184" t="n">
        <x:v>17</x:v>
      </x:c>
      <x:c r="G3089" s="184" t="n">
        <x:v>2738260</x:v>
      </x:c>
      <x:c r="H3089" s="193" t="n">
        <x:v>0</x:v>
      </x:c>
      <x:c r="I3089" s="185" t="n">
        <x:v>0</x:v>
      </x:c>
      <x:c r="J3089" s="185" t="n">
        <x:v>2738260</x:v>
      </x:c>
      <x:c r="K3089" s="289" t="n">
        <x:v>161074.24566293</x:v>
      </x:c>
    </x:row>
    <x:row r="3090" s="117" customFormat="1" hidden="1">
      <x:c r="A3090" s="184" t="inlineStr">
        <x:is>
          <x:t xml:space="preserve">PPSENDS33600</x:t>
        </x:is>
      </x:c>
      <x:c r="B3090" s="184" t="inlineStr">
        <x:is>
          <x:t xml:space="preserve">PP STUB END 600x 10 mm</x:t>
        </x:is>
      </x:c>
      <x:c r="C3090" s="184" t="n">
        <x:v>0</x:v>
      </x:c>
      <x:c r="D3090" s="184" t="n">
        <x:v>0</x:v>
      </x:c>
      <x:c r="E3090" s="184" t="n">
        <x:v>0</x:v>
      </x:c>
      <x:c r="F3090" s="184" t="n">
        <x:v>0</x:v>
      </x:c>
      <x:c r="G3090" s="184" t="n">
        <x:v>0</x:v>
      </x:c>
      <x:c r="H3090" s="193" t="n">
        <x:v>0</x:v>
      </x:c>
      <x:c r="I3090" s="185" t="n">
        <x:v>0</x:v>
      </x:c>
      <x:c r="J3090" s="185" t="n">
        <x:v>0</x:v>
      </x:c>
      <x:c r="K3090" s="289" t="n">
        <x:v>0</x:v>
      </x:c>
    </x:row>
    <x:row r="3091" s="117" customFormat="1" hidden="1">
      <x:c r="A3091" s="184" t="inlineStr">
        <x:is>
          <x:t xml:space="preserve">PPSENDS33630</x:t>
        </x:is>
      </x:c>
      <x:c r="B3091" s="184" t="inlineStr">
        <x:is>
          <x:t xml:space="preserve">PP STUB-END 630X2.0 SDR33</x:t>
        </x:is>
      </x:c>
      <x:c r="C3091" s="184" t="n">
        <x:v>4</x:v>
      </x:c>
      <x:c r="D3091" s="184" t="n">
        <x:v>0</x:v>
      </x:c>
      <x:c r="E3091" s="184" t="n">
        <x:v>0</x:v>
      </x:c>
      <x:c r="F3091" s="184" t="n">
        <x:v>4</x:v>
      </x:c>
      <x:c r="G3091" s="184" t="n">
        <x:v>133332</x:v>
      </x:c>
      <x:c r="H3091" s="193" t="n">
        <x:v>0</x:v>
      </x:c>
      <x:c r="I3091" s="185" t="n">
        <x:v>0</x:v>
      </x:c>
      <x:c r="J3091" s="185" t="n">
        <x:v>133332</x:v>
      </x:c>
      <x:c r="K3091" s="289" t="n">
        <x:v>33333</x:v>
      </x:c>
    </x:row>
    <x:row r="3092" s="117" customFormat="1" hidden="1">
      <x:c r="A3092" s="184" t="inlineStr">
        <x:is>
          <x:t xml:space="preserve">PPSENDS33X10</x:t>
        </x:is>
      </x:c>
      <x:c r="B3092" s="184" t="inlineStr">
        <x:is>
          <x:t xml:space="preserve">PP STUB END 600x 10 mm</x:t>
        </x:is>
      </x:c>
      <x:c r="C3092" s="184" t="n">
        <x:v>0</x:v>
      </x:c>
      <x:c r="D3092" s="184" t="n">
        <x:v>0</x:v>
      </x:c>
      <x:c r="E3092" s="184" t="n">
        <x:v>0</x:v>
      </x:c>
      <x:c r="F3092" s="184" t="n">
        <x:v>0</x:v>
      </x:c>
      <x:c r="G3092" s="184" t="n">
        <x:v>0</x:v>
      </x:c>
      <x:c r="H3092" s="193" t="n">
        <x:v>0</x:v>
      </x:c>
      <x:c r="I3092" s="185" t="n">
        <x:v>0</x:v>
      </x:c>
      <x:c r="J3092" s="185" t="n">
        <x:v>0</x:v>
      </x:c>
      <x:c r="K3092" s="289" t="n">
        <x:v>169148</x:v>
      </x:c>
    </x:row>
    <x:row r="3093" s="117" customFormat="1" hidden="1">
      <x:c r="A3093" s="184" t="inlineStr">
        <x:is>
          <x:t xml:space="preserve">PPTTEE001001</x:t>
        </x:is>
      </x:c>
      <x:c r="B3093" s="184" t="inlineStr">
        <x:is>
          <x:t xml:space="preserve">TEE POLIPROPILENO 110  X 63 X 3.4</x:t>
        </x:is>
      </x:c>
      <x:c r="C3093" s="184" t="n">
        <x:v>0</x:v>
      </x:c>
      <x:c r="D3093" s="184" t="n">
        <x:v>0</x:v>
      </x:c>
      <x:c r="E3093" s="184" t="n">
        <x:v>0</x:v>
      </x:c>
      <x:c r="F3093" s="184" t="n">
        <x:v>0</x:v>
      </x:c>
      <x:c r="G3093" s="184" t="n">
        <x:v>0</x:v>
      </x:c>
      <x:c r="H3093" s="193" t="n">
        <x:v>0</x:v>
      </x:c>
      <x:c r="I3093" s="185" t="n">
        <x:v>0</x:v>
      </x:c>
      <x:c r="J3093" s="185" t="n">
        <x:v>0</x:v>
      </x:c>
      <x:c r="K3093" s="289" t="n">
        <x:v>20313</x:v>
      </x:c>
    </x:row>
    <x:row r="3094" s="117" customFormat="1" hidden="1">
      <x:c r="A3094" s="184" t="inlineStr">
        <x:is>
          <x:t xml:space="preserve">PPTTEE001002</x:t>
        </x:is>
      </x:c>
      <x:c r="B3094" s="184" t="inlineStr">
        <x:is>
          <x:t xml:space="preserve">TEE POLIPROPILENO 110  X 110 X 3.4</x:t>
        </x:is>
      </x:c>
      <x:c r="C3094" s="184" t="n">
        <x:v>0</x:v>
      </x:c>
      <x:c r="D3094" s="184" t="n">
        <x:v>0</x:v>
      </x:c>
      <x:c r="E3094" s="184" t="n">
        <x:v>0</x:v>
      </x:c>
      <x:c r="F3094" s="184" t="n">
        <x:v>0</x:v>
      </x:c>
      <x:c r="G3094" s="184" t="n">
        <x:v>0</x:v>
      </x:c>
      <x:c r="H3094" s="193" t="n">
        <x:v>0</x:v>
      </x:c>
      <x:c r="I3094" s="185" t="n">
        <x:v>0</x:v>
      </x:c>
      <x:c r="J3094" s="185" t="n">
        <x:v>0</x:v>
      </x:c>
      <x:c r="K3094" s="289" t="n">
        <x:v>11070</x:v>
      </x:c>
    </x:row>
    <x:row r="3095" s="117" customFormat="1" hidden="1">
      <x:c r="A3095" s="184" t="inlineStr">
        <x:is>
          <x:t xml:space="preserve">PPTTEE001003</x:t>
        </x:is>
      </x:c>
      <x:c r="B3095" s="184" t="inlineStr">
        <x:is>
          <x:t xml:space="preserve">TEE POLIPROPILENO 250 X 110</x:t>
        </x:is>
      </x:c>
      <x:c r="C3095" s="184" t="n">
        <x:v>0</x:v>
      </x:c>
      <x:c r="D3095" s="184" t="n">
        <x:v>0</x:v>
      </x:c>
      <x:c r="E3095" s="184" t="n">
        <x:v>0</x:v>
      </x:c>
      <x:c r="F3095" s="184" t="n">
        <x:v>0</x:v>
      </x:c>
      <x:c r="G3095" s="184" t="n">
        <x:v>0</x:v>
      </x:c>
      <x:c r="H3095" s="193" t="n">
        <x:v>0</x:v>
      </x:c>
      <x:c r="I3095" s="185" t="n">
        <x:v>0</x:v>
      </x:c>
      <x:c r="J3095" s="185" t="n">
        <x:v>0</x:v>
      </x:c>
      <x:c r="K3095" s="289" t="n">
        <x:v>35853</x:v>
      </x:c>
    </x:row>
    <x:row r="3096" s="117" customFormat="1" hidden="1">
      <x:c r="A3096" s="184" t="inlineStr">
        <x:is>
          <x:t xml:space="preserve">PPTTEES11001</x:t>
        </x:is>
      </x:c>
      <x:c r="B3096" s="184" t="inlineStr">
        <x:is>
          <x:t xml:space="preserve">TEE POLIPROPILENO 160 X 63 SDR11</x:t>
        </x:is>
      </x:c>
      <x:c r="C3096" s="184" t="n">
        <x:v>19</x:v>
      </x:c>
      <x:c r="D3096" s="184" t="n">
        <x:v>0</x:v>
      </x:c>
      <x:c r="E3096" s="184" t="n">
        <x:v>0</x:v>
      </x:c>
      <x:c r="F3096" s="184" t="n">
        <x:v>19</x:v>
      </x:c>
      <x:c r="G3096" s="184" t="n">
        <x:v>385947</x:v>
      </x:c>
      <x:c r="H3096" s="193" t="n">
        <x:v>0</x:v>
      </x:c>
      <x:c r="I3096" s="185" t="n">
        <x:v>0</x:v>
      </x:c>
      <x:c r="J3096" s="185" t="n">
        <x:v>385947</x:v>
      </x:c>
      <x:c r="K3096" s="289" t="n">
        <x:v>20313</x:v>
      </x:c>
    </x:row>
    <x:row r="3097" s="117" customFormat="1" hidden="1">
      <x:c r="A3097" s="184" t="inlineStr">
        <x:is>
          <x:t xml:space="preserve">PPTTEES11002</x:t>
        </x:is>
      </x:c>
      <x:c r="B3097" s="184" t="inlineStr">
        <x:is>
          <x:t xml:space="preserve">TEE POLIPROPILENO 200X1600 SDR11</x:t>
        </x:is>
      </x:c>
      <x:c r="C3097" s="184" t="n">
        <x:v>0</x:v>
      </x:c>
      <x:c r="D3097" s="184" t="n">
        <x:v>0</x:v>
      </x:c>
      <x:c r="E3097" s="184" t="n">
        <x:v>0</x:v>
      </x:c>
      <x:c r="F3097" s="184" t="n">
        <x:v>0</x:v>
      </x:c>
      <x:c r="G3097" s="184" t="n">
        <x:v>0</x:v>
      </x:c>
      <x:c r="H3097" s="193" t="n">
        <x:v>0</x:v>
      </x:c>
      <x:c r="I3097" s="185" t="n">
        <x:v>0</x:v>
      </x:c>
      <x:c r="J3097" s="185" t="n">
        <x:v>0</x:v>
      </x:c>
      <x:c r="K3097" s="289" t="n">
        <x:v>35341</x:v>
      </x:c>
    </x:row>
    <x:row r="3098" s="117" customFormat="1" hidden="1">
      <x:c r="A3098" s="184" t="inlineStr">
        <x:is>
          <x:t xml:space="preserve">PPTTEES11200</x:t>
        </x:is>
      </x:c>
      <x:c r="B3098" s="184" t="inlineStr">
        <x:is>
          <x:t xml:space="preserve">PP TEE 200X18.2 SDR11</x:t>
        </x:is>
      </x:c>
      <x:c r="C3098" s="184" t="n">
        <x:v>18</x:v>
      </x:c>
      <x:c r="D3098" s="184" t="n">
        <x:v>0</x:v>
      </x:c>
      <x:c r="E3098" s="184" t="n">
        <x:v>0</x:v>
      </x:c>
      <x:c r="F3098" s="184" t="n">
        <x:v>18</x:v>
      </x:c>
      <x:c r="G3098" s="184" t="n">
        <x:v>636138</x:v>
      </x:c>
      <x:c r="H3098" s="193" t="n">
        <x:v>0</x:v>
      </x:c>
      <x:c r="I3098" s="185" t="n">
        <x:v>0</x:v>
      </x:c>
      <x:c r="J3098" s="185" t="n">
        <x:v>636138</x:v>
      </x:c>
      <x:c r="K3098" s="289" t="n">
        <x:v>35341</x:v>
      </x:c>
    </x:row>
    <x:row r="3099" s="117" customFormat="1" hidden="1">
      <x:c r="A3099" s="184" t="inlineStr">
        <x:is>
          <x:t xml:space="preserve">PPTTEES11250</x:t>
        </x:is>
      </x:c>
      <x:c r="B3099" s="184" t="inlineStr">
        <x:is>
          <x:t xml:space="preserve">PP TEE 250X110X18.2 SDR11</x:t>
        </x:is>
      </x:c>
      <x:c r="C3099" s="184" t="n">
        <x:v>5</x:v>
      </x:c>
      <x:c r="D3099" s="184" t="n">
        <x:v>0</x:v>
      </x:c>
      <x:c r="E3099" s="184" t="n">
        <x:v>0</x:v>
      </x:c>
      <x:c r="F3099" s="184" t="n">
        <x:v>5</x:v>
      </x:c>
      <x:c r="G3099" s="184" t="n">
        <x:v>250000</x:v>
      </x:c>
      <x:c r="H3099" s="193" t="n">
        <x:v>0</x:v>
      </x:c>
      <x:c r="I3099" s="185" t="n">
        <x:v>0</x:v>
      </x:c>
      <x:c r="J3099" s="185" t="n">
        <x:v>250000</x:v>
      </x:c>
      <x:c r="K3099" s="289" t="n">
        <x:v>50000</x:v>
      </x:c>
    </x:row>
    <x:row r="3100" s="117" customFormat="1" hidden="1">
      <x:c r="A3100" s="184" t="inlineStr">
        <x:is>
          <x:t xml:space="preserve">PPTTEES1125C</x:t>
        </x:is>
      </x:c>
      <x:c r="B3100" s="184" t="inlineStr">
        <x:is>
          <x:t xml:space="preserve">PP TEE 250 X 22.7 SDR11 LADOS CORTOS</x:t>
        </x:is>
      </x:c>
      <x:c r="C3100" s="184" t="n">
        <x:v>0</x:v>
      </x:c>
      <x:c r="D3100" s="184" t="n">
        <x:v>0</x:v>
      </x:c>
      <x:c r="E3100" s="184" t="n">
        <x:v>0</x:v>
      </x:c>
      <x:c r="F3100" s="184" t="n">
        <x:v>0</x:v>
      </x:c>
      <x:c r="G3100" s="184" t="n">
        <x:v>0</x:v>
      </x:c>
      <x:c r="H3100" s="193" t="n">
        <x:v>0</x:v>
      </x:c>
      <x:c r="I3100" s="185" t="n">
        <x:v>0</x:v>
      </x:c>
      <x:c r="J3100" s="185" t="n">
        <x:v>0</x:v>
      </x:c>
      <x:c r="K3100" s="289" t="n">
        <x:v>109532</x:v>
      </x:c>
    </x:row>
    <x:row r="3101" s="117" customFormat="1" hidden="1">
      <x:c r="A3101" s="184" t="inlineStr">
        <x:is>
          <x:t xml:space="preserve">PPTTEES1140X</x:t>
        </x:is>
      </x:c>
      <x:c r="B3101" s="184" t="inlineStr">
        <x:is>
          <x:t xml:space="preserve">PP TEE 40X3.7 SDR11</x:t>
        </x:is>
      </x:c>
      <x:c r="C3101" s="184" t="n">
        <x:v>3</x:v>
      </x:c>
      <x:c r="D3101" s="184" t="n">
        <x:v>0</x:v>
      </x:c>
      <x:c r="E3101" s="184" t="n">
        <x:v>0</x:v>
      </x:c>
      <x:c r="F3101" s="184" t="n">
        <x:v>3</x:v>
      </x:c>
      <x:c r="G3101" s="184" t="n">
        <x:v>3600</x:v>
      </x:c>
      <x:c r="H3101" s="193" t="n">
        <x:v>0</x:v>
      </x:c>
      <x:c r="I3101" s="185" t="n">
        <x:v>0</x:v>
      </x:c>
      <x:c r="J3101" s="185" t="n">
        <x:v>3600</x:v>
      </x:c>
      <x:c r="K3101" s="289" t="n">
        <x:v>1200</x:v>
      </x:c>
    </x:row>
    <x:row r="3102" s="117" customFormat="1" hidden="1">
      <x:c r="A3102" s="184" t="inlineStr">
        <x:is>
          <x:t xml:space="preserve">PPTTEES11450</x:t>
        </x:is>
      </x:c>
      <x:c r="B3102" s="184" t="inlineStr">
        <x:is>
          <x:t xml:space="preserve">PP TEE 450X40.9 SDR11</x:t>
        </x:is>
      </x:c>
      <x:c r="C3102" s="184" t="n">
        <x:v>0</x:v>
      </x:c>
      <x:c r="D3102" s="184" t="n">
        <x:v>0</x:v>
      </x:c>
      <x:c r="E3102" s="184" t="n">
        <x:v>0</x:v>
      </x:c>
      <x:c r="F3102" s="184" t="n">
        <x:v>0</x:v>
      </x:c>
      <x:c r="G3102" s="184" t="n">
        <x:v>0</x:v>
      </x:c>
      <x:c r="H3102" s="193" t="n">
        <x:v>0</x:v>
      </x:c>
      <x:c r="I3102" s="185" t="n">
        <x:v>0</x:v>
      </x:c>
      <x:c r="J3102" s="185" t="n">
        <x:v>0</x:v>
      </x:c>
      <x:c r="K3102" s="289" t="n">
        <x:v>737487</x:v>
      </x:c>
    </x:row>
    <x:row r="3103" s="117" customFormat="1" hidden="1">
      <x:c r="A3103" s="184" t="inlineStr">
        <x:is>
          <x:t xml:space="preserve">PPTTEES1180X</x:t>
        </x:is>
      </x:c>
      <x:c r="B3103" s="184" t="inlineStr">
        <x:is>
          <x:t xml:space="preserve">PP TEE 80X80 SDR11</x:t>
        </x:is>
      </x:c>
      <x:c r="C3103" s="184" t="n">
        <x:v>2</x:v>
      </x:c>
      <x:c r="D3103" s="184" t="n">
        <x:v>0</x:v>
      </x:c>
      <x:c r="E3103" s="184" t="n">
        <x:v>0</x:v>
      </x:c>
      <x:c r="F3103" s="184" t="n">
        <x:v>2</x:v>
      </x:c>
      <x:c r="G3103" s="184" t="n">
        <x:v>2000</x:v>
      </x:c>
      <x:c r="H3103" s="193" t="n">
        <x:v>0</x:v>
      </x:c>
      <x:c r="I3103" s="185" t="n">
        <x:v>0</x:v>
      </x:c>
      <x:c r="J3103" s="185" t="n">
        <x:v>2000</x:v>
      </x:c>
      <x:c r="K3103" s="289" t="n">
        <x:v>1000</x:v>
      </x:c>
    </x:row>
    <x:row r="3104" s="117" customFormat="1" hidden="1">
      <x:c r="A3104" s="184" t="inlineStr">
        <x:is>
          <x:t xml:space="preserve">PPTTEES17001</x:t>
        </x:is>
      </x:c>
      <x:c r="B3104" s="184" t="inlineStr">
        <x:is>
          <x:t xml:space="preserve">TEE POLIPROPILENO 40 X 40 X3.8 SDR17</x:t>
        </x:is>
      </x:c>
      <x:c r="C3104" s="184" t="n">
        <x:v>0</x:v>
      </x:c>
      <x:c r="D3104" s="184" t="n">
        <x:v>0</x:v>
      </x:c>
      <x:c r="E3104" s="184" t="n">
        <x:v>0</x:v>
      </x:c>
      <x:c r="F3104" s="184" t="n">
        <x:v>0</x:v>
      </x:c>
      <x:c r="G3104" s="184" t="n">
        <x:v>0</x:v>
      </x:c>
      <x:c r="H3104" s="193" t="n">
        <x:v>0</x:v>
      </x:c>
      <x:c r="I3104" s="185" t="n">
        <x:v>0</x:v>
      </x:c>
      <x:c r="J3104" s="185" t="n">
        <x:v>0</x:v>
      </x:c>
      <x:c r="K3104" s="289" t="n">
        <x:v>2800</x:v>
      </x:c>
    </x:row>
    <x:row r="3105" s="117" customFormat="1" hidden="1">
      <x:c r="A3105" s="184" t="inlineStr">
        <x:is>
          <x:t xml:space="preserve">PPTTEES17002</x:t>
        </x:is>
      </x:c>
      <x:c r="B3105" s="184" t="inlineStr">
        <x:is>
          <x:t xml:space="preserve">TEE POLIPROPILENO 160 X 63 SDR17</x:t>
        </x:is>
      </x:c>
      <x:c r="C3105" s="184" t="n">
        <x:v>0</x:v>
      </x:c>
      <x:c r="D3105" s="184" t="n">
        <x:v>0</x:v>
      </x:c>
      <x:c r="E3105" s="184" t="n">
        <x:v>0</x:v>
      </x:c>
      <x:c r="F3105" s="184" t="n">
        <x:v>0</x:v>
      </x:c>
      <x:c r="G3105" s="184" t="n">
        <x:v>0</x:v>
      </x:c>
      <x:c r="H3105" s="193" t="n">
        <x:v>0</x:v>
      </x:c>
      <x:c r="I3105" s="185" t="n">
        <x:v>0</x:v>
      </x:c>
      <x:c r="J3105" s="185" t="n">
        <x:v>0</x:v>
      </x:c>
      <x:c r="K3105" s="289" t="n">
        <x:v>20313</x:v>
      </x:c>
    </x:row>
    <x:row r="3106" s="117" customFormat="1" hidden="1">
      <x:c r="A3106" s="184" t="inlineStr">
        <x:is>
          <x:t xml:space="preserve">PPTTEES17110</x:t>
        </x:is>
      </x:c>
      <x:c r="B3106" s="184" t="inlineStr">
        <x:is>
          <x:t xml:space="preserve">PP TEE 110MM SDR17</x:t>
        </x:is>
      </x:c>
      <x:c r="C3106" s="184" t="n">
        <x:v>17</x:v>
      </x:c>
      <x:c r="D3106" s="184" t="n">
        <x:v>0</x:v>
      </x:c>
      <x:c r="E3106" s="184" t="n">
        <x:v>0</x:v>
      </x:c>
      <x:c r="F3106" s="184" t="n">
        <x:v>17</x:v>
      </x:c>
      <x:c r="G3106" s="184" t="n">
        <x:v>21660</x:v>
      </x:c>
      <x:c r="H3106" s="193" t="n">
        <x:v>0</x:v>
      </x:c>
      <x:c r="I3106" s="185" t="n">
        <x:v>0</x:v>
      </x:c>
      <x:c r="J3106" s="185" t="n">
        <x:v>21660</x:v>
      </x:c>
      <x:c r="K3106" s="289" t="n">
        <x:v>1274.17807487</x:v>
      </x:c>
    </x:row>
    <x:row r="3107" s="117" customFormat="1" hidden="1">
      <x:c r="A3107" s="184" t="inlineStr">
        <x:is>
          <x:t xml:space="preserve">PPTTEES17160</x:t>
        </x:is>
      </x:c>
      <x:c r="B3107" s="184" t="inlineStr">
        <x:is>
          <x:t xml:space="preserve">PP TEE 160MM SDR17</x:t>
        </x:is>
      </x:c>
      <x:c r="C3107" s="184" t="n">
        <x:v>18</x:v>
      </x:c>
      <x:c r="D3107" s="184" t="n">
        <x:v>0</x:v>
      </x:c>
      <x:c r="E3107" s="184" t="n">
        <x:v>0</x:v>
      </x:c>
      <x:c r="F3107" s="184" t="n">
        <x:v>18</x:v>
      </x:c>
      <x:c r="G3107" s="184" t="n">
        <x:v>250000</x:v>
      </x:c>
      <x:c r="H3107" s="193" t="n">
        <x:v>0</x:v>
      </x:c>
      <x:c r="I3107" s="185" t="n">
        <x:v>0</x:v>
      </x:c>
      <x:c r="J3107" s="185" t="n">
        <x:v>250000</x:v>
      </x:c>
      <x:c r="K3107" s="289" t="n">
        <x:v>13888.88894737</x:v>
      </x:c>
    </x:row>
    <x:row r="3108" s="117" customFormat="1" hidden="1">
      <x:c r="A3108" s="184" t="inlineStr">
        <x:is>
          <x:t xml:space="preserve">PPTTEES17200</x:t>
        </x:is>
      </x:c>
      <x:c r="B3108" s="184" t="inlineStr">
        <x:is>
          <x:t xml:space="preserve">PP TEE 200MM SDR17</x:t>
        </x:is>
      </x:c>
      <x:c r="C3108" s="184" t="n">
        <x:v>18</x:v>
      </x:c>
      <x:c r="D3108" s="184" t="n">
        <x:v>0</x:v>
      </x:c>
      <x:c r="E3108" s="184" t="n">
        <x:v>0</x:v>
      </x:c>
      <x:c r="F3108" s="184" t="n">
        <x:v>18</x:v>
      </x:c>
      <x:c r="G3108" s="184" t="n">
        <x:v>636138</x:v>
      </x:c>
      <x:c r="H3108" s="193" t="n">
        <x:v>0</x:v>
      </x:c>
      <x:c r="I3108" s="185" t="n">
        <x:v>0</x:v>
      </x:c>
      <x:c r="J3108" s="185" t="n">
        <x:v>636138</x:v>
      </x:c>
      <x:c r="K3108" s="289" t="n">
        <x:v>35341</x:v>
      </x:c>
    </x:row>
    <x:row r="3109" s="117" customFormat="1" hidden="1">
      <x:c r="A3109" s="184" t="inlineStr">
        <x:is>
          <x:t xml:space="preserve">PPTTEES17250</x:t>
        </x:is>
      </x:c>
      <x:c r="B3109" s="184" t="inlineStr">
        <x:is>
          <x:t xml:space="preserve">PP TEE 250MM SDR17</x:t>
        </x:is>
      </x:c>
      <x:c r="C3109" s="184" t="n">
        <x:v>0</x:v>
      </x:c>
      <x:c r="D3109" s="184" t="n">
        <x:v>0</x:v>
      </x:c>
      <x:c r="E3109" s="184" t="n">
        <x:v>0</x:v>
      </x:c>
      <x:c r="F3109" s="184" t="n">
        <x:v>0</x:v>
      </x:c>
      <x:c r="G3109" s="184" t="n">
        <x:v>0</x:v>
      </x:c>
      <x:c r="H3109" s="193" t="n">
        <x:v>0</x:v>
      </x:c>
      <x:c r="I3109" s="185" t="n">
        <x:v>0</x:v>
      </x:c>
      <x:c r="J3109" s="185" t="n">
        <x:v>0</x:v>
      </x:c>
      <x:c r="K3109" s="289" t="n">
        <x:v>100000</x:v>
      </x:c>
    </x:row>
    <x:row r="3110" s="117" customFormat="1" hidden="1">
      <x:c r="A3110" s="184" t="inlineStr">
        <x:is>
          <x:t xml:space="preserve">PPTTEES17315</x:t>
        </x:is>
      </x:c>
      <x:c r="B3110" s="184" t="inlineStr">
        <x:is>
          <x:t xml:space="preserve">PP TEE 315MM SDR17</x:t>
        </x:is>
      </x:c>
      <x:c r="C3110" s="184" t="n">
        <x:v>4</x:v>
      </x:c>
      <x:c r="D3110" s="184" t="n">
        <x:v>0</x:v>
      </x:c>
      <x:c r="E3110" s="184" t="n">
        <x:v>0</x:v>
      </x:c>
      <x:c r="F3110" s="184" t="n">
        <x:v>4</x:v>
      </x:c>
      <x:c r="G3110" s="184" t="n">
        <x:v>553016</x:v>
      </x:c>
      <x:c r="H3110" s="193" t="n">
        <x:v>0</x:v>
      </x:c>
      <x:c r="I3110" s="185" t="n">
        <x:v>0</x:v>
      </x:c>
      <x:c r="J3110" s="185" t="n">
        <x:v>553016</x:v>
      </x:c>
      <x:c r="K3110" s="289" t="n">
        <x:v>138254</x:v>
      </x:c>
    </x:row>
    <x:row r="3111" s="117" customFormat="1" hidden="1">
      <x:c r="A3111" s="184" t="inlineStr">
        <x:is>
          <x:t xml:space="preserve">PPTTEES17355</x:t>
        </x:is>
      </x:c>
      <x:c r="B3111" s="184" t="inlineStr">
        <x:is>
          <x:t xml:space="preserve">PP TEE 355MM SDR17</x:t>
        </x:is>
      </x:c>
      <x:c r="C3111" s="184" t="n">
        <x:v>10</x:v>
      </x:c>
      <x:c r="D3111" s="184" t="n">
        <x:v>0</x:v>
      </x:c>
      <x:c r="E3111" s="184" t="n">
        <x:v>0</x:v>
      </x:c>
      <x:c r="F3111" s="184" t="n">
        <x:v>10</x:v>
      </x:c>
      <x:c r="G3111" s="184" t="n">
        <x:v>353410</x:v>
      </x:c>
      <x:c r="H3111" s="193" t="n">
        <x:v>0</x:v>
      </x:c>
      <x:c r="I3111" s="185" t="n">
        <x:v>0</x:v>
      </x:c>
      <x:c r="J3111" s="185" t="n">
        <x:v>353410</x:v>
      </x:c>
      <x:c r="K3111" s="289" t="n">
        <x:v>35341</x:v>
      </x:c>
    </x:row>
    <x:row r="3112" s="117" customFormat="1" hidden="1">
      <x:c r="A3112" s="184" t="inlineStr">
        <x:is>
          <x:t xml:space="preserve">PPTTEES17400</x:t>
        </x:is>
      </x:c>
      <x:c r="B3112" s="184" t="inlineStr">
        <x:is>
          <x:t xml:space="preserve">PP TEE 400MM SDR17</x:t>
        </x:is>
      </x:c>
      <x:c r="C3112" s="184" t="n">
        <x:v>1</x:v>
      </x:c>
      <x:c r="D3112" s="184" t="n">
        <x:v>0</x:v>
      </x:c>
      <x:c r="E3112" s="184" t="n">
        <x:v>0</x:v>
      </x:c>
      <x:c r="F3112" s="184" t="n">
        <x:v>1</x:v>
      </x:c>
      <x:c r="G3112" s="184" t="n">
        <x:v>288900</x:v>
      </x:c>
      <x:c r="H3112" s="193" t="n">
        <x:v>0</x:v>
      </x:c>
      <x:c r="I3112" s="185" t="n">
        <x:v>0</x:v>
      </x:c>
      <x:c r="J3112" s="185" t="n">
        <x:v>288900</x:v>
      </x:c>
      <x:c r="K3112" s="289" t="n">
        <x:v>288900</x:v>
      </x:c>
    </x:row>
    <x:row r="3113" s="117" customFormat="1" hidden="1">
      <x:c r="A3113" s="184" t="inlineStr">
        <x:is>
          <x:t xml:space="preserve">PPTTEES17500</x:t>
        </x:is>
      </x:c>
      <x:c r="B3113" s="184" t="inlineStr">
        <x:is>
          <x:t xml:space="preserve">PP TEE 500X30 SDR17</x:t>
        </x:is>
      </x:c>
      <x:c r="C3113" s="184" t="n">
        <x:v>1</x:v>
      </x:c>
      <x:c r="D3113" s="184" t="n">
        <x:v>0</x:v>
      </x:c>
      <x:c r="E3113" s="184" t="n">
        <x:v>0</x:v>
      </x:c>
      <x:c r="F3113" s="184" t="n">
        <x:v>1</x:v>
      </x:c>
      <x:c r="G3113" s="184" t="n">
        <x:v>150000</x:v>
      </x:c>
      <x:c r="H3113" s="193" t="n">
        <x:v>0</x:v>
      </x:c>
      <x:c r="I3113" s="185" t="n">
        <x:v>0</x:v>
      </x:c>
      <x:c r="J3113" s="185" t="n">
        <x:v>150000</x:v>
      </x:c>
      <x:c r="K3113" s="289" t="n">
        <x:v>150000</x:v>
      </x:c>
    </x:row>
    <x:row r="3114" s="117" customFormat="1" hidden="1">
      <x:c r="A3114" s="184" t="inlineStr">
        <x:is>
          <x:t xml:space="preserve">PPTTEES1750X</x:t>
        </x:is>
      </x:c>
      <x:c r="B3114" s="184" t="inlineStr">
        <x:is>
          <x:t xml:space="preserve">PP TEE 50X2.9 SDR17</x:t>
        </x:is>
      </x:c>
      <x:c r="C3114" s="184" t="n">
        <x:v>14</x:v>
      </x:c>
      <x:c r="D3114" s="184" t="n">
        <x:v>0</x:v>
      </x:c>
      <x:c r="E3114" s="184" t="n">
        <x:v>0</x:v>
      </x:c>
      <x:c r="F3114" s="184" t="n">
        <x:v>14</x:v>
      </x:c>
      <x:c r="G3114" s="184" t="n">
        <x:v>40600</x:v>
      </x:c>
      <x:c r="H3114" s="193" t="n">
        <x:v>0</x:v>
      </x:c>
      <x:c r="I3114" s="185" t="n">
        <x:v>0</x:v>
      </x:c>
      <x:c r="J3114" s="185" t="n">
        <x:v>40600</x:v>
      </x:c>
      <x:c r="K3114" s="289" t="n">
        <x:v>2900</x:v>
      </x:c>
    </x:row>
    <x:row r="3115" s="117" customFormat="1" hidden="1">
      <x:c r="A3115" s="184" t="inlineStr">
        <x:is>
          <x:t xml:space="preserve">PPTTEES1763X</x:t>
        </x:is>
      </x:c>
      <x:c r="B3115" s="184" t="inlineStr">
        <x:is>
          <x:t xml:space="preserve">PP TEE 63X3.8 SDR17</x:t>
        </x:is>
      </x:c>
      <x:c r="C3115" s="184" t="n">
        <x:v>14</x:v>
      </x:c>
      <x:c r="D3115" s="184" t="n">
        <x:v>0</x:v>
      </x:c>
      <x:c r="E3115" s="184" t="n">
        <x:v>0</x:v>
      </x:c>
      <x:c r="F3115" s="184" t="n">
        <x:v>14</x:v>
      </x:c>
      <x:c r="G3115" s="184" t="n">
        <x:v>44800</x:v>
      </x:c>
      <x:c r="H3115" s="193" t="n">
        <x:v>0</x:v>
      </x:c>
      <x:c r="I3115" s="185" t="n">
        <x:v>0</x:v>
      </x:c>
      <x:c r="J3115" s="185" t="n">
        <x:v>44800</x:v>
      </x:c>
      <x:c r="K3115" s="289" t="n">
        <x:v>3200</x:v>
      </x:c>
    </x:row>
    <x:row r="3116" s="117" customFormat="1" hidden="1">
      <x:c r="A3116" s="184" t="inlineStr">
        <x:is>
          <x:t xml:space="preserve">PPTTEES1775X</x:t>
        </x:is>
      </x:c>
      <x:c r="B3116" s="184" t="inlineStr">
        <x:is>
          <x:t xml:space="preserve">PP TEE 75X4.3 SDR17</x:t>
        </x:is>
      </x:c>
      <x:c r="C3116" s="184" t="n">
        <x:v>2</x:v>
      </x:c>
      <x:c r="D3116" s="184" t="n">
        <x:v>0</x:v>
      </x:c>
      <x:c r="E3116" s="184" t="n">
        <x:v>0</x:v>
      </x:c>
      <x:c r="F3116" s="184" t="n">
        <x:v>2</x:v>
      </x:c>
      <x:c r="G3116" s="184" t="n">
        <x:v>11600</x:v>
      </x:c>
      <x:c r="H3116" s="193" t="n">
        <x:v>0</x:v>
      </x:c>
      <x:c r="I3116" s="185" t="n">
        <x:v>0</x:v>
      </x:c>
      <x:c r="J3116" s="185" t="n">
        <x:v>11600</x:v>
      </x:c>
      <x:c r="K3116" s="289" t="n">
        <x:v>5800</x:v>
      </x:c>
    </x:row>
    <x:row r="3117" s="117" customFormat="1" hidden="1">
      <x:c r="A3117" s="184" t="inlineStr">
        <x:is>
          <x:t xml:space="preserve">PPTTEES1790X</x:t>
        </x:is>
      </x:c>
      <x:c r="B3117" s="184" t="inlineStr">
        <x:is>
          <x:t xml:space="preserve">PP TEE 90MM SDR17</x:t>
        </x:is>
      </x:c>
      <x:c r="C3117" s="184" t="n">
        <x:v>89</x:v>
      </x:c>
      <x:c r="D3117" s="184" t="n">
        <x:v>0</x:v>
      </x:c>
      <x:c r="E3117" s="184" t="n">
        <x:v>0</x:v>
      </x:c>
      <x:c r="F3117" s="184" t="n">
        <x:v>89</x:v>
      </x:c>
      <x:c r="G3117" s="184" t="n">
        <x:v>1007332</x:v>
      </x:c>
      <x:c r="H3117" s="193" t="n">
        <x:v>0</x:v>
      </x:c>
      <x:c r="I3117" s="185" t="n">
        <x:v>0</x:v>
      </x:c>
      <x:c r="J3117" s="185" t="n">
        <x:v>1007332</x:v>
      </x:c>
      <x:c r="K3117" s="289" t="n">
        <x:v>11318.33009709</x:v>
      </x:c>
    </x:row>
    <x:row r="3118" s="117" customFormat="1" hidden="1">
      <x:c r="A3118" s="184" t="inlineStr">
        <x:is>
          <x:t xml:space="preserve">PPTTEES33001</x:t>
        </x:is>
      </x:c>
      <x:c r="B3118" s="184" t="inlineStr">
        <x:is>
          <x:t xml:space="preserve">TEE POLIPROPILENO 450 X 13.8 SDR33</x:t>
        </x:is>
      </x:c>
      <x:c r="C3118" s="184" t="n">
        <x:v>0</x:v>
      </x:c>
      <x:c r="D3118" s="184" t="n">
        <x:v>0</x:v>
      </x:c>
      <x:c r="E3118" s="184" t="n">
        <x:v>0</x:v>
      </x:c>
      <x:c r="F3118" s="184" t="n">
        <x:v>0</x:v>
      </x:c>
      <x:c r="G3118" s="184" t="n">
        <x:v>0</x:v>
      </x:c>
      <x:c r="H3118" s="193" t="n">
        <x:v>0</x:v>
      </x:c>
      <x:c r="I3118" s="185" t="n">
        <x:v>0</x:v>
      </x:c>
      <x:c r="J3118" s="185" t="n">
        <x:v>0</x:v>
      </x:c>
      <x:c r="K3118" s="289" t="n">
        <x:v>288900</x:v>
      </x:c>
    </x:row>
    <x:row r="3119" s="117" customFormat="1" hidden="1">
      <x:c r="A3119" s="184" t="inlineStr">
        <x:is>
          <x:t xml:space="preserve">PPTTEES33002</x:t>
        </x:is>
      </x:c>
      <x:c r="B3119" s="184" t="inlineStr">
        <x:is>
          <x:t xml:space="preserve">TEE POLIPROPILENO 200X63 SDR33</x:t>
        </x:is>
      </x:c>
      <x:c r="C3119" s="184" t="n">
        <x:v>5</x:v>
      </x:c>
      <x:c r="D3119" s="184" t="n">
        <x:v>0</x:v>
      </x:c>
      <x:c r="E3119" s="184" t="n">
        <x:v>0</x:v>
      </x:c>
      <x:c r="F3119" s="184" t="n">
        <x:v>5</x:v>
      </x:c>
      <x:c r="G3119" s="184" t="n">
        <x:v>176705</x:v>
      </x:c>
      <x:c r="H3119" s="193" t="n">
        <x:v>0</x:v>
      </x:c>
      <x:c r="I3119" s="185" t="n">
        <x:v>0</x:v>
      </x:c>
      <x:c r="J3119" s="185" t="n">
        <x:v>176705</x:v>
      </x:c>
      <x:c r="K3119" s="289" t="n">
        <x:v>35341</x:v>
      </x:c>
    </x:row>
    <x:row r="3120" s="117" customFormat="1" hidden="1">
      <x:c r="A3120" s="184" t="inlineStr">
        <x:is>
          <x:t xml:space="preserve">PPTTEES33110</x:t>
        </x:is>
      </x:c>
      <x:c r="B3120" s="184" t="inlineStr">
        <x:is>
          <x:t xml:space="preserve">PP TEE 110X3.9 SDR33</x:t>
        </x:is>
      </x:c>
      <x:c r="C3120" s="184" t="n">
        <x:v>42</x:v>
      </x:c>
      <x:c r="D3120" s="184" t="n">
        <x:v>0</x:v>
      </x:c>
      <x:c r="E3120" s="184" t="n">
        <x:v>0</x:v>
      </x:c>
      <x:c r="F3120" s="184" t="n">
        <x:v>42</x:v>
      </x:c>
      <x:c r="G3120" s="184" t="n">
        <x:v>309276</x:v>
      </x:c>
      <x:c r="H3120" s="193" t="n">
        <x:v>0</x:v>
      </x:c>
      <x:c r="I3120" s="185" t="n">
        <x:v>0</x:v>
      </x:c>
      <x:c r="J3120" s="185" t="n">
        <x:v>309276</x:v>
      </x:c>
      <x:c r="K3120" s="289" t="n">
        <x:v>7363.70562771</x:v>
      </x:c>
    </x:row>
    <x:row r="3121" s="117" customFormat="1" hidden="1">
      <x:c r="A3121" s="184" t="inlineStr">
        <x:is>
          <x:t xml:space="preserve">PPTTEES33160</x:t>
        </x:is>
      </x:c>
      <x:c r="B3121" s="184" t="inlineStr">
        <x:is>
          <x:t xml:space="preserve">PP TEE 160X4.9 SDR33</x:t>
        </x:is>
      </x:c>
      <x:c r="C3121" s="184" t="n">
        <x:v>1</x:v>
      </x:c>
      <x:c r="D3121" s="184" t="n">
        <x:v>0</x:v>
      </x:c>
      <x:c r="E3121" s="184" t="n">
        <x:v>0</x:v>
      </x:c>
      <x:c r="F3121" s="184" t="n">
        <x:v>1</x:v>
      </x:c>
      <x:c r="G3121" s="184" t="n">
        <x:v>20313</x:v>
      </x:c>
      <x:c r="H3121" s="193" t="n">
        <x:v>0</x:v>
      </x:c>
      <x:c r="I3121" s="185" t="n">
        <x:v>0</x:v>
      </x:c>
      <x:c r="J3121" s="185" t="n">
        <x:v>20313</x:v>
      </x:c>
      <x:c r="K3121" s="289" t="n">
        <x:v>20313</x:v>
      </x:c>
    </x:row>
    <x:row r="3122" s="117" customFormat="1" hidden="1">
      <x:c r="A3122" s="184" t="inlineStr">
        <x:is>
          <x:t xml:space="preserve">PPTTEES33200</x:t>
        </x:is>
      </x:c>
      <x:c r="B3122" s="184" t="inlineStr">
        <x:is>
          <x:t xml:space="preserve">PP TEE 200X6.2 SDR33</x:t>
        </x:is>
      </x:c>
      <x:c r="C3122" s="184" t="n">
        <x:v>5</x:v>
      </x:c>
      <x:c r="D3122" s="184" t="n">
        <x:v>0</x:v>
      </x:c>
      <x:c r="E3122" s="184" t="n">
        <x:v>0</x:v>
      </x:c>
      <x:c r="F3122" s="184" t="n">
        <x:v>5</x:v>
      </x:c>
      <x:c r="G3122" s="184" t="n">
        <x:v>206705</x:v>
      </x:c>
      <x:c r="H3122" s="193" t="n">
        <x:v>0</x:v>
      </x:c>
      <x:c r="I3122" s="185" t="n">
        <x:v>0</x:v>
      </x:c>
      <x:c r="J3122" s="185" t="n">
        <x:v>206705</x:v>
      </x:c>
      <x:c r="K3122" s="289" t="n">
        <x:v>41341</x:v>
      </x:c>
    </x:row>
    <x:row r="3123" s="117" customFormat="1" hidden="1">
      <x:c r="A3123" s="184" t="inlineStr">
        <x:is>
          <x:t xml:space="preserve">PPTTEES33250</x:t>
        </x:is>
      </x:c>
      <x:c r="B3123" s="184" t="inlineStr">
        <x:is>
          <x:t xml:space="preserve">PP TEE 250X7.7 SDR33</x:t>
        </x:is>
      </x:c>
      <x:c r="C3123" s="184" t="n">
        <x:v>7</x:v>
      </x:c>
      <x:c r="D3123" s="184" t="n">
        <x:v>0</x:v>
      </x:c>
      <x:c r="E3123" s="184" t="n">
        <x:v>0</x:v>
      </x:c>
      <x:c r="F3123" s="184" t="n">
        <x:v>7</x:v>
      </x:c>
      <x:c r="G3123" s="184" t="n">
        <x:v>870577</x:v>
      </x:c>
      <x:c r="H3123" s="193" t="n">
        <x:v>0</x:v>
      </x:c>
      <x:c r="I3123" s="185" t="n">
        <x:v>0</x:v>
      </x:c>
      <x:c r="J3123" s="185" t="n">
        <x:v>870577</x:v>
      </x:c>
      <x:c r="K3123" s="289" t="n">
        <x:v>124368.515</x:v>
      </x:c>
    </x:row>
    <x:row r="3124" s="117" customFormat="1" hidden="1">
      <x:c r="A3124" s="184" t="inlineStr">
        <x:is>
          <x:t xml:space="preserve">PPTTEES33315</x:t>
        </x:is>
      </x:c>
      <x:c r="B3124" s="184" t="inlineStr">
        <x:is>
          <x:t xml:space="preserve">PP TEE 315X9.7 SDR33</x:t>
        </x:is>
      </x:c>
      <x:c r="C3124" s="184" t="n">
        <x:v>0</x:v>
      </x:c>
      <x:c r="D3124" s="184" t="n">
        <x:v>0</x:v>
      </x:c>
      <x:c r="E3124" s="184" t="n">
        <x:v>0</x:v>
      </x:c>
      <x:c r="F3124" s="184" t="n">
        <x:v>0</x:v>
      </x:c>
      <x:c r="G3124" s="184" t="n">
        <x:v>-1</x:v>
      </x:c>
      <x:c r="H3124" s="193" t="n">
        <x:v>0</x:v>
      </x:c>
      <x:c r="I3124" s="185" t="n">
        <x:v>0</x:v>
      </x:c>
      <x:c r="J3124" s="185" t="n">
        <x:v>-1</x:v>
      </x:c>
      <x:c r="K3124" s="289" t="n">
        <x:v>254709.96875</x:v>
      </x:c>
    </x:row>
    <x:row r="3125" s="117" customFormat="1" hidden="1">
      <x:c r="A3125" s="184" t="inlineStr">
        <x:is>
          <x:t xml:space="preserve">PPTTEES33355</x:t>
        </x:is>
      </x:c>
      <x:c r="B3125" s="184" t="inlineStr">
        <x:is>
          <x:t xml:space="preserve">PP TEE 355X10.9 SDR33</x:t>
        </x:is>
      </x:c>
      <x:c r="C3125" s="184" t="n">
        <x:v>5</x:v>
      </x:c>
      <x:c r="D3125" s="184" t="n">
        <x:v>0</x:v>
      </x:c>
      <x:c r="E3125" s="184" t="n">
        <x:v>0</x:v>
      </x:c>
      <x:c r="F3125" s="184" t="n">
        <x:v>5</x:v>
      </x:c>
      <x:c r="G3125" s="184" t="n">
        <x:v>962800</x:v>
      </x:c>
      <x:c r="H3125" s="193" t="n">
        <x:v>0</x:v>
      </x:c>
      <x:c r="I3125" s="185" t="n">
        <x:v>0</x:v>
      </x:c>
      <x:c r="J3125" s="185" t="n">
        <x:v>962800</x:v>
      </x:c>
      <x:c r="K3125" s="289" t="n">
        <x:v>192560</x:v>
      </x:c>
    </x:row>
    <x:row r="3126" s="117" customFormat="1" hidden="1">
      <x:c r="A3126" s="184" t="inlineStr">
        <x:is>
          <x:t xml:space="preserve">PPTTEES33400</x:t>
        </x:is>
      </x:c>
      <x:c r="B3126" s="184" t="inlineStr">
        <x:is>
          <x:t xml:space="preserve">PP TEE 400X12.3 SDR33</x:t>
        </x:is>
      </x:c>
      <x:c r="C3126" s="184" t="n">
        <x:v>17</x:v>
      </x:c>
      <x:c r="D3126" s="184" t="n">
        <x:v>0</x:v>
      </x:c>
      <x:c r="E3126" s="184" t="n">
        <x:v>0</x:v>
      </x:c>
      <x:c r="F3126" s="184" t="n">
        <x:v>17</x:v>
      </x:c>
      <x:c r="G3126" s="184" t="n">
        <x:v>7789177</x:v>
      </x:c>
      <x:c r="H3126" s="193" t="n">
        <x:v>0</x:v>
      </x:c>
      <x:c r="I3126" s="185" t="n">
        <x:v>0</x:v>
      </x:c>
      <x:c r="J3126" s="185" t="n">
        <x:v>7789177</x:v>
      </x:c>
      <x:c r="K3126" s="289" t="n">
        <x:v>458186.98299517</x:v>
      </x:c>
    </x:row>
    <x:row r="3127" s="117" customFormat="1" hidden="1">
      <x:c r="A3127" s="184" t="inlineStr">
        <x:is>
          <x:t xml:space="preserve">PPTTEES33500</x:t>
        </x:is>
      </x:c>
      <x:c r="B3127" s="184" t="inlineStr">
        <x:is>
          <x:t xml:space="preserve">TEE 90 GRD PPR GRIS 500X15.3 SDR33 LADOS CORTOS</x:t>
        </x:is>
      </x:c>
      <x:c r="C3127" s="184" t="n">
        <x:v>3</x:v>
      </x:c>
      <x:c r="D3127" s="184" t="n">
        <x:v>0</x:v>
      </x:c>
      <x:c r="E3127" s="184" t="n">
        <x:v>0</x:v>
      </x:c>
      <x:c r="F3127" s="184" t="n">
        <x:v>3</x:v>
      </x:c>
      <x:c r="G3127" s="184" t="n">
        <x:v>2176917</x:v>
      </x:c>
      <x:c r="H3127" s="193" t="n">
        <x:v>0</x:v>
      </x:c>
      <x:c r="I3127" s="185" t="n">
        <x:v>0</x:v>
      </x:c>
      <x:c r="J3127" s="185" t="n">
        <x:v>2176917</x:v>
      </x:c>
      <x:c r="K3127" s="289" t="n">
        <x:v>725639</x:v>
      </x:c>
    </x:row>
    <x:row r="3128" s="117" customFormat="1" hidden="1">
      <x:c r="A3128" s="184" t="inlineStr">
        <x:is>
          <x:t xml:space="preserve">PPTTEES33501</x:t>
        </x:is>
      </x:c>
      <x:c r="B3128" s="184" t="inlineStr">
        <x:is>
          <x:t xml:space="preserve">FLANGE PP - FRP GRIS ANSI 4" / 110 16 BAR</x:t>
        </x:is>
      </x:c>
      <x:c r="C3128" s="184" t="n">
        <x:v>20</x:v>
      </x:c>
      <x:c r="D3128" s="184" t="n">
        <x:v>0</x:v>
      </x:c>
      <x:c r="E3128" s="184" t="n">
        <x:v>0</x:v>
      </x:c>
      <x:c r="F3128" s="184" t="n">
        <x:v>20</x:v>
      </x:c>
      <x:c r="G3128" s="184" t="n">
        <x:v>326000</x:v>
      </x:c>
      <x:c r="H3128" s="193" t="n">
        <x:v>0</x:v>
      </x:c>
      <x:c r="I3128" s="185" t="n">
        <x:v>0</x:v>
      </x:c>
      <x:c r="J3128" s="185" t="n">
        <x:v>326000</x:v>
      </x:c>
      <x:c r="K3128" s="289" t="n">
        <x:v>16300</x:v>
      </x:c>
    </x:row>
    <x:row r="3129" s="117" customFormat="1" hidden="1">
      <x:c r="A3129" s="184" t="inlineStr">
        <x:is>
          <x:t xml:space="preserve">PVP001001001</x:t>
        </x:is>
      </x:c>
      <x:c r="B3129" s="184" t="inlineStr">
        <x:is>
          <x:t xml:space="preserve">ARENA ABRASIVA G-800 FLOW</x:t>
        </x:is>
      </x:c>
      <x:c r="C3129" s="184" t="n">
        <x:v>33500</x:v>
      </x:c>
      <x:c r="D3129" s="184" t="n">
        <x:v>0</x:v>
      </x:c>
      <x:c r="E3129" s="184" t="n">
        <x:v>0</x:v>
      </x:c>
      <x:c r="F3129" s="184" t="n">
        <x:v>33500</x:v>
      </x:c>
      <x:c r="G3129" s="184" t="n">
        <x:v>17694997</x:v>
      </x:c>
      <x:c r="H3129" s="193" t="n">
        <x:v>0</x:v>
      </x:c>
      <x:c r="I3129" s="185" t="n">
        <x:v>0</x:v>
      </x:c>
      <x:c r="J3129" s="185" t="n">
        <x:v>17694997</x:v>
      </x:c>
      <x:c r="K3129" s="289" t="n">
        <x:v>528.20888889</x:v>
      </x:c>
    </x:row>
    <x:row r="3130" s="117" customFormat="1" hidden="1">
      <x:c r="A3130" s="184" t="inlineStr">
        <x:is>
          <x:t xml:space="preserve">PVP001001002</x:t>
        </x:is>
      </x:c>
      <x:c r="B3130" s="184" t="inlineStr">
        <x:is>
          <x:t xml:space="preserve">STUD BOLT SS316 (FULL THREAD) 1.1/4 PLG UNC 7 T</x:t>
        </x:is>
      </x:c>
      <x:c r="C3130" s="184" t="n">
        <x:v>0</x:v>
      </x:c>
      <x:c r="D3130" s="184" t="n">
        <x:v>0</x:v>
      </x:c>
      <x:c r="E3130" s="184" t="n">
        <x:v>0</x:v>
      </x:c>
      <x:c r="F3130" s="184" t="n">
        <x:v>0</x:v>
      </x:c>
      <x:c r="G3130" s="184" t="n">
        <x:v>0</x:v>
      </x:c>
      <x:c r="H3130" s="193" t="n">
        <x:v>0</x:v>
      </x:c>
      <x:c r="I3130" s="185" t="n">
        <x:v>0</x:v>
      </x:c>
      <x:c r="J3130" s="185" t="n">
        <x:v>0</x:v>
      </x:c>
      <x:c r="K3130" s="289" t="n">
        <x:v>0</x:v>
      </x:c>
    </x:row>
    <x:row r="3131" s="117" customFormat="1" hidden="1">
      <x:c r="A3131" s="184" t="inlineStr">
        <x:is>
          <x:t xml:space="preserve">PVP001001003</x:t>
        </x:is>
      </x:c>
      <x:c r="B3131" s="184" t="inlineStr">
        <x:is>
          <x:t xml:space="preserve">NUST SS316 1.1/4 PLG UNC 7 THREAD</x:t>
        </x:is>
      </x:c>
      <x:c r="C3131" s="184" t="n">
        <x:v>0</x:v>
      </x:c>
      <x:c r="D3131" s="184" t="n">
        <x:v>0</x:v>
      </x:c>
      <x:c r="E3131" s="184" t="n">
        <x:v>0</x:v>
      </x:c>
      <x:c r="F3131" s="184" t="n">
        <x:v>0</x:v>
      </x:c>
      <x:c r="G3131" s="184" t="n">
        <x:v>0</x:v>
      </x:c>
      <x:c r="H3131" s="193" t="n">
        <x:v>0</x:v>
      </x:c>
      <x:c r="I3131" s="185" t="n">
        <x:v>0</x:v>
      </x:c>
      <x:c r="J3131" s="185" t="n">
        <x:v>0</x:v>
      </x:c>
      <x:c r="K3131" s="289" t="n">
        <x:v>0</x:v>
      </x:c>
    </x:row>
    <x:row r="3132" s="117" customFormat="1" hidden="1">
      <x:c r="A3132" s="184" t="inlineStr">
        <x:is>
          <x:t xml:space="preserve">PVP001001004</x:t>
        </x:is>
      </x:c>
      <x:c r="B3132" s="184" t="inlineStr">
        <x:is>
          <x:t xml:space="preserve">WHASERS SS316 FOR BOLT 1-DIAM 1/4 INCH UNC</x:t>
        </x:is>
      </x:c>
      <x:c r="C3132" s="184" t="n">
        <x:v>0</x:v>
      </x:c>
      <x:c r="D3132" s="184" t="n">
        <x:v>0</x:v>
      </x:c>
      <x:c r="E3132" s="184" t="n">
        <x:v>0</x:v>
      </x:c>
      <x:c r="F3132" s="184" t="n">
        <x:v>0</x:v>
      </x:c>
      <x:c r="G3132" s="184" t="n">
        <x:v>0</x:v>
      </x:c>
      <x:c r="H3132" s="193" t="n">
        <x:v>0</x:v>
      </x:c>
      <x:c r="I3132" s="185" t="n">
        <x:v>0</x:v>
      </x:c>
      <x:c r="J3132" s="185" t="n">
        <x:v>0</x:v>
      </x:c>
      <x:c r="K3132" s="289" t="n">
        <x:v>0</x:v>
      </x:c>
    </x:row>
    <x:row r="3133" s="117" customFormat="1" hidden="1">
      <x:c r="A3133" s="184" t="inlineStr">
        <x:is>
          <x:t xml:space="preserve">PVP001001005</x:t>
        </x:is>
      </x:c>
      <x:c r="B3133" s="184" t="inlineStr">
        <x:is>
          <x:t xml:space="preserve">ANILLO RET. C/PAS. DE 3/4 x 1.5/8 (JRR07526)</x:t>
        </x:is>
      </x:c>
      <x:c r="C3133" s="184" t="n">
        <x:v>0</x:v>
      </x:c>
      <x:c r="D3133" s="184" t="n">
        <x:v>0</x:v>
      </x:c>
      <x:c r="E3133" s="184" t="n">
        <x:v>0</x:v>
      </x:c>
      <x:c r="F3133" s="184" t="n">
        <x:v>0</x:v>
      </x:c>
      <x:c r="G3133" s="184" t="n">
        <x:v>0</x:v>
      </x:c>
      <x:c r="H3133" s="193" t="n">
        <x:v>0</x:v>
      </x:c>
      <x:c r="I3133" s="185" t="n">
        <x:v>0</x:v>
      </x:c>
      <x:c r="J3133" s="185" t="n">
        <x:v>0</x:v>
      </x:c>
      <x:c r="K3133" s="289" t="n">
        <x:v>0</x:v>
      </x:c>
    </x:row>
    <x:row r="3134" s="117" customFormat="1" hidden="1">
      <x:c r="A3134" s="184" t="inlineStr">
        <x:is>
          <x:t xml:space="preserve">PVP001001006</x:t>
        </x:is>
      </x:c>
      <x:c r="B3134" s="184" t="inlineStr">
        <x:is>
          <x:t xml:space="preserve">KIT DE ACERO SMO PARA MANTOS COPPER -OC-72368</x:t>
        </x:is>
      </x:c>
      <x:c r="C3134" s="184" t="n">
        <x:v>0</x:v>
      </x:c>
      <x:c r="D3134" s="184" t="n">
        <x:v>0</x:v>
      </x:c>
      <x:c r="E3134" s="184" t="n">
        <x:v>0</x:v>
      </x:c>
      <x:c r="F3134" s="184" t="n">
        <x:v>0</x:v>
      </x:c>
      <x:c r="G3134" s="184" t="n">
        <x:v>0</x:v>
      </x:c>
      <x:c r="H3134" s="193" t="n">
        <x:v>0</x:v>
      </x:c>
      <x:c r="I3134" s="185" t="n">
        <x:v>0</x:v>
      </x:c>
      <x:c r="J3134" s="185" t="n">
        <x:v>0</x:v>
      </x:c>
      <x:c r="K3134" s="289" t="n">
        <x:v>2028880</x:v>
      </x:c>
    </x:row>
    <x:row r="3135" s="117" customFormat="1" hidden="1">
      <x:c r="A3135" s="184" t="inlineStr">
        <x:is>
          <x:t xml:space="preserve">RESISOSTD400</x:t>
        </x:is>
      </x:c>
      <x:c r="B3135" s="184" t="inlineStr">
        <x:is>
          <x:t xml:space="preserve">RESINA PALATAL A400 - 230KG TAMBOR (ISOFTALICA)</x:t>
        </x:is>
      </x:c>
      <x:c r="C3135" s="184" t="n">
        <x:v>1600</x:v>
      </x:c>
      <x:c r="D3135" s="184" t="n">
        <x:v>0</x:v>
      </x:c>
      <x:c r="E3135" s="184" t="n">
        <x:v>90</x:v>
      </x:c>
      <x:c r="F3135" s="184" t="n">
        <x:v>1510</x:v>
      </x:c>
      <x:c r="G3135" s="184" t="n">
        <x:v>4336429</x:v>
      </x:c>
      <x:c r="H3135" s="193" t="n">
        <x:v>0</x:v>
      </x:c>
      <x:c r="I3135" s="185" t="n">
        <x:v>243924</x:v>
      </x:c>
      <x:c r="J3135" s="185" t="n">
        <x:v>4092505</x:v>
      </x:c>
      <x:c r="K3135" s="289" t="n">
        <x:v>2710.26928852</x:v>
      </x:c>
    </x:row>
    <x:row r="3136" s="117" customFormat="1" hidden="1">
      <x:c r="A3136" s="184" t="inlineStr">
        <x:is>
          <x:t xml:space="preserve">RESISOSTD870</x:t>
        </x:is>
      </x:c>
      <x:c r="B3136" s="184" t="inlineStr">
        <x:is>
          <x:t xml:space="preserve">RESINA ISOFTALICA CRISTALAN 870 (230KG TAMBOR)</x:t>
        </x:is>
      </x:c>
      <x:c r="C3136" s="184" t="n">
        <x:v>0</x:v>
      </x:c>
      <x:c r="D3136" s="184" t="n">
        <x:v>0</x:v>
      </x:c>
      <x:c r="E3136" s="184" t="n">
        <x:v>0</x:v>
      </x:c>
      <x:c r="F3136" s="184" t="n">
        <x:v>0</x:v>
      </x:c>
      <x:c r="G3136" s="184" t="n">
        <x:v>0</x:v>
      </x:c>
      <x:c r="H3136" s="193" t="n">
        <x:v>0</x:v>
      </x:c>
      <x:c r="I3136" s="185" t="n">
        <x:v>0</x:v>
      </x:c>
      <x:c r="J3136" s="185" t="n">
        <x:v>0</x:v>
      </x:c>
      <x:c r="K3136" s="289" t="n">
        <x:v>1958</x:v>
      </x:c>
    </x:row>
    <x:row r="3137" s="117" customFormat="1" hidden="1">
      <x:c r="A3137" s="184" t="inlineStr">
        <x:is>
          <x:t xml:space="preserve">RESISOSTDBP4</x:t>
        </x:is>
      </x:c>
      <x:c r="B3137" s="184" t="inlineStr">
        <x:is>
          <x:t xml:space="preserve">RESINA PALATAL P4 220KG TAMBOR (ISOFTALICA)</x:t>
        </x:is>
      </x:c>
      <x:c r="C3137" s="184" t="n">
        <x:v>0</x:v>
      </x:c>
      <x:c r="D3137" s="184" t="n">
        <x:v>0</x:v>
      </x:c>
      <x:c r="E3137" s="184" t="n">
        <x:v>0</x:v>
      </x:c>
      <x:c r="F3137" s="184" t="n">
        <x:v>0</x:v>
      </x:c>
      <x:c r="G3137" s="184" t="n">
        <x:v>0</x:v>
      </x:c>
      <x:c r="H3137" s="193" t="n">
        <x:v>0</x:v>
      </x:c>
      <x:c r="I3137" s="185" t="n">
        <x:v>0</x:v>
      </x:c>
      <x:c r="J3137" s="185" t="n">
        <x:v>0</x:v>
      </x:c>
      <x:c r="K3137" s="289" t="n">
        <x:v>1947.6</x:v>
      </x:c>
    </x:row>
    <x:row r="3138" s="117" customFormat="1" hidden="1">
      <x:c r="A3138" s="184" t="inlineStr">
        <x:is>
          <x:t xml:space="preserve">RESISOSTDP88</x:t>
        </x:is>
      </x:c>
      <x:c r="B3138" s="184" t="inlineStr">
        <x:is>
          <x:t xml:space="preserve">RESINA PALATAL P88Z 220KG TAMBOR (ISOFTALICA)</x:t>
        </x:is>
      </x:c>
      <x:c r="C3138" s="184" t="n">
        <x:v>0</x:v>
      </x:c>
      <x:c r="D3138" s="184" t="n">
        <x:v>0</x:v>
      </x:c>
      <x:c r="E3138" s="184" t="n">
        <x:v>0</x:v>
      </x:c>
      <x:c r="F3138" s="184" t="n">
        <x:v>0</x:v>
      </x:c>
      <x:c r="G3138" s="184" t="n">
        <x:v>0</x:v>
      </x:c>
      <x:c r="H3138" s="193" t="n">
        <x:v>0</x:v>
      </x:c>
      <x:c r="I3138" s="185" t="n">
        <x:v>0</x:v>
      </x:c>
      <x:c r="J3138" s="185" t="n">
        <x:v>0</x:v>
      </x:c>
      <x:c r="K3138" s="289" t="n">
        <x:v>3443.51</x:v>
      </x:c>
    </x:row>
    <x:row r="3139" s="117" customFormat="1" hidden="1">
      <x:c r="A3139" s="184" t="inlineStr">
        <x:is>
          <x:t xml:space="preserve">RESPLAISO932</x:t>
        </x:is>
      </x:c>
      <x:c r="B3139" s="184" t="inlineStr">
        <x:is>
          <x:t xml:space="preserve">RESINA POLYLITE 93279-00 (ISOFTALICA) REICHHOLD</x:t>
        </x:is>
      </x:c>
      <x:c r="C3139" s="184" t="n">
        <x:v>0</x:v>
      </x:c>
      <x:c r="D3139" s="184" t="n">
        <x:v>0</x:v>
      </x:c>
      <x:c r="E3139" s="184" t="n">
        <x:v>0</x:v>
      </x:c>
      <x:c r="F3139" s="184" t="n">
        <x:v>0</x:v>
      </x:c>
      <x:c r="G3139" s="184" t="n">
        <x:v>0</x:v>
      </x:c>
      <x:c r="H3139" s="193" t="n">
        <x:v>0</x:v>
      </x:c>
      <x:c r="I3139" s="185" t="n">
        <x:v>0</x:v>
      </x:c>
      <x:c r="J3139" s="185" t="n">
        <x:v>0</x:v>
      </x:c>
      <x:c r="K3139" s="289" t="n">
        <x:v>2314</x:v>
      </x:c>
    </x:row>
    <x:row r="3140" s="117" customFormat="1" hidden="1">
      <x:c r="A3140" s="184" t="inlineStr">
        <x:is>
          <x:t xml:space="preserve">RESPLAISONPG</x:t>
        </x:is>
      </x:c>
      <x:c r="B3140" s="184" t="inlineStr">
        <x:is>
          <x:t xml:space="preserve">RESINA ISO- NPG PLASTIQUIMICA</x:t>
        </x:is>
      </x:c>
      <x:c r="C3140" s="184" t="n">
        <x:v>0</x:v>
      </x:c>
      <x:c r="D3140" s="184" t="n">
        <x:v>0</x:v>
      </x:c>
      <x:c r="E3140" s="184" t="n">
        <x:v>0</x:v>
      </x:c>
      <x:c r="F3140" s="184" t="n">
        <x:v>0</x:v>
      </x:c>
      <x:c r="G3140" s="184" t="n">
        <x:v>0</x:v>
      </x:c>
      <x:c r="H3140" s="193" t="n">
        <x:v>0</x:v>
      </x:c>
      <x:c r="I3140" s="185" t="n">
        <x:v>0</x:v>
      </x:c>
      <x:c r="J3140" s="185" t="n">
        <x:v>0</x:v>
      </x:c>
      <x:c r="K3140" s="289" t="n">
        <x:v>4742</x:v>
      </x:c>
    </x:row>
    <x:row r="3141" s="117" customFormat="1" hidden="1">
      <x:c r="A3141" s="184" t="inlineStr">
        <x:is>
          <x:t xml:space="preserve">RESVIN0FR905</x:t>
        </x:is>
      </x:c>
      <x:c r="B3141" s="184" t="inlineStr">
        <x:is>
          <x:t xml:space="preserve">RESINA VINILESTER FR SWANCOR 905C RETARDANTE A LA LLAMA</x:t>
        </x:is>
      </x:c>
      <x:c r="C3141" s="184" t="n">
        <x:v>0</x:v>
      </x:c>
      <x:c r="D3141" s="184" t="n">
        <x:v>0</x:v>
      </x:c>
      <x:c r="E3141" s="184" t="n">
        <x:v>0</x:v>
      </x:c>
      <x:c r="F3141" s="184" t="n">
        <x:v>0</x:v>
      </x:c>
      <x:c r="G3141" s="184" t="n">
        <x:v>0</x:v>
      </x:c>
      <x:c r="H3141" s="193" t="n">
        <x:v>0</x:v>
      </x:c>
      <x:c r="I3141" s="185" t="n">
        <x:v>0</x:v>
      </x:c>
      <x:c r="J3141" s="185" t="n">
        <x:v>0</x:v>
      </x:c>
      <x:c r="K3141" s="289" t="n">
        <x:v>4669</x:v>
      </x:c>
    </x:row>
    <x:row r="3142" s="117" customFormat="1" hidden="1">
      <x:c r="A3142" s="184" t="inlineStr">
        <x:is>
          <x:t xml:space="preserve">RESVINBAS430</x:t>
        </x:is>
      </x:c>
      <x:c r="B3142" s="184" t="inlineStr">
        <x:is>
          <x:t xml:space="preserve">RESINA PALATAL A430 (200 KG/TAMBOR) NO USAR</x:t>
        </x:is>
      </x:c>
      <x:c r="C3142" s="184" t="n">
        <x:v>0</x:v>
      </x:c>
      <x:c r="D3142" s="184" t="n">
        <x:v>0</x:v>
      </x:c>
      <x:c r="E3142" s="184" t="n">
        <x:v>0</x:v>
      </x:c>
      <x:c r="F3142" s="184" t="n">
        <x:v>0</x:v>
      </x:c>
      <x:c r="G3142" s="184" t="n">
        <x:v>-1</x:v>
      </x:c>
      <x:c r="H3142" s="193" t="n">
        <x:v>0</x:v>
      </x:c>
      <x:c r="I3142" s="185" t="n">
        <x:v>0</x:v>
      </x:c>
      <x:c r="J3142" s="185" t="n">
        <x:v>-1</x:v>
      </x:c>
      <x:c r="K3142" s="289" t="n">
        <x:v>2999.3</x:v>
      </x:c>
    </x:row>
    <x:row r="3143" s="117" customFormat="1" hidden="1">
      <x:c r="A3143" s="184" t="inlineStr">
        <x:is>
          <x:t xml:space="preserve">RESVINBASAFR</x:t>
        </x:is>
      </x:c>
      <x:c r="B3143" s="184" t="inlineStr">
        <x:is>
          <x:t xml:space="preserve">RESINA PALATAL A430FR (230 KG/TAMBOR)</x:t>
        </x:is>
      </x:c>
      <x:c r="C3143" s="184" t="n">
        <x:v>960</x:v>
      </x:c>
      <x:c r="D3143" s="184" t="n">
        <x:v>0</x:v>
      </x:c>
      <x:c r="E3143" s="184" t="n">
        <x:v>0</x:v>
      </x:c>
      <x:c r="F3143" s="184" t="n">
        <x:v>960</x:v>
      </x:c>
      <x:c r="G3143" s="184" t="n">
        <x:v>6554126</x:v>
      </x:c>
      <x:c r="H3143" s="193" t="n">
        <x:v>0</x:v>
      </x:c>
      <x:c r="I3143" s="185" t="n">
        <x:v>0</x:v>
      </x:c>
      <x:c r="J3143" s="185" t="n">
        <x:v>6554126</x:v>
      </x:c>
      <x:c r="K3143" s="289" t="n">
        <x:v>6827.21343073</x:v>
      </x:c>
    </x:row>
    <x:row r="3144" s="117" customFormat="1" hidden="1">
      <x:c r="A3144" s="184" t="inlineStr">
        <x:is>
          <x:t xml:space="preserve">RESVINDER400</x:t>
        </x:is>
      </x:c>
      <x:c r="B3144" s="184" t="inlineStr">
        <x:is>
          <x:t xml:space="preserve">RESINA DERAKANE 510B-400 (FIRE RESISTANCE)</x:t>
        </x:is>
      </x:c>
      <x:c r="C3144" s="184" t="n">
        <x:v>0</x:v>
      </x:c>
      <x:c r="D3144" s="184" t="n">
        <x:v>0</x:v>
      </x:c>
      <x:c r="E3144" s="184" t="n">
        <x:v>0</x:v>
      </x:c>
      <x:c r="F3144" s="184" t="n">
        <x:v>0</x:v>
      </x:c>
      <x:c r="G3144" s="184" t="n">
        <x:v>0</x:v>
      </x:c>
      <x:c r="H3144" s="193" t="n">
        <x:v>0</x:v>
      </x:c>
      <x:c r="I3144" s="185" t="n">
        <x:v>0</x:v>
      </x:c>
      <x:c r="J3144" s="185" t="n">
        <x:v>0</x:v>
      </x:c>
      <x:c r="K3144" s="289" t="n">
        <x:v>0</x:v>
      </x:c>
    </x:row>
    <x:row r="3145" s="117" customFormat="1" hidden="1">
      <x:c r="A3145" s="184" t="inlineStr">
        <x:is>
          <x:t xml:space="preserve">RESVINDER411</x:t>
        </x:is>
      </x:c>
      <x:c r="B3145" s="184" t="inlineStr">
        <x:is>
          <x:t xml:space="preserve">RESINA DERAKANE 411-350</x:t>
        </x:is>
      </x:c>
      <x:c r="C3145" s="184" t="n">
        <x:v>0</x:v>
      </x:c>
      <x:c r="D3145" s="184" t="n">
        <x:v>0</x:v>
      </x:c>
      <x:c r="E3145" s="184" t="n">
        <x:v>0</x:v>
      </x:c>
      <x:c r="F3145" s="184" t="n">
        <x:v>0</x:v>
      </x:c>
      <x:c r="G3145" s="184" t="n">
        <x:v>0</x:v>
      </x:c>
      <x:c r="H3145" s="193" t="n">
        <x:v>0</x:v>
      </x:c>
      <x:c r="I3145" s="185" t="n">
        <x:v>0</x:v>
      </x:c>
      <x:c r="J3145" s="185" t="n">
        <x:v>0</x:v>
      </x:c>
      <x:c r="K3145" s="289" t="n">
        <x:v>0</x:v>
      </x:c>
    </x:row>
    <x:row r="3146" s="117" customFormat="1" hidden="1">
      <x:c r="A3146" s="184" t="inlineStr">
        <x:is>
          <x:t xml:space="preserve">RESVINDER41S</x:t>
        </x:is>
      </x:c>
      <x:c r="B3146" s="184" t="inlineStr">
        <x:is>
          <x:t xml:space="preserve">RESINA VINILESTER DERAKANE SIGNIA 411</x:t>
        </x:is>
      </x:c>
      <x:c r="C3146" s="184" t="n">
        <x:v>0</x:v>
      </x:c>
      <x:c r="D3146" s="184" t="n">
        <x:v>0</x:v>
      </x:c>
      <x:c r="E3146" s="184" t="n">
        <x:v>0</x:v>
      </x:c>
      <x:c r="F3146" s="184" t="n">
        <x:v>0</x:v>
      </x:c>
      <x:c r="G3146" s="184" t="n">
        <x:v>1</x:v>
      </x:c>
      <x:c r="H3146" s="193" t="n">
        <x:v>0</x:v>
      </x:c>
      <x:c r="I3146" s="185" t="n">
        <x:v>0</x:v>
      </x:c>
      <x:c r="J3146" s="185" t="n">
        <x:v>1</x:v>
      </x:c>
      <x:c r="K3146" s="289" t="n">
        <x:v>7193.60869565</x:v>
      </x:c>
    </x:row>
    <x:row r="3147" s="117" customFormat="1" hidden="1">
      <x:c r="A3147" s="184" t="inlineStr">
        <x:is>
          <x:t xml:space="preserve">RESVINDER470</x:t>
        </x:is>
      </x:c>
      <x:c r="B3147" s="184" t="inlineStr">
        <x:is>
          <x:t xml:space="preserve">RESINA DERAKANE 470-300</x:t>
        </x:is>
      </x:c>
      <x:c r="C3147" s="184" t="n">
        <x:v>0</x:v>
      </x:c>
      <x:c r="D3147" s="184" t="n">
        <x:v>0</x:v>
      </x:c>
      <x:c r="E3147" s="184" t="n">
        <x:v>0</x:v>
      </x:c>
      <x:c r="F3147" s="184" t="n">
        <x:v>0</x:v>
      </x:c>
      <x:c r="G3147" s="184" t="n">
        <x:v>0</x:v>
      </x:c>
      <x:c r="H3147" s="193" t="n">
        <x:v>0</x:v>
      </x:c>
      <x:c r="I3147" s="185" t="n">
        <x:v>0</x:v>
      </x:c>
      <x:c r="J3147" s="185" t="n">
        <x:v>0</x:v>
      </x:c>
      <x:c r="K3147" s="289" t="n">
        <x:v>0</x:v>
      </x:c>
    </x:row>
    <x:row r="3148" s="117" customFormat="1" hidden="1">
      <x:c r="A3148" s="184" t="inlineStr">
        <x:is>
          <x:t xml:space="preserve">RESVINDER471</x:t>
        </x:is>
      </x:c>
      <x:c r="B3148" s="184" t="inlineStr">
        <x:is>
          <x:t xml:space="preserve">RESINA DERAKANE SIGNIA 470 - 205KG</x:t>
        </x:is>
      </x:c>
      <x:c r="C3148" s="184" t="n">
        <x:v>185</x:v>
      </x:c>
      <x:c r="D3148" s="184" t="n">
        <x:v>20</x:v>
      </x:c>
      <x:c r="E3148" s="184" t="n">
        <x:v>40</x:v>
      </x:c>
      <x:c r="F3148" s="184" t="n">
        <x:v>165</x:v>
      </x:c>
      <x:c r="G3148" s="184" t="n">
        <x:v>2153585</x:v>
      </x:c>
      <x:c r="H3148" s="193" t="n">
        <x:v>232820</x:v>
      </x:c>
      <x:c r="I3148" s="185" t="n">
        <x:v>465640</x:v>
      </x:c>
      <x:c r="J3148" s="185" t="n">
        <x:v>1920765</x:v>
      </x:c>
      <x:c r="K3148" s="289" t="n">
        <x:v>11641</x:v>
      </x:c>
    </x:row>
    <x:row r="3149" s="117" customFormat="1" hidden="1">
      <x:c r="A3149" s="184" t="inlineStr">
        <x:is>
          <x:t xml:space="preserve">RESVINDIO910</x:t>
        </x:is>
      </x:c>
      <x:c r="B3149" s="184" t="inlineStr">
        <x:is>
          <x:t xml:space="preserve">RESINA VINILESTER DION IMPACT 9102-55 (ESTANDAR) TAMBOR 205KG</x:t>
        </x:is>
      </x:c>
      <x:c r="C3149" s="184" t="n">
        <x:v>0</x:v>
      </x:c>
      <x:c r="D3149" s="184" t="n">
        <x:v>0</x:v>
      </x:c>
      <x:c r="E3149" s="184" t="n">
        <x:v>0</x:v>
      </x:c>
      <x:c r="F3149" s="184" t="n">
        <x:v>0</x:v>
      </x:c>
      <x:c r="G3149" s="184" t="n">
        <x:v>0</x:v>
      </x:c>
      <x:c r="H3149" s="193" t="n">
        <x:v>0</x:v>
      </x:c>
      <x:c r="I3149" s="185" t="n">
        <x:v>0</x:v>
      </x:c>
      <x:c r="J3149" s="185" t="n">
        <x:v>0</x:v>
      </x:c>
      <x:c r="K3149" s="289" t="n">
        <x:v>0</x:v>
      </x:c>
    </x:row>
    <x:row r="3150" s="117" customFormat="1" hidden="1">
      <x:c r="A3150" s="184" t="inlineStr">
        <x:is>
          <x:t xml:space="preserve">RESVINHET922</x:t>
        </x:is>
      </x:c>
      <x:c r="B3150" s="184" t="inlineStr">
        <x:is>
          <x:t xml:space="preserve">RESINA VINILESTER HETRON 922</x:t>
        </x:is>
      </x:c>
      <x:c r="C3150" s="184" t="n">
        <x:v>0</x:v>
      </x:c>
      <x:c r="D3150" s="184" t="n">
        <x:v>0</x:v>
      </x:c>
      <x:c r="E3150" s="184" t="n">
        <x:v>0</x:v>
      </x:c>
      <x:c r="F3150" s="184" t="n">
        <x:v>0</x:v>
      </x:c>
      <x:c r="G3150" s="184" t="n">
        <x:v>0</x:v>
      </x:c>
      <x:c r="H3150" s="193" t="n">
        <x:v>0</x:v>
      </x:c>
      <x:c r="I3150" s="185" t="n">
        <x:v>0</x:v>
      </x:c>
      <x:c r="J3150" s="185" t="n">
        <x:v>0</x:v>
      </x:c>
      <x:c r="K3150" s="289" t="n">
        <x:v>2401</x:v>
      </x:c>
    </x:row>
    <x:row r="3151" s="117" customFormat="1" hidden="1">
      <x:c r="A3151" s="184" t="inlineStr">
        <x:is>
          <x:t xml:space="preserve">RESVINNOV440</x:t>
        </x:is>
      </x:c>
      <x:c r="B3151" s="184" t="inlineStr">
        <x:is>
          <x:t xml:space="preserve">RESINA VINILESTER NOVOLAC PALATAL A440</x:t>
        </x:is>
      </x:c>
      <x:c r="C3151" s="184" t="n">
        <x:v>0</x:v>
      </x:c>
      <x:c r="D3151" s="184" t="n">
        <x:v>0</x:v>
      </x:c>
      <x:c r="E3151" s="184" t="n">
        <x:v>0</x:v>
      </x:c>
      <x:c r="F3151" s="184" t="n">
        <x:v>0</x:v>
      </x:c>
      <x:c r="G3151" s="184" t="n">
        <x:v>-1</x:v>
      </x:c>
      <x:c r="H3151" s="193" t="n">
        <x:v>0</x:v>
      </x:c>
      <x:c r="I3151" s="185" t="n">
        <x:v>0</x:v>
      </x:c>
      <x:c r="J3151" s="185" t="n">
        <x:v>-1</x:v>
      </x:c>
      <x:c r="K3151" s="289" t="n">
        <x:v>6816</x:v>
      </x:c>
    </x:row>
    <x:row r="3152" s="117" customFormat="1" hidden="1">
      <x:c r="A3152" s="184" t="inlineStr">
        <x:is>
          <x:t xml:space="preserve">RESVINNOV441</x:t>
        </x:is>
      </x:c>
      <x:c r="B3152" s="184" t="inlineStr">
        <x:is>
          <x:t xml:space="preserve">RESINA VINILESTER NOVOLAC PALATAL A441</x:t>
        </x:is>
      </x:c>
      <x:c r="C3152" s="184" t="n">
        <x:v>0</x:v>
      </x:c>
      <x:c r="D3152" s="184" t="n">
        <x:v>0</x:v>
      </x:c>
      <x:c r="E3152" s="184" t="n">
        <x:v>0</x:v>
      </x:c>
      <x:c r="F3152" s="184" t="n">
        <x:v>0</x:v>
      </x:c>
      <x:c r="G3152" s="184" t="n">
        <x:v>0</x:v>
      </x:c>
      <x:c r="H3152" s="193" t="n">
        <x:v>0</x:v>
      </x:c>
      <x:c r="I3152" s="185" t="n">
        <x:v>0</x:v>
      </x:c>
      <x:c r="J3152" s="185" t="n">
        <x:v>0</x:v>
      </x:c>
      <x:c r="K3152" s="289" t="n">
        <x:v>0</x:v>
      </x:c>
    </x:row>
    <x:row r="3153" s="117" customFormat="1" hidden="1">
      <x:c r="A3153" s="184" t="inlineStr">
        <x:is>
          <x:t xml:space="preserve">RESVINNOV907</x:t>
        </x:is>
      </x:c>
      <x:c r="B3153" s="184" t="inlineStr">
        <x:is>
          <x:t xml:space="preserve">RESINA VINILESTER NOVOLAC SWANCOR 907-1</x:t>
        </x:is>
      </x:c>
      <x:c r="C3153" s="184" t="n">
        <x:v>0</x:v>
      </x:c>
      <x:c r="D3153" s="184" t="n">
        <x:v>0</x:v>
      </x:c>
      <x:c r="E3153" s="184" t="n">
        <x:v>0</x:v>
      </x:c>
      <x:c r="F3153" s="184" t="n">
        <x:v>0</x:v>
      </x:c>
      <x:c r="G3153" s="184" t="n">
        <x:v>0</x:v>
      </x:c>
      <x:c r="H3153" s="193" t="n">
        <x:v>0</x:v>
      </x:c>
      <x:c r="I3153" s="185" t="n">
        <x:v>0</x:v>
      </x:c>
      <x:c r="J3153" s="185" t="n">
        <x:v>0</x:v>
      </x:c>
      <x:c r="K3153" s="289" t="n">
        <x:v>5071</x:v>
      </x:c>
    </x:row>
    <x:row r="3154" s="117" customFormat="1" hidden="1">
      <x:c r="A3154" s="184" t="inlineStr">
        <x:is>
          <x:t xml:space="preserve">RESVINSTD010</x:t>
        </x:is>
      </x:c>
      <x:c r="B3154" s="184" t="inlineStr">
        <x:is>
          <x:t xml:space="preserve">RESINA AOC VIPEL F010</x:t>
        </x:is>
      </x:c>
      <x:c r="C3154" s="184" t="n">
        <x:v>0</x:v>
      </x:c>
      <x:c r="D3154" s="184" t="n">
        <x:v>0</x:v>
      </x:c>
      <x:c r="E3154" s="184" t="n">
        <x:v>0</x:v>
      </x:c>
      <x:c r="F3154" s="184" t="n">
        <x:v>0</x:v>
      </x:c>
      <x:c r="G3154" s="184" t="n">
        <x:v>0</x:v>
      </x:c>
      <x:c r="H3154" s="193" t="n">
        <x:v>0</x:v>
      </x:c>
      <x:c r="I3154" s="185" t="n">
        <x:v>0</x:v>
      </x:c>
      <x:c r="J3154" s="185" t="n">
        <x:v>0</x:v>
      </x:c>
      <x:c r="K3154" s="289" t="n">
        <x:v>4560</x:v>
      </x:c>
    </x:row>
    <x:row r="3155" s="117" customFormat="1" hidden="1">
      <x:c r="A3155" s="184" t="inlineStr">
        <x:is>
          <x:t xml:space="preserve">RESVINSTD013</x:t>
        </x:is>
      </x:c>
      <x:c r="B3155" s="184" t="inlineStr">
        <x:is>
          <x:t xml:space="preserve">RESINA AOC VIPEL F013</x:t>
        </x:is>
      </x:c>
      <x:c r="C3155" s="184" t="n">
        <x:v>0</x:v>
      </x:c>
      <x:c r="D3155" s="184" t="n">
        <x:v>0</x:v>
      </x:c>
      <x:c r="E3155" s="184" t="n">
        <x:v>0</x:v>
      </x:c>
      <x:c r="F3155" s="184" t="n">
        <x:v>0</x:v>
      </x:c>
      <x:c r="G3155" s="184" t="n">
        <x:v>0</x:v>
      </x:c>
      <x:c r="H3155" s="193" t="n">
        <x:v>0</x:v>
      </x:c>
      <x:c r="I3155" s="185" t="n">
        <x:v>0</x:v>
      </x:c>
      <x:c r="J3155" s="185" t="n">
        <x:v>0</x:v>
      </x:c>
      <x:c r="K3155" s="289" t="n">
        <x:v>0</x:v>
      </x:c>
    </x:row>
    <x:row r="3156" s="117" customFormat="1" hidden="1">
      <x:c r="A3156" s="184" t="inlineStr">
        <x:is>
          <x:t xml:space="preserve">RESVINSTD901</x:t>
        </x:is>
      </x:c>
      <x:c r="B3156" s="184" t="inlineStr">
        <x:is>
          <x:t xml:space="preserve">RESINA VINILESTER STD SWANCOR CHEMPULSE 901 (200 KG TAMBOR)</x:t>
        </x:is>
      </x:c>
      <x:c r="C3156" s="184" t="n">
        <x:v>0</x:v>
      </x:c>
      <x:c r="D3156" s="184" t="n">
        <x:v>0</x:v>
      </x:c>
      <x:c r="E3156" s="184" t="n">
        <x:v>0</x:v>
      </x:c>
      <x:c r="F3156" s="184" t="n">
        <x:v>0</x:v>
      </x:c>
      <x:c r="G3156" s="184" t="n">
        <x:v>-27</x:v>
      </x:c>
      <x:c r="H3156" s="193" t="n">
        <x:v>0</x:v>
      </x:c>
      <x:c r="I3156" s="185" t="n">
        <x:v>0</x:v>
      </x:c>
      <x:c r="J3156" s="185" t="n">
        <x:v>-27</x:v>
      </x:c>
      <x:c r="K3156" s="289" t="n">
        <x:v>3511</x:v>
      </x:c>
    </x:row>
    <x:row r="3157" s="117" customFormat="1" hidden="1">
      <x:c r="A3157" s="184" t="inlineStr">
        <x:is>
          <x:t xml:space="preserve">RESVINSTD922</x:t>
        </x:is>
      </x:c>
      <x:c r="B3157" s="184" t="inlineStr">
        <x:is>
          <x:t xml:space="preserve">RESINA VINILESTER HETRON 922</x:t>
        </x:is>
      </x:c>
      <x:c r="C3157" s="184" t="n">
        <x:v>0</x:v>
      </x:c>
      <x:c r="D3157" s="184" t="n">
        <x:v>0</x:v>
      </x:c>
      <x:c r="E3157" s="184" t="n">
        <x:v>0</x:v>
      </x:c>
      <x:c r="F3157" s="184" t="n">
        <x:v>0</x:v>
      </x:c>
      <x:c r="G3157" s="184" t="n">
        <x:v>0</x:v>
      </x:c>
      <x:c r="H3157" s="193" t="n">
        <x:v>0</x:v>
      </x:c>
      <x:c r="I3157" s="185" t="n">
        <x:v>0</x:v>
      </x:c>
      <x:c r="J3157" s="185" t="n">
        <x:v>0</x:v>
      </x:c>
      <x:c r="K3157" s="289" t="n">
        <x:v>0</x:v>
      </x:c>
    </x:row>
    <x:row r="3158" s="117" customFormat="1" hidden="1">
      <x:c r="A3158" s="184" t="inlineStr">
        <x:is>
          <x:t xml:space="preserve">RESVIPAOC010</x:t>
        </x:is>
      </x:c>
      <x:c r="B3158" s="184" t="inlineStr">
        <x:is>
          <x:t xml:space="preserve">RESINA AOC VIPEL F010-CNT-00</x:t>
        </x:is>
      </x:c>
      <x:c r="C3158" s="184" t="n">
        <x:v>0</x:v>
      </x:c>
      <x:c r="D3158" s="184" t="n">
        <x:v>0</x:v>
      </x:c>
      <x:c r="E3158" s="184" t="n">
        <x:v>0</x:v>
      </x:c>
      <x:c r="F3158" s="184" t="n">
        <x:v>0</x:v>
      </x:c>
      <x:c r="G3158" s="184" t="n">
        <x:v>0</x:v>
      </x:c>
      <x:c r="H3158" s="193" t="n">
        <x:v>0</x:v>
      </x:c>
      <x:c r="I3158" s="185" t="n">
        <x:v>0</x:v>
      </x:c>
      <x:c r="J3158" s="185" t="n">
        <x:v>0</x:v>
      </x:c>
      <x:c r="K3158" s="289" t="n">
        <x:v>0</x:v>
      </x:c>
    </x:row>
    <x:row r="3159" s="117" customFormat="1" hidden="1">
      <x:c r="A3159" s="184" t="inlineStr">
        <x:is>
          <x:t xml:space="preserve">RESVIPAOC013</x:t>
        </x:is>
      </x:c>
      <x:c r="B3159" s="184" t="inlineStr">
        <x:is>
          <x:t xml:space="preserve">RESINA AOC VIPEL F013 (TAMBOR DE 220 KG)</x:t>
        </x:is>
      </x:c>
      <x:c r="C3159" s="184" t="n">
        <x:v>0</x:v>
      </x:c>
      <x:c r="D3159" s="184" t="n">
        <x:v>0</x:v>
      </x:c>
      <x:c r="E3159" s="184" t="n">
        <x:v>0</x:v>
      </x:c>
      <x:c r="F3159" s="184" t="n">
        <x:v>0</x:v>
      </x:c>
      <x:c r="G3159" s="184" t="n">
        <x:v>0</x:v>
      </x:c>
      <x:c r="H3159" s="193" t="n">
        <x:v>0</x:v>
      </x:c>
      <x:c r="I3159" s="185" t="n">
        <x:v>0</x:v>
      </x:c>
      <x:c r="J3159" s="185" t="n">
        <x:v>0</x:v>
      </x:c>
      <x:c r="K3159" s="289" t="n">
        <x:v>0</x:v>
      </x:c>
    </x:row>
    <x:row r="3160" s="117" customFormat="1" hidden="1">
      <x:c r="A3160" s="184" t="inlineStr">
        <x:is>
          <x:t xml:space="preserve">SAL001001001</x:t>
        </x:is>
      </x:c>
      <x:c r="B3160" s="184" t="inlineStr">
        <x:is>
          <x:t xml:space="preserve">CAJON FRP CHINO SALFA GLOBAL</x:t>
        </x:is>
      </x:c>
      <x:c r="C3160" s="184" t="n">
        <x:v>0</x:v>
      </x:c>
      <x:c r="D3160" s="184" t="n">
        <x:v>0</x:v>
      </x:c>
      <x:c r="E3160" s="184" t="n">
        <x:v>0</x:v>
      </x:c>
      <x:c r="F3160" s="184" t="n">
        <x:v>0</x:v>
      </x:c>
      <x:c r="G3160" s="184" t="n">
        <x:v>0</x:v>
      </x:c>
      <x:c r="H3160" s="193" t="n">
        <x:v>0</x:v>
      </x:c>
      <x:c r="I3160" s="185" t="n">
        <x:v>0</x:v>
      </x:c>
      <x:c r="J3160" s="185" t="n">
        <x:v>0</x:v>
      </x:c>
      <x:c r="K3160" s="289" t="n">
        <x:v>9335680</x:v>
      </x:c>
    </x:row>
    <x:row r="3161" s="117" customFormat="1" hidden="1">
      <x:c r="A3161" s="184" t="inlineStr">
        <x:is>
          <x:t xml:space="preserve">SAL001001002</x:t>
        </x:is>
      </x:c>
      <x:c r="B3161" s="184" t="inlineStr">
        <x:is>
          <x:t xml:space="preserve">ECHEVERRIA IZQUERDO FRP GOBLAL</x:t>
        </x:is>
      </x:c>
      <x:c r="C3161" s="184" t="n">
        <x:v>0</x:v>
      </x:c>
      <x:c r="D3161" s="184" t="n">
        <x:v>0</x:v>
      </x:c>
      <x:c r="E3161" s="184" t="n">
        <x:v>0</x:v>
      </x:c>
      <x:c r="F3161" s="184" t="n">
        <x:v>0</x:v>
      </x:c>
      <x:c r="G3161" s="184" t="n">
        <x:v>0</x:v>
      </x:c>
      <x:c r="H3161" s="193" t="n">
        <x:v>0</x:v>
      </x:c>
      <x:c r="I3161" s="185" t="n">
        <x:v>0</x:v>
      </x:c>
      <x:c r="J3161" s="185" t="n">
        <x:v>0</x:v>
      </x:c>
      <x:c r="K3161" s="289" t="n">
        <x:v>92999766</x:v>
      </x:c>
    </x:row>
    <x:row r="3162" s="117" customFormat="1" hidden="1">
      <x:c r="A3162" s="184" t="inlineStr">
        <x:is>
          <x:t xml:space="preserve">SALFIT001001</x:t>
        </x:is>
      </x:c>
      <x:c r="B3162" s="184" t="inlineStr">
        <x:is>
          <x:t xml:space="preserve">STUB END DIAMETRO 1 PLG NATURAL RESINA DERAKANE 470 CHINO</x:t>
        </x:is>
      </x:c>
      <x:c r="C3162" s="184" t="n">
        <x:v>3</x:v>
      </x:c>
      <x:c r="D3162" s="184" t="n">
        <x:v>0</x:v>
      </x:c>
      <x:c r="E3162" s="184" t="n">
        <x:v>0</x:v>
      </x:c>
      <x:c r="F3162" s="184" t="n">
        <x:v>3</x:v>
      </x:c>
      <x:c r="G3162" s="184" t="n">
        <x:v>56652</x:v>
      </x:c>
      <x:c r="H3162" s="193" t="n">
        <x:v>0</x:v>
      </x:c>
      <x:c r="I3162" s="185" t="n">
        <x:v>0</x:v>
      </x:c>
      <x:c r="J3162" s="185" t="n">
        <x:v>56652</x:v>
      </x:c>
      <x:c r="K3162" s="289" t="n">
        <x:v>18884</x:v>
      </x:c>
    </x:row>
    <x:row r="3163" s="117" customFormat="1" hidden="1">
      <x:c r="A3163" s="184" t="inlineStr">
        <x:is>
          <x:t xml:space="preserve">SALFIT001002</x:t>
        </x:is>
      </x:c>
      <x:c r="B3163" s="184" t="inlineStr">
        <x:is>
          <x:t xml:space="preserve">STUB END DIAMETRO 2 PLG NATURAL RESINA DERAKANE 470 CHINO</x:t>
        </x:is>
      </x:c>
      <x:c r="C3163" s="184" t="n">
        <x:v>0</x:v>
      </x:c>
      <x:c r="D3163" s="184" t="n">
        <x:v>0</x:v>
      </x:c>
      <x:c r="E3163" s="184" t="n">
        <x:v>0</x:v>
      </x:c>
      <x:c r="F3163" s="184" t="n">
        <x:v>0</x:v>
      </x:c>
      <x:c r="G3163" s="184" t="n">
        <x:v>0</x:v>
      </x:c>
      <x:c r="H3163" s="193" t="n">
        <x:v>0</x:v>
      </x:c>
      <x:c r="I3163" s="185" t="n">
        <x:v>0</x:v>
      </x:c>
      <x:c r="J3163" s="185" t="n">
        <x:v>0</x:v>
      </x:c>
      <x:c r="K3163" s="289" t="n">
        <x:v>24089</x:v>
      </x:c>
    </x:row>
    <x:row r="3164" s="117" customFormat="1" hidden="1">
      <x:c r="A3164" s="184" t="inlineStr">
        <x:is>
          <x:t xml:space="preserve">SALFIT001003</x:t>
        </x:is>
      </x:c>
      <x:c r="B3164" s="184" t="inlineStr">
        <x:is>
          <x:t xml:space="preserve">STUB END DIAMETRO 3 PLG NATURAL RESINA DERAKANE 470 CHINO</x:t>
        </x:is>
      </x:c>
      <x:c r="C3164" s="184" t="n">
        <x:v>20</x:v>
      </x:c>
      <x:c r="D3164" s="184" t="n">
        <x:v>0</x:v>
      </x:c>
      <x:c r="E3164" s="184" t="n">
        <x:v>0</x:v>
      </x:c>
      <x:c r="F3164" s="184" t="n">
        <x:v>20</x:v>
      </x:c>
      <x:c r="G3164" s="184" t="n">
        <x:v>667640</x:v>
      </x:c>
      <x:c r="H3164" s="193" t="n">
        <x:v>0</x:v>
      </x:c>
      <x:c r="I3164" s="185" t="n">
        <x:v>0</x:v>
      </x:c>
      <x:c r="J3164" s="185" t="n">
        <x:v>667640</x:v>
      </x:c>
      <x:c r="K3164" s="289" t="n">
        <x:v>33382</x:v>
      </x:c>
    </x:row>
    <x:row r="3165" s="117" customFormat="1" hidden="1">
      <x:c r="A3165" s="184" t="inlineStr">
        <x:is>
          <x:t xml:space="preserve">SALFIT001004</x:t>
        </x:is>
      </x:c>
      <x:c r="B3165" s="184" t="inlineStr">
        <x:is>
          <x:t xml:space="preserve">STUB END DIAMETRO 4 PLG NATURAL RESINA DERAKANE 470 CHINO</x:t>
        </x:is>
      </x:c>
      <x:c r="C3165" s="184" t="n">
        <x:v>17</x:v>
      </x:c>
      <x:c r="D3165" s="184" t="n">
        <x:v>0</x:v>
      </x:c>
      <x:c r="E3165" s="184" t="n">
        <x:v>0</x:v>
      </x:c>
      <x:c r="F3165" s="184" t="n">
        <x:v>17</x:v>
      </x:c>
      <x:c r="G3165" s="184" t="n">
        <x:v>792370</x:v>
      </x:c>
      <x:c r="H3165" s="193" t="n">
        <x:v>0</x:v>
      </x:c>
      <x:c r="I3165" s="185" t="n">
        <x:v>0</x:v>
      </x:c>
      <x:c r="J3165" s="185" t="n">
        <x:v>792370</x:v>
      </x:c>
      <x:c r="K3165" s="289" t="n">
        <x:v>46610</x:v>
      </x:c>
    </x:row>
    <x:row r="3166" s="117" customFormat="1" hidden="1">
      <x:c r="A3166" s="184" t="inlineStr">
        <x:is>
          <x:t xml:space="preserve">SALFIT001005</x:t>
        </x:is>
      </x:c>
      <x:c r="B3166" s="184" t="inlineStr">
        <x:is>
          <x:t xml:space="preserve">CODO90 GRD DE 3 PLG NATURAL RESINA DERAKANE 470 CHINO</x:t>
        </x:is>
      </x:c>
      <x:c r="C3166" s="184" t="n">
        <x:v>27</x:v>
      </x:c>
      <x:c r="D3166" s="184" t="n">
        <x:v>0</x:v>
      </x:c>
      <x:c r="E3166" s="184" t="n">
        <x:v>0</x:v>
      </x:c>
      <x:c r="F3166" s="184" t="n">
        <x:v>27</x:v>
      </x:c>
      <x:c r="G3166" s="184" t="n">
        <x:v>626103</x:v>
      </x:c>
      <x:c r="H3166" s="193" t="n">
        <x:v>0</x:v>
      </x:c>
      <x:c r="I3166" s="185" t="n">
        <x:v>0</x:v>
      </x:c>
      <x:c r="J3166" s="185" t="n">
        <x:v>626103</x:v>
      </x:c>
      <x:c r="K3166" s="289" t="n">
        <x:v>23189</x:v>
      </x:c>
    </x:row>
    <x:row r="3167" s="117" customFormat="1" hidden="1">
      <x:c r="A3167" s="184" t="inlineStr">
        <x:is>
          <x:t xml:space="preserve">SALFIT001006</x:t>
        </x:is>
      </x:c>
      <x:c r="B3167" s="184" t="inlineStr">
        <x:is>
          <x:t xml:space="preserve">CODO90 GRD DE 6 PLG NATURAL RESINA DERAKANE 470 CHINO</x:t>
        </x:is>
      </x:c>
      <x:c r="C3167" s="184" t="n">
        <x:v>9</x:v>
      </x:c>
      <x:c r="D3167" s="184" t="n">
        <x:v>0</x:v>
      </x:c>
      <x:c r="E3167" s="184" t="n">
        <x:v>0</x:v>
      </x:c>
      <x:c r="F3167" s="184" t="n">
        <x:v>9</x:v>
      </x:c>
      <x:c r="G3167" s="184" t="n">
        <x:v>611460</x:v>
      </x:c>
      <x:c r="H3167" s="193" t="n">
        <x:v>0</x:v>
      </x:c>
      <x:c r="I3167" s="185" t="n">
        <x:v>0</x:v>
      </x:c>
      <x:c r="J3167" s="185" t="n">
        <x:v>611460</x:v>
      </x:c>
      <x:c r="K3167" s="289" t="n">
        <x:v>67940</x:v>
      </x:c>
    </x:row>
    <x:row r="3168" s="117" customFormat="1" hidden="1">
      <x:c r="A3168" s="184" t="inlineStr">
        <x:is>
          <x:t xml:space="preserve">SALFIT001007</x:t>
        </x:is>
      </x:c>
      <x:c r="B3168" s="184" t="inlineStr">
        <x:is>
          <x:t xml:space="preserve">REDUCCION  DE 4 A 2 PLG NATURAL RESINA DERAKANE 470 CHINO</x:t>
        </x:is>
      </x:c>
      <x:c r="C3168" s="184" t="n">
        <x:v>3</x:v>
      </x:c>
      <x:c r="D3168" s="184" t="n">
        <x:v>0</x:v>
      </x:c>
      <x:c r="E3168" s="184" t="n">
        <x:v>0</x:v>
      </x:c>
      <x:c r="F3168" s="184" t="n">
        <x:v>3</x:v>
      </x:c>
      <x:c r="G3168" s="184" t="n">
        <x:v>48375</x:v>
      </x:c>
      <x:c r="H3168" s="193" t="n">
        <x:v>0</x:v>
      </x:c>
      <x:c r="I3168" s="185" t="n">
        <x:v>0</x:v>
      </x:c>
      <x:c r="J3168" s="185" t="n">
        <x:v>48375</x:v>
      </x:c>
      <x:c r="K3168" s="289" t="n">
        <x:v>16125</x:v>
      </x:c>
    </x:row>
    <x:row r="3169" s="117" customFormat="1" hidden="1">
      <x:c r="A3169" s="184" t="inlineStr">
        <x:is>
          <x:t xml:space="preserve">SALFIT001008</x:t>
        </x:is>
      </x:c>
      <x:c r="B3169" s="184" t="inlineStr">
        <x:is>
          <x:t xml:space="preserve">REDUCCION  DE 3 A 2 PLG NATURAL RESINA DERAKANE 470 CHINO</x:t>
        </x:is>
      </x:c>
      <x:c r="C3169" s="184" t="n">
        <x:v>3</x:v>
      </x:c>
      <x:c r="D3169" s="184" t="n">
        <x:v>0</x:v>
      </x:c>
      <x:c r="E3169" s="184" t="n">
        <x:v>0</x:v>
      </x:c>
      <x:c r="F3169" s="184" t="n">
        <x:v>3</x:v>
      </x:c>
      <x:c r="G3169" s="184" t="n">
        <x:v>37812</x:v>
      </x:c>
      <x:c r="H3169" s="193" t="n">
        <x:v>0</x:v>
      </x:c>
      <x:c r="I3169" s="185" t="n">
        <x:v>0</x:v>
      </x:c>
      <x:c r="J3169" s="185" t="n">
        <x:v>37812</x:v>
      </x:c>
      <x:c r="K3169" s="289" t="n">
        <x:v>12604</x:v>
      </x:c>
    </x:row>
    <x:row r="3170" s="117" customFormat="1" hidden="1">
      <x:c r="A3170" s="184" t="inlineStr">
        <x:is>
          <x:t xml:space="preserve">SALFIT001009</x:t>
        </x:is>
      </x:c>
      <x:c r="B3170" s="184" t="inlineStr">
        <x:is>
          <x:t xml:space="preserve">FLANGE CIEGO 6 PLG NATURAL RESINA DERAKANE 470 CHINO</x:t>
        </x:is>
      </x:c>
      <x:c r="C3170" s="184" t="n">
        <x:v>3</x:v>
      </x:c>
      <x:c r="D3170" s="184" t="n">
        <x:v>0</x:v>
      </x:c>
      <x:c r="E3170" s="184" t="n">
        <x:v>0</x:v>
      </x:c>
      <x:c r="F3170" s="184" t="n">
        <x:v>3</x:v>
      </x:c>
      <x:c r="G3170" s="184" t="n">
        <x:v>4500</x:v>
      </x:c>
      <x:c r="H3170" s="193" t="n">
        <x:v>0</x:v>
      </x:c>
      <x:c r="I3170" s="185" t="n">
        <x:v>0</x:v>
      </x:c>
      <x:c r="J3170" s="185" t="n">
        <x:v>4500</x:v>
      </x:c>
      <x:c r="K3170" s="289" t="n">
        <x:v>1500</x:v>
      </x:c>
    </x:row>
    <x:row r="3171" s="117" customFormat="1" hidden="1">
      <x:c r="A3171" s="184" t="inlineStr">
        <x:is>
          <x:t xml:space="preserve">SERFLO001001</x:t>
        </x:is>
      </x:c>
      <x:c r="B3171" s="184" t="inlineStr">
        <x:is>
          <x:t xml:space="preserve">SERVICIO DE CORTE POR AGUA SEGUN PLANO RECMANT</x:t>
        </x:is>
      </x:c>
      <x:c r="C3171" s="184" t="n">
        <x:v>0</x:v>
      </x:c>
      <x:c r="D3171" s="184" t="n">
        <x:v>0</x:v>
      </x:c>
      <x:c r="E3171" s="184" t="n">
        <x:v>0</x:v>
      </x:c>
      <x:c r="F3171" s="184" t="n">
        <x:v>0</x:v>
      </x:c>
      <x:c r="G3171" s="184" t="n">
        <x:v>0</x:v>
      </x:c>
      <x:c r="H3171" s="193" t="n">
        <x:v>0</x:v>
      </x:c>
      <x:c r="I3171" s="185" t="n">
        <x:v>0</x:v>
      </x:c>
      <x:c r="J3171" s="185" t="n">
        <x:v>0</x:v>
      </x:c>
      <x:c r="K3171" s="289" t="n">
        <x:v>58666</x:v>
      </x:c>
    </x:row>
    <x:row r="3172" s="117" customFormat="1" hidden="1">
      <x:c r="A3172" s="184" t="inlineStr">
        <x:is>
          <x:t xml:space="preserve">SERFLO001002</x:t>
        </x:is>
      </x:c>
      <x:c r="B3172" s="184" t="inlineStr">
        <x:is>
          <x:t xml:space="preserve">SERVICIO DE CORTE POR AGUA PROBETAS  FIBRANOVA</x:t>
        </x:is>
      </x:c>
      <x:c r="C3172" s="184" t="n">
        <x:v>0</x:v>
      </x:c>
      <x:c r="D3172" s="184" t="n">
        <x:v>0</x:v>
      </x:c>
      <x:c r="E3172" s="184" t="n">
        <x:v>0</x:v>
      </x:c>
      <x:c r="F3172" s="184" t="n">
        <x:v>0</x:v>
      </x:c>
      <x:c r="G3172" s="184" t="n">
        <x:v>0</x:v>
      </x:c>
      <x:c r="H3172" s="193" t="n">
        <x:v>0</x:v>
      </x:c>
      <x:c r="I3172" s="185" t="n">
        <x:v>0</x:v>
      </x:c>
      <x:c r="J3172" s="185" t="n">
        <x:v>0</x:v>
      </x:c>
      <x:c r="K3172" s="289" t="n">
        <x:v>350861</x:v>
      </x:c>
    </x:row>
    <x:row r="3173" s="117" customFormat="1" hidden="1">
      <x:c r="A3173" s="184" t="inlineStr">
        <x:is>
          <x:t xml:space="preserve">SERFLO001003</x:t>
        </x:is>
      </x:c>
      <x:c r="B3173" s="184" t="inlineStr">
        <x:is>
          <x:t xml:space="preserve">SERVICIOS DE CORTE POR AGUA A PROBETAS DE PFA-FRP Y PVDF-FRP OFI1124-NV0003</x:t>
        </x:is>
      </x:c>
      <x:c r="C3173" s="184" t="n">
        <x:v>0</x:v>
      </x:c>
      <x:c r="D3173" s="184" t="n">
        <x:v>0</x:v>
      </x:c>
      <x:c r="E3173" s="184" t="n">
        <x:v>0</x:v>
      </x:c>
      <x:c r="F3173" s="184" t="n">
        <x:v>0</x:v>
      </x:c>
      <x:c r="G3173" s="184" t="n">
        <x:v>0</x:v>
      </x:c>
      <x:c r="H3173" s="193" t="n">
        <x:v>0</x:v>
      </x:c>
      <x:c r="I3173" s="185" t="n">
        <x:v>0</x:v>
      </x:c>
      <x:c r="J3173" s="185" t="n">
        <x:v>0</x:v>
      </x:c>
      <x:c r="K3173" s="289" t="n">
        <x:v>524675</x:v>
      </x:c>
    </x:row>
    <x:row r="3174" s="117" customFormat="1" hidden="1">
      <x:c r="A3174" s="184" t="inlineStr">
        <x:is>
          <x:t xml:space="preserve">SERFLO001004</x:t>
        </x:is>
      </x:c>
      <x:c r="B3174" s="184" t="inlineStr">
        <x:is>
          <x:t xml:space="preserve">SERVICIO CORTE PROBETAS 20MMX200MMXESP.14 MM  OFI1224-NV0000</x:t>
        </x:is>
      </x:c>
      <x:c r="C3174" s="184" t="n">
        <x:v>0</x:v>
      </x:c>
      <x:c r="D3174" s="184" t="n">
        <x:v>0</x:v>
      </x:c>
      <x:c r="E3174" s="184" t="n">
        <x:v>0</x:v>
      </x:c>
      <x:c r="F3174" s="184" t="n">
        <x:v>0</x:v>
      </x:c>
      <x:c r="G3174" s="184" t="n">
        <x:v>0</x:v>
      </x:c>
      <x:c r="H3174" s="193" t="n">
        <x:v>0</x:v>
      </x:c>
      <x:c r="I3174" s="185" t="n">
        <x:v>0</x:v>
      </x:c>
      <x:c r="J3174" s="185" t="n">
        <x:v>0</x:v>
      </x:c>
      <x:c r="K3174" s="289" t="n">
        <x:v>194642</x:v>
      </x:c>
    </x:row>
    <x:row r="3175" s="117" customFormat="1" hidden="1">
      <x:c r="A3175" s="184" t="inlineStr">
        <x:is>
          <x:t xml:space="preserve">SOLCPVVAR400</x:t>
        </x:is>
      </x:c>
      <x:c r="B3175" s="184" t="inlineStr">
        <x:is>
          <x:t xml:space="preserve">SOLDADURA CPVC 4mm</x:t>
        </x:is>
      </x:c>
      <x:c r="C3175" s="184" t="n">
        <x:v>40</x:v>
      </x:c>
      <x:c r="D3175" s="184" t="n">
        <x:v>0</x:v>
      </x:c>
      <x:c r="E3175" s="184" t="n">
        <x:v>0</x:v>
      </x:c>
      <x:c r="F3175" s="184" t="n">
        <x:v>40</x:v>
      </x:c>
      <x:c r="G3175" s="184" t="n">
        <x:v>260000</x:v>
      </x:c>
      <x:c r="H3175" s="193" t="n">
        <x:v>0</x:v>
      </x:c>
      <x:c r="I3175" s="185" t="n">
        <x:v>0</x:v>
      </x:c>
      <x:c r="J3175" s="185" t="n">
        <x:v>260000</x:v>
      </x:c>
      <x:c r="K3175" s="289" t="n">
        <x:v>6500</x:v>
      </x:c>
    </x:row>
    <x:row r="3176" s="117" customFormat="1" hidden="1">
      <x:c r="A3176" s="184" t="inlineStr">
        <x:is>
          <x:t xml:space="preserve">SOLECT001001</x:t>
        </x:is>
      </x:c>
      <x:c r="B3176" s="184" t="inlineStr">
        <x:is>
          <x:t xml:space="preserve">SOLDADURA ECTFE NATURAL 3 MM</x:t>
        </x:is>
      </x:c>
      <x:c r="C3176" s="184" t="n">
        <x:v>2</x:v>
      </x:c>
      <x:c r="D3176" s="184" t="n">
        <x:v>0</x:v>
      </x:c>
      <x:c r="E3176" s="184" t="n">
        <x:v>0</x:v>
      </x:c>
      <x:c r="F3176" s="184" t="n">
        <x:v>2</x:v>
      </x:c>
      <x:c r="G3176" s="184" t="n">
        <x:v>120240</x:v>
      </x:c>
      <x:c r="H3176" s="193" t="n">
        <x:v>0</x:v>
      </x:c>
      <x:c r="I3176" s="185" t="n">
        <x:v>0</x:v>
      </x:c>
      <x:c r="J3176" s="185" t="n">
        <x:v>120240</x:v>
      </x:c>
      <x:c r="K3176" s="289" t="n">
        <x:v>60120</x:v>
      </x:c>
    </x:row>
    <x:row r="3177" s="117" customFormat="1" hidden="1">
      <x:c r="A3177" s="184" t="inlineStr">
        <x:is>
          <x:t xml:space="preserve">SOLECT001002</x:t>
        </x:is>
      </x:c>
      <x:c r="B3177" s="184" t="inlineStr">
        <x:is>
          <x:t xml:space="preserve">SOLDADURA ECTFE NATURAL 4 MM</x:t>
        </x:is>
      </x:c>
      <x:c r="C3177" s="184" t="n">
        <x:v>12</x:v>
      </x:c>
      <x:c r="D3177" s="184" t="n">
        <x:v>0</x:v>
      </x:c>
      <x:c r="E3177" s="184" t="n">
        <x:v>2</x:v>
      </x:c>
      <x:c r="F3177" s="184" t="n">
        <x:v>10</x:v>
      </x:c>
      <x:c r="G3177" s="184" t="n">
        <x:v>854548</x:v>
      </x:c>
      <x:c r="H3177" s="193" t="n">
        <x:v>0</x:v>
      </x:c>
      <x:c r="I3177" s="185" t="n">
        <x:v>142425</x:v>
      </x:c>
      <x:c r="J3177" s="185" t="n">
        <x:v>712123</x:v>
      </x:c>
      <x:c r="K3177" s="289" t="n">
        <x:v>71212.3</x:v>
      </x:c>
    </x:row>
    <x:row r="3178" s="117" customFormat="1" hidden="1">
      <x:c r="A3178" s="184" t="inlineStr">
        <x:is>
          <x:t xml:space="preserve">SOLFEP001001</x:t>
        </x:is>
      </x:c>
      <x:c r="B3178" s="184" t="inlineStr">
        <x:is>
          <x:t xml:space="preserve">SOLDADURA FEP NATURAL 3.5 MM</x:t>
        </x:is>
      </x:c>
      <x:c r="C3178" s="184" t="n">
        <x:v>1</x:v>
      </x:c>
      <x:c r="D3178" s="184" t="n">
        <x:v>0</x:v>
      </x:c>
      <x:c r="E3178" s="184" t="n">
        <x:v>0</x:v>
      </x:c>
      <x:c r="F3178" s="184" t="n">
        <x:v>1</x:v>
      </x:c>
      <x:c r="G3178" s="184" t="n">
        <x:v>173261</x:v>
      </x:c>
      <x:c r="H3178" s="193" t="n">
        <x:v>0</x:v>
      </x:c>
      <x:c r="I3178" s="185" t="n">
        <x:v>0</x:v>
      </x:c>
      <x:c r="J3178" s="185" t="n">
        <x:v>173261</x:v>
      </x:c>
      <x:c r="K3178" s="289" t="n">
        <x:v>173261.33333333</x:v>
      </x:c>
    </x:row>
    <x:row r="3179" s="117" customFormat="1" hidden="1">
      <x:c r="A3179" s="184" t="inlineStr">
        <x:is>
          <x:t xml:space="preserve">SOLPFA001001</x:t>
        </x:is>
      </x:c>
      <x:c r="B3179" s="184" t="inlineStr">
        <x:is>
          <x:t xml:space="preserve">SOLDADURA PFA HP NATUR 3.5 MM</x:t>
        </x:is>
      </x:c>
      <x:c r="C3179" s="184" t="n">
        <x:v>1</x:v>
      </x:c>
      <x:c r="D3179" s="184" t="n">
        <x:v>0</x:v>
      </x:c>
      <x:c r="E3179" s="184" t="n">
        <x:v>0</x:v>
      </x:c>
      <x:c r="F3179" s="184" t="n">
        <x:v>1</x:v>
      </x:c>
      <x:c r="G3179" s="184" t="n">
        <x:v>54000</x:v>
      </x:c>
      <x:c r="H3179" s="193" t="n">
        <x:v>0</x:v>
      </x:c>
      <x:c r="I3179" s="185" t="n">
        <x:v>0</x:v>
      </x:c>
      <x:c r="J3179" s="185" t="n">
        <x:v>54000</x:v>
      </x:c>
      <x:c r="K3179" s="289" t="n">
        <x:v>54000</x:v>
      </x:c>
    </x:row>
    <x:row r="3180" s="117" customFormat="1" hidden="1">
      <x:c r="A3180" s="184" t="inlineStr">
        <x:is>
          <x:t xml:space="preserve">SOLPPHGRA4MM</x:t>
        </x:is>
      </x:c>
      <x:c r="B3180" s="184" t="inlineStr">
        <x:is>
          <x:t xml:space="preserve">SOLDADURA PPH GRAU 4mm</x:t>
        </x:is>
      </x:c>
      <x:c r="C3180" s="184" t="n">
        <x:v>0</x:v>
      </x:c>
      <x:c r="D3180" s="184" t="n">
        <x:v>0</x:v>
      </x:c>
      <x:c r="E3180" s="184" t="n">
        <x:v>0</x:v>
      </x:c>
      <x:c r="F3180" s="184" t="n">
        <x:v>0</x:v>
      </x:c>
      <x:c r="G3180" s="184" t="n">
        <x:v>2</x:v>
      </x:c>
      <x:c r="H3180" s="193" t="n">
        <x:v>0</x:v>
      </x:c>
      <x:c r="I3180" s="185" t="n">
        <x:v>0</x:v>
      </x:c>
      <x:c r="J3180" s="185" t="n">
        <x:v>2</x:v>
      </x:c>
      <x:c r="K3180" s="289" t="n">
        <x:v>7400</x:v>
      </x:c>
    </x:row>
    <x:row r="3181" s="117" customFormat="1" hidden="1">
      <x:c r="A3181" s="184" t="inlineStr">
        <x:is>
          <x:t xml:space="preserve">SOLPPHGRA5MM</x:t>
        </x:is>
      </x:c>
      <x:c r="B3181" s="184" t="inlineStr">
        <x:is>
          <x:t xml:space="preserve">SOLDADURA PPH GRAU 5mm</x:t>
        </x:is>
      </x:c>
      <x:c r="C3181" s="184" t="n">
        <x:v>0</x:v>
      </x:c>
      <x:c r="D3181" s="184" t="n">
        <x:v>0</x:v>
      </x:c>
      <x:c r="E3181" s="184" t="n">
        <x:v>0</x:v>
      </x:c>
      <x:c r="F3181" s="184" t="n">
        <x:v>0</x:v>
      </x:c>
      <x:c r="G3181" s="184" t="n">
        <x:v>0</x:v>
      </x:c>
      <x:c r="H3181" s="193" t="n">
        <x:v>0</x:v>
      </x:c>
      <x:c r="I3181" s="185" t="n">
        <x:v>0</x:v>
      </x:c>
      <x:c r="J3181" s="185" t="n">
        <x:v>0</x:v>
      </x:c>
      <x:c r="K3181" s="289" t="n">
        <x:v>0</x:v>
      </x:c>
    </x:row>
    <x:row r="3182" s="117" customFormat="1" hidden="1">
      <x:c r="A3182" s="184" t="inlineStr">
        <x:is>
          <x:t xml:space="preserve">SOLPVC001001</x:t>
        </x:is>
      </x:c>
      <x:c r="B3182" s="184" t="inlineStr">
        <x:is>
          <x:t xml:space="preserve">SOLDADURA PVC 3 MM</x:t>
        </x:is>
      </x:c>
      <x:c r="C3182" s="184" t="n">
        <x:v>0</x:v>
      </x:c>
      <x:c r="D3182" s="184" t="n">
        <x:v>0</x:v>
      </x:c>
      <x:c r="E3182" s="184" t="n">
        <x:v>0</x:v>
      </x:c>
      <x:c r="F3182" s="184" t="n">
        <x:v>0</x:v>
      </x:c>
      <x:c r="G3182" s="184" t="n">
        <x:v>0</x:v>
      </x:c>
      <x:c r="H3182" s="193" t="n">
        <x:v>0</x:v>
      </x:c>
      <x:c r="I3182" s="185" t="n">
        <x:v>0</x:v>
      </x:c>
      <x:c r="J3182" s="185" t="n">
        <x:v>0</x:v>
      </x:c>
      <x:c r="K3182" s="289" t="n">
        <x:v>9575</x:v>
      </x:c>
    </x:row>
    <x:row r="3183" s="117" customFormat="1" hidden="1">
      <x:c r="A3183" s="184" t="inlineStr">
        <x:is>
          <x:t xml:space="preserve">SOLPVDNAT3MM</x:t>
        </x:is>
      </x:c>
      <x:c r="B3183" s="184" t="inlineStr">
        <x:is>
          <x:t xml:space="preserve">SOLDADURA PVDF NATURAL 3mm</x:t>
        </x:is>
      </x:c>
      <x:c r="C3183" s="184" t="n">
        <x:v>9</x:v>
      </x:c>
      <x:c r="D3183" s="184" t="n">
        <x:v>0</x:v>
      </x:c>
      <x:c r="E3183" s="184" t="n">
        <x:v>0</x:v>
      </x:c>
      <x:c r="F3183" s="184" t="n">
        <x:v>9</x:v>
      </x:c>
      <x:c r="G3183" s="184" t="n">
        <x:v>250479</x:v>
      </x:c>
      <x:c r="H3183" s="193" t="n">
        <x:v>0</x:v>
      </x:c>
      <x:c r="I3183" s="185" t="n">
        <x:v>0</x:v>
      </x:c>
      <x:c r="J3183" s="185" t="n">
        <x:v>250479</x:v>
      </x:c>
      <x:c r="K3183" s="289" t="n">
        <x:v>27831</x:v>
      </x:c>
    </x:row>
    <x:row r="3184" s="117" customFormat="1" hidden="1">
      <x:c r="A3184" s="184" t="inlineStr">
        <x:is>
          <x:t xml:space="preserve">SOLPVDNAT4MM</x:t>
        </x:is>
      </x:c>
      <x:c r="B3184" s="184" t="inlineStr">
        <x:is>
          <x:t xml:space="preserve">SOLDADURA PVDF NATURAL 4mm</x:t>
        </x:is>
      </x:c>
      <x:c r="C3184" s="184" t="n">
        <x:v>58.85</x:v>
      </x:c>
      <x:c r="D3184" s="184" t="n">
        <x:v>0</x:v>
      </x:c>
      <x:c r="E3184" s="184" t="n">
        <x:v>0</x:v>
      </x:c>
      <x:c r="F3184" s="184" t="n">
        <x:v>58.85</x:v>
      </x:c>
      <x:c r="G3184" s="184" t="n">
        <x:v>4594027</x:v>
      </x:c>
      <x:c r="H3184" s="193" t="n">
        <x:v>0</x:v>
      </x:c>
      <x:c r="I3184" s="185" t="n">
        <x:v>0</x:v>
      </x:c>
      <x:c r="J3184" s="185" t="n">
        <x:v>4594027</x:v>
      </x:c>
      <x:c r="K3184" s="289" t="n">
        <x:v>78063.44205480001</x:v>
      </x:c>
    </x:row>
    <x:row r="3185" s="117" customFormat="1" hidden="1">
      <x:c r="A3185" s="184" t="inlineStr">
        <x:is>
          <x:t xml:space="preserve">SOLXPE001001</x:t>
        </x:is>
      </x:c>
      <x:c r="B3185" s="184" t="inlineStr">
        <x:is>
          <x:t xml:space="preserve">SOLDADURA TIVAR 88 AZUL 4 MM</x:t>
        </x:is>
      </x:c>
      <x:c r="C3185" s="184" t="n">
        <x:v>40</x:v>
      </x:c>
      <x:c r="D3185" s="184" t="n">
        <x:v>0</x:v>
      </x:c>
      <x:c r="E3185" s="184" t="n">
        <x:v>0</x:v>
      </x:c>
      <x:c r="F3185" s="184" t="n">
        <x:v>40</x:v>
      </x:c>
      <x:c r="G3185" s="184" t="n">
        <x:v>439000</x:v>
      </x:c>
      <x:c r="H3185" s="193" t="n">
        <x:v>0</x:v>
      </x:c>
      <x:c r="I3185" s="185" t="n">
        <x:v>0</x:v>
      </x:c>
      <x:c r="J3185" s="185" t="n">
        <x:v>439000</x:v>
      </x:c>
      <x:c r="K3185" s="289" t="n">
        <x:v>10975</x:v>
      </x:c>
    </x:row>
    <x:row r="3186" s="117" customFormat="1" hidden="1">
      <x:c r="A3186" s="184" t="inlineStr">
        <x:is>
          <x:t xml:space="preserve">SOLXPE001002</x:t>
        </x:is>
      </x:c>
      <x:c r="B3186" s="184" t="inlineStr">
        <x:is>
          <x:t xml:space="preserve">SOLDADURA HDPE PE AMARILLA DE 4 MM</x:t>
        </x:is>
      </x:c>
      <x:c r="C3186" s="184" t="n">
        <x:v>2.8</x:v>
      </x:c>
      <x:c r="D3186" s="184" t="n">
        <x:v>0</x:v>
      </x:c>
      <x:c r="E3186" s="184" t="n">
        <x:v>0</x:v>
      </x:c>
      <x:c r="F3186" s="184" t="n">
        <x:v>2.8</x:v>
      </x:c>
      <x:c r="G3186" s="184" t="n">
        <x:v>12040</x:v>
      </x:c>
      <x:c r="H3186" s="193" t="n">
        <x:v>0</x:v>
      </x:c>
      <x:c r="I3186" s="185" t="n">
        <x:v>0</x:v>
      </x:c>
      <x:c r="J3186" s="185" t="n">
        <x:v>12040</x:v>
      </x:c>
      <x:c r="K3186" s="289" t="n">
        <x:v>4300</x:v>
      </x:c>
    </x:row>
    <x:row r="3187" s="117" customFormat="1" hidden="1">
      <x:c r="A3187" s="184" t="inlineStr">
        <x:is>
          <x:t xml:space="preserve">SOLXPEBLA100</x:t>
        </x:is>
      </x:c>
      <x:c r="B3187" s="184" t="inlineStr">
        <x:is>
          <x:t xml:space="preserve">SOLDADURA PE  100-RC NEGRO 4 MM PERFIL CIRCULAR</x:t>
        </x:is>
      </x:c>
      <x:c r="C3187" s="184" t="n">
        <x:v>57</x:v>
      </x:c>
      <x:c r="D3187" s="184" t="n">
        <x:v>3</x:v>
      </x:c>
      <x:c r="E3187" s="184" t="n">
        <x:v>3</x:v>
      </x:c>
      <x:c r="F3187" s="184" t="n">
        <x:v>57</x:v>
      </x:c>
      <x:c r="G3187" s="184" t="n">
        <x:v>490809</x:v>
      </x:c>
      <x:c r="H3187" s="193" t="n">
        <x:v>25832</x:v>
      </x:c>
      <x:c r="I3187" s="185" t="n">
        <x:v>25832</x:v>
      </x:c>
      <x:c r="J3187" s="185" t="n">
        <x:v>490809</x:v>
      </x:c>
      <x:c r="K3187" s="289" t="n">
        <x:v>8610.677966110001</x:v>
      </x:c>
    </x:row>
    <x:row r="3188" s="117" customFormat="1" hidden="1">
      <x:c r="A3188" s="184" t="inlineStr">
        <x:is>
          <x:t xml:space="preserve">SOLXPENAT4MM</x:t>
        </x:is>
      </x:c>
      <x:c r="B3188" s="184" t="inlineStr">
        <x:is>
          <x:t xml:space="preserve">SOLDADURA PE NATURAL 4mm</x:t>
        </x:is>
      </x:c>
      <x:c r="C3188" s="184" t="n">
        <x:v>28</x:v>
      </x:c>
      <x:c r="D3188" s="184" t="n">
        <x:v>0</x:v>
      </x:c>
      <x:c r="E3188" s="184" t="n">
        <x:v>0</x:v>
      </x:c>
      <x:c r="F3188" s="184" t="n">
        <x:v>28</x:v>
      </x:c>
      <x:c r="G3188" s="184" t="n">
        <x:v>176764</x:v>
      </x:c>
      <x:c r="H3188" s="193" t="n">
        <x:v>0</x:v>
      </x:c>
      <x:c r="I3188" s="185" t="n">
        <x:v>0</x:v>
      </x:c>
      <x:c r="J3188" s="185" t="n">
        <x:v>176764</x:v>
      </x:c>
      <x:c r="K3188" s="289" t="n">
        <x:v>6313</x:v>
      </x:c>
    </x:row>
    <x:row r="3189" s="117" customFormat="1" hidden="1">
      <x:c r="A3189" s="184" t="inlineStr">
        <x:is>
          <x:t xml:space="preserve">SOLXPENEG4MM</x:t>
        </x:is>
      </x:c>
      <x:c r="B3189" s="184" t="inlineStr">
        <x:is>
          <x:t xml:space="preserve">SOLDADUA PE 100 COLOR NEGRO 4 MM  (HDPE)</x:t>
        </x:is>
      </x:c>
      <x:c r="C3189" s="184" t="n">
        <x:v>0</x:v>
      </x:c>
      <x:c r="D3189" s="184" t="n">
        <x:v>0</x:v>
      </x:c>
      <x:c r="E3189" s="184" t="n">
        <x:v>0</x:v>
      </x:c>
      <x:c r="F3189" s="184" t="n">
        <x:v>0</x:v>
      </x:c>
      <x:c r="G3189" s="184" t="n">
        <x:v>0</x:v>
      </x:c>
      <x:c r="H3189" s="193" t="n">
        <x:v>0</x:v>
      </x:c>
      <x:c r="I3189" s="185" t="n">
        <x:v>0</x:v>
      </x:c>
      <x:c r="J3189" s="185" t="n">
        <x:v>0</x:v>
      </x:c>
      <x:c r="K3189" s="289" t="n">
        <x:v>0</x:v>
      </x:c>
    </x:row>
    <x:row r="3190" s="117" customFormat="1" hidden="1">
      <x:c r="A3190" s="184" t="inlineStr">
        <x:is>
          <x:t xml:space="preserve">SOLXPPGRI4MM</x:t>
        </x:is>
      </x:c>
      <x:c r="B3190" s="184" t="inlineStr">
        <x:is>
          <x:t xml:space="preserve">SOLDADURA PP 4mm PERFIL CIRCULAR</x:t>
        </x:is>
      </x:c>
      <x:c r="C3190" s="184" t="n">
        <x:v>0</x:v>
      </x:c>
      <x:c r="D3190" s="184" t="n">
        <x:v>0</x:v>
      </x:c>
      <x:c r="E3190" s="184" t="n">
        <x:v>0</x:v>
      </x:c>
      <x:c r="F3190" s="184" t="n">
        <x:v>0</x:v>
      </x:c>
      <x:c r="G3190" s="184" t="n">
        <x:v>7</x:v>
      </x:c>
      <x:c r="H3190" s="193" t="n">
        <x:v>0</x:v>
      </x:c>
      <x:c r="I3190" s="185" t="n">
        <x:v>0</x:v>
      </x:c>
      <x:c r="J3190" s="185" t="n">
        <x:v>7</x:v>
      </x:c>
      <x:c r="K3190" s="289" t="n">
        <x:v>8273</x:v>
      </x:c>
    </x:row>
    <x:row r="3191" s="117" customFormat="1" hidden="1">
      <x:c r="A3191" s="184" t="inlineStr">
        <x:is>
          <x:t xml:space="preserve">SOLXPPGRIPPH</x:t>
        </x:is>
      </x:c>
      <x:c r="B3191" s="184" t="inlineStr">
        <x:is>
          <x:t xml:space="preserve">SOLDADURA DE PPH GRIS DE 4MM</x:t>
        </x:is>
      </x:c>
      <x:c r="C3191" s="184" t="n">
        <x:v>52</x:v>
      </x:c>
      <x:c r="D3191" s="184" t="n">
        <x:v>0</x:v>
      </x:c>
      <x:c r="E3191" s="184" t="n">
        <x:v>0</x:v>
      </x:c>
      <x:c r="F3191" s="184" t="n">
        <x:v>52</x:v>
      </x:c>
      <x:c r="G3191" s="184" t="n">
        <x:v>1174784</x:v>
      </x:c>
      <x:c r="H3191" s="193" t="n">
        <x:v>0</x:v>
      </x:c>
      <x:c r="I3191" s="185" t="n">
        <x:v>0</x:v>
      </x:c>
      <x:c r="J3191" s="185" t="n">
        <x:v>1174784</x:v>
      </x:c>
      <x:c r="K3191" s="289" t="n">
        <x:v>22592</x:v>
      </x:c>
    </x:row>
    <x:row r="3192" s="117" customFormat="1" hidden="1">
      <x:c r="A3192" s="184" t="inlineStr">
        <x:is>
          <x:t xml:space="preserve">SOLXPPGRIPPR</x:t>
        </x:is>
      </x:c>
      <x:c r="B3192" s="184" t="inlineStr">
        <x:is>
          <x:t xml:space="preserve">Soldadura PPR GRIS 4mm perfil circular</x:t>
        </x:is>
      </x:c>
      <x:c r="C3192" s="184" t="n">
        <x:v>10.5</x:v>
      </x:c>
      <x:c r="D3192" s="184" t="n">
        <x:v>0</x:v>
      </x:c>
      <x:c r="E3192" s="184" t="n">
        <x:v>9</x:v>
      </x:c>
      <x:c r="F3192" s="184" t="n">
        <x:v>1.5</x:v>
      </x:c>
      <x:c r="G3192" s="184" t="n">
        <x:v>76206</x:v>
      </x:c>
      <x:c r="H3192" s="193" t="n">
        <x:v>0</x:v>
      </x:c>
      <x:c r="I3192" s="185" t="n">
        <x:v>65319</x:v>
      </x:c>
      <x:c r="J3192" s="185" t="n">
        <x:v>10887</x:v>
      </x:c>
      <x:c r="K3192" s="289" t="n">
        <x:v>7257.69230769</x:v>
      </x:c>
    </x:row>
    <x:row r="3193" s="117" customFormat="1" hidden="1">
      <x:c r="A3193" s="184" t="inlineStr">
        <x:is>
          <x:t xml:space="preserve">TEL001001001</x:t>
        </x:is>
      </x:c>
      <x:c r="B3193" s="184" t="inlineStr">
        <x:is>
          <x:t xml:space="preserve">TELA SILTEMP 1/32 PL X 1 MTS</x:t>
        </x:is>
      </x:c>
      <x:c r="C3193" s="184" t="n">
        <x:v>0</x:v>
      </x:c>
      <x:c r="D3193" s="184" t="n">
        <x:v>0</x:v>
      </x:c>
      <x:c r="E3193" s="184" t="n">
        <x:v>0</x:v>
      </x:c>
      <x:c r="F3193" s="184" t="n">
        <x:v>0</x:v>
      </x:c>
      <x:c r="G3193" s="184" t="n">
        <x:v>0</x:v>
      </x:c>
      <x:c r="H3193" s="193" t="n">
        <x:v>0</x:v>
      </x:c>
      <x:c r="I3193" s="185" t="n">
        <x:v>0</x:v>
      </x:c>
      <x:c r="J3193" s="185" t="n">
        <x:v>0</x:v>
      </x:c>
      <x:c r="K3193" s="289" t="n">
        <x:v>3800</x:v>
      </x:c>
    </x:row>
    <x:row r="3194" s="117" customFormat="1" hidden="1">
      <x:c r="A3194" s="184" t="inlineStr">
        <x:is>
          <x:t xml:space="preserve">TEL001001002</x:t>
        </x:is>
      </x:c>
      <x:c r="B3194" s="184" t="inlineStr">
        <x:is>
          <x:t xml:space="preserve">TELA FIBRA DE VIDRIO ESPECIAL COLOR VERDE MCL</x:t>
        </x:is>
      </x:c>
      <x:c r="C3194" s="184" t="n">
        <x:v>0</x:v>
      </x:c>
      <x:c r="D3194" s="184" t="n">
        <x:v>0</x:v>
      </x:c>
      <x:c r="E3194" s="184" t="n">
        <x:v>0</x:v>
      </x:c>
      <x:c r="F3194" s="184" t="n">
        <x:v>0</x:v>
      </x:c>
      <x:c r="G3194" s="184" t="n">
        <x:v>0</x:v>
      </x:c>
      <x:c r="H3194" s="193" t="n">
        <x:v>0</x:v>
      </x:c>
      <x:c r="I3194" s="185" t="n">
        <x:v>0</x:v>
      </x:c>
      <x:c r="J3194" s="185" t="n">
        <x:v>0</x:v>
      </x:c>
      <x:c r="K3194" s="289" t="n">
        <x:v>1896</x:v>
      </x:c>
    </x:row>
    <x:row r="3195" s="117" customFormat="1" hidden="1">
      <x:c r="A3195" s="184" t="inlineStr">
        <x:is>
          <x:t xml:space="preserve">TEL001001003</x:t>
        </x:is>
      </x:c>
      <x:c r="B3195" s="184" t="inlineStr">
        <x:is>
          <x:t xml:space="preserve">TELA FIBRA DE VIDRIO ESPECIAL COLOR AZUL MCL</x:t>
        </x:is>
      </x:c>
      <x:c r="C3195" s="184" t="n">
        <x:v>0</x:v>
      </x:c>
      <x:c r="D3195" s="184" t="n">
        <x:v>0</x:v>
      </x:c>
      <x:c r="E3195" s="184" t="n">
        <x:v>0</x:v>
      </x:c>
      <x:c r="F3195" s="184" t="n">
        <x:v>0</x:v>
      </x:c>
      <x:c r="G3195" s="184" t="n">
        <x:v>0</x:v>
      </x:c>
      <x:c r="H3195" s="193" t="n">
        <x:v>0</x:v>
      </x:c>
      <x:c r="I3195" s="185" t="n">
        <x:v>0</x:v>
      </x:c>
      <x:c r="J3195" s="185" t="n">
        <x:v>0</x:v>
      </x:c>
      <x:c r="K3195" s="289" t="n">
        <x:v>1896</x:v>
      </x:c>
    </x:row>
    <x:row r="3196" s="117" customFormat="1" hidden="1">
      <x:c r="A3196" s="184" t="inlineStr">
        <x:is>
          <x:t xml:space="preserve">TEL001001004</x:t>
        </x:is>
      </x:c>
      <x:c r="B3196" s="184" t="inlineStr">
        <x:is>
          <x:t xml:space="preserve">TELA FIBRA DE VIDRIO (ZETEX) 1/8 PLG ESPX 1000 MM</x:t>
        </x:is>
      </x:c>
      <x:c r="C3196" s="184" t="n">
        <x:v>409</x:v>
      </x:c>
      <x:c r="D3196" s="184" t="n">
        <x:v>0</x:v>
      </x:c>
      <x:c r="E3196" s="184" t="n">
        <x:v>0</x:v>
      </x:c>
      <x:c r="F3196" s="184" t="n">
        <x:v>409</x:v>
      </x:c>
      <x:c r="G3196" s="184" t="n">
        <x:v>710842</x:v>
      </x:c>
      <x:c r="H3196" s="193" t="n">
        <x:v>0</x:v>
      </x:c>
      <x:c r="I3196" s="185" t="n">
        <x:v>0</x:v>
      </x:c>
      <x:c r="J3196" s="185" t="n">
        <x:v>710842</x:v>
      </x:c>
      <x:c r="K3196" s="289" t="n">
        <x:v>1738</x:v>
      </x:c>
    </x:row>
    <x:row r="3197" s="117" customFormat="1" hidden="1">
      <x:c r="A3197" s="184" t="inlineStr">
        <x:is>
          <x:t xml:space="preserve">TEL001001005</x:t>
        </x:is>
      </x:c>
      <x:c r="B3197" s="184" t="inlineStr">
        <x:is>
          <x:t xml:space="preserve">TELA SILTEMP 1/32 PL X 1 MTS SILICONA AMBAS CARAS</x:t>
        </x:is>
      </x:c>
      <x:c r="C3197" s="184" t="n">
        <x:v>0</x:v>
      </x:c>
      <x:c r="D3197" s="184" t="n">
        <x:v>0</x:v>
      </x:c>
      <x:c r="E3197" s="184" t="n">
        <x:v>0</x:v>
      </x:c>
      <x:c r="F3197" s="184" t="n">
        <x:v>0</x:v>
      </x:c>
      <x:c r="G3197" s="184" t="n">
        <x:v>0</x:v>
      </x:c>
      <x:c r="H3197" s="193" t="n">
        <x:v>0</x:v>
      </x:c>
      <x:c r="I3197" s="185" t="n">
        <x:v>0</x:v>
      </x:c>
      <x:c r="J3197" s="185" t="n">
        <x:v>0</x:v>
      </x:c>
      <x:c r="K3197" s="289" t="n">
        <x:v>750</x:v>
      </x:c>
    </x:row>
    <x:row r="3198" s="117" customFormat="1" hidden="1">
      <x:c r="A3198" s="184" t="inlineStr">
        <x:is>
          <x:t xml:space="preserve">TEL001001006</x:t>
        </x:is>
      </x:c>
      <x:c r="B3198" s="184" t="inlineStr">
        <x:is>
          <x:t xml:space="preserve">THERMALAN 100/1406 MARINE GREEN 1 MTS ANCHO (12452) TCI</x:t>
        </x:is>
      </x:c>
      <x:c r="C3198" s="184" t="n">
        <x:v>0</x:v>
      </x:c>
      <x:c r="D3198" s="184" t="n">
        <x:v>0</x:v>
      </x:c>
      <x:c r="E3198" s="184" t="n">
        <x:v>0</x:v>
      </x:c>
      <x:c r="F3198" s="184" t="n">
        <x:v>0</x:v>
      </x:c>
      <x:c r="G3198" s="184" t="n">
        <x:v>0</x:v>
      </x:c>
      <x:c r="H3198" s="193" t="n">
        <x:v>0</x:v>
      </x:c>
      <x:c r="I3198" s="185" t="n">
        <x:v>0</x:v>
      </x:c>
      <x:c r="J3198" s="185" t="n">
        <x:v>0</x:v>
      </x:c>
      <x:c r="K3198" s="289" t="n">
        <x:v>129164</x:v>
      </x:c>
    </x:row>
    <x:row r="3199" s="117" customFormat="1" hidden="1">
      <x:c r="A3199" s="184" t="inlineStr">
        <x:is>
          <x:t xml:space="preserve">TEL001001007</x:t>
        </x:is>
      </x:c>
      <x:c r="B3199" s="184" t="inlineStr">
        <x:is>
          <x:t xml:space="preserve">AVSIL.STP110CH-40 BLUE 1 MTS ANCHO (ZETEX AZUL) (SO029199 AVS INDUSTRIES)</x:t>
        </x:is>
      </x:c>
      <x:c r="C3199" s="184" t="n">
        <x:v>0</x:v>
      </x:c>
      <x:c r="D3199" s="184" t="n">
        <x:v>0</x:v>
      </x:c>
      <x:c r="E3199" s="184" t="n">
        <x:v>0</x:v>
      </x:c>
      <x:c r="F3199" s="184" t="n">
        <x:v>0</x:v>
      </x:c>
      <x:c r="G3199" s="184" t="n">
        <x:v>0</x:v>
      </x:c>
      <x:c r="H3199" s="193" t="n">
        <x:v>0</x:v>
      </x:c>
      <x:c r="I3199" s="185" t="n">
        <x:v>0</x:v>
      </x:c>
      <x:c r="J3199" s="185" t="n">
        <x:v>0</x:v>
      </x:c>
      <x:c r="K3199" s="289" t="n">
        <x:v>18410</x:v>
      </x:c>
    </x:row>
    <x:row r="3200" s="117" customFormat="1" hidden="1">
      <x:c r="A3200" s="184" t="inlineStr">
        <x:is>
          <x:t xml:space="preserve">TEL001001008</x:t>
        </x:is>
      </x:c>
      <x:c r="B3200" s="184" t="inlineStr">
        <x:is>
          <x:t xml:space="preserve">CROSSFILM 2140 BLACK 1.5 MTS ANCHO (12530) TCI</x:t>
        </x:is>
      </x:c>
      <x:c r="C3200" s="184" t="n">
        <x:v>0</x:v>
      </x:c>
      <x:c r="D3200" s="184" t="n">
        <x:v>0</x:v>
      </x:c>
      <x:c r="E3200" s="184" t="n">
        <x:v>0</x:v>
      </x:c>
      <x:c r="F3200" s="184" t="n">
        <x:v>0</x:v>
      </x:c>
      <x:c r="G3200" s="184" t="n">
        <x:v>0</x:v>
      </x:c>
      <x:c r="H3200" s="193" t="n">
        <x:v>0</x:v>
      </x:c>
      <x:c r="I3200" s="185" t="n">
        <x:v>0</x:v>
      </x:c>
      <x:c r="J3200" s="185" t="n">
        <x:v>0</x:v>
      </x:c>
      <x:c r="K3200" s="289" t="n">
        <x:v>162166</x:v>
      </x:c>
    </x:row>
    <x:row r="3201" s="117" customFormat="1" hidden="1">
      <x:c r="A3201" s="184" t="inlineStr">
        <x:is>
          <x:t xml:space="preserve">TEL001001009</x:t>
        </x:is>
      </x:c>
      <x:c r="B3201" s="184" t="inlineStr">
        <x:is>
          <x:t xml:space="preserve">TEXTAPE 3S SIL PSAYL PART.8331 ANCHO 1 YARDA ( PTFE FIBERGLASS CON ADHESIVO 1 CARA)</x:t>
        </x:is>
      </x:c>
      <x:c r="C3201" s="184" t="n">
        <x:v>0</x:v>
      </x:c>
      <x:c r="D3201" s="184" t="n">
        <x:v>0</x:v>
      </x:c>
      <x:c r="E3201" s="184" t="n">
        <x:v>0</x:v>
      </x:c>
      <x:c r="F3201" s="184" t="n">
        <x:v>0</x:v>
      </x:c>
      <x:c r="G3201" s="184" t="n">
        <x:v>0</x:v>
      </x:c>
      <x:c r="H3201" s="193" t="n">
        <x:v>0</x:v>
      </x:c>
      <x:c r="I3201" s="185" t="n">
        <x:v>0</x:v>
      </x:c>
      <x:c r="J3201" s="185" t="n">
        <x:v>0</x:v>
      </x:c>
      <x:c r="K3201" s="289" t="n">
        <x:v>21305</x:v>
      </x:c>
    </x:row>
    <x:row r="3202" s="117" customFormat="1" hidden="1">
      <x:c r="A3202" s="184" t="inlineStr">
        <x:is>
          <x:t xml:space="preserve">TEL001001010</x:t>
        </x:is>
      </x:c>
      <x:c r="B3202" s="184" t="inlineStr">
        <x:is>
          <x:t xml:space="preserve">FILMLAM 6C COPPER/NATURAL SIL PSAYL PART.11310 ANCHO 1 YARDA (PTFE FIBERGLASS ADHESIVO 1 CARA)</x:t>
        </x:is>
      </x:c>
      <x:c r="C3202" s="184" t="n">
        <x:v>0</x:v>
      </x:c>
      <x:c r="D3202" s="184" t="n">
        <x:v>0</x:v>
      </x:c>
      <x:c r="E3202" s="184" t="n">
        <x:v>0</x:v>
      </x:c>
      <x:c r="F3202" s="184" t="n">
        <x:v>0</x:v>
      </x:c>
      <x:c r="G3202" s="184" t="n">
        <x:v>0</x:v>
      </x:c>
      <x:c r="H3202" s="193" t="n">
        <x:v>0</x:v>
      </x:c>
      <x:c r="I3202" s="185" t="n">
        <x:v>0</x:v>
      </x:c>
      <x:c r="J3202" s="185" t="n">
        <x:v>0</x:v>
      </x:c>
      <x:c r="K3202" s="289" t="n">
        <x:v>49352</x:v>
      </x:c>
    </x:row>
    <x:row r="3203" s="117" customFormat="1" hidden="1">
      <x:c r="A3203" s="184" t="inlineStr">
        <x:is>
          <x:t xml:space="preserve">TEL001001011</x:t>
        </x:is>
      </x:c>
      <x:c r="B3203" s="184" t="inlineStr">
        <x:is>
          <x:t xml:space="preserve">COLCHN FUELLES PARA JUNTA DE EXPANCION DE GASES FABRICADA CON SILTEMP Y FIBRA CERAMICA</x:t>
        </x:is>
      </x:c>
      <x:c r="C3203" s="184" t="n">
        <x:v>0</x:v>
      </x:c>
      <x:c r="D3203" s="184" t="n">
        <x:v>0</x:v>
      </x:c>
      <x:c r="E3203" s="184" t="n">
        <x:v>0</x:v>
      </x:c>
      <x:c r="F3203" s="184" t="n">
        <x:v>0</x:v>
      </x:c>
      <x:c r="G3203" s="184" t="n">
        <x:v>0</x:v>
      </x:c>
      <x:c r="H3203" s="193" t="n">
        <x:v>0</x:v>
      </x:c>
      <x:c r="I3203" s="185" t="n">
        <x:v>0</x:v>
      </x:c>
      <x:c r="J3203" s="185" t="n">
        <x:v>0</x:v>
      </x:c>
      <x:c r="K3203" s="289" t="n">
        <x:v>200000</x:v>
      </x:c>
    </x:row>
    <x:row r="3204" s="117" customFormat="1" hidden="1">
      <x:c r="A3204" s="184" t="inlineStr">
        <x:is>
          <x:t xml:space="preserve">TERRENO00001</x:t>
        </x:is>
      </x:c>
      <x:c r="B3204" s="184" t="inlineStr">
        <x:is>
          <x:t xml:space="preserve">ESTADO DE PAGO N° 6 SUMINISTRI Y REP FRP Y PP CONTRATO SAP 4600022194 HES 1000736937</x:t>
        </x:is>
      </x:c>
      <x:c r="C3204" s="184" t="n">
        <x:v>0</x:v>
      </x:c>
      <x:c r="D3204" s="184" t="n">
        <x:v>0</x:v>
      </x:c>
      <x:c r="E3204" s="184" t="n">
        <x:v>0</x:v>
      </x:c>
      <x:c r="F3204" s="184" t="n">
        <x:v>0</x:v>
      </x:c>
      <x:c r="G3204" s="184" t="n">
        <x:v>0</x:v>
      </x:c>
      <x:c r="H3204" s="193" t="n">
        <x:v>0</x:v>
      </x:c>
      <x:c r="I3204" s="185" t="n">
        <x:v>0</x:v>
      </x:c>
      <x:c r="J3204" s="185" t="n">
        <x:v>0</x:v>
      </x:c>
      <x:c r="K3204" s="289" t="n">
        <x:v>12424166</x:v>
      </x:c>
    </x:row>
    <x:row r="3205" s="117" customFormat="1" hidden="1">
      <x:c r="A3205" s="184" t="inlineStr">
        <x:is>
          <x:t xml:space="preserve">TERRENO00002</x:t>
        </x:is>
      </x:c>
      <x:c r="B3205" s="184" t="inlineStr">
        <x:is>
          <x:t xml:space="preserve">SUEZ ESTADO DE PAGO N° 1 OC-4000148953 EMNRADA DE MERCADERIA 50005477026</x:t>
        </x:is>
      </x:c>
      <x:c r="C3205" s="184" t="n">
        <x:v>0</x:v>
      </x:c>
      <x:c r="D3205" s="184" t="n">
        <x:v>0</x:v>
      </x:c>
      <x:c r="E3205" s="184" t="n">
        <x:v>0</x:v>
      </x:c>
      <x:c r="F3205" s="184" t="n">
        <x:v>0</x:v>
      </x:c>
      <x:c r="G3205" s="184" t="n">
        <x:v>0</x:v>
      </x:c>
      <x:c r="H3205" s="193" t="n">
        <x:v>0</x:v>
      </x:c>
      <x:c r="I3205" s="185" t="n">
        <x:v>0</x:v>
      </x:c>
      <x:c r="J3205" s="185" t="n">
        <x:v>0</x:v>
      </x:c>
      <x:c r="K3205" s="289" t="n">
        <x:v>27468760</x:v>
      </x:c>
    </x:row>
    <x:row r="3206" s="117" customFormat="1" hidden="1">
      <x:c r="A3206" s="184" t="inlineStr">
        <x:is>
          <x:t xml:space="preserve">TERRENO00003</x:t>
        </x:is>
      </x:c>
      <x:c r="B3206" s="184" t="inlineStr">
        <x:is>
          <x:t xml:space="preserve">ESTADO DE PAGO N° 7 CONTRATO 4600022194 MANT.FRP Y PP   HES 1000783009</x:t>
        </x:is>
      </x:c>
      <x:c r="C3206" s="184" t="n">
        <x:v>0</x:v>
      </x:c>
      <x:c r="D3206" s="184" t="n">
        <x:v>0</x:v>
      </x:c>
      <x:c r="E3206" s="184" t="n">
        <x:v>0</x:v>
      </x:c>
      <x:c r="F3206" s="184" t="n">
        <x:v>0</x:v>
      </x:c>
      <x:c r="G3206" s="184" t="n">
        <x:v>0</x:v>
      </x:c>
      <x:c r="H3206" s="193" t="n">
        <x:v>0</x:v>
      </x:c>
      <x:c r="I3206" s="185" t="n">
        <x:v>0</x:v>
      </x:c>
      <x:c r="J3206" s="185" t="n">
        <x:v>0</x:v>
      </x:c>
      <x:c r="K3206" s="289" t="n">
        <x:v>3009793</x:v>
      </x:c>
    </x:row>
    <x:row r="3207" s="117" customFormat="1" hidden="1">
      <x:c r="A3207" s="184" t="inlineStr">
        <x:is>
          <x:t xml:space="preserve">TERRENO00004</x:t>
        </x:is>
      </x:c>
      <x:c r="B3207" s="184" t="inlineStr">
        <x:is>
          <x:t xml:space="preserve">ESTADO DE PAGO N° 9 CONTRATO 4400215075 MANT.FRP Y PP MODIF 1   HES 1002569789</x:t>
        </x:is>
      </x:c>
      <x:c r="C3207" s="184" t="n">
        <x:v>0</x:v>
      </x:c>
      <x:c r="D3207" s="184" t="n">
        <x:v>0</x:v>
      </x:c>
      <x:c r="E3207" s="184" t="n">
        <x:v>0</x:v>
      </x:c>
      <x:c r="F3207" s="184" t="n">
        <x:v>0</x:v>
      </x:c>
      <x:c r="G3207" s="184" t="n">
        <x:v>0</x:v>
      </x:c>
      <x:c r="H3207" s="193" t="n">
        <x:v>0</x:v>
      </x:c>
      <x:c r="I3207" s="185" t="n">
        <x:v>0</x:v>
      </x:c>
      <x:c r="J3207" s="185" t="n">
        <x:v>0</x:v>
      </x:c>
      <x:c r="K3207" s="289" t="n">
        <x:v>24008</x:v>
      </x:c>
    </x:row>
    <x:row r="3208" s="117" customFormat="1" hidden="1">
      <x:c r="A3208" s="184" t="inlineStr">
        <x:is>
          <x:t xml:space="preserve">TERRENO00005</x:t>
        </x:is>
      </x:c>
      <x:c r="B3208" s="184" t="inlineStr">
        <x:is>
          <x:t xml:space="preserve">ESTADO DE PAGO N° 9 CONTRATO 4400215075 MANT.FRP Y PP   HES 1002569785</x:t>
        </x:is>
      </x:c>
      <x:c r="C3208" s="184" t="n">
        <x:v>0</x:v>
      </x:c>
      <x:c r="D3208" s="184" t="n">
        <x:v>0</x:v>
      </x:c>
      <x:c r="E3208" s="184" t="n">
        <x:v>0</x:v>
      </x:c>
      <x:c r="F3208" s="184" t="n">
        <x:v>0</x:v>
      </x:c>
      <x:c r="G3208" s="184" t="n">
        <x:v>0</x:v>
      </x:c>
      <x:c r="H3208" s="193" t="n">
        <x:v>0</x:v>
      </x:c>
      <x:c r="I3208" s="185" t="n">
        <x:v>0</x:v>
      </x:c>
      <x:c r="J3208" s="185" t="n">
        <x:v>0</x:v>
      </x:c>
      <x:c r="K3208" s="289" t="n">
        <x:v>14025331</x:v>
      </x:c>
    </x:row>
    <x:row r="3209" s="117" customFormat="1" hidden="1">
      <x:c r="A3209" s="184" t="inlineStr">
        <x:is>
          <x:t xml:space="preserve">TERRENO00006</x:t>
        </x:is>
      </x:c>
      <x:c r="B3209" s="184" t="inlineStr">
        <x:is>
          <x:t xml:space="preserve">ESTADO DE PAGO N° 9 CONTRATO 4400215075 CONTINGENCIAS MANT.FRP Y PP   HES 1002569786</x:t>
        </x:is>
      </x:c>
      <x:c r="C3209" s="184" t="n">
        <x:v>0</x:v>
      </x:c>
      <x:c r="D3209" s="184" t="n">
        <x:v>0</x:v>
      </x:c>
      <x:c r="E3209" s="184" t="n">
        <x:v>0</x:v>
      </x:c>
      <x:c r="F3209" s="184" t="n">
        <x:v>0</x:v>
      </x:c>
      <x:c r="G3209" s="184" t="n">
        <x:v>0</x:v>
      </x:c>
      <x:c r="H3209" s="193" t="n">
        <x:v>0</x:v>
      </x:c>
      <x:c r="I3209" s="185" t="n">
        <x:v>0</x:v>
      </x:c>
      <x:c r="J3209" s="185" t="n">
        <x:v>0</x:v>
      </x:c>
      <x:c r="K3209" s="289" t="n">
        <x:v>6842928</x:v>
      </x:c>
    </x:row>
    <x:row r="3210" s="117" customFormat="1" hidden="1">
      <x:c r="A3210" s="184" t="inlineStr">
        <x:is>
          <x:t xml:space="preserve">TERRENO00007</x:t>
        </x:is>
      </x:c>
      <x:c r="B3210" s="184" t="inlineStr">
        <x:is>
          <x:t xml:space="preserve">ESTADO DE PAGO N°2 MINISTRO HALES HES 1002576853</x:t>
        </x:is>
      </x:c>
      <x:c r="C3210" s="184" t="n">
        <x:v>0</x:v>
      </x:c>
      <x:c r="D3210" s="184" t="n">
        <x:v>0</x:v>
      </x:c>
      <x:c r="E3210" s="184" t="n">
        <x:v>0</x:v>
      </x:c>
      <x:c r="F3210" s="184" t="n">
        <x:v>0</x:v>
      </x:c>
      <x:c r="G3210" s="184" t="n">
        <x:v>0</x:v>
      </x:c>
      <x:c r="H3210" s="193" t="n">
        <x:v>0</x:v>
      </x:c>
      <x:c r="I3210" s="185" t="n">
        <x:v>0</x:v>
      </x:c>
      <x:c r="J3210" s="185" t="n">
        <x:v>0</x:v>
      </x:c>
      <x:c r="K3210" s="289" t="n">
        <x:v>38382005</x:v>
      </x:c>
    </x:row>
    <x:row r="3211" s="117" customFormat="1" hidden="1">
      <x:c r="A3211" s="184" t="inlineStr">
        <x:is>
          <x:t xml:space="preserve">TERRENO00008</x:t>
        </x:is>
      </x:c>
      <x:c r="B3211" s="184" t="inlineStr">
        <x:is>
          <x:t xml:space="preserve">ESTADO DE PAGO N° 8 CONTRATO 4600022194 MANT.FRP Y PP   HES 1000851389</x:t>
        </x:is>
      </x:c>
      <x:c r="C3211" s="184" t="n">
        <x:v>0</x:v>
      </x:c>
      <x:c r="D3211" s="184" t="n">
        <x:v>0</x:v>
      </x:c>
      <x:c r="E3211" s="184" t="n">
        <x:v>0</x:v>
      </x:c>
      <x:c r="F3211" s="184" t="n">
        <x:v>0</x:v>
      </x:c>
      <x:c r="G3211" s="184" t="n">
        <x:v>0</x:v>
      </x:c>
      <x:c r="H3211" s="193" t="n">
        <x:v>0</x:v>
      </x:c>
      <x:c r="I3211" s="185" t="n">
        <x:v>0</x:v>
      </x:c>
      <x:c r="J3211" s="185" t="n">
        <x:v>0</x:v>
      </x:c>
      <x:c r="K3211" s="289" t="n">
        <x:v>22130173</x:v>
      </x:c>
    </x:row>
    <x:row r="3212" s="117" customFormat="1" hidden="1">
      <x:c r="A3212" s="184" t="inlineStr">
        <x:is>
          <x:t xml:space="preserve">TERRENO00009</x:t>
        </x:is>
      </x:c>
      <x:c r="B3212" s="184" t="inlineStr">
        <x:is>
          <x:t xml:space="preserve">INSTALACION DE BOQUILLA EN TK SALMUERA TENIENTE</x:t>
        </x:is>
      </x:c>
      <x:c r="C3212" s="184" t="n">
        <x:v>0</x:v>
      </x:c>
      <x:c r="D3212" s="184" t="n">
        <x:v>0</x:v>
      </x:c>
      <x:c r="E3212" s="184" t="n">
        <x:v>0</x:v>
      </x:c>
      <x:c r="F3212" s="184" t="n">
        <x:v>0</x:v>
      </x:c>
      <x:c r="G3212" s="184" t="n">
        <x:v>0</x:v>
      </x:c>
      <x:c r="H3212" s="193" t="n">
        <x:v>0</x:v>
      </x:c>
      <x:c r="I3212" s="185" t="n">
        <x:v>0</x:v>
      </x:c>
      <x:c r="J3212" s="185" t="n">
        <x:v>0</x:v>
      </x:c>
      <x:c r="K3212" s="289" t="n">
        <x:v>347493</x:v>
      </x:c>
    </x:row>
    <x:row r="3213" s="117" customFormat="1" hidden="1">
      <x:c r="A3213" s="184" t="inlineStr">
        <x:is>
          <x:t xml:space="preserve">TERRENO00010</x:t>
        </x:is>
      </x:c>
      <x:c r="B3213" s="184" t="inlineStr">
        <x:is>
          <x:t xml:space="preserve">ESTADO DE PAGO N° 1 OC4000159233 MONTAJE EQUIPOS FUL1020-NV00015 HES 5000567858</x:t>
        </x:is>
      </x:c>
      <x:c r="C3213" s="184" t="n">
        <x:v>0</x:v>
      </x:c>
      <x:c r="D3213" s="184" t="n">
        <x:v>0</x:v>
      </x:c>
      <x:c r="E3213" s="184" t="n">
        <x:v>0</x:v>
      </x:c>
      <x:c r="F3213" s="184" t="n">
        <x:v>0</x:v>
      </x:c>
      <x:c r="G3213" s="184" t="n">
        <x:v>0</x:v>
      </x:c>
      <x:c r="H3213" s="193" t="n">
        <x:v>0</x:v>
      </x:c>
      <x:c r="I3213" s="185" t="n">
        <x:v>0</x:v>
      </x:c>
      <x:c r="J3213" s="185" t="n">
        <x:v>0</x:v>
      </x:c>
      <x:c r="K3213" s="289" t="n">
        <x:v>2620785</x:v>
      </x:c>
    </x:row>
    <x:row r="3214" s="117" customFormat="1" hidden="1">
      <x:c r="A3214" s="184" t="inlineStr">
        <x:is>
          <x:t xml:space="preserve">TERRENO00011</x:t>
        </x:is>
      </x:c>
      <x:c r="B3214" s="184" t="inlineStr">
        <x:is>
          <x:t xml:space="preserve">ESTADO DE PAGO N° 9 CONTRATO 4600022194 MANT.FRP Y PP   HES 1000851450</x:t>
        </x:is>
      </x:c>
      <x:c r="C3214" s="184" t="n">
        <x:v>0</x:v>
      </x:c>
      <x:c r="D3214" s="184" t="n">
        <x:v>0</x:v>
      </x:c>
      <x:c r="E3214" s="184" t="n">
        <x:v>0</x:v>
      </x:c>
      <x:c r="F3214" s="184" t="n">
        <x:v>0</x:v>
      </x:c>
      <x:c r="G3214" s="184" t="n">
        <x:v>0</x:v>
      </x:c>
      <x:c r="H3214" s="193" t="n">
        <x:v>0</x:v>
      </x:c>
      <x:c r="I3214" s="185" t="n">
        <x:v>0</x:v>
      </x:c>
      <x:c r="J3214" s="185" t="n">
        <x:v>0</x:v>
      </x:c>
      <x:c r="K3214" s="289" t="n">
        <x:v>3016375</x:v>
      </x:c>
    </x:row>
    <x:row r="3215" s="117" customFormat="1" hidden="1">
      <x:c r="A3215" s="184" t="inlineStr">
        <x:is>
          <x:t xml:space="preserve">TERRENO00012</x:t>
        </x:is>
      </x:c>
      <x:c r="B3215" s="184" t="inlineStr">
        <x:is>
          <x:t xml:space="preserve">ESTADO DE PAGO N° 3 OC4000148953 DOCUMENTO ENTRADA DE SERVICIO 5000571474</x:t>
        </x:is>
      </x:c>
      <x:c r="C3215" s="184" t="n">
        <x:v>0</x:v>
      </x:c>
      <x:c r="D3215" s="184" t="n">
        <x:v>0</x:v>
      </x:c>
      <x:c r="E3215" s="184" t="n">
        <x:v>0</x:v>
      </x:c>
      <x:c r="F3215" s="184" t="n">
        <x:v>0</x:v>
      </x:c>
      <x:c r="G3215" s="184" t="n">
        <x:v>0</x:v>
      </x:c>
      <x:c r="H3215" s="193" t="n">
        <x:v>0</x:v>
      </x:c>
      <x:c r="I3215" s="185" t="n">
        <x:v>0</x:v>
      </x:c>
      <x:c r="J3215" s="185" t="n">
        <x:v>0</x:v>
      </x:c>
      <x:c r="K3215" s="289" t="n">
        <x:v>53246354</x:v>
      </x:c>
    </x:row>
    <x:row r="3216" s="117" customFormat="1" hidden="1">
      <x:c r="A3216" s="184" t="inlineStr">
        <x:is>
          <x:t xml:space="preserve">TERRENO00013</x:t>
        </x:is>
      </x:c>
      <x:c r="B3216" s="184" t="inlineStr">
        <x:is>
          <x:t xml:space="preserve">124007 MANTENIMIENTO ESTANQUES PTAS  HAS 1013846835</x:t>
        </x:is>
      </x:c>
      <x:c r="C3216" s="184" t="n">
        <x:v>0</x:v>
      </x:c>
      <x:c r="D3216" s="184" t="n">
        <x:v>0</x:v>
      </x:c>
      <x:c r="E3216" s="184" t="n">
        <x:v>0</x:v>
      </x:c>
      <x:c r="F3216" s="184" t="n">
        <x:v>0</x:v>
      </x:c>
      <x:c r="G3216" s="184" t="n">
        <x:v>0</x:v>
      </x:c>
      <x:c r="H3216" s="193" t="n">
        <x:v>0</x:v>
      </x:c>
      <x:c r="I3216" s="185" t="n">
        <x:v>0</x:v>
      </x:c>
      <x:c r="J3216" s="185" t="n">
        <x:v>0</x:v>
      </x:c>
      <x:c r="K3216" s="289" t="n">
        <x:v>5834964</x:v>
      </x:c>
    </x:row>
    <x:row r="3217" s="117" customFormat="1" hidden="1">
      <x:c r="A3217" s="184" t="inlineStr">
        <x:is>
          <x:t xml:space="preserve">TERRENO00014</x:t>
        </x:is>
      </x:c>
      <x:c r="B3217" s="184" t="inlineStr">
        <x:is>
          <x:t xml:space="preserve">SERVICIOS DE MONTALES LINEA PP ENAP CONCON</x:t>
        </x:is>
      </x:c>
      <x:c r="C3217" s="184" t="n">
        <x:v>0</x:v>
      </x:c>
      <x:c r="D3217" s="184" t="n">
        <x:v>0</x:v>
      </x:c>
      <x:c r="E3217" s="184" t="n">
        <x:v>0</x:v>
      </x:c>
      <x:c r="F3217" s="184" t="n">
        <x:v>0</x:v>
      </x:c>
      <x:c r="G3217" s="184" t="n">
        <x:v>0</x:v>
      </x:c>
      <x:c r="H3217" s="193" t="n">
        <x:v>0</x:v>
      </x:c>
      <x:c r="I3217" s="185" t="n">
        <x:v>0</x:v>
      </x:c>
      <x:c r="J3217" s="185" t="n">
        <x:v>0</x:v>
      </x:c>
      <x:c r="K3217" s="289" t="n">
        <x:v>1681774</x:v>
      </x:c>
    </x:row>
    <x:row r="3218" s="117" customFormat="1" hidden="1">
      <x:c r="A3218" s="184" t="inlineStr">
        <x:is>
          <x:t xml:space="preserve">TERRENO00015</x:t>
        </x:is>
      </x:c>
      <x:c r="B3218" s="184" t="inlineStr">
        <x:is>
          <x:t xml:space="preserve">ESTADO DE PAGO N° 13 PARCIAL CONTRATO 4600022194 / 4501064276 /00010 MANT.FRP Y PP   HES 1000986780</x:t>
        </x:is>
      </x:c>
      <x:c r="C3218" s="184" t="n">
        <x:v>0</x:v>
      </x:c>
      <x:c r="D3218" s="184" t="n">
        <x:v>0</x:v>
      </x:c>
      <x:c r="E3218" s="184" t="n">
        <x:v>0</x:v>
      </x:c>
      <x:c r="F3218" s="184" t="n">
        <x:v>0</x:v>
      </x:c>
      <x:c r="G3218" s="184" t="n">
        <x:v>0</x:v>
      </x:c>
      <x:c r="H3218" s="193" t="n">
        <x:v>0</x:v>
      </x:c>
      <x:c r="I3218" s="185" t="n">
        <x:v>0</x:v>
      </x:c>
      <x:c r="J3218" s="185" t="n">
        <x:v>0</x:v>
      </x:c>
      <x:c r="K3218" s="289" t="n">
        <x:v>4587574</x:v>
      </x:c>
    </x:row>
    <x:row r="3219" s="117" customFormat="1" hidden="1">
      <x:c r="A3219" s="184" t="inlineStr">
        <x:is>
          <x:t xml:space="preserve">TERRENO00016</x:t>
        </x:is>
      </x:c>
      <x:c r="B3219" s="184" t="inlineStr">
        <x:is>
          <x:t xml:space="preserve">TRABAJOS DE FRP EN PARADA PLANTA OC-4502020763</x:t>
        </x:is>
      </x:c>
      <x:c r="C3219" s="184" t="n">
        <x:v>0</x:v>
      </x:c>
      <x:c r="D3219" s="184" t="n">
        <x:v>0</x:v>
      </x:c>
      <x:c r="E3219" s="184" t="n">
        <x:v>0</x:v>
      </x:c>
      <x:c r="F3219" s="184" t="n">
        <x:v>0</x:v>
      </x:c>
      <x:c r="G3219" s="184" t="n">
        <x:v>0</x:v>
      </x:c>
      <x:c r="H3219" s="193" t="n">
        <x:v>0</x:v>
      </x:c>
      <x:c r="I3219" s="185" t="n">
        <x:v>0</x:v>
      </x:c>
      <x:c r="J3219" s="185" t="n">
        <x:v>0</x:v>
      </x:c>
      <x:c r="K3219" s="289" t="n">
        <x:v>1007081</x:v>
      </x:c>
    </x:row>
    <x:row r="3220" s="117" customFormat="1" hidden="1">
      <x:c r="A3220" s="184" t="inlineStr">
        <x:is>
          <x:t xml:space="preserve">TERRENO00017</x:t>
        </x:is>
      </x:c>
      <x:c r="B3220" s="184" t="inlineStr">
        <x:is>
          <x:t xml:space="preserve">SERVICIO TERRENO ASG ANGAMOS HES 1001057205</x:t>
        </x:is>
      </x:c>
      <x:c r="C3220" s="184" t="n">
        <x:v>0</x:v>
      </x:c>
      <x:c r="D3220" s="184" t="n">
        <x:v>0</x:v>
      </x:c>
      <x:c r="E3220" s="184" t="n">
        <x:v>0</x:v>
      </x:c>
      <x:c r="F3220" s="184" t="n">
        <x:v>0</x:v>
      </x:c>
      <x:c r="G3220" s="184" t="n">
        <x:v>0</x:v>
      </x:c>
      <x:c r="H3220" s="193" t="n">
        <x:v>0</x:v>
      </x:c>
      <x:c r="I3220" s="185" t="n">
        <x:v>0</x:v>
      </x:c>
      <x:c r="J3220" s="185" t="n">
        <x:v>0</x:v>
      </x:c>
      <x:c r="K3220" s="289" t="n">
        <x:v>19181044</x:v>
      </x:c>
    </x:row>
    <x:row r="3221" s="117" customFormat="1" hidden="1">
      <x:c r="A3221" s="184" t="inlineStr">
        <x:is>
          <x:t xml:space="preserve">TERRENO00018</x:t>
        </x:is>
      </x:c>
      <x:c r="B3221" s="184" t="inlineStr">
        <x:is>
          <x:t xml:space="preserve">SERVICIO TERRENO ASG ANGAMOS HES 1001038949</x:t>
        </x:is>
      </x:c>
      <x:c r="C3221" s="184" t="n">
        <x:v>0</x:v>
      </x:c>
      <x:c r="D3221" s="184" t="n">
        <x:v>0</x:v>
      </x:c>
      <x:c r="E3221" s="184" t="n">
        <x:v>0</x:v>
      </x:c>
      <x:c r="F3221" s="184" t="n">
        <x:v>0</x:v>
      </x:c>
      <x:c r="G3221" s="184" t="n">
        <x:v>0</x:v>
      </x:c>
      <x:c r="H3221" s="193" t="n">
        <x:v>0</x:v>
      </x:c>
      <x:c r="I3221" s="185" t="n">
        <x:v>0</x:v>
      </x:c>
      <x:c r="J3221" s="185" t="n">
        <x:v>0</x:v>
      </x:c>
      <x:c r="K3221" s="289" t="n">
        <x:v>3269683</x:v>
      </x:c>
    </x:row>
    <x:row r="3222" s="117" customFormat="1" hidden="1">
      <x:c r="A3222" s="184" t="inlineStr">
        <x:is>
          <x:t xml:space="preserve">TERRENO00019</x:t>
        </x:is>
      </x:c>
      <x:c r="B3222" s="184" t="inlineStr">
        <x:is>
          <x:t xml:space="preserve">ESTADO DE PAGO N° 14 FINAL CONTRATO 4600022194 / 4501064276 /00010 MANT.FRP Y PP   HES 1001056917</x:t>
        </x:is>
      </x:c>
      <x:c r="C3222" s="184" t="n">
        <x:v>0</x:v>
      </x:c>
      <x:c r="D3222" s="184" t="n">
        <x:v>0</x:v>
      </x:c>
      <x:c r="E3222" s="184" t="n">
        <x:v>0</x:v>
      </x:c>
      <x:c r="F3222" s="184" t="n">
        <x:v>0</x:v>
      </x:c>
      <x:c r="G3222" s="184" t="n">
        <x:v>0</x:v>
      </x:c>
      <x:c r="H3222" s="193" t="n">
        <x:v>0</x:v>
      </x:c>
      <x:c r="I3222" s="185" t="n">
        <x:v>0</x:v>
      </x:c>
      <x:c r="J3222" s="185" t="n">
        <x:v>0</x:v>
      </x:c>
      <x:c r="K3222" s="289" t="n">
        <x:v>21661512</x:v>
      </x:c>
    </x:row>
    <x:row r="3223" s="117" customFormat="1" hidden="1">
      <x:c r="A3223" s="184" t="inlineStr">
        <x:is>
          <x:t xml:space="preserve">TERRENO00020</x:t>
        </x:is>
      </x:c>
      <x:c r="B3223" s="184" t="inlineStr">
        <x:is>
          <x:t xml:space="preserve">ESTADO DE PAGO N° 1 CONTRATO  SAP 4600027952 / 450 REPARACION DE SUPERFICIES ACIDAS   HES 1001058160</x:t>
        </x:is>
      </x:c>
      <x:c r="C3223" s="184" t="n">
        <x:v>0</x:v>
      </x:c>
      <x:c r="D3223" s="184" t="n">
        <x:v>0</x:v>
      </x:c>
      <x:c r="E3223" s="184" t="n">
        <x:v>0</x:v>
      </x:c>
      <x:c r="F3223" s="184" t="n">
        <x:v>0</x:v>
      </x:c>
      <x:c r="G3223" s="184" t="n">
        <x:v>0</x:v>
      </x:c>
      <x:c r="H3223" s="193" t="n">
        <x:v>0</x:v>
      </x:c>
      <x:c r="I3223" s="185" t="n">
        <x:v>0</x:v>
      </x:c>
      <x:c r="J3223" s="185" t="n">
        <x:v>0</x:v>
      </x:c>
      <x:c r="K3223" s="289" t="n">
        <x:v>47420501</x:v>
      </x:c>
    </x:row>
    <x:row r="3224" s="117" customFormat="1" hidden="1">
      <x:c r="A3224" s="184" t="inlineStr">
        <x:is>
          <x:t xml:space="preserve">TERRENO00021</x:t>
        </x:is>
      </x:c>
      <x:c r="B3224" s="184" t="inlineStr">
        <x:is>
          <x:t xml:space="preserve">ESTADO DE PAGO N° 2 CONTRATO  SAP 4600027952 / 450 REPARACION DE SUPERFICIES ACIDAS   HES 1001084598</x:t>
        </x:is>
      </x:c>
      <x:c r="C3224" s="184" t="n">
        <x:v>0</x:v>
      </x:c>
      <x:c r="D3224" s="184" t="n">
        <x:v>0</x:v>
      </x:c>
      <x:c r="E3224" s="184" t="n">
        <x:v>0</x:v>
      </x:c>
      <x:c r="F3224" s="184" t="n">
        <x:v>0</x:v>
      </x:c>
      <x:c r="G3224" s="184" t="n">
        <x:v>0</x:v>
      </x:c>
      <x:c r="H3224" s="193" t="n">
        <x:v>0</x:v>
      </x:c>
      <x:c r="I3224" s="185" t="n">
        <x:v>0</x:v>
      </x:c>
      <x:c r="J3224" s="185" t="n">
        <x:v>0</x:v>
      </x:c>
      <x:c r="K3224" s="289" t="n">
        <x:v>6242982</x:v>
      </x:c>
    </x:row>
    <x:row r="3225" s="117" customFormat="1" hidden="1">
      <x:c r="A3225" s="184" t="inlineStr">
        <x:is>
          <x:t xml:space="preserve">TERRENO00022</x:t>
        </x:is>
      </x:c>
      <x:c r="B3225" s="184" t="inlineStr">
        <x:is>
          <x:t xml:space="preserve">SERVICIO DE TRASLADO TK SERMIJOR STGO-MEJILLONES</x:t>
        </x:is>
      </x:c>
      <x:c r="C3225" s="184" t="n">
        <x:v>0</x:v>
      </x:c>
      <x:c r="D3225" s="184" t="n">
        <x:v>0</x:v>
      </x:c>
      <x:c r="E3225" s="184" t="n">
        <x:v>0</x:v>
      </x:c>
      <x:c r="F3225" s="184" t="n">
        <x:v>0</x:v>
      </x:c>
      <x:c r="G3225" s="184" t="n">
        <x:v>0</x:v>
      </x:c>
      <x:c r="H3225" s="193" t="n">
        <x:v>0</x:v>
      </x:c>
      <x:c r="I3225" s="185" t="n">
        <x:v>0</x:v>
      </x:c>
      <x:c r="J3225" s="185" t="n">
        <x:v>0</x:v>
      </x:c>
      <x:c r="K3225" s="289" t="n">
        <x:v>12000000</x:v>
      </x:c>
    </x:row>
    <x:row r="3226" s="117" customFormat="1" hidden="1">
      <x:c r="A3226" s="184" t="inlineStr">
        <x:is>
          <x:t xml:space="preserve">TERRENO00023</x:t>
        </x:is>
      </x:c>
      <x:c r="B3226" s="184" t="inlineStr">
        <x:is>
          <x:t xml:space="preserve">ESTADO DE PAGO N° 3 CONTRATO SAP 4600027952 HES  1001111518</x:t>
        </x:is>
      </x:c>
      <x:c r="C3226" s="184" t="n">
        <x:v>0</x:v>
      </x:c>
      <x:c r="D3226" s="184" t="n">
        <x:v>0</x:v>
      </x:c>
      <x:c r="E3226" s="184" t="n">
        <x:v>0</x:v>
      </x:c>
      <x:c r="F3226" s="184" t="n">
        <x:v>0</x:v>
      </x:c>
      <x:c r="G3226" s="184" t="n">
        <x:v>0</x:v>
      </x:c>
      <x:c r="H3226" s="193" t="n">
        <x:v>0</x:v>
      </x:c>
      <x:c r="I3226" s="185" t="n">
        <x:v>0</x:v>
      </x:c>
      <x:c r="J3226" s="185" t="n">
        <x:v>0</x:v>
      </x:c>
      <x:c r="K3226" s="289" t="n">
        <x:v>43961924</x:v>
      </x:c>
    </x:row>
    <x:row r="3227" s="117" customFormat="1" hidden="1">
      <x:c r="A3227" s="184" t="inlineStr">
        <x:is>
          <x:t xml:space="preserve">TERRENO00024</x:t>
        </x:is>
      </x:c>
      <x:c r="B3227" s="184" t="inlineStr">
        <x:is>
          <x:t xml:space="preserve">EDP N| 1 OC-4500168646 DUCTO TELEFONO Y ADICIONALES CF TOTAL</x:t>
        </x:is>
      </x:c>
      <x:c r="C3227" s="184" t="n">
        <x:v>0</x:v>
      </x:c>
      <x:c r="D3227" s="184" t="n">
        <x:v>0</x:v>
      </x:c>
      <x:c r="E3227" s="184" t="n">
        <x:v>0</x:v>
      </x:c>
      <x:c r="F3227" s="184" t="n">
        <x:v>0</x:v>
      </x:c>
      <x:c r="G3227" s="184" t="n">
        <x:v>0</x:v>
      </x:c>
      <x:c r="H3227" s="193" t="n">
        <x:v>0</x:v>
      </x:c>
      <x:c r="I3227" s="185" t="n">
        <x:v>0</x:v>
      </x:c>
      <x:c r="J3227" s="185" t="n">
        <x:v>0</x:v>
      </x:c>
      <x:c r="K3227" s="289" t="n">
        <x:v>75313906</x:v>
      </x:c>
    </x:row>
    <x:row r="3228" s="117" customFormat="1" hidden="1">
      <x:c r="A3228" s="184" t="inlineStr">
        <x:is>
          <x:t xml:space="preserve">TERRENO00025</x:t>
        </x:is>
      </x:c>
      <x:c r="B3228" s="184" t="inlineStr">
        <x:is>
          <x:t xml:space="preserve">ESTADO DE PAGO N° 1 DG2021 ADICIONAL PPHH CONTRATO 45002322385 HES 1000278314</x:t>
        </x:is>
      </x:c>
      <x:c r="C3228" s="184" t="n">
        <x:v>0</x:v>
      </x:c>
      <x:c r="D3228" s="184" t="n">
        <x:v>0</x:v>
      </x:c>
      <x:c r="E3228" s="184" t="n">
        <x:v>0</x:v>
      </x:c>
      <x:c r="F3228" s="184" t="n">
        <x:v>0</x:v>
      </x:c>
      <x:c r="G3228" s="184" t="n">
        <x:v>0</x:v>
      </x:c>
      <x:c r="H3228" s="193" t="n">
        <x:v>0</x:v>
      </x:c>
      <x:c r="I3228" s="185" t="n">
        <x:v>0</x:v>
      </x:c>
      <x:c r="J3228" s="185" t="n">
        <x:v>0</x:v>
      </x:c>
      <x:c r="K3228" s="289" t="n">
        <x:v>39456885</x:v>
      </x:c>
    </x:row>
    <x:row r="3229" s="117" customFormat="1" hidden="1">
      <x:c r="A3229" s="184" t="inlineStr">
        <x:is>
          <x:t xml:space="preserve">TERRENO00026</x:t>
        </x:is>
      </x:c>
      <x:c r="B3229" s="184" t="inlineStr">
        <x:is>
          <x:t xml:space="preserve">MONTAJE Y SOPORTES TK ALTONORTE HES 1000298214</x:t>
        </x:is>
      </x:c>
      <x:c r="C3229" s="184" t="n">
        <x:v>0</x:v>
      </x:c>
      <x:c r="D3229" s="184" t="n">
        <x:v>0</x:v>
      </x:c>
      <x:c r="E3229" s="184" t="n">
        <x:v>0</x:v>
      </x:c>
      <x:c r="F3229" s="184" t="n">
        <x:v>0</x:v>
      </x:c>
      <x:c r="G3229" s="184" t="n">
        <x:v>0</x:v>
      </x:c>
      <x:c r="H3229" s="193" t="n">
        <x:v>0</x:v>
      </x:c>
      <x:c r="I3229" s="185" t="n">
        <x:v>0</x:v>
      </x:c>
      <x:c r="J3229" s="185" t="n">
        <x:v>0</x:v>
      </x:c>
      <x:c r="K3229" s="289" t="n">
        <x:v>2390885</x:v>
      </x:c>
    </x:row>
    <x:row r="3230" s="117" customFormat="1" hidden="1">
      <x:c r="A3230" s="184" t="inlineStr">
        <x:is>
          <x:t xml:space="preserve">TERRENO00027</x:t>
        </x:is>
      </x:c>
      <x:c r="B3230" s="184" t="inlineStr">
        <x:is>
          <x:t xml:space="preserve">EP N| 2 SUMISTRO Y APLICACION REV,FRP S1-W1 HES1000059197 MANTOS COPPER OC-4500046382</x:t>
        </x:is>
      </x:c>
      <x:c r="C3230" s="184" t="n">
        <x:v>0</x:v>
      </x:c>
      <x:c r="D3230" s="184" t="n">
        <x:v>0</x:v>
      </x:c>
      <x:c r="E3230" s="184" t="n">
        <x:v>0</x:v>
      </x:c>
      <x:c r="F3230" s="184" t="n">
        <x:v>0</x:v>
      </x:c>
      <x:c r="G3230" s="184" t="n">
        <x:v>0</x:v>
      </x:c>
      <x:c r="H3230" s="193" t="n">
        <x:v>0</x:v>
      </x:c>
      <x:c r="I3230" s="185" t="n">
        <x:v>0</x:v>
      </x:c>
      <x:c r="J3230" s="185" t="n">
        <x:v>0</x:v>
      </x:c>
      <x:c r="K3230" s="289" t="n">
        <x:v>100018578</x:v>
      </x:c>
    </x:row>
    <x:row r="3231" s="117" customFormat="1" hidden="1">
      <x:c r="A3231" s="184" t="inlineStr">
        <x:is>
          <x:t xml:space="preserve">TERRENO00028</x:t>
        </x:is>
      </x:c>
      <x:c r="B3231" s="184" t="inlineStr">
        <x:is>
          <x:t xml:space="preserve">SERVICIO DE AUMENTO DE ESPESOR 360°INTERIOR TUBERIA FRP ESPESOR 30MM HES 1001184463 OC-4500654885</x:t>
        </x:is>
      </x:c>
      <x:c r="C3231" s="184" t="n">
        <x:v>0</x:v>
      </x:c>
      <x:c r="D3231" s="184" t="n">
        <x:v>0</x:v>
      </x:c>
      <x:c r="E3231" s="184" t="n">
        <x:v>0</x:v>
      </x:c>
      <x:c r="F3231" s="184" t="n">
        <x:v>0</x:v>
      </x:c>
      <x:c r="G3231" s="184" t="n">
        <x:v>0</x:v>
      </x:c>
      <x:c r="H3231" s="193" t="n">
        <x:v>0</x:v>
      </x:c>
      <x:c r="I3231" s="185" t="n">
        <x:v>0</x:v>
      </x:c>
      <x:c r="J3231" s="185" t="n">
        <x:v>0</x:v>
      </x:c>
      <x:c r="K3231" s="289" t="n">
        <x:v>31250118</x:v>
      </x:c>
    </x:row>
    <x:row r="3232" s="117" customFormat="1" hidden="1">
      <x:c r="A3232" s="184" t="inlineStr">
        <x:is>
          <x:t xml:space="preserve">TERRENO00029</x:t>
        </x:is>
      </x:c>
      <x:c r="B3232" s="184" t="inlineStr">
        <x:is>
          <x:t xml:space="preserve">EDP N° 1 SERVICIO DE DESMONTAJE Y MONTAJE LINEA 2 HES 1001121051 PEP 10021821</x:t>
        </x:is>
      </x:c>
      <x:c r="C3232" s="184" t="n">
        <x:v>0</x:v>
      </x:c>
      <x:c r="D3232" s="184" t="n">
        <x:v>0</x:v>
      </x:c>
      <x:c r="E3232" s="184" t="n">
        <x:v>0</x:v>
      </x:c>
      <x:c r="F3232" s="184" t="n">
        <x:v>0</x:v>
      </x:c>
      <x:c r="G3232" s="184" t="n">
        <x:v>0</x:v>
      </x:c>
      <x:c r="H3232" s="193" t="n">
        <x:v>0</x:v>
      </x:c>
      <x:c r="I3232" s="185" t="n">
        <x:v>0</x:v>
      </x:c>
      <x:c r="J3232" s="185" t="n">
        <x:v>0</x:v>
      </x:c>
      <x:c r="K3232" s="289" t="n">
        <x:v>13569642</x:v>
      </x:c>
    </x:row>
    <x:row r="3233" s="117" customFormat="1" hidden="1">
      <x:c r="A3233" s="184" t="inlineStr">
        <x:is>
          <x:t xml:space="preserve">TERRENO00030</x:t>
        </x:is>
      </x:c>
      <x:c r="B3233" s="184" t="inlineStr">
        <x:is>
          <x:t xml:space="preserve">ESTADO DE PAGO N° 2 CONTRATO 4900067900 DOC.5000557982  PARTIDA DE ACTIVO 202014/1 2410001 MOLYMET</x:t>
        </x:is>
      </x:c>
      <x:c r="C3233" s="184" t="n">
        <x:v>0</x:v>
      </x:c>
      <x:c r="D3233" s="184" t="n">
        <x:v>0</x:v>
      </x:c>
      <x:c r="E3233" s="184" t="n">
        <x:v>0</x:v>
      </x:c>
      <x:c r="F3233" s="184" t="n">
        <x:v>0</x:v>
      </x:c>
      <x:c r="G3233" s="184" t="n">
        <x:v>0</x:v>
      </x:c>
      <x:c r="H3233" s="193" t="n">
        <x:v>0</x:v>
      </x:c>
      <x:c r="I3233" s="185" t="n">
        <x:v>0</x:v>
      </x:c>
      <x:c r="J3233" s="185" t="n">
        <x:v>0</x:v>
      </x:c>
      <x:c r="K3233" s="289" t="n">
        <x:v>26731500</x:v>
      </x:c>
    </x:row>
    <x:row r="3234" s="117" customFormat="1" hidden="1">
      <x:c r="A3234" s="184" t="inlineStr">
        <x:is>
          <x:t xml:space="preserve">TERRENO00031</x:t>
        </x:is>
      </x:c>
      <x:c r="B3234" s="184" t="inlineStr">
        <x:is>
          <x:t xml:space="preserve">ESTAADO DE PAGO N° 1 REP.LINEA ALIMENTACION ELECTROLITO Y DECANTADOR S1B HES 1000365711 CENTINELA</x:t>
        </x:is>
      </x:c>
      <x:c r="C3234" s="184" t="n">
        <x:v>0</x:v>
      </x:c>
      <x:c r="D3234" s="184" t="n">
        <x:v>0</x:v>
      </x:c>
      <x:c r="E3234" s="184" t="n">
        <x:v>0</x:v>
      </x:c>
      <x:c r="F3234" s="184" t="n">
        <x:v>0</x:v>
      </x:c>
      <x:c r="G3234" s="184" t="n">
        <x:v>0</x:v>
      </x:c>
      <x:c r="H3234" s="193" t="n">
        <x:v>0</x:v>
      </x:c>
      <x:c r="I3234" s="185" t="n">
        <x:v>0</x:v>
      </x:c>
      <x:c r="J3234" s="185" t="n">
        <x:v>0</x:v>
      </x:c>
      <x:c r="K3234" s="289" t="n">
        <x:v>120827325</x:v>
      </x:c>
    </x:row>
    <x:row r="3235" s="117" customFormat="1" hidden="1">
      <x:c r="A3235" s="184" t="inlineStr">
        <x:is>
          <x:t xml:space="preserve">TERRENO00032</x:t>
        </x:is>
      </x:c>
      <x:c r="B3235" s="184" t="inlineStr">
        <x:is>
          <x:t xml:space="preserve">CAMBIO SCRUBBER CELULOSA ARAUCO</x:t>
        </x:is>
      </x:c>
      <x:c r="C3235" s="184" t="n">
        <x:v>0</x:v>
      </x:c>
      <x:c r="D3235" s="184" t="n">
        <x:v>0</x:v>
      </x:c>
      <x:c r="E3235" s="184" t="n">
        <x:v>0</x:v>
      </x:c>
      <x:c r="F3235" s="184" t="n">
        <x:v>0</x:v>
      </x:c>
      <x:c r="G3235" s="184" t="n">
        <x:v>0</x:v>
      </x:c>
      <x:c r="H3235" s="193" t="n">
        <x:v>0</x:v>
      </x:c>
      <x:c r="I3235" s="185" t="n">
        <x:v>0</x:v>
      </x:c>
      <x:c r="J3235" s="185" t="n">
        <x:v>0</x:v>
      </x:c>
      <x:c r="K3235" s="289" t="n">
        <x:v>30229289</x:v>
      </x:c>
    </x:row>
    <x:row r="3236" s="117" customFormat="1" hidden="1">
      <x:c r="A3236" s="184" t="inlineStr">
        <x:is>
          <x:t xml:space="preserve">TERRENO00033</x:t>
        </x:is>
      </x:c>
      <x:c r="B3236" s="184" t="inlineStr">
        <x:is>
          <x:t xml:space="preserve">REPARACION TK SODA EDIF 17 ORAFTI</x:t>
        </x:is>
      </x:c>
      <x:c r="C3236" s="184" t="n">
        <x:v>0</x:v>
      </x:c>
      <x:c r="D3236" s="184" t="n">
        <x:v>0</x:v>
      </x:c>
      <x:c r="E3236" s="184" t="n">
        <x:v>0</x:v>
      </x:c>
      <x:c r="F3236" s="184" t="n">
        <x:v>0</x:v>
      </x:c>
      <x:c r="G3236" s="184" t="n">
        <x:v>0</x:v>
      </x:c>
      <x:c r="H3236" s="193" t="n">
        <x:v>0</x:v>
      </x:c>
      <x:c r="I3236" s="185" t="n">
        <x:v>0</x:v>
      </x:c>
      <x:c r="J3236" s="185" t="n">
        <x:v>0</x:v>
      </x:c>
      <x:c r="K3236" s="289" t="n">
        <x:v>12396062</x:v>
      </x:c>
    </x:row>
    <x:row r="3237" s="117" customFormat="1" hidden="1">
      <x:c r="A3237" s="184" t="inlineStr">
        <x:is>
          <x:t xml:space="preserve">TERRENO00034</x:t>
        </x:is>
      </x:c>
      <x:c r="B3237" s="184" t="inlineStr">
        <x:is>
          <x:t xml:space="preserve">ESTADO DE PAGO 4000124266 CONTRATO 4502128495 HES 1002678924 REPARACION DE EQUIPOS DE FRP Y PP</x:t>
        </x:is>
      </x:c>
      <x:c r="C3237" s="184" t="n">
        <x:v>0</x:v>
      </x:c>
      <x:c r="D3237" s="184" t="n">
        <x:v>0</x:v>
      </x:c>
      <x:c r="E3237" s="184" t="n">
        <x:v>0</x:v>
      </x:c>
      <x:c r="F3237" s="184" t="n">
        <x:v>0</x:v>
      </x:c>
      <x:c r="G3237" s="184" t="n">
        <x:v>0</x:v>
      </x:c>
      <x:c r="H3237" s="193" t="n">
        <x:v>0</x:v>
      </x:c>
      <x:c r="I3237" s="185" t="n">
        <x:v>0</x:v>
      </x:c>
      <x:c r="J3237" s="185" t="n">
        <x:v>0</x:v>
      </x:c>
      <x:c r="K3237" s="289" t="n">
        <x:v>7938883</x:v>
      </x:c>
    </x:row>
    <x:row r="3238" s="117" customFormat="1" hidden="1">
      <x:c r="A3238" s="184" t="inlineStr">
        <x:is>
          <x:t xml:space="preserve">TERRENO00035</x:t>
        </x:is>
      </x:c>
      <x:c r="B3238" s="184" t="inlineStr">
        <x:is>
          <x:t xml:space="preserve">ESTADO DE PAGO N° 3 ORDEN 4900068721 OV 5000566612 PPEE MOLYMET</x:t>
        </x:is>
      </x:c>
      <x:c r="C3238" s="184" t="n">
        <x:v>0</x:v>
      </x:c>
      <x:c r="D3238" s="184" t="n">
        <x:v>0</x:v>
      </x:c>
      <x:c r="E3238" s="184" t="n">
        <x:v>0</x:v>
      </x:c>
      <x:c r="F3238" s="184" t="n">
        <x:v>0</x:v>
      </x:c>
      <x:c r="G3238" s="184" t="n">
        <x:v>0</x:v>
      </x:c>
      <x:c r="H3238" s="193" t="n">
        <x:v>0</x:v>
      </x:c>
      <x:c r="I3238" s="185" t="n">
        <x:v>0</x:v>
      </x:c>
      <x:c r="J3238" s="185" t="n">
        <x:v>0</x:v>
      </x:c>
      <x:c r="K3238" s="289" t="n">
        <x:v>20819000</x:v>
      </x:c>
    </x:row>
    <x:row r="3239" s="117" customFormat="1" hidden="1">
      <x:c r="A3239" s="184" t="inlineStr">
        <x:is>
          <x:t xml:space="preserve">TERRENO00036</x:t>
        </x:is>
      </x:c>
      <x:c r="B3239" s="184" t="inlineStr">
        <x:is>
          <x:t xml:space="preserve">SERVICIO DE REPARACION LINEA IMPULSION Y RETORNO ANG2 ANGAMOS</x:t>
        </x:is>
      </x:c>
      <x:c r="C3239" s="184" t="n">
        <x:v>0</x:v>
      </x:c>
      <x:c r="D3239" s="184" t="n">
        <x:v>0</x:v>
      </x:c>
      <x:c r="E3239" s="184" t="n">
        <x:v>0</x:v>
      </x:c>
      <x:c r="F3239" s="184" t="n">
        <x:v>0</x:v>
      </x:c>
      <x:c r="G3239" s="184" t="n">
        <x:v>0</x:v>
      </x:c>
      <x:c r="H3239" s="193" t="n">
        <x:v>0</x:v>
      </x:c>
      <x:c r="I3239" s="185" t="n">
        <x:v>0</x:v>
      </x:c>
      <x:c r="J3239" s="185" t="n">
        <x:v>0</x:v>
      </x:c>
      <x:c r="K3239" s="289" t="n">
        <x:v>13330069</x:v>
      </x:c>
    </x:row>
    <x:row r="3240" s="117" customFormat="1" hidden="1">
      <x:c r="A3240" s="184" t="inlineStr">
        <x:is>
          <x:t xml:space="preserve">TERRENO00037</x:t>
        </x:is>
      </x:c>
      <x:c r="B3240" s="184" t="inlineStr">
        <x:is>
          <x:t xml:space="preserve">ESTADO DE PAGO N° 1 CONTRATO SAP 4600029485 SUMINOSTRO Y REP EQUIPO FRP Y PP HES 1001332353</x:t>
        </x:is>
      </x:c>
      <x:c r="C3240" s="184" t="n">
        <x:v>0</x:v>
      </x:c>
      <x:c r="D3240" s="184" t="n">
        <x:v>0</x:v>
      </x:c>
      <x:c r="E3240" s="184" t="n">
        <x:v>0</x:v>
      </x:c>
      <x:c r="F3240" s="184" t="n">
        <x:v>0</x:v>
      </x:c>
      <x:c r="G3240" s="184" t="n">
        <x:v>0</x:v>
      </x:c>
      <x:c r="H3240" s="193" t="n">
        <x:v>0</x:v>
      </x:c>
      <x:c r="I3240" s="185" t="n">
        <x:v>0</x:v>
      </x:c>
      <x:c r="J3240" s="185" t="n">
        <x:v>0</x:v>
      </x:c>
      <x:c r="K3240" s="289" t="n">
        <x:v>40742836</x:v>
      </x:c>
    </x:row>
    <x:row r="3241" s="117" customFormat="1" hidden="1">
      <x:c r="A3241" s="184" t="inlineStr">
        <x:is>
          <x:t xml:space="preserve">TERRENO00038</x:t>
        </x:is>
      </x:c>
      <x:c r="B3241" s="184" t="inlineStr">
        <x:is>
          <x:t xml:space="preserve">SUMINISTRO E INSTALACION DE STUB END 2  PLG OC-93002148950 SALFA FUL0722-NV0000</x:t>
        </x:is>
      </x:c>
      <x:c r="C3241" s="184" t="n">
        <x:v>0</x:v>
      </x:c>
      <x:c r="D3241" s="184" t="n">
        <x:v>0</x:v>
      </x:c>
      <x:c r="E3241" s="184" t="n">
        <x:v>0</x:v>
      </x:c>
      <x:c r="F3241" s="184" t="n">
        <x:v>0</x:v>
      </x:c>
      <x:c r="G3241" s="184" t="n">
        <x:v>0</x:v>
      </x:c>
      <x:c r="H3241" s="193" t="n">
        <x:v>0</x:v>
      </x:c>
      <x:c r="I3241" s="185" t="n">
        <x:v>0</x:v>
      </x:c>
      <x:c r="J3241" s="185" t="n">
        <x:v>0</x:v>
      </x:c>
      <x:c r="K3241" s="289" t="n">
        <x:v>908592</x:v>
      </x:c>
    </x:row>
    <x:row r="3242" s="117" customFormat="1" hidden="1">
      <x:c r="A3242" s="184" t="inlineStr">
        <x:is>
          <x:t xml:space="preserve">TERRENO00039</x:t>
        </x:is>
      </x:c>
      <x:c r="B3242" s="184" t="inlineStr">
        <x:is>
          <x:t xml:space="preserve">EDP N° 2 CONT.4600029485 HES 1001362002</x:t>
        </x:is>
      </x:c>
      <x:c r="C3242" s="184" t="n">
        <x:v>0</x:v>
      </x:c>
      <x:c r="D3242" s="184" t="n">
        <x:v>0</x:v>
      </x:c>
      <x:c r="E3242" s="184" t="n">
        <x:v>0</x:v>
      </x:c>
      <x:c r="F3242" s="184" t="n">
        <x:v>0</x:v>
      </x:c>
      <x:c r="G3242" s="184" t="n">
        <x:v>0</x:v>
      </x:c>
      <x:c r="H3242" s="193" t="n">
        <x:v>0</x:v>
      </x:c>
      <x:c r="I3242" s="185" t="n">
        <x:v>0</x:v>
      </x:c>
      <x:c r="J3242" s="185" t="n">
        <x:v>0</x:v>
      </x:c>
      <x:c r="K3242" s="289" t="n">
        <x:v>27412294</x:v>
      </x:c>
    </x:row>
    <x:row r="3243" s="117" customFormat="1" hidden="1">
      <x:c r="A3243" s="184" t="inlineStr">
        <x:is>
          <x:t xml:space="preserve">TERRENO00040</x:t>
        </x:is>
      </x:c>
      <x:c r="B3243" s="184" t="inlineStr">
        <x:is>
          <x:t xml:space="preserve">EDP Nª 3A SERV.SUMINIST.Y APLIC. REVST.FRP S1 Y W1 EN PLANTA SX-EW CONT.4500046382 HES 10000622265</x:t>
        </x:is>
      </x:c>
      <x:c r="C3243" s="184" t="n">
        <x:v>0</x:v>
      </x:c>
      <x:c r="D3243" s="184" t="n">
        <x:v>0</x:v>
      </x:c>
      <x:c r="E3243" s="184" t="n">
        <x:v>0</x:v>
      </x:c>
      <x:c r="F3243" s="184" t="n">
        <x:v>0</x:v>
      </x:c>
      <x:c r="G3243" s="184" t="n">
        <x:v>0</x:v>
      </x:c>
      <x:c r="H3243" s="193" t="n">
        <x:v>0</x:v>
      </x:c>
      <x:c r="I3243" s="185" t="n">
        <x:v>0</x:v>
      </x:c>
      <x:c r="J3243" s="185" t="n">
        <x:v>0</x:v>
      </x:c>
      <x:c r="K3243" s="289" t="n">
        <x:v>35770842</x:v>
      </x:c>
    </x:row>
    <x:row r="3244" s="117" customFormat="1" hidden="1">
      <x:c r="A3244" s="184" t="inlineStr">
        <x:is>
          <x:t xml:space="preserve">TERRENO00041</x:t>
        </x:is>
      </x:c>
      <x:c r="B3244" s="184" t="inlineStr">
        <x:is>
          <x:t xml:space="preserve">EDP Nª 3B SERV.SUMINIST.Y APLIC. REVST.FRP S1 Y W1 EN PLANTA SX-EW CONT.4500046382 HES 1000062266</x:t>
        </x:is>
      </x:c>
      <x:c r="C3244" s="184" t="n">
        <x:v>0</x:v>
      </x:c>
      <x:c r="D3244" s="184" t="n">
        <x:v>0</x:v>
      </x:c>
      <x:c r="E3244" s="184" t="n">
        <x:v>0</x:v>
      </x:c>
      <x:c r="F3244" s="184" t="n">
        <x:v>0</x:v>
      </x:c>
      <x:c r="G3244" s="184" t="n">
        <x:v>0</x:v>
      </x:c>
      <x:c r="H3244" s="193" t="n">
        <x:v>0</x:v>
      </x:c>
      <x:c r="I3244" s="185" t="n">
        <x:v>0</x:v>
      </x:c>
      <x:c r="J3244" s="185" t="n">
        <x:v>0</x:v>
      </x:c>
      <x:c r="K3244" s="289" t="n">
        <x:v>21799032</x:v>
      </x:c>
    </x:row>
    <x:row r="3245" s="117" customFormat="1" hidden="1">
      <x:c r="A3245" s="184" t="inlineStr">
        <x:is>
          <x:t xml:space="preserve">TERRENO00042</x:t>
        </x:is>
      </x:c>
      <x:c r="B3245" s="184" t="inlineStr">
        <x:is>
          <x:t xml:space="preserve">ESTADO DE PAGO N°3 DEMISTER RI  WE 5008687586</x:t>
        </x:is>
      </x:c>
      <x:c r="C3245" s="184" t="n">
        <x:v>0</x:v>
      </x:c>
      <x:c r="D3245" s="184" t="n">
        <x:v>0</x:v>
      </x:c>
      <x:c r="E3245" s="184" t="n">
        <x:v>0</x:v>
      </x:c>
      <x:c r="F3245" s="184" t="n">
        <x:v>0</x:v>
      </x:c>
      <x:c r="G3245" s="184" t="n">
        <x:v>0</x:v>
      </x:c>
      <x:c r="H3245" s="193" t="n">
        <x:v>0</x:v>
      </x:c>
      <x:c r="I3245" s="185" t="n">
        <x:v>0</x:v>
      </x:c>
      <x:c r="J3245" s="185" t="n">
        <x:v>0</x:v>
      </x:c>
      <x:c r="K3245" s="289" t="n">
        <x:v>60506035</x:v>
      </x:c>
    </x:row>
    <x:row r="3246" s="117" customFormat="1" hidden="1">
      <x:c r="A3246" s="184" t="inlineStr">
        <x:is>
          <x:t xml:space="preserve">TERRENO00043</x:t>
        </x:is>
      </x:c>
      <x:c r="B3246" s="184" t="inlineStr">
        <x:is>
          <x:t xml:space="preserve">SERVICIO DE RECUPERACION BARRERA QUIMICA MANTO ESTANQUE MIGO 5000664163</x:t>
        </x:is>
      </x:c>
      <x:c r="C3246" s="184" t="n">
        <x:v>0</x:v>
      </x:c>
      <x:c r="D3246" s="184" t="n">
        <x:v>0</x:v>
      </x:c>
      <x:c r="E3246" s="184" t="n">
        <x:v>0</x:v>
      </x:c>
      <x:c r="F3246" s="184" t="n">
        <x:v>0</x:v>
      </x:c>
      <x:c r="G3246" s="184" t="n">
        <x:v>0</x:v>
      </x:c>
      <x:c r="H3246" s="193" t="n">
        <x:v>0</x:v>
      </x:c>
      <x:c r="I3246" s="185" t="n">
        <x:v>0</x:v>
      </x:c>
      <x:c r="J3246" s="185" t="n">
        <x:v>0</x:v>
      </x:c>
      <x:c r="K3246" s="289" t="n">
        <x:v>11568242</x:v>
      </x:c>
    </x:row>
    <x:row r="3247" s="117" customFormat="1" hidden="1">
      <x:c r="A3247" s="184" t="inlineStr">
        <x:is>
          <x:t xml:space="preserve">TERRENO00044</x:t>
        </x:is>
      </x:c>
      <x:c r="B3247" s="184" t="inlineStr">
        <x:is>
          <x:t xml:space="preserve">ESTADO DE PAGO N° 3 CONTRATO 4600029485 REPA.EQUIP.FRP HES 1001386285</x:t>
        </x:is>
      </x:c>
      <x:c r="C3247" s="184" t="n">
        <x:v>0</x:v>
      </x:c>
      <x:c r="D3247" s="184" t="n">
        <x:v>0</x:v>
      </x:c>
      <x:c r="E3247" s="184" t="n">
        <x:v>0</x:v>
      </x:c>
      <x:c r="F3247" s="184" t="n">
        <x:v>0</x:v>
      </x:c>
      <x:c r="G3247" s="184" t="n">
        <x:v>0</x:v>
      </x:c>
      <x:c r="H3247" s="193" t="n">
        <x:v>0</x:v>
      </x:c>
      <x:c r="I3247" s="185" t="n">
        <x:v>0</x:v>
      </x:c>
      <x:c r="J3247" s="185" t="n">
        <x:v>0</x:v>
      </x:c>
      <x:c r="K3247" s="289" t="n">
        <x:v>47947276</x:v>
      </x:c>
    </x:row>
    <x:row r="3248" s="117" customFormat="1" hidden="1">
      <x:c r="A3248" s="184" t="inlineStr">
        <x:is>
          <x:t xml:space="preserve">TERRENO00045</x:t>
        </x:is>
      </x:c>
      <x:c r="B3248" s="184" t="inlineStr">
        <x:is>
          <x:t xml:space="preserve">ESTADO DE PAGO 4000128503 CONT 4502146328 HES 1002693015 TENIENTEREP EQUIP FRP Y P</x:t>
        </x:is>
      </x:c>
      <x:c r="C3248" s="184" t="n">
        <x:v>0</x:v>
      </x:c>
      <x:c r="D3248" s="184" t="n">
        <x:v>0</x:v>
      </x:c>
      <x:c r="E3248" s="184" t="n">
        <x:v>0</x:v>
      </x:c>
      <x:c r="F3248" s="184" t="n">
        <x:v>0</x:v>
      </x:c>
      <x:c r="G3248" s="184" t="n">
        <x:v>0</x:v>
      </x:c>
      <x:c r="H3248" s="193" t="n">
        <x:v>0</x:v>
      </x:c>
      <x:c r="I3248" s="185" t="n">
        <x:v>0</x:v>
      </x:c>
      <x:c r="J3248" s="185" t="n">
        <x:v>0</x:v>
      </x:c>
      <x:c r="K3248" s="289" t="n">
        <x:v>16057625</x:v>
      </x:c>
    </x:row>
    <x:row r="3249" s="117" customFormat="1" hidden="1">
      <x:c r="A3249" s="184" t="inlineStr">
        <x:is>
          <x:t xml:space="preserve">TERRENO00046</x:t>
        </x:is>
      </x:c>
      <x:c r="B3249" s="184" t="inlineStr">
        <x:is>
          <x:t xml:space="preserve">ESTADO DE PAGO 4000128677 CONT 4502146328 HES 1002693016 TENIENTE REP EQUIP FRP Y P</x:t>
        </x:is>
      </x:c>
      <x:c r="C3249" s="184" t="n">
        <x:v>0</x:v>
      </x:c>
      <x:c r="D3249" s="184" t="n">
        <x:v>0</x:v>
      </x:c>
      <x:c r="E3249" s="184" t="n">
        <x:v>0</x:v>
      </x:c>
      <x:c r="F3249" s="184" t="n">
        <x:v>0</x:v>
      </x:c>
      <x:c r="G3249" s="184" t="n">
        <x:v>0</x:v>
      </x:c>
      <x:c r="H3249" s="193" t="n">
        <x:v>0</x:v>
      </x:c>
      <x:c r="I3249" s="185" t="n">
        <x:v>0</x:v>
      </x:c>
      <x:c r="J3249" s="185" t="n">
        <x:v>0</x:v>
      </x:c>
      <x:c r="K3249" s="289" t="n">
        <x:v>11607197</x:v>
      </x:c>
    </x:row>
    <x:row r="3250" s="117" customFormat="1" hidden="1">
      <x:c r="A3250" s="184" t="inlineStr">
        <x:is>
          <x:t xml:space="preserve">TERRENO00047</x:t>
        </x:is>
      </x:c>
      <x:c r="B3250" s="184" t="inlineStr">
        <x:is>
          <x:t xml:space="preserve">SERVICIO DE MONTAJE EMPAQUETADURAS EDP LINEA 2 TENIENTE SALFA HES 1001166933</x:t>
        </x:is>
      </x:c>
      <x:c r="C3250" s="184" t="n">
        <x:v>0</x:v>
      </x:c>
      <x:c r="D3250" s="184" t="n">
        <x:v>0</x:v>
      </x:c>
      <x:c r="E3250" s="184" t="n">
        <x:v>0</x:v>
      </x:c>
      <x:c r="F3250" s="184" t="n">
        <x:v>0</x:v>
      </x:c>
      <x:c r="G3250" s="184" t="n">
        <x:v>0</x:v>
      </x:c>
      <x:c r="H3250" s="193" t="n">
        <x:v>0</x:v>
      </x:c>
      <x:c r="I3250" s="185" t="n">
        <x:v>0</x:v>
      </x:c>
      <x:c r="J3250" s="185" t="n">
        <x:v>0</x:v>
      </x:c>
      <x:c r="K3250" s="289" t="n">
        <x:v>1610000</x:v>
      </x:c>
    </x:row>
    <x:row r="3251" s="117" customFormat="1" hidden="1">
      <x:c r="A3251" s="184" t="inlineStr">
        <x:is>
          <x:t xml:space="preserve">TERRENO00048</x:t>
        </x:is>
      </x:c>
      <x:c r="B3251" s="184" t="inlineStr">
        <x:is>
          <x:t xml:space="preserve">POS 0010 REPARACION TAPA TECH,MANTO DE ESTANQUE EN FRP PARA AGUA DE CONDENSADO</x:t>
        </x:is>
      </x:c>
      <x:c r="C3251" s="184" t="n">
        <x:v>0</x:v>
      </x:c>
      <x:c r="D3251" s="184" t="n">
        <x:v>0</x:v>
      </x:c>
      <x:c r="E3251" s="184" t="n">
        <x:v>0</x:v>
      </x:c>
      <x:c r="F3251" s="184" t="n">
        <x:v>0</x:v>
      </x:c>
      <x:c r="G3251" s="184" t="n">
        <x:v>0</x:v>
      </x:c>
      <x:c r="H3251" s="193" t="n">
        <x:v>0</x:v>
      </x:c>
      <x:c r="I3251" s="185" t="n">
        <x:v>0</x:v>
      </x:c>
      <x:c r="J3251" s="185" t="n">
        <x:v>0</x:v>
      </x:c>
      <x:c r="K3251" s="289" t="n">
        <x:v>2916549</x:v>
      </x:c>
    </x:row>
    <x:row r="3252" s="117" customFormat="1" hidden="1">
      <x:c r="A3252" s="184" t="inlineStr">
        <x:is>
          <x:t xml:space="preserve">TERRENO00049</x:t>
        </x:is>
      </x:c>
      <x:c r="B3252" s="184" t="inlineStr">
        <x:is>
          <x:t xml:space="preserve">ESTADO 7000016335 CONTRATO 4600023860 HES 1002727835  SERVICIO DE REPARACIONES  POLIMERICAS Y</x:t>
        </x:is>
      </x:c>
      <x:c r="C3252" s="184" t="n">
        <x:v>0</x:v>
      </x:c>
      <x:c r="D3252" s="184" t="n">
        <x:v>0</x:v>
      </x:c>
      <x:c r="E3252" s="184" t="n">
        <x:v>0</x:v>
      </x:c>
      <x:c r="F3252" s="184" t="n">
        <x:v>0</x:v>
      </x:c>
      <x:c r="G3252" s="184" t="n">
        <x:v>0</x:v>
      </x:c>
      <x:c r="H3252" s="193" t="n">
        <x:v>0</x:v>
      </x:c>
      <x:c r="I3252" s="185" t="n">
        <x:v>0</x:v>
      </x:c>
      <x:c r="J3252" s="185" t="n">
        <x:v>0</x:v>
      </x:c>
      <x:c r="K3252" s="289" t="n">
        <x:v>12362333</x:v>
      </x:c>
    </x:row>
    <x:row r="3253" s="117" customFormat="1" hidden="1">
      <x:c r="A3253" s="184" t="inlineStr">
        <x:is>
          <x:t xml:space="preserve">TERRENO00050</x:t>
        </x:is>
      </x:c>
      <x:c r="B3253" s="184" t="inlineStr">
        <x:is>
          <x:t xml:space="preserve">ESTADO DE PAGO N° 7 CONTRATO  SAP 4600029485   REPARACION EQUIPOS SUMINISTRO HES1001546586</x:t>
        </x:is>
      </x:c>
      <x:c r="C3253" s="184" t="n">
        <x:v>0</x:v>
      </x:c>
      <x:c r="D3253" s="184" t="n">
        <x:v>0</x:v>
      </x:c>
      <x:c r="E3253" s="184" t="n">
        <x:v>0</x:v>
      </x:c>
      <x:c r="F3253" s="184" t="n">
        <x:v>0</x:v>
      </x:c>
      <x:c r="G3253" s="184" t="n">
        <x:v>0</x:v>
      </x:c>
      <x:c r="H3253" s="193" t="n">
        <x:v>0</x:v>
      </x:c>
      <x:c r="I3253" s="185" t="n">
        <x:v>0</x:v>
      </x:c>
      <x:c r="J3253" s="185" t="n">
        <x:v>0</x:v>
      </x:c>
      <x:c r="K3253" s="289" t="n">
        <x:v>11937525</x:v>
      </x:c>
    </x:row>
    <x:row r="3254" s="117" customFormat="1" hidden="1">
      <x:c r="A3254" s="184" t="inlineStr">
        <x:is>
          <x:t xml:space="preserve">TERRENO00051</x:t>
        </x:is>
      </x:c>
      <x:c r="B3254" s="184" t="inlineStr">
        <x:is>
          <x:t xml:space="preserve">SERVICIO DE TRANSPORTE ESPACIAL DUCTO HES 1001579138</x:t>
        </x:is>
      </x:c>
      <x:c r="C3254" s="184" t="n">
        <x:v>0</x:v>
      </x:c>
      <x:c r="D3254" s="184" t="n">
        <x:v>0</x:v>
      </x:c>
      <x:c r="E3254" s="184" t="n">
        <x:v>0</x:v>
      </x:c>
      <x:c r="F3254" s="184" t="n">
        <x:v>0</x:v>
      </x:c>
      <x:c r="G3254" s="184" t="n">
        <x:v>0</x:v>
      </x:c>
      <x:c r="H3254" s="193" t="n">
        <x:v>0</x:v>
      </x:c>
      <x:c r="I3254" s="185" t="n">
        <x:v>0</x:v>
      </x:c>
      <x:c r="J3254" s="185" t="n">
        <x:v>0</x:v>
      </x:c>
      <x:c r="K3254" s="289" t="n">
        <x:v>2800000</x:v>
      </x:c>
    </x:row>
    <x:row r="3255" s="117" customFormat="1" hidden="1">
      <x:c r="A3255" s="184" t="inlineStr">
        <x:is>
          <x:t xml:space="preserve">TERRENO00052</x:t>
        </x:is>
      </x:c>
      <x:c r="B3255" s="184" t="inlineStr">
        <x:is>
          <x:t xml:space="preserve">ESTADO DE PAGO Nª 10 CCRT 450189720 TENIENTE FACTURA 9374</x:t>
        </x:is>
      </x:c>
      <x:c r="C3255" s="184" t="n">
        <x:v>0</x:v>
      </x:c>
      <x:c r="D3255" s="184" t="n">
        <x:v>0</x:v>
      </x:c>
      <x:c r="E3255" s="184" t="n">
        <x:v>0</x:v>
      </x:c>
      <x:c r="F3255" s="184" t="n">
        <x:v>0</x:v>
      </x:c>
      <x:c r="G3255" s="184" t="n">
        <x:v>0</x:v>
      </x:c>
      <x:c r="H3255" s="193" t="n">
        <x:v>0</x:v>
      </x:c>
      <x:c r="I3255" s="185" t="n">
        <x:v>0</x:v>
      </x:c>
      <x:c r="J3255" s="185" t="n">
        <x:v>0</x:v>
      </x:c>
      <x:c r="K3255" s="289" t="n">
        <x:v>22232128</x:v>
      </x:c>
    </x:row>
    <x:row r="3256" s="117" customFormat="1" hidden="1">
      <x:c r="A3256" s="184" t="inlineStr">
        <x:is>
          <x:t xml:space="preserve">TERRENO00053</x:t>
        </x:is>
      </x:c>
      <x:c r="B3256" s="184" t="inlineStr">
        <x:is>
          <x:t xml:space="preserve">ESTADO DE PAGO Nª 11 CCTR 4502197858 CONTRATO 4600021614 HES 100273873 F/9429</x:t>
        </x:is>
      </x:c>
      <x:c r="C3256" s="184" t="n">
        <x:v>0</x:v>
      </x:c>
      <x:c r="D3256" s="184" t="n">
        <x:v>0</x:v>
      </x:c>
      <x:c r="E3256" s="184" t="n">
        <x:v>0</x:v>
      </x:c>
      <x:c r="F3256" s="184" t="n">
        <x:v>0</x:v>
      </x:c>
      <x:c r="G3256" s="184" t="n">
        <x:v>0</x:v>
      </x:c>
      <x:c r="H3256" s="193" t="n">
        <x:v>0</x:v>
      </x:c>
      <x:c r="I3256" s="185" t="n">
        <x:v>0</x:v>
      </x:c>
      <x:c r="J3256" s="185" t="n">
        <x:v>0</x:v>
      </x:c>
      <x:c r="K3256" s="289" t="n">
        <x:v>21404694</x:v>
      </x:c>
    </x:row>
    <x:row r="3257" s="117" customFormat="1" hidden="1">
      <x:c r="A3257" s="184" t="inlineStr">
        <x:is>
          <x:t xml:space="preserve">TERRENO00054</x:t>
        </x:is>
      </x:c>
      <x:c r="B3257" s="184" t="inlineStr">
        <x:is>
          <x:t xml:space="preserve">POS 10 CI 118839 REPARACION FOSO NEUTRALIZACION DEGREMONT HES1000594862</x:t>
        </x:is>
      </x:c>
      <x:c r="C3257" s="184" t="n">
        <x:v>0</x:v>
      </x:c>
      <x:c r="D3257" s="184" t="n">
        <x:v>0</x:v>
      </x:c>
      <x:c r="E3257" s="184" t="n">
        <x:v>0</x:v>
      </x:c>
      <x:c r="F3257" s="184" t="n">
        <x:v>0</x:v>
      </x:c>
      <x:c r="G3257" s="184" t="n">
        <x:v>0</x:v>
      </x:c>
      <x:c r="H3257" s="193" t="n">
        <x:v>0</x:v>
      </x:c>
      <x:c r="I3257" s="185" t="n">
        <x:v>0</x:v>
      </x:c>
      <x:c r="J3257" s="185" t="n">
        <x:v>0</x:v>
      </x:c>
      <x:c r="K3257" s="289" t="n">
        <x:v>3892565</x:v>
      </x:c>
    </x:row>
    <x:row r="3258" s="117" customFormat="1" hidden="1">
      <x:c r="A3258" s="184" t="inlineStr">
        <x:is>
          <x:t xml:space="preserve">TERRENO00055</x:t>
        </x:is>
      </x:c>
      <x:c r="B3258" s="184" t="inlineStr">
        <x:is>
          <x:t xml:space="preserve">POS 10 CI 118839 AUMENTO OBRA REPARACION FOSO NEUTRALIZACION DEGREMONT HES1000594864</x:t>
        </x:is>
      </x:c>
      <x:c r="C3258" s="184" t="n">
        <x:v>0</x:v>
      </x:c>
      <x:c r="D3258" s="184" t="n">
        <x:v>0</x:v>
      </x:c>
      <x:c r="E3258" s="184" t="n">
        <x:v>0</x:v>
      </x:c>
      <x:c r="F3258" s="184" t="n">
        <x:v>0</x:v>
      </x:c>
      <x:c r="G3258" s="184" t="n">
        <x:v>0</x:v>
      </x:c>
      <x:c r="H3258" s="193" t="n">
        <x:v>0</x:v>
      </x:c>
      <x:c r="I3258" s="185" t="n">
        <x:v>0</x:v>
      </x:c>
      <x:c r="J3258" s="185" t="n">
        <x:v>0</x:v>
      </x:c>
      <x:c r="K3258" s="289" t="n">
        <x:v>8071518</x:v>
      </x:c>
    </x:row>
    <x:row r="3259" s="117" customFormat="1" hidden="1">
      <x:c r="A3259" s="184" t="inlineStr">
        <x:is>
          <x:t xml:space="preserve">TERRENO00056</x:t>
        </x:is>
      </x:c>
      <x:c r="B3259" s="184" t="inlineStr">
        <x:is>
          <x:t xml:space="preserve">ESTADO DE PAGO Nª 12 CCRT 4502206192 CONTRATO 4600021614 HES1002739355</x:t>
        </x:is>
      </x:c>
      <x:c r="C3259" s="184" t="n">
        <x:v>0</x:v>
      </x:c>
      <x:c r="D3259" s="184" t="n">
        <x:v>0</x:v>
      </x:c>
      <x:c r="E3259" s="184" t="n">
        <x:v>0</x:v>
      </x:c>
      <x:c r="F3259" s="184" t="n">
        <x:v>0</x:v>
      </x:c>
      <x:c r="G3259" s="184" t="n">
        <x:v>0</x:v>
      </x:c>
      <x:c r="H3259" s="193" t="n">
        <x:v>0</x:v>
      </x:c>
      <x:c r="I3259" s="185" t="n">
        <x:v>0</x:v>
      </x:c>
      <x:c r="J3259" s="185" t="n">
        <x:v>0</x:v>
      </x:c>
      <x:c r="K3259" s="289" t="n">
        <x:v>18237694</x:v>
      </x:c>
    </x:row>
    <x:row r="3260" s="117" customFormat="1" hidden="1">
      <x:c r="A3260" s="184" t="inlineStr">
        <x:is>
          <x:t xml:space="preserve">TERRENO00057</x:t>
        </x:is>
      </x:c>
      <x:c r="B3260" s="184" t="inlineStr">
        <x:is>
          <x:t xml:space="preserve">ESTADO DE PAGO Nª 07 CCTR 4502206668 HES 1002739250</x:t>
        </x:is>
      </x:c>
      <x:c r="C3260" s="184" t="n">
        <x:v>0</x:v>
      </x:c>
      <x:c r="D3260" s="184" t="n">
        <x:v>0</x:v>
      </x:c>
      <x:c r="E3260" s="184" t="n">
        <x:v>0</x:v>
      </x:c>
      <x:c r="F3260" s="184" t="n">
        <x:v>0</x:v>
      </x:c>
      <x:c r="G3260" s="184" t="n">
        <x:v>0</x:v>
      </x:c>
      <x:c r="H3260" s="193" t="n">
        <x:v>0</x:v>
      </x:c>
      <x:c r="I3260" s="185" t="n">
        <x:v>0</x:v>
      </x:c>
      <x:c r="J3260" s="185" t="n">
        <x:v>0</x:v>
      </x:c>
      <x:c r="K3260" s="289" t="n">
        <x:v>7020849</x:v>
      </x:c>
    </x:row>
    <x:row r="3261" s="117" customFormat="1" hidden="1">
      <x:c r="A3261" s="184" t="inlineStr">
        <x:is>
          <x:t xml:space="preserve">TERRENO00058</x:t>
        </x:is>
      </x:c>
      <x:c r="B3261" s="184" t="inlineStr">
        <x:is>
          <x:t xml:space="preserve">ESTADO DE PAGO Nª 05 CCTR 4502206646 HES 1002739251</x:t>
        </x:is>
      </x:c>
      <x:c r="C3261" s="184" t="n">
        <x:v>0</x:v>
      </x:c>
      <x:c r="D3261" s="184" t="n">
        <x:v>0</x:v>
      </x:c>
      <x:c r="E3261" s="184" t="n">
        <x:v>0</x:v>
      </x:c>
      <x:c r="F3261" s="184" t="n">
        <x:v>0</x:v>
      </x:c>
      <x:c r="G3261" s="184" t="n">
        <x:v>0</x:v>
      </x:c>
      <x:c r="H3261" s="193" t="n">
        <x:v>0</x:v>
      </x:c>
      <x:c r="I3261" s="185" t="n">
        <x:v>0</x:v>
      </x:c>
      <x:c r="J3261" s="185" t="n">
        <x:v>0</x:v>
      </x:c>
      <x:c r="K3261" s="289" t="n">
        <x:v>4928698</x:v>
      </x:c>
    </x:row>
    <x:row r="3262" s="117" customFormat="1" hidden="1">
      <x:c r="A3262" s="184" t="inlineStr">
        <x:is>
          <x:t xml:space="preserve">TERRENO00059</x:t>
        </x:is>
      </x:c>
      <x:c r="B3262" s="184" t="inlineStr">
        <x:is>
          <x:t xml:space="preserve">ESTADO DE PAGO Nª 06  CCTR 4502206664 HES 1002739249</x:t>
        </x:is>
      </x:c>
      <x:c r="C3262" s="184" t="n">
        <x:v>0</x:v>
      </x:c>
      <x:c r="D3262" s="184" t="n">
        <x:v>0</x:v>
      </x:c>
      <x:c r="E3262" s="184" t="n">
        <x:v>0</x:v>
      </x:c>
      <x:c r="F3262" s="184" t="n">
        <x:v>0</x:v>
      </x:c>
      <x:c r="G3262" s="184" t="n">
        <x:v>0</x:v>
      </x:c>
      <x:c r="H3262" s="193" t="n">
        <x:v>0</x:v>
      </x:c>
      <x:c r="I3262" s="185" t="n">
        <x:v>0</x:v>
      </x:c>
      <x:c r="J3262" s="185" t="n">
        <x:v>0</x:v>
      </x:c>
      <x:c r="K3262" s="289" t="n">
        <x:v>26158455</x:v>
      </x:c>
    </x:row>
    <x:row r="3263" s="117" customFormat="1" hidden="1">
      <x:c r="A3263" s="184" t="inlineStr">
        <x:is>
          <x:t xml:space="preserve">TERRENO00060</x:t>
        </x:is>
      </x:c>
      <x:c r="B3263" s="184" t="inlineStr">
        <x:is>
          <x:t xml:space="preserve">ESTADO DE PAGO Nª 08 CCTR 4502210469 HES 1002741577</x:t>
        </x:is>
      </x:c>
      <x:c r="C3263" s="184" t="n">
        <x:v>0</x:v>
      </x:c>
      <x:c r="D3263" s="184" t="n">
        <x:v>0</x:v>
      </x:c>
      <x:c r="E3263" s="184" t="n">
        <x:v>0</x:v>
      </x:c>
      <x:c r="F3263" s="184" t="n">
        <x:v>0</x:v>
      </x:c>
      <x:c r="G3263" s="184" t="n">
        <x:v>0</x:v>
      </x:c>
      <x:c r="H3263" s="193" t="n">
        <x:v>0</x:v>
      </x:c>
      <x:c r="I3263" s="185" t="n">
        <x:v>0</x:v>
      </x:c>
      <x:c r="J3263" s="185" t="n">
        <x:v>0</x:v>
      </x:c>
      <x:c r="K3263" s="289" t="n">
        <x:v>15723974</x:v>
      </x:c>
    </x:row>
    <x:row r="3264" s="117" customFormat="1" hidden="1">
      <x:c r="A3264" s="184" t="inlineStr">
        <x:is>
          <x:t xml:space="preserve">TERRENO00061</x:t>
        </x:is>
      </x:c>
      <x:c r="B3264" s="184" t="inlineStr">
        <x:is>
          <x:t xml:space="preserve">ESTADO   DE PAGO N!º1 SERMAT.PREV.PRECIPITADORES ELECTROESTATICOS FHVL</x:t>
        </x:is>
      </x:c>
      <x:c r="C3264" s="184" t="n">
        <x:v>0</x:v>
      </x:c>
      <x:c r="D3264" s="184" t="n">
        <x:v>0</x:v>
      </x:c>
      <x:c r="E3264" s="184" t="n">
        <x:v>0</x:v>
      </x:c>
      <x:c r="F3264" s="184" t="n">
        <x:v>0</x:v>
      </x:c>
      <x:c r="G3264" s="184" t="n">
        <x:v>0</x:v>
      </x:c>
      <x:c r="H3264" s="193" t="n">
        <x:v>0</x:v>
      </x:c>
      <x:c r="I3264" s="185" t="n">
        <x:v>0</x:v>
      </x:c>
      <x:c r="J3264" s="185" t="n">
        <x:v>0</x:v>
      </x:c>
      <x:c r="K3264" s="289" t="n">
        <x:v>15525466</x:v>
      </x:c>
    </x:row>
    <x:row r="3265" s="117" customFormat="1" hidden="1">
      <x:c r="A3265" s="184" t="inlineStr">
        <x:is>
          <x:t xml:space="preserve">TERRENO00062</x:t>
        </x:is>
      </x:c>
      <x:c r="B3265" s="184" t="inlineStr">
        <x:is>
          <x:t xml:space="preserve">EP Nª 4 SUMINISTRO Y APLICACION REVESTIMIENTO FRP S1-W1 HES 1000071318 OC-4500046382</x:t>
        </x:is>
      </x:c>
      <x:c r="C3265" s="184" t="n">
        <x:v>0</x:v>
      </x:c>
      <x:c r="D3265" s="184" t="n">
        <x:v>0</x:v>
      </x:c>
      <x:c r="E3265" s="184" t="n">
        <x:v>0</x:v>
      </x:c>
      <x:c r="F3265" s="184" t="n">
        <x:v>0</x:v>
      </x:c>
      <x:c r="G3265" s="184" t="n">
        <x:v>0</x:v>
      </x:c>
      <x:c r="H3265" s="193" t="n">
        <x:v>0</x:v>
      </x:c>
      <x:c r="I3265" s="185" t="n">
        <x:v>0</x:v>
      </x:c>
      <x:c r="J3265" s="185" t="n">
        <x:v>0</x:v>
      </x:c>
      <x:c r="K3265" s="289" t="n">
        <x:v>32393646</x:v>
      </x:c>
    </x:row>
    <x:row r="3266" s="117" customFormat="1" hidden="1">
      <x:c r="A3266" s="184" t="inlineStr">
        <x:is>
          <x:t xml:space="preserve">TERRENO00063</x:t>
        </x:is>
      </x:c>
      <x:c r="B3266" s="184" t="inlineStr">
        <x:is>
          <x:t xml:space="preserve">EP Nª 4 SUMINISTRO Y APLICACION REVESTIMIENTO FRP S1-W1 HES 1000071321 OC-4500046382</x:t>
        </x:is>
      </x:c>
      <x:c r="C3266" s="184" t="n">
        <x:v>0</x:v>
      </x:c>
      <x:c r="D3266" s="184" t="n">
        <x:v>0</x:v>
      </x:c>
      <x:c r="E3266" s="184" t="n">
        <x:v>0</x:v>
      </x:c>
      <x:c r="F3266" s="184" t="n">
        <x:v>0</x:v>
      </x:c>
      <x:c r="G3266" s="184" t="n">
        <x:v>0</x:v>
      </x:c>
      <x:c r="H3266" s="193" t="n">
        <x:v>0</x:v>
      </x:c>
      <x:c r="I3266" s="185" t="n">
        <x:v>0</x:v>
      </x:c>
      <x:c r="J3266" s="185" t="n">
        <x:v>0</x:v>
      </x:c>
      <x:c r="K3266" s="289" t="n">
        <x:v>72409326</x:v>
      </x:c>
    </x:row>
    <x:row r="3267" s="117" customFormat="1" hidden="1">
      <x:c r="A3267" s="184" t="inlineStr">
        <x:is>
          <x:t xml:space="preserve">TERRENO00064</x:t>
        </x:is>
      </x:c>
      <x:c r="B3267" s="184" t="inlineStr">
        <x:is>
          <x:t xml:space="preserve">EP Nª 5A SUMINISTRO Y APLICACION REVESTIMIENTO FRP S1-W1 HES 1000071820 OC-4500046382</x:t>
        </x:is>
      </x:c>
      <x:c r="C3267" s="184" t="n">
        <x:v>0</x:v>
      </x:c>
      <x:c r="D3267" s="184" t="n">
        <x:v>0</x:v>
      </x:c>
      <x:c r="E3267" s="184" t="n">
        <x:v>0</x:v>
      </x:c>
      <x:c r="F3267" s="184" t="n">
        <x:v>0</x:v>
      </x:c>
      <x:c r="G3267" s="184" t="n">
        <x:v>0</x:v>
      </x:c>
      <x:c r="H3267" s="193" t="n">
        <x:v>0</x:v>
      </x:c>
      <x:c r="I3267" s="185" t="n">
        <x:v>0</x:v>
      </x:c>
      <x:c r="J3267" s="185" t="n">
        <x:v>0</x:v>
      </x:c>
      <x:c r="K3267" s="289" t="n">
        <x:v>74441500</x:v>
      </x:c>
    </x:row>
    <x:row r="3268" s="117" customFormat="1" hidden="1">
      <x:c r="A3268" s="184" t="inlineStr">
        <x:is>
          <x:t xml:space="preserve">TERRENO00065</x:t>
        </x:is>
      </x:c>
      <x:c r="B3268" s="184" t="inlineStr">
        <x:is>
          <x:t xml:space="preserve">EP Nª 5B REPARACION DECANTADOR E3 HES 1000071821 OC-4500046382</x:t>
        </x:is>
      </x:c>
      <x:c r="C3268" s="184" t="n">
        <x:v>0</x:v>
      </x:c>
      <x:c r="D3268" s="184" t="n">
        <x:v>0</x:v>
      </x:c>
      <x:c r="E3268" s="184" t="n">
        <x:v>0</x:v>
      </x:c>
      <x:c r="F3268" s="184" t="n">
        <x:v>0</x:v>
      </x:c>
      <x:c r="G3268" s="184" t="n">
        <x:v>0</x:v>
      </x:c>
      <x:c r="H3268" s="193" t="n">
        <x:v>0</x:v>
      </x:c>
      <x:c r="I3268" s="185" t="n">
        <x:v>0</x:v>
      </x:c>
      <x:c r="J3268" s="185" t="n">
        <x:v>0</x:v>
      </x:c>
      <x:c r="K3268" s="289" t="n">
        <x:v>53270481</x:v>
      </x:c>
    </x:row>
    <x:row r="3269" s="117" customFormat="1" hidden="1">
      <x:c r="A3269" s="184" t="inlineStr">
        <x:is>
          <x:t xml:space="preserve">TERRENO00066</x:t>
        </x:is>
      </x:c>
      <x:c r="B3269" s="184" t="inlineStr">
        <x:is>
          <x:t xml:space="preserve">EP Nª 6A  FINAL SUMINISTRO Y APLICACION REVESTIMIENTO FRP S1-W1 HES 10000772617OC-4500046382</x:t>
        </x:is>
      </x:c>
      <x:c r="C3269" s="184" t="n">
        <x:v>0</x:v>
      </x:c>
      <x:c r="D3269" s="184" t="n">
        <x:v>0</x:v>
      </x:c>
      <x:c r="E3269" s="184" t="n">
        <x:v>0</x:v>
      </x:c>
      <x:c r="F3269" s="184" t="n">
        <x:v>0</x:v>
      </x:c>
      <x:c r="G3269" s="184" t="n">
        <x:v>0</x:v>
      </x:c>
      <x:c r="H3269" s="193" t="n">
        <x:v>0</x:v>
      </x:c>
      <x:c r="I3269" s="185" t="n">
        <x:v>0</x:v>
      </x:c>
      <x:c r="J3269" s="185" t="n">
        <x:v>0</x:v>
      </x:c>
      <x:c r="K3269" s="289" t="n">
        <x:v>1847836</x:v>
      </x:c>
    </x:row>
    <x:row r="3270" s="117" customFormat="1" hidden="1">
      <x:c r="A3270" s="184" t="inlineStr">
        <x:is>
          <x:t xml:space="preserve">TERRENO00067</x:t>
        </x:is>
      </x:c>
      <x:c r="B3270" s="184" t="inlineStr">
        <x:is>
          <x:t xml:space="preserve">EP Nª 6B  FINAL SUMINISTRO Y APLICACION REVESTIMIENTO FRP S1-W1 HES 1000072621 OC-4500046382</x:t>
        </x:is>
      </x:c>
      <x:c r="C3270" s="184" t="n">
        <x:v>0</x:v>
      </x:c>
      <x:c r="D3270" s="184" t="n">
        <x:v>0</x:v>
      </x:c>
      <x:c r="E3270" s="184" t="n">
        <x:v>0</x:v>
      </x:c>
      <x:c r="F3270" s="184" t="n">
        <x:v>0</x:v>
      </x:c>
      <x:c r="G3270" s="184" t="n">
        <x:v>0</x:v>
      </x:c>
      <x:c r="H3270" s="193" t="n">
        <x:v>0</x:v>
      </x:c>
      <x:c r="I3270" s="185" t="n">
        <x:v>0</x:v>
      </x:c>
      <x:c r="J3270" s="185" t="n">
        <x:v>0</x:v>
      </x:c>
      <x:c r="K3270" s="289" t="n">
        <x:v>2428490</x:v>
      </x:c>
    </x:row>
    <x:row r="3271" s="117" customFormat="1" hidden="1">
      <x:c r="A3271" s="184" t="inlineStr">
        <x:is>
          <x:t xml:space="preserve">TERRENO00068</x:t>
        </x:is>
      </x:c>
      <x:c r="B3271" s="184" t="inlineStr">
        <x:is>
          <x:t xml:space="preserve">ESTADO DE PAGO Nª 2 SERVMANT.PREV.PRESIPITADORES ELECTR.FHVL</x:t>
        </x:is>
      </x:c>
      <x:c r="C3271" s="184" t="n">
        <x:v>0</x:v>
      </x:c>
      <x:c r="D3271" s="184" t="n">
        <x:v>0</x:v>
      </x:c>
      <x:c r="E3271" s="184" t="n">
        <x:v>0</x:v>
      </x:c>
      <x:c r="F3271" s="184" t="n">
        <x:v>0</x:v>
      </x:c>
      <x:c r="G3271" s="184" t="n">
        <x:v>0</x:v>
      </x:c>
      <x:c r="H3271" s="193" t="n">
        <x:v>0</x:v>
      </x:c>
      <x:c r="I3271" s="185" t="n">
        <x:v>0</x:v>
      </x:c>
      <x:c r="J3271" s="185" t="n">
        <x:v>0</x:v>
      </x:c>
      <x:c r="K3271" s="289" t="n">
        <x:v>16698831</x:v>
      </x:c>
    </x:row>
    <x:row r="3272" s="117" customFormat="1" hidden="1">
      <x:c r="A3272" s="184" t="inlineStr">
        <x:is>
          <x:t xml:space="preserve">TERRENO00069</x:t>
        </x:is>
      </x:c>
      <x:c r="B3272" s="184" t="inlineStr">
        <x:is>
          <x:t xml:space="preserve">ESTADO DE PAGO Nª 3 SERVMANT.PREV.PRESIPITADORES ELECTR.FHVL</x:t>
        </x:is>
      </x:c>
      <x:c r="C3272" s="184" t="n">
        <x:v>0</x:v>
      </x:c>
      <x:c r="D3272" s="184" t="n">
        <x:v>0</x:v>
      </x:c>
      <x:c r="E3272" s="184" t="n">
        <x:v>0</x:v>
      </x:c>
      <x:c r="F3272" s="184" t="n">
        <x:v>0</x:v>
      </x:c>
      <x:c r="G3272" s="184" t="n">
        <x:v>0</x:v>
      </x:c>
      <x:c r="H3272" s="193" t="n">
        <x:v>0</x:v>
      </x:c>
      <x:c r="I3272" s="185" t="n">
        <x:v>0</x:v>
      </x:c>
      <x:c r="J3272" s="185" t="n">
        <x:v>0</x:v>
      </x:c>
      <x:c r="K3272" s="289" t="n">
        <x:v>18830598</x:v>
      </x:c>
    </x:row>
    <x:row r="3273" s="117" customFormat="1" hidden="1">
      <x:c r="A3273" s="184" t="inlineStr">
        <x:is>
          <x:t xml:space="preserve">TERRENO00070</x:t>
        </x:is>
      </x:c>
      <x:c r="B3273" s="184" t="inlineStr">
        <x:is>
          <x:t xml:space="preserve">ESTADO DE PAGO Nª 13 CCRT 4502217121 CONTRATO 4600021614 HES1002747162</x:t>
        </x:is>
      </x:c>
      <x:c r="C3273" s="184" t="n">
        <x:v>0</x:v>
      </x:c>
      <x:c r="D3273" s="184" t="n">
        <x:v>0</x:v>
      </x:c>
      <x:c r="E3273" s="184" t="n">
        <x:v>0</x:v>
      </x:c>
      <x:c r="F3273" s="184" t="n">
        <x:v>0</x:v>
      </x:c>
      <x:c r="G3273" s="184" t="n">
        <x:v>0</x:v>
      </x:c>
      <x:c r="H3273" s="193" t="n">
        <x:v>0</x:v>
      </x:c>
      <x:c r="I3273" s="185" t="n">
        <x:v>0</x:v>
      </x:c>
      <x:c r="J3273" s="185" t="n">
        <x:v>0</x:v>
      </x:c>
      <x:c r="K3273" s="289" t="n">
        <x:v>79699746</x:v>
      </x:c>
    </x:row>
    <x:row r="3274" s="117" customFormat="1" hidden="1">
      <x:c r="A3274" s="184" t="inlineStr">
        <x:is>
          <x:t xml:space="preserve">TERRENO00071</x:t>
        </x:is>
      </x:c>
      <x:c r="B3274" s="184" t="inlineStr">
        <x:is>
          <x:t xml:space="preserve">SERVICIO DE REVESTIMIENTO HDP PISCINA NORTE CONTRATO SAP 4502736145/4502736145 / 0010 HES 1001674140</x:t>
        </x:is>
      </x:c>
      <x:c r="C3274" s="184" t="n">
        <x:v>0</x:v>
      </x:c>
      <x:c r="D3274" s="184" t="n">
        <x:v>0</x:v>
      </x:c>
      <x:c r="E3274" s="184" t="n">
        <x:v>0</x:v>
      </x:c>
      <x:c r="F3274" s="184" t="n">
        <x:v>0</x:v>
      </x:c>
      <x:c r="G3274" s="184" t="n">
        <x:v>0</x:v>
      </x:c>
      <x:c r="H3274" s="193" t="n">
        <x:v>0</x:v>
      </x:c>
      <x:c r="I3274" s="185" t="n">
        <x:v>0</x:v>
      </x:c>
      <x:c r="J3274" s="185" t="n">
        <x:v>0</x:v>
      </x:c>
      <x:c r="K3274" s="289" t="n">
        <x:v>19000000</x:v>
      </x:c>
    </x:row>
    <x:row r="3275" s="117" customFormat="1" hidden="1">
      <x:c r="A3275" s="184" t="inlineStr">
        <x:is>
          <x:t xml:space="preserve">TERRENO00072</x:t>
        </x:is>
      </x:c>
      <x:c r="B3275" s="184" t="inlineStr">
        <x:is>
          <x:t xml:space="preserve">EDP Nª 7 MOD 2;M KUSD730;TDC820.76 CONTRATO 4600029485 HES 1001674482</x:t>
        </x:is>
      </x:c>
      <x:c r="C3275" s="184" t="n">
        <x:v>0</x:v>
      </x:c>
      <x:c r="D3275" s="184" t="n">
        <x:v>0</x:v>
      </x:c>
      <x:c r="E3275" s="184" t="n">
        <x:v>0</x:v>
      </x:c>
      <x:c r="F3275" s="184" t="n">
        <x:v>0</x:v>
      </x:c>
      <x:c r="G3275" s="184" t="n">
        <x:v>0</x:v>
      </x:c>
      <x:c r="H3275" s="193" t="n">
        <x:v>0</x:v>
      </x:c>
      <x:c r="I3275" s="185" t="n">
        <x:v>0</x:v>
      </x:c>
      <x:c r="J3275" s="185" t="n">
        <x:v>0</x:v>
      </x:c>
      <x:c r="K3275" s="289" t="n">
        <x:v>28733659</x:v>
      </x:c>
    </x:row>
    <x:row r="3276" s="117" customFormat="1" hidden="1">
      <x:c r="A3276" s="184" t="inlineStr">
        <x:is>
          <x:t xml:space="preserve">TERRENO00073</x:t>
        </x:is>
      </x:c>
      <x:c r="B3276" s="184" t="inlineStr">
        <x:is>
          <x:t xml:space="preserve">SERVICION DE APLICACION DE VENDAJES FRP SEGUN RRC0523-NV0001</x:t>
        </x:is>
      </x:c>
      <x:c r="C3276" s="184" t="n">
        <x:v>0</x:v>
      </x:c>
      <x:c r="D3276" s="184" t="n">
        <x:v>0</x:v>
      </x:c>
      <x:c r="E3276" s="184" t="n">
        <x:v>0</x:v>
      </x:c>
      <x:c r="F3276" s="184" t="n">
        <x:v>0</x:v>
      </x:c>
      <x:c r="G3276" s="184" t="n">
        <x:v>0</x:v>
      </x:c>
      <x:c r="H3276" s="193" t="n">
        <x:v>0</x:v>
      </x:c>
      <x:c r="I3276" s="185" t="n">
        <x:v>0</x:v>
      </x:c>
      <x:c r="J3276" s="185" t="n">
        <x:v>0</x:v>
      </x:c>
      <x:c r="K3276" s="289" t="n">
        <x:v>336776</x:v>
      </x:c>
    </x:row>
    <x:row r="3277" s="117" customFormat="1" hidden="1">
      <x:c r="A3277" s="184" t="inlineStr">
        <x:is>
          <x:t xml:space="preserve">TERRENO00074</x:t>
        </x:is>
      </x:c>
      <x:c r="B3277" s="184" t="inlineStr">
        <x:is>
          <x:t xml:space="preserve">ESTADO DE PAGO Nª 1 CONTRATO 4500018337 HES 1000026515 EPU SER REP REVEST FRP Y MONTAJE PASI-2</x:t>
        </x:is>
      </x:c>
      <x:c r="C3277" s="184" t="n">
        <x:v>0</x:v>
      </x:c>
      <x:c r="D3277" s="184" t="n">
        <x:v>0</x:v>
      </x:c>
      <x:c r="E3277" s="184" t="n">
        <x:v>0</x:v>
      </x:c>
      <x:c r="F3277" s="184" t="n">
        <x:v>0</x:v>
      </x:c>
      <x:c r="G3277" s="184" t="n">
        <x:v>0</x:v>
      </x:c>
      <x:c r="H3277" s="193" t="n">
        <x:v>0</x:v>
      </x:c>
      <x:c r="I3277" s="185" t="n">
        <x:v>0</x:v>
      </x:c>
      <x:c r="J3277" s="185" t="n">
        <x:v>0</x:v>
      </x:c>
      <x:c r="K3277" s="289" t="n">
        <x:v>135477318</x:v>
      </x:c>
    </x:row>
    <x:row r="3278" s="117" customFormat="1" hidden="1">
      <x:c r="A3278" s="184" t="inlineStr">
        <x:is>
          <x:t xml:space="preserve">TERRENO00075</x:t>
        </x:is>
      </x:c>
      <x:c r="B3278" s="184" t="inlineStr">
        <x:is>
          <x:t xml:space="preserve">ESTADO DE PAGO N° 2 CCTR 4502221521 HES 1002751245 MAMPOSTERIA TTE</x:t>
        </x:is>
      </x:c>
      <x:c r="C3278" s="184" t="n">
        <x:v>0</x:v>
      </x:c>
      <x:c r="D3278" s="184" t="n">
        <x:v>0</x:v>
      </x:c>
      <x:c r="E3278" s="184" t="n">
        <x:v>0</x:v>
      </x:c>
      <x:c r="F3278" s="184" t="n">
        <x:v>0</x:v>
      </x:c>
      <x:c r="G3278" s="184" t="n">
        <x:v>0</x:v>
      </x:c>
      <x:c r="H3278" s="193" t="n">
        <x:v>0</x:v>
      </x:c>
      <x:c r="I3278" s="185" t="n">
        <x:v>0</x:v>
      </x:c>
      <x:c r="J3278" s="185" t="n">
        <x:v>0</x:v>
      </x:c>
      <x:c r="K3278" s="289" t="n">
        <x:v>55234277</x:v>
      </x:c>
    </x:row>
    <x:row r="3279" s="117" customFormat="1" hidden="1">
      <x:c r="A3279" s="184" t="inlineStr">
        <x:is>
          <x:t xml:space="preserve">TERRENO00076</x:t>
        </x:is>
      </x:c>
      <x:c r="B3279" s="184" t="inlineStr">
        <x:is>
          <x:t xml:space="preserve">ESTADO DE PAGO N° 2 CCTR 4502221521 HES 1002751246MAMPOSTERIA TTE</x:t>
        </x:is>
      </x:c>
      <x:c r="C3279" s="184" t="n">
        <x:v>0</x:v>
      </x:c>
      <x:c r="D3279" s="184" t="n">
        <x:v>0</x:v>
      </x:c>
      <x:c r="E3279" s="184" t="n">
        <x:v>0</x:v>
      </x:c>
      <x:c r="F3279" s="184" t="n">
        <x:v>0</x:v>
      </x:c>
      <x:c r="G3279" s="184" t="n">
        <x:v>0</x:v>
      </x:c>
      <x:c r="H3279" s="193" t="n">
        <x:v>0</x:v>
      </x:c>
      <x:c r="I3279" s="185" t="n">
        <x:v>0</x:v>
      </x:c>
      <x:c r="J3279" s="185" t="n">
        <x:v>0</x:v>
      </x:c>
      <x:c r="K3279" s="289" t="n">
        <x:v>6923195</x:v>
      </x:c>
    </x:row>
    <x:row r="3280" s="117" customFormat="1" hidden="1">
      <x:c r="A3280" s="184" t="inlineStr">
        <x:is>
          <x:t xml:space="preserve">TERRENO00077</x:t>
        </x:is>
      </x:c>
      <x:c r="B3280" s="184" t="inlineStr">
        <x:is>
          <x:t xml:space="preserve">ESTADO DE PAGO N° 2 CCTR 4502221521 HES 1002751247 MAMPOSTERIA TTE</x:t>
        </x:is>
      </x:c>
      <x:c r="C3280" s="184" t="n">
        <x:v>0</x:v>
      </x:c>
      <x:c r="D3280" s="184" t="n">
        <x:v>0</x:v>
      </x:c>
      <x:c r="E3280" s="184" t="n">
        <x:v>0</x:v>
      </x:c>
      <x:c r="F3280" s="184" t="n">
        <x:v>0</x:v>
      </x:c>
      <x:c r="G3280" s="184" t="n">
        <x:v>0</x:v>
      </x:c>
      <x:c r="H3280" s="193" t="n">
        <x:v>0</x:v>
      </x:c>
      <x:c r="I3280" s="185" t="n">
        <x:v>0</x:v>
      </x:c>
      <x:c r="J3280" s="185" t="n">
        <x:v>0</x:v>
      </x:c>
      <x:c r="K3280" s="289" t="n">
        <x:v>22023238</x:v>
      </x:c>
    </x:row>
    <x:row r="3281" s="117" customFormat="1" hidden="1">
      <x:c r="A3281" s="184" t="inlineStr">
        <x:is>
          <x:t xml:space="preserve">TERRENO00078</x:t>
        </x:is>
      </x:c>
      <x:c r="B3281" s="184" t="inlineStr">
        <x:is>
          <x:t xml:space="preserve">ESTADO DE PAGO N° 2 CCTR 4502221521 HES 1002751248 MAMPOSTERIA TTE</x:t>
        </x:is>
      </x:c>
      <x:c r="C3281" s="184" t="n">
        <x:v>0</x:v>
      </x:c>
      <x:c r="D3281" s="184" t="n">
        <x:v>0</x:v>
      </x:c>
      <x:c r="E3281" s="184" t="n">
        <x:v>0</x:v>
      </x:c>
      <x:c r="F3281" s="184" t="n">
        <x:v>0</x:v>
      </x:c>
      <x:c r="G3281" s="184" t="n">
        <x:v>0</x:v>
      </x:c>
      <x:c r="H3281" s="193" t="n">
        <x:v>0</x:v>
      </x:c>
      <x:c r="I3281" s="185" t="n">
        <x:v>0</x:v>
      </x:c>
      <x:c r="J3281" s="185" t="n">
        <x:v>0</x:v>
      </x:c>
      <x:c r="K3281" s="289" t="n">
        <x:v>1979189</x:v>
      </x:c>
    </x:row>
    <x:row r="3282" s="117" customFormat="1" hidden="1">
      <x:c r="A3282" s="184" t="inlineStr">
        <x:is>
          <x:t xml:space="preserve">TERRENO00079</x:t>
        </x:is>
      </x:c>
      <x:c r="B3282" s="184" t="inlineStr">
        <x:is>
          <x:t xml:space="preserve">ESTADO DE PAGO N° 2 CCTR 4502221521 HES 1002751249 MAMPOSTERIA TTE</x:t>
        </x:is>
      </x:c>
      <x:c r="C3282" s="184" t="n">
        <x:v>0</x:v>
      </x:c>
      <x:c r="D3282" s="184" t="n">
        <x:v>0</x:v>
      </x:c>
      <x:c r="E3282" s="184" t="n">
        <x:v>0</x:v>
      </x:c>
      <x:c r="F3282" s="184" t="n">
        <x:v>0</x:v>
      </x:c>
      <x:c r="G3282" s="184" t="n">
        <x:v>0</x:v>
      </x:c>
      <x:c r="H3282" s="193" t="n">
        <x:v>0</x:v>
      </x:c>
      <x:c r="I3282" s="185" t="n">
        <x:v>0</x:v>
      </x:c>
      <x:c r="J3282" s="185" t="n">
        <x:v>0</x:v>
      </x:c>
      <x:c r="K3282" s="289" t="n">
        <x:v>14211695</x:v>
      </x:c>
    </x:row>
    <x:row r="3283" s="117" customFormat="1" hidden="1">
      <x:c r="A3283" s="184" t="inlineStr">
        <x:is>
          <x:t xml:space="preserve">TERRENO00080</x:t>
        </x:is>
      </x:c>
      <x:c r="B3283" s="184" t="inlineStr">
        <x:is>
          <x:t xml:space="preserve">ESTADO DE PAGO N° 2 CCTR 4502221521 HES 1002751250 MAMPOSTERIA TTE</x:t>
        </x:is>
      </x:c>
      <x:c r="C3283" s="184" t="n">
        <x:v>0</x:v>
      </x:c>
      <x:c r="D3283" s="184" t="n">
        <x:v>0</x:v>
      </x:c>
      <x:c r="E3283" s="184" t="n">
        <x:v>0</x:v>
      </x:c>
      <x:c r="F3283" s="184" t="n">
        <x:v>0</x:v>
      </x:c>
      <x:c r="G3283" s="184" t="n">
        <x:v>0</x:v>
      </x:c>
      <x:c r="H3283" s="193" t="n">
        <x:v>0</x:v>
      </x:c>
      <x:c r="I3283" s="185" t="n">
        <x:v>0</x:v>
      </x:c>
      <x:c r="J3283" s="185" t="n">
        <x:v>0</x:v>
      </x:c>
      <x:c r="K3283" s="289" t="n">
        <x:v>4418901</x:v>
      </x:c>
    </x:row>
    <x:row r="3284" s="117" customFormat="1" hidden="1">
      <x:c r="A3284" s="184" t="inlineStr">
        <x:is>
          <x:t xml:space="preserve">TERRENO00081</x:t>
        </x:is>
      </x:c>
      <x:c r="B3284" s="184" t="inlineStr">
        <x:is>
          <x:t xml:space="preserve">ESTADO DE PAGO N° 2 CCTR 4502221521 HES 1002751251 MAMPOSTERIA TTE</x:t>
        </x:is>
      </x:c>
      <x:c r="C3284" s="184" t="n">
        <x:v>0</x:v>
      </x:c>
      <x:c r="D3284" s="184" t="n">
        <x:v>0</x:v>
      </x:c>
      <x:c r="E3284" s="184" t="n">
        <x:v>0</x:v>
      </x:c>
      <x:c r="F3284" s="184" t="n">
        <x:v>0</x:v>
      </x:c>
      <x:c r="G3284" s="184" t="n">
        <x:v>0</x:v>
      </x:c>
      <x:c r="H3284" s="193" t="n">
        <x:v>0</x:v>
      </x:c>
      <x:c r="I3284" s="185" t="n">
        <x:v>0</x:v>
      </x:c>
      <x:c r="J3284" s="185" t="n">
        <x:v>0</x:v>
      </x:c>
      <x:c r="K3284" s="289" t="n">
        <x:v>2009321</x:v>
      </x:c>
    </x:row>
    <x:row r="3285" s="117" customFormat="1" hidden="1">
      <x:c r="A3285" s="184" t="inlineStr">
        <x:is>
          <x:t xml:space="preserve">TERRENO00082</x:t>
        </x:is>
      </x:c>
      <x:c r="B3285" s="184" t="inlineStr">
        <x:is>
          <x:t xml:space="preserve">ESTADO DE PAGO N° 2 CCTR 4502221521 HES 1002751251 MAMPOSTERIA TTE</x:t>
        </x:is>
      </x:c>
      <x:c r="C3285" s="184" t="n">
        <x:v>0</x:v>
      </x:c>
      <x:c r="D3285" s="184" t="n">
        <x:v>0</x:v>
      </x:c>
      <x:c r="E3285" s="184" t="n">
        <x:v>0</x:v>
      </x:c>
      <x:c r="F3285" s="184" t="n">
        <x:v>0</x:v>
      </x:c>
      <x:c r="G3285" s="184" t="n">
        <x:v>0</x:v>
      </x:c>
      <x:c r="H3285" s="193" t="n">
        <x:v>0</x:v>
      </x:c>
      <x:c r="I3285" s="185" t="n">
        <x:v>0</x:v>
      </x:c>
      <x:c r="J3285" s="185" t="n">
        <x:v>0</x:v>
      </x:c>
      <x:c r="K3285" s="289" t="n">
        <x:v>6316510</x:v>
      </x:c>
    </x:row>
    <x:row r="3286" s="117" customFormat="1" hidden="1">
      <x:c r="A3286" s="184" t="inlineStr">
        <x:is>
          <x:t xml:space="preserve">TERRENO00083</x:t>
        </x:is>
      </x:c>
      <x:c r="B3286" s="184" t="inlineStr">
        <x:is>
          <x:t xml:space="preserve">ESTADO DE PAGO N° 2 CCTR 4502221521 HES 1002751253 MAMPOSTERIA TTE</x:t>
        </x:is>
      </x:c>
      <x:c r="C3286" s="184" t="n">
        <x:v>0</x:v>
      </x:c>
      <x:c r="D3286" s="184" t="n">
        <x:v>0</x:v>
      </x:c>
      <x:c r="E3286" s="184" t="n">
        <x:v>0</x:v>
      </x:c>
      <x:c r="F3286" s="184" t="n">
        <x:v>0</x:v>
      </x:c>
      <x:c r="G3286" s="184" t="n">
        <x:v>0</x:v>
      </x:c>
      <x:c r="H3286" s="193" t="n">
        <x:v>0</x:v>
      </x:c>
      <x:c r="I3286" s="185" t="n">
        <x:v>0</x:v>
      </x:c>
      <x:c r="J3286" s="185" t="n">
        <x:v>0</x:v>
      </x:c>
      <x:c r="K3286" s="289" t="n">
        <x:v>16200154</x:v>
      </x:c>
    </x:row>
    <x:row r="3287" s="117" customFormat="1" hidden="1">
      <x:c r="A3287" s="184" t="inlineStr">
        <x:is>
          <x:t xml:space="preserve">TERRENO00084</x:t>
        </x:is>
      </x:c>
      <x:c r="B3287" s="184" t="inlineStr">
        <x:is>
          <x:t xml:space="preserve">ESTADO DE PAGO N° 2 CCTR 4502221521 HES 1002751254 MAMPOSTERIA TTE</x:t>
        </x:is>
      </x:c>
      <x:c r="C3287" s="184" t="n">
        <x:v>0</x:v>
      </x:c>
      <x:c r="D3287" s="184" t="n">
        <x:v>0</x:v>
      </x:c>
      <x:c r="E3287" s="184" t="n">
        <x:v>0</x:v>
      </x:c>
      <x:c r="F3287" s="184" t="n">
        <x:v>0</x:v>
      </x:c>
      <x:c r="G3287" s="184" t="n">
        <x:v>0</x:v>
      </x:c>
      <x:c r="H3287" s="193" t="n">
        <x:v>0</x:v>
      </x:c>
      <x:c r="I3287" s="185" t="n">
        <x:v>0</x:v>
      </x:c>
      <x:c r="J3287" s="185" t="n">
        <x:v>0</x:v>
      </x:c>
      <x:c r="K3287" s="289" t="n">
        <x:v>23747170</x:v>
      </x:c>
    </x:row>
    <x:row r="3288" s="117" customFormat="1" hidden="1">
      <x:c r="A3288" s="184" t="inlineStr">
        <x:is>
          <x:t xml:space="preserve">TERRENO00085</x:t>
        </x:is>
      </x:c>
      <x:c r="B3288" s="184" t="inlineStr">
        <x:is>
          <x:t xml:space="preserve">ESTADO DE PAGO N° 2 CCTR 4502221521 HES 1002751255  MAMPOSTERIA TTE</x:t>
        </x:is>
      </x:c>
      <x:c r="C3288" s="184" t="n">
        <x:v>0</x:v>
      </x:c>
      <x:c r="D3288" s="184" t="n">
        <x:v>0</x:v>
      </x:c>
      <x:c r="E3288" s="184" t="n">
        <x:v>0</x:v>
      </x:c>
      <x:c r="F3288" s="184" t="n">
        <x:v>0</x:v>
      </x:c>
      <x:c r="G3288" s="184" t="n">
        <x:v>0</x:v>
      </x:c>
      <x:c r="H3288" s="193" t="n">
        <x:v>0</x:v>
      </x:c>
      <x:c r="I3288" s="185" t="n">
        <x:v>0</x:v>
      </x:c>
      <x:c r="J3288" s="185" t="n">
        <x:v>0</x:v>
      </x:c>
      <x:c r="K3288" s="289" t="n">
        <x:v>4746063</x:v>
      </x:c>
    </x:row>
    <x:row r="3289" s="117" customFormat="1" hidden="1">
      <x:c r="A3289" s="184" t="inlineStr">
        <x:is>
          <x:t xml:space="preserve">TERRENO00086</x:t>
        </x:is>
      </x:c>
      <x:c r="B3289" s="184" t="inlineStr">
        <x:is>
          <x:t xml:space="preserve">ESTADO DE PAGO Nª 14 CCRT 4502224859 CONTRATO 4600021614 HES 1002753644 FRP TTE</x:t>
        </x:is>
      </x:c>
      <x:c r="C3289" s="184" t="n">
        <x:v>0</x:v>
      </x:c>
      <x:c r="D3289" s="184" t="n">
        <x:v>0</x:v>
      </x:c>
      <x:c r="E3289" s="184" t="n">
        <x:v>0</x:v>
      </x:c>
      <x:c r="F3289" s="184" t="n">
        <x:v>0</x:v>
      </x:c>
      <x:c r="G3289" s="184" t="n">
        <x:v>0</x:v>
      </x:c>
      <x:c r="H3289" s="193" t="n">
        <x:v>0</x:v>
      </x:c>
      <x:c r="I3289" s="185" t="n">
        <x:v>0</x:v>
      </x:c>
      <x:c r="J3289" s="185" t="n">
        <x:v>0</x:v>
      </x:c>
      <x:c r="K3289" s="289" t="n">
        <x:v>16839920</x:v>
      </x:c>
    </x:row>
    <x:row r="3290" s="117" customFormat="1" hidden="1">
      <x:c r="A3290" s="184" t="inlineStr">
        <x:is>
          <x:t xml:space="preserve">TERRENO00087</x:t>
        </x:is>
      </x:c>
      <x:c r="B3290" s="184" t="inlineStr">
        <x:is>
          <x:t xml:space="preserve">ESTADO DE PAGO Nª 15 CCRT 4502233312 CONTRATO 4600021614 HES 1002760559 FRP</x:t>
        </x:is>
      </x:c>
      <x:c r="C3290" s="184" t="n">
        <x:v>0</x:v>
      </x:c>
      <x:c r="D3290" s="184" t="n">
        <x:v>0</x:v>
      </x:c>
      <x:c r="E3290" s="184" t="n">
        <x:v>0</x:v>
      </x:c>
      <x:c r="F3290" s="184" t="n">
        <x:v>0</x:v>
      </x:c>
      <x:c r="G3290" s="184" t="n">
        <x:v>0</x:v>
      </x:c>
      <x:c r="H3290" s="193" t="n">
        <x:v>0</x:v>
      </x:c>
      <x:c r="I3290" s="185" t="n">
        <x:v>0</x:v>
      </x:c>
      <x:c r="J3290" s="185" t="n">
        <x:v>0</x:v>
      </x:c>
      <x:c r="K3290" s="289" t="n">
        <x:v>12178223</x:v>
      </x:c>
    </x:row>
    <x:row r="3291" s="117" customFormat="1" hidden="1">
      <x:c r="A3291" s="184" t="inlineStr">
        <x:is>
          <x:t xml:space="preserve">TERRENO00088</x:t>
        </x:is>
      </x:c>
      <x:c r="B3291" s="184" t="inlineStr">
        <x:is>
          <x:t xml:space="preserve">REPARACION TK FIBRA PTP OC 4500418711 HES 1000494617 ALTO NORTE</x:t>
        </x:is>
      </x:c>
      <x:c r="C3291" s="184" t="n">
        <x:v>0</x:v>
      </x:c>
      <x:c r="D3291" s="184" t="n">
        <x:v>0</x:v>
      </x:c>
      <x:c r="E3291" s="184" t="n">
        <x:v>0</x:v>
      </x:c>
      <x:c r="F3291" s="184" t="n">
        <x:v>0</x:v>
      </x:c>
      <x:c r="G3291" s="184" t="n">
        <x:v>0</x:v>
      </x:c>
      <x:c r="H3291" s="193" t="n">
        <x:v>0</x:v>
      </x:c>
      <x:c r="I3291" s="185" t="n">
        <x:v>0</x:v>
      </x:c>
      <x:c r="J3291" s="185" t="n">
        <x:v>0</x:v>
      </x:c>
      <x:c r="K3291" s="289" t="n">
        <x:v>50057014</x:v>
      </x:c>
    </x:row>
    <x:row r="3292" s="117" customFormat="1" hidden="1">
      <x:c r="A3292" s="184" t="inlineStr">
        <x:is>
          <x:t xml:space="preserve">TERRENO00089</x:t>
        </x:is>
      </x:c>
      <x:c r="B3292" s="184" t="inlineStr">
        <x:is>
          <x:t xml:space="preserve">ESTADO DE PAGO Nª 16 CCRT 4502238237 CONTRATO 4600021614 HES 1002765231</x:t>
        </x:is>
      </x:c>
      <x:c r="C3292" s="184" t="n">
        <x:v>0</x:v>
      </x:c>
      <x:c r="D3292" s="184" t="n">
        <x:v>0</x:v>
      </x:c>
      <x:c r="E3292" s="184" t="n">
        <x:v>0</x:v>
      </x:c>
      <x:c r="F3292" s="184" t="n">
        <x:v>0</x:v>
      </x:c>
      <x:c r="G3292" s="184" t="n">
        <x:v>0</x:v>
      </x:c>
      <x:c r="H3292" s="193" t="n">
        <x:v>0</x:v>
      </x:c>
      <x:c r="I3292" s="185" t="n">
        <x:v>0</x:v>
      </x:c>
      <x:c r="J3292" s="185" t="n">
        <x:v>0</x:v>
      </x:c>
      <x:c r="K3292" s="289" t="n">
        <x:v>22170596</x:v>
      </x:c>
    </x:row>
    <x:row r="3293" s="117" customFormat="1" hidden="1">
      <x:c r="A3293" s="184" t="inlineStr">
        <x:is>
          <x:t xml:space="preserve">TERRENO00090</x:t>
        </x:is>
      </x:c>
      <x:c r="B3293" s="184" t="inlineStr">
        <x:is>
          <x:t xml:space="preserve">ESTADO DE PAGO 7000034483 CCTR 4502231906 HES 1002763706</x:t>
        </x:is>
      </x:c>
      <x:c r="C3293" s="184" t="n">
        <x:v>0</x:v>
      </x:c>
      <x:c r="D3293" s="184" t="n">
        <x:v>0</x:v>
      </x:c>
      <x:c r="E3293" s="184" t="n">
        <x:v>0</x:v>
      </x:c>
      <x:c r="F3293" s="184" t="n">
        <x:v>0</x:v>
      </x:c>
      <x:c r="G3293" s="184" t="n">
        <x:v>0</x:v>
      </x:c>
      <x:c r="H3293" s="193" t="n">
        <x:v>0</x:v>
      </x:c>
      <x:c r="I3293" s="185" t="n">
        <x:v>0</x:v>
      </x:c>
      <x:c r="J3293" s="185" t="n">
        <x:v>0</x:v>
      </x:c>
      <x:c r="K3293" s="289" t="n">
        <x:v>1</x:v>
      </x:c>
    </x:row>
    <x:row r="3294" s="117" customFormat="1" hidden="1">
      <x:c r="A3294" s="184" t="inlineStr">
        <x:is>
          <x:t xml:space="preserve">TERRENO00091</x:t>
        </x:is>
      </x:c>
      <x:c r="B3294" s="184" t="inlineStr">
        <x:is>
          <x:t xml:space="preserve">ESTADO DE PAGO Nª 1 CCTR 4502233260 HES 1002762238</x:t>
        </x:is>
      </x:c>
      <x:c r="C3294" s="184" t="n">
        <x:v>0</x:v>
      </x:c>
      <x:c r="D3294" s="184" t="n">
        <x:v>0</x:v>
      </x:c>
      <x:c r="E3294" s="184" t="n">
        <x:v>0</x:v>
      </x:c>
      <x:c r="F3294" s="184" t="n">
        <x:v>0</x:v>
      </x:c>
      <x:c r="G3294" s="184" t="n">
        <x:v>0</x:v>
      </x:c>
      <x:c r="H3294" s="193" t="n">
        <x:v>0</x:v>
      </x:c>
      <x:c r="I3294" s="185" t="n">
        <x:v>0</x:v>
      </x:c>
      <x:c r="J3294" s="185" t="n">
        <x:v>0</x:v>
      </x:c>
      <x:c r="K3294" s="289" t="n">
        <x:v>33239079</x:v>
      </x:c>
    </x:row>
    <x:row r="3295" s="117" customFormat="1" hidden="1">
      <x:c r="A3295" s="184" t="inlineStr">
        <x:is>
          <x:t xml:space="preserve">TERRENO00092</x:t>
        </x:is>
      </x:c>
      <x:c r="B3295" s="184" t="inlineStr">
        <x:is>
          <x:t xml:space="preserve">10% SERVICIO DE FABRICACION E INSTALACION PIPING DL FRP/PP OC 2301B-297</x:t>
        </x:is>
      </x:c>
      <x:c r="C3295" s="184" t="n">
        <x:v>0</x:v>
      </x:c>
      <x:c r="D3295" s="184" t="n">
        <x:v>0</x:v>
      </x:c>
      <x:c r="E3295" s="184" t="n">
        <x:v>0</x:v>
      </x:c>
      <x:c r="F3295" s="184" t="n">
        <x:v>0</x:v>
      </x:c>
      <x:c r="G3295" s="184" t="n">
        <x:v>0</x:v>
      </x:c>
      <x:c r="H3295" s="193" t="n">
        <x:v>0</x:v>
      </x:c>
      <x:c r="I3295" s="185" t="n">
        <x:v>0</x:v>
      </x:c>
      <x:c r="J3295" s="185" t="n">
        <x:v>0</x:v>
      </x:c>
      <x:c r="K3295" s="289" t="n">
        <x:v>1</x:v>
      </x:c>
    </x:row>
    <x:row r="3296" s="117" customFormat="1" hidden="1">
      <x:c r="A3296" s="184" t="inlineStr">
        <x:is>
          <x:t xml:space="preserve">TERRENO00093</x:t>
        </x:is>
      </x:c>
      <x:c r="B3296" s="184" t="inlineStr">
        <x:is>
          <x:t xml:space="preserve">60% SERVICIO DE FABRICACION E INSTALACION PIPING DL FRP/PP OC 2301B-297 MATERIALES</x:t>
        </x:is>
      </x:c>
      <x:c r="C3296" s="184" t="n">
        <x:v>0</x:v>
      </x:c>
      <x:c r="D3296" s="184" t="n">
        <x:v>0</x:v>
      </x:c>
      <x:c r="E3296" s="184" t="n">
        <x:v>0</x:v>
      </x:c>
      <x:c r="F3296" s="184" t="n">
        <x:v>0</x:v>
      </x:c>
      <x:c r="G3296" s="184" t="n">
        <x:v>0</x:v>
      </x:c>
      <x:c r="H3296" s="193" t="n">
        <x:v>0</x:v>
      </x:c>
      <x:c r="I3296" s="185" t="n">
        <x:v>0</x:v>
      </x:c>
      <x:c r="J3296" s="185" t="n">
        <x:v>0</x:v>
      </x:c>
      <x:c r="K3296" s="289" t="n">
        <x:v>31540155</x:v>
      </x:c>
    </x:row>
    <x:row r="3297" s="117" customFormat="1" hidden="1">
      <x:c r="A3297" s="184" t="inlineStr">
        <x:is>
          <x:t xml:space="preserve">TERRENO00094</x:t>
        </x:is>
      </x:c>
      <x:c r="B3297" s="184" t="inlineStr">
        <x:is>
          <x:t xml:space="preserve">EDP Nª 8 REPARACION EQUIPOS SUMINISTROS FRP PP DL CONTRATO 4600029485 HES 1001776719</x:t>
        </x:is>
      </x:c>
      <x:c r="C3297" s="184" t="n">
        <x:v>0</x:v>
      </x:c>
      <x:c r="D3297" s="184" t="n">
        <x:v>0</x:v>
      </x:c>
      <x:c r="E3297" s="184" t="n">
        <x:v>0</x:v>
      </x:c>
      <x:c r="F3297" s="184" t="n">
        <x:v>0</x:v>
      </x:c>
      <x:c r="G3297" s="184" t="n">
        <x:v>0</x:v>
      </x:c>
      <x:c r="H3297" s="193" t="n">
        <x:v>0</x:v>
      </x:c>
      <x:c r="I3297" s="185" t="n">
        <x:v>0</x:v>
      </x:c>
      <x:c r="J3297" s="185" t="n">
        <x:v>0</x:v>
      </x:c>
      <x:c r="K3297" s="289" t="n">
        <x:v>2084904</x:v>
      </x:c>
    </x:row>
    <x:row r="3298" s="117" customFormat="1" hidden="1">
      <x:c r="A3298" s="184" t="inlineStr">
        <x:is>
          <x:t xml:space="preserve">TERRENO00095</x:t>
        </x:is>
      </x:c>
      <x:c r="B3298" s="184" t="inlineStr">
        <x:is>
          <x:t xml:space="preserve">POS 10 SERVICIO DE REPARACION FRP PLANTAS OS 4500395366 HES 1000510777</x:t>
        </x:is>
      </x:c>
      <x:c r="C3298" s="184" t="n">
        <x:v>0</x:v>
      </x:c>
      <x:c r="D3298" s="184" t="n">
        <x:v>0</x:v>
      </x:c>
      <x:c r="E3298" s="184" t="n">
        <x:v>0</x:v>
      </x:c>
      <x:c r="F3298" s="184" t="n">
        <x:v>0</x:v>
      </x:c>
      <x:c r="G3298" s="184" t="n">
        <x:v>0</x:v>
      </x:c>
      <x:c r="H3298" s="193" t="n">
        <x:v>0</x:v>
      </x:c>
      <x:c r="I3298" s="185" t="n">
        <x:v>0</x:v>
      </x:c>
      <x:c r="J3298" s="185" t="n">
        <x:v>0</x:v>
      </x:c>
      <x:c r="K3298" s="289" t="n">
        <x:v>87160977</x:v>
      </x:c>
    </x:row>
    <x:row r="3299" s="117" customFormat="1" hidden="1">
      <x:c r="A3299" s="184" t="inlineStr">
        <x:is>
          <x:t xml:space="preserve">TERRENO00096</x:t>
        </x:is>
      </x:c>
      <x:c r="B3299" s="184" t="inlineStr">
        <x:is>
          <x:t xml:space="preserve">POS 10 SERVICIO DE REPARACION FRP PLANTAS OS 4500395366 HES 1000514732</x:t>
        </x:is>
      </x:c>
      <x:c r="C3299" s="184" t="n">
        <x:v>0</x:v>
      </x:c>
      <x:c r="D3299" s="184" t="n">
        <x:v>0</x:v>
      </x:c>
      <x:c r="E3299" s="184" t="n">
        <x:v>0</x:v>
      </x:c>
      <x:c r="F3299" s="184" t="n">
        <x:v>0</x:v>
      </x:c>
      <x:c r="G3299" s="184" t="n">
        <x:v>0</x:v>
      </x:c>
      <x:c r="H3299" s="193" t="n">
        <x:v>0</x:v>
      </x:c>
      <x:c r="I3299" s="185" t="n">
        <x:v>0</x:v>
      </x:c>
      <x:c r="J3299" s="185" t="n">
        <x:v>0</x:v>
      </x:c>
      <x:c r="K3299" s="289" t="n">
        <x:v>30652208</x:v>
      </x:c>
    </x:row>
    <x:row r="3300" s="117" customFormat="1" hidden="1">
      <x:c r="A3300" s="184" t="inlineStr">
        <x:is>
          <x:t xml:space="preserve">TERRENO00097</x:t>
        </x:is>
      </x:c>
      <x:c r="B3300" s="184" t="inlineStr">
        <x:is>
          <x:t xml:space="preserve">POS 20 DGP23 ADICIONAL REPARACION CUPULA 4500395366 HES 1000534211</x:t>
        </x:is>
      </x:c>
      <x:c r="C3300" s="184" t="n">
        <x:v>0</x:v>
      </x:c>
      <x:c r="D3300" s="184" t="n">
        <x:v>0</x:v>
      </x:c>
      <x:c r="E3300" s="184" t="n">
        <x:v>0</x:v>
      </x:c>
      <x:c r="F3300" s="184" t="n">
        <x:v>0</x:v>
      </x:c>
      <x:c r="G3300" s="184" t="n">
        <x:v>0</x:v>
      </x:c>
      <x:c r="H3300" s="193" t="n">
        <x:v>0</x:v>
      </x:c>
      <x:c r="I3300" s="185" t="n">
        <x:v>0</x:v>
      </x:c>
      <x:c r="J3300" s="185" t="n">
        <x:v>0</x:v>
      </x:c>
      <x:c r="K3300" s="289" t="n">
        <x:v>18617625</x:v>
      </x:c>
    </x:row>
    <x:row r="3301" s="117" customFormat="1" hidden="1">
      <x:c r="A3301" s="184" t="inlineStr">
        <x:is>
          <x:t xml:space="preserve">TERRENO00098</x:t>
        </x:is>
      </x:c>
      <x:c r="B3301" s="184" t="inlineStr">
        <x:is>
          <x:t xml:space="preserve">POS 30 DGP23 ADICIONAL REPARACION MANHOLE 4500395366 HES 1000534212</x:t>
        </x:is>
      </x:c>
      <x:c r="C3301" s="184" t="n">
        <x:v>0</x:v>
      </x:c>
      <x:c r="D3301" s="184" t="n">
        <x:v>0</x:v>
      </x:c>
      <x:c r="E3301" s="184" t="n">
        <x:v>0</x:v>
      </x:c>
      <x:c r="F3301" s="184" t="n">
        <x:v>0</x:v>
      </x:c>
      <x:c r="G3301" s="184" t="n">
        <x:v>0</x:v>
      </x:c>
      <x:c r="H3301" s="193" t="n">
        <x:v>0</x:v>
      </x:c>
      <x:c r="I3301" s="185" t="n">
        <x:v>0</x:v>
      </x:c>
      <x:c r="J3301" s="185" t="n">
        <x:v>0</x:v>
      </x:c>
      <x:c r="K3301" s="289" t="n">
        <x:v>3287593</x:v>
      </x:c>
    </x:row>
    <x:row r="3302" s="117" customFormat="1" hidden="1">
      <x:c r="A3302" s="184" t="inlineStr">
        <x:is>
          <x:t xml:space="preserve">TERRENO00099</x:t>
        </x:is>
      </x:c>
      <x:c r="B3302" s="184" t="inlineStr">
        <x:is>
          <x:t xml:space="preserve">ESTADO DE PAGO Nª 18 CONTRATO 4600021614 HES 1002781021</x:t>
        </x:is>
      </x:c>
      <x:c r="C3302" s="184" t="n">
        <x:v>0</x:v>
      </x:c>
      <x:c r="D3302" s="184" t="n">
        <x:v>0</x:v>
      </x:c>
      <x:c r="E3302" s="184" t="n">
        <x:v>0</x:v>
      </x:c>
      <x:c r="F3302" s="184" t="n">
        <x:v>0</x:v>
      </x:c>
      <x:c r="G3302" s="184" t="n">
        <x:v>0</x:v>
      </x:c>
      <x:c r="H3302" s="193" t="n">
        <x:v>0</x:v>
      </x:c>
      <x:c r="I3302" s="185" t="n">
        <x:v>0</x:v>
      </x:c>
      <x:c r="J3302" s="185" t="n">
        <x:v>0</x:v>
      </x:c>
      <x:c r="K3302" s="289" t="n">
        <x:v>34994325</x:v>
      </x:c>
    </x:row>
    <x:row r="3303" s="117" customFormat="1" hidden="1">
      <x:c r="A3303" s="184" t="inlineStr">
        <x:is>
          <x:t xml:space="preserve">TERRENO00100</x:t>
        </x:is>
      </x:c>
      <x:c r="B3303" s="184" t="inlineStr">
        <x:is>
          <x:t xml:space="preserve">ESTADO DE PAGO Nª 17 CCRT 4502256308 CONTRATO 4600021614 HES 1002778266</x:t>
        </x:is>
      </x:c>
      <x:c r="C3303" s="184" t="n">
        <x:v>0</x:v>
      </x:c>
      <x:c r="D3303" s="184" t="n">
        <x:v>0</x:v>
      </x:c>
      <x:c r="E3303" s="184" t="n">
        <x:v>0</x:v>
      </x:c>
      <x:c r="F3303" s="184" t="n">
        <x:v>0</x:v>
      </x:c>
      <x:c r="G3303" s="184" t="n">
        <x:v>0</x:v>
      </x:c>
      <x:c r="H3303" s="193" t="n">
        <x:v>0</x:v>
      </x:c>
      <x:c r="I3303" s="185" t="n">
        <x:v>0</x:v>
      </x:c>
      <x:c r="J3303" s="185" t="n">
        <x:v>0</x:v>
      </x:c>
      <x:c r="K3303" s="289" t="n">
        <x:v>73298511</x:v>
      </x:c>
    </x:row>
    <x:row r="3304" s="117" customFormat="1" hidden="1">
      <x:c r="A3304" s="184" t="inlineStr">
        <x:is>
          <x:t xml:space="preserve">TERRENO00101</x:t>
        </x:is>
      </x:c>
      <x:c r="B3304" s="184" t="inlineStr">
        <x:is>
          <x:t xml:space="preserve">SERVICIO REFUERZO FRP UNIONES REMACHADAS PENST HES 1001493139</x:t>
        </x:is>
      </x:c>
      <x:c r="C3304" s="184" t="n">
        <x:v>0</x:v>
      </x:c>
      <x:c r="D3304" s="184" t="n">
        <x:v>0</x:v>
      </x:c>
      <x:c r="E3304" s="184" t="n">
        <x:v>0</x:v>
      </x:c>
      <x:c r="F3304" s="184" t="n">
        <x:v>0</x:v>
      </x:c>
      <x:c r="G3304" s="184" t="n">
        <x:v>0</x:v>
      </x:c>
      <x:c r="H3304" s="193" t="n">
        <x:v>0</x:v>
      </x:c>
      <x:c r="I3304" s="185" t="n">
        <x:v>0</x:v>
      </x:c>
      <x:c r="J3304" s="185" t="n">
        <x:v>0</x:v>
      </x:c>
      <x:c r="K3304" s="289" t="n">
        <x:v>19594663</x:v>
      </x:c>
    </x:row>
    <x:row r="3305" s="117" customFormat="1" hidden="1">
      <x:c r="A3305" s="184" t="inlineStr">
        <x:is>
          <x:t xml:space="preserve">TERRENO00102</x:t>
        </x:is>
      </x:c>
      <x:c r="B3305" s="184" t="inlineStr">
        <x:is>
          <x:t xml:space="preserve">SERVICIO ADICIONAL REFUERZO PENSTPCK HES 1001493149</x:t>
        </x:is>
      </x:c>
      <x:c r="C3305" s="184" t="n">
        <x:v>0</x:v>
      </x:c>
      <x:c r="D3305" s="184" t="n">
        <x:v>0</x:v>
      </x:c>
      <x:c r="E3305" s="184" t="n">
        <x:v>0</x:v>
      </x:c>
      <x:c r="F3305" s="184" t="n">
        <x:v>0</x:v>
      </x:c>
      <x:c r="G3305" s="184" t="n">
        <x:v>0</x:v>
      </x:c>
      <x:c r="H3305" s="193" t="n">
        <x:v>0</x:v>
      </x:c>
      <x:c r="I3305" s="185" t="n">
        <x:v>0</x:v>
      </x:c>
      <x:c r="J3305" s="185" t="n">
        <x:v>0</x:v>
      </x:c>
      <x:c r="K3305" s="289" t="n">
        <x:v>3584185</x:v>
      </x:c>
    </x:row>
    <x:row r="3306" s="117" customFormat="1" hidden="1">
      <x:c r="A3306" s="184" t="inlineStr">
        <x:is>
          <x:t xml:space="preserve">TERRENO00103</x:t>
        </x:is>
      </x:c>
      <x:c r="B3306" s="184" t="inlineStr">
        <x:is>
          <x:t xml:space="preserve">SALDO REPARACION FRP PLANTAS OS 45000395366 HES 1000525169</x:t>
        </x:is>
      </x:c>
      <x:c r="C3306" s="184" t="n">
        <x:v>0</x:v>
      </x:c>
      <x:c r="D3306" s="184" t="n">
        <x:v>0</x:v>
      </x:c>
      <x:c r="E3306" s="184" t="n">
        <x:v>0</x:v>
      </x:c>
      <x:c r="F3306" s="184" t="n">
        <x:v>0</x:v>
      </x:c>
      <x:c r="G3306" s="184" t="n">
        <x:v>0</x:v>
      </x:c>
      <x:c r="H3306" s="193" t="n">
        <x:v>0</x:v>
      </x:c>
      <x:c r="I3306" s="185" t="n">
        <x:v>0</x:v>
      </x:c>
      <x:c r="J3306" s="185" t="n">
        <x:v>0</x:v>
      </x:c>
      <x:c r="K3306" s="289" t="n">
        <x:v>1534706</x:v>
      </x:c>
    </x:row>
    <x:row r="3307" s="117" customFormat="1" hidden="1">
      <x:c r="A3307" s="184" t="inlineStr">
        <x:is>
          <x:t xml:space="preserve">TERRENO00104</x:t>
        </x:is>
      </x:c>
      <x:c r="B3307" s="184" t="inlineStr">
        <x:is>
          <x:t xml:space="preserve">CAMBIO LINEA SUCCION Y DESCARGA OC-4503097962 OXY</x:t>
        </x:is>
      </x:c>
      <x:c r="C3307" s="184" t="n">
        <x:v>0</x:v>
      </x:c>
      <x:c r="D3307" s="184" t="n">
        <x:v>0</x:v>
      </x:c>
      <x:c r="E3307" s="184" t="n">
        <x:v>0</x:v>
      </x:c>
      <x:c r="F3307" s="184" t="n">
        <x:v>0</x:v>
      </x:c>
      <x:c r="G3307" s="184" t="n">
        <x:v>0</x:v>
      </x:c>
      <x:c r="H3307" s="193" t="n">
        <x:v>0</x:v>
      </x:c>
      <x:c r="I3307" s="185" t="n">
        <x:v>0</x:v>
      </x:c>
      <x:c r="J3307" s="185" t="n">
        <x:v>0</x:v>
      </x:c>
      <x:c r="K3307" s="289" t="n">
        <x:v>15226931</x:v>
      </x:c>
    </x:row>
    <x:row r="3308" s="117" customFormat="1" hidden="1">
      <x:c r="A3308" s="184" t="inlineStr">
        <x:is>
          <x:t xml:space="preserve">TERRENO00105</x:t>
        </x:is>
      </x:c>
      <x:c r="B3308" s="184" t="inlineStr">
        <x:is>
          <x:t xml:space="preserve">CAMBIO VALVULA MARIPOSA `+ TEE OC-4503105000</x:t>
        </x:is>
      </x:c>
      <x:c r="C3308" s="184" t="n">
        <x:v>0</x:v>
      </x:c>
      <x:c r="D3308" s="184" t="n">
        <x:v>0</x:v>
      </x:c>
      <x:c r="E3308" s="184" t="n">
        <x:v>0</x:v>
      </x:c>
      <x:c r="F3308" s="184" t="n">
        <x:v>0</x:v>
      </x:c>
      <x:c r="G3308" s="184" t="n">
        <x:v>0</x:v>
      </x:c>
      <x:c r="H3308" s="193" t="n">
        <x:v>0</x:v>
      </x:c>
      <x:c r="I3308" s="185" t="n">
        <x:v>0</x:v>
      </x:c>
      <x:c r="J3308" s="185" t="n">
        <x:v>0</x:v>
      </x:c>
      <x:c r="K3308" s="289" t="n">
        <x:v>1204395</x:v>
      </x:c>
    </x:row>
    <x:row r="3309" s="117" customFormat="1" hidden="1">
      <x:c r="A3309" s="184" t="inlineStr">
        <x:is>
          <x:t xml:space="preserve">TERRENO00106</x:t>
        </x:is>
      </x:c>
      <x:c r="B3309" s="184" t="inlineStr">
        <x:is>
          <x:t xml:space="preserve">POS 00010 RECUPARACION DE BARRERA ESTRUCTURAL TECHO ESTANQUE DE AMONIACO ORAFTI</x:t>
        </x:is>
      </x:c>
      <x:c r="C3309" s="184" t="n">
        <x:v>0</x:v>
      </x:c>
      <x:c r="D3309" s="184" t="n">
        <x:v>0</x:v>
      </x:c>
      <x:c r="E3309" s="184" t="n">
        <x:v>0</x:v>
      </x:c>
      <x:c r="F3309" s="184" t="n">
        <x:v>0</x:v>
      </x:c>
      <x:c r="G3309" s="184" t="n">
        <x:v>0</x:v>
      </x:c>
      <x:c r="H3309" s="193" t="n">
        <x:v>0</x:v>
      </x:c>
      <x:c r="I3309" s="185" t="n">
        <x:v>0</x:v>
      </x:c>
      <x:c r="J3309" s="185" t="n">
        <x:v>0</x:v>
      </x:c>
      <x:c r="K3309" s="289" t="n">
        <x:v>2455721</x:v>
      </x:c>
    </x:row>
    <x:row r="3310" s="117" customFormat="1" hidden="1">
      <x:c r="A3310" s="184" t="inlineStr">
        <x:is>
          <x:t xml:space="preserve">TERRENO00107</x:t>
        </x:is>
      </x:c>
      <x:c r="B3310" s="184" t="inlineStr">
        <x:is>
          <x:t xml:space="preserve">POS 00010 REPARACION ESTANQUE DE SODA CAUSTICA OC- 4502018708</x:t>
        </x:is>
      </x:c>
      <x:c r="C3310" s="184" t="n">
        <x:v>0</x:v>
      </x:c>
      <x:c r="D3310" s="184" t="n">
        <x:v>0</x:v>
      </x:c>
      <x:c r="E3310" s="184" t="n">
        <x:v>0</x:v>
      </x:c>
      <x:c r="F3310" s="184" t="n">
        <x:v>0</x:v>
      </x:c>
      <x:c r="G3310" s="184" t="n">
        <x:v>0</x:v>
      </x:c>
      <x:c r="H3310" s="193" t="n">
        <x:v>0</x:v>
      </x:c>
      <x:c r="I3310" s="185" t="n">
        <x:v>0</x:v>
      </x:c>
      <x:c r="J3310" s="185" t="n">
        <x:v>0</x:v>
      </x:c>
      <x:c r="K3310" s="289" t="n">
        <x:v>2135122</x:v>
      </x:c>
    </x:row>
    <x:row r="3311" s="117" customFormat="1" hidden="1">
      <x:c r="A3311" s="184" t="inlineStr">
        <x:is>
          <x:t xml:space="preserve">TERRENO00108</x:t>
        </x:is>
      </x:c>
      <x:c r="B3311" s="184" t="inlineStr">
        <x:is>
          <x:t xml:space="preserve">SERVICIO DE REVESTIMIENTO LOMAS BAYAS HES 1000552241</x:t>
        </x:is>
      </x:c>
      <x:c r="C3311" s="184" t="n">
        <x:v>0</x:v>
      </x:c>
      <x:c r="D3311" s="184" t="n">
        <x:v>0</x:v>
      </x:c>
      <x:c r="E3311" s="184" t="n">
        <x:v>0</x:v>
      </x:c>
      <x:c r="F3311" s="184" t="n">
        <x:v>0</x:v>
      </x:c>
      <x:c r="G3311" s="184" t="n">
        <x:v>0</x:v>
      </x:c>
      <x:c r="H3311" s="193" t="n">
        <x:v>0</x:v>
      </x:c>
      <x:c r="I3311" s="185" t="n">
        <x:v>0</x:v>
      </x:c>
      <x:c r="J3311" s="185" t="n">
        <x:v>0</x:v>
      </x:c>
      <x:c r="K3311" s="289" t="n">
        <x:v>26054774</x:v>
      </x:c>
    </x:row>
    <x:row r="3312" s="117" customFormat="1" hidden="1">
      <x:c r="A3312" s="184" t="inlineStr">
        <x:is>
          <x:t xml:space="preserve">TERRENO00109</x:t>
        </x:is>
      </x:c>
      <x:c r="B3312" s="184" t="inlineStr">
        <x:is>
          <x:t xml:space="preserve">EDP N°  19 ENE24  PED.4502273017 CONTRATO 4600021614 HES 1002792125</x:t>
        </x:is>
      </x:c>
      <x:c r="C3312" s="184" t="n">
        <x:v>0</x:v>
      </x:c>
      <x:c r="D3312" s="184" t="n">
        <x:v>0</x:v>
      </x:c>
      <x:c r="E3312" s="184" t="n">
        <x:v>0</x:v>
      </x:c>
      <x:c r="F3312" s="184" t="n">
        <x:v>0</x:v>
      </x:c>
      <x:c r="G3312" s="184" t="n">
        <x:v>0</x:v>
      </x:c>
      <x:c r="H3312" s="193" t="n">
        <x:v>0</x:v>
      </x:c>
      <x:c r="I3312" s="185" t="n">
        <x:v>0</x:v>
      </x:c>
      <x:c r="J3312" s="185" t="n">
        <x:v>0</x:v>
      </x:c>
      <x:c r="K3312" s="289" t="n">
        <x:v>8017702</x:v>
      </x:c>
    </x:row>
    <x:row r="3313" s="117" customFormat="1" hidden="1">
      <x:c r="A3313" s="184" t="inlineStr">
        <x:is>
          <x:t xml:space="preserve">TERRENO00110</x:t>
        </x:is>
      </x:c>
      <x:c r="B3313" s="184" t="inlineStr">
        <x:is>
          <x:t xml:space="preserve">EDP1 DIC23 CONTRATO 4600026641 OC-4502272904 HES 1002793081</x:t>
        </x:is>
      </x:c>
      <x:c r="C3313" s="184" t="n">
        <x:v>0</x:v>
      </x:c>
      <x:c r="D3313" s="184" t="n">
        <x:v>0</x:v>
      </x:c>
      <x:c r="E3313" s="184" t="n">
        <x:v>0</x:v>
      </x:c>
      <x:c r="F3313" s="184" t="n">
        <x:v>0</x:v>
      </x:c>
      <x:c r="G3313" s="184" t="n">
        <x:v>0</x:v>
      </x:c>
      <x:c r="H3313" s="193" t="n">
        <x:v>0</x:v>
      </x:c>
      <x:c r="I3313" s="185" t="n">
        <x:v>0</x:v>
      </x:c>
      <x:c r="J3313" s="185" t="n">
        <x:v>0</x:v>
      </x:c>
      <x:c r="K3313" s="289" t="n">
        <x:v>118427893</x:v>
      </x:c>
    </x:row>
    <x:row r="3314" s="117" customFormat="1" hidden="1">
      <x:c r="A3314" s="184" t="inlineStr">
        <x:is>
          <x:t xml:space="preserve">TERRENO00111</x:t>
        </x:is>
      </x:c>
      <x:c r="B3314" s="184" t="inlineStr">
        <x:is>
          <x:t xml:space="preserve">EDP1 DIC23 CONTRATO 4600026641 OC-4502272904 HES 1002793082</x:t>
        </x:is>
      </x:c>
      <x:c r="C3314" s="184" t="n">
        <x:v>0</x:v>
      </x:c>
      <x:c r="D3314" s="184" t="n">
        <x:v>0</x:v>
      </x:c>
      <x:c r="E3314" s="184" t="n">
        <x:v>0</x:v>
      </x:c>
      <x:c r="F3314" s="184" t="n">
        <x:v>0</x:v>
      </x:c>
      <x:c r="G3314" s="184" t="n">
        <x:v>0</x:v>
      </x:c>
      <x:c r="H3314" s="193" t="n">
        <x:v>0</x:v>
      </x:c>
      <x:c r="I3314" s="185" t="n">
        <x:v>0</x:v>
      </x:c>
      <x:c r="J3314" s="185" t="n">
        <x:v>0</x:v>
      </x:c>
      <x:c r="K3314" s="289" t="n">
        <x:v>19616044</x:v>
      </x:c>
    </x:row>
    <x:row r="3315" s="117" customFormat="1" hidden="1">
      <x:c r="A3315" s="184" t="inlineStr">
        <x:is>
          <x:t xml:space="preserve">TERRENO00112</x:t>
        </x:is>
      </x:c>
      <x:c r="B3315" s="184" t="inlineStr">
        <x:is>
          <x:t xml:space="preserve">ESTADO DE PAGO Nª 9 REPARACION EQUIPOS SUMINISTRO FRP PP DL CONTRATO 4600029485 HES 1001919806</x:t>
        </x:is>
      </x:c>
      <x:c r="C3315" s="184" t="n">
        <x:v>0</x:v>
      </x:c>
      <x:c r="D3315" s="184" t="n">
        <x:v>0</x:v>
      </x:c>
      <x:c r="E3315" s="184" t="n">
        <x:v>0</x:v>
      </x:c>
      <x:c r="F3315" s="184" t="n">
        <x:v>0</x:v>
      </x:c>
      <x:c r="G3315" s="184" t="n">
        <x:v>0</x:v>
      </x:c>
      <x:c r="H3315" s="193" t="n">
        <x:v>0</x:v>
      </x:c>
      <x:c r="I3315" s="185" t="n">
        <x:v>0</x:v>
      </x:c>
      <x:c r="J3315" s="185" t="n">
        <x:v>0</x:v>
      </x:c>
      <x:c r="K3315" s="289" t="n">
        <x:v>2023844</x:v>
      </x:c>
    </x:row>
    <x:row r="3316" s="117" customFormat="1" hidden="1">
      <x:c r="A3316" s="184" t="inlineStr">
        <x:is>
          <x:t xml:space="preserve">TERRENO00113</x:t>
        </x:is>
      </x:c>
      <x:c r="B3316" s="184" t="inlineStr">
        <x:is>
          <x:t xml:space="preserve">EDP Nª 20 FEB24 PED 4502277827 CONTRATO 4600021614 HES 1002797441</x:t>
        </x:is>
      </x:c>
      <x:c r="C3316" s="184" t="n">
        <x:v>0</x:v>
      </x:c>
      <x:c r="D3316" s="184" t="n">
        <x:v>0</x:v>
      </x:c>
      <x:c r="E3316" s="184" t="n">
        <x:v>0</x:v>
      </x:c>
      <x:c r="F3316" s="184" t="n">
        <x:v>0</x:v>
      </x:c>
      <x:c r="G3316" s="184" t="n">
        <x:v>0</x:v>
      </x:c>
      <x:c r="H3316" s="193" t="n">
        <x:v>0</x:v>
      </x:c>
      <x:c r="I3316" s="185" t="n">
        <x:v>0</x:v>
      </x:c>
      <x:c r="J3316" s="185" t="n">
        <x:v>0</x:v>
      </x:c>
      <x:c r="K3316" s="289" t="n">
        <x:v>14956440</x:v>
      </x:c>
    </x:row>
    <x:row r="3317" s="117" customFormat="1" hidden="1">
      <x:c r="A3317" s="184" t="inlineStr">
        <x:is>
          <x:t xml:space="preserve">TERRENO00114</x:t>
        </x:is>
      </x:c>
      <x:c r="B3317" s="184" t="inlineStr">
        <x:is>
          <x:t xml:space="preserve">SERVICIO DE TRANSPORTE OC-4530053037 HES 1000469247</x:t>
        </x:is>
      </x:c>
      <x:c r="C3317" s="184" t="n">
        <x:v>0</x:v>
      </x:c>
      <x:c r="D3317" s="184" t="n">
        <x:v>0</x:v>
      </x:c>
      <x:c r="E3317" s="184" t="n">
        <x:v>0</x:v>
      </x:c>
      <x:c r="F3317" s="184" t="n">
        <x:v>0</x:v>
      </x:c>
      <x:c r="G3317" s="184" t="n">
        <x:v>0</x:v>
      </x:c>
      <x:c r="H3317" s="193" t="n">
        <x:v>0</x:v>
      </x:c>
      <x:c r="I3317" s="185" t="n">
        <x:v>0</x:v>
      </x:c>
      <x:c r="J3317" s="185" t="n">
        <x:v>0</x:v>
      </x:c>
      <x:c r="K3317" s="289" t="n">
        <x:v>5800000</x:v>
      </x:c>
    </x:row>
    <x:row r="3318" s="117" customFormat="1" hidden="1">
      <x:c r="A3318" s="184" t="inlineStr">
        <x:is>
          <x:t xml:space="preserve">TERRENO00115</x:t>
        </x:is>
      </x:c>
      <x:c r="B3318" s="184" t="inlineStr">
        <x:is>
          <x:t xml:space="preserve">SERVICIO DE REVESTIMIENTO LOMAS BAYAS HES 10005688506 OC-4500439574</x:t>
        </x:is>
      </x:c>
      <x:c r="C3318" s="184" t="n">
        <x:v>0</x:v>
      </x:c>
      <x:c r="D3318" s="184" t="n">
        <x:v>0</x:v>
      </x:c>
      <x:c r="E3318" s="184" t="n">
        <x:v>0</x:v>
      </x:c>
      <x:c r="F3318" s="184" t="n">
        <x:v>0</x:v>
      </x:c>
      <x:c r="G3318" s="184" t="n">
        <x:v>0</x:v>
      </x:c>
      <x:c r="H3318" s="193" t="n">
        <x:v>0</x:v>
      </x:c>
      <x:c r="I3318" s="185" t="n">
        <x:v>0</x:v>
      </x:c>
      <x:c r="J3318" s="185" t="n">
        <x:v>0</x:v>
      </x:c>
      <x:c r="K3318" s="289" t="n">
        <x:v>36951878</x:v>
      </x:c>
    </x:row>
    <x:row r="3319" s="117" customFormat="1" hidden="1">
      <x:c r="A3319" s="184" t="inlineStr">
        <x:is>
          <x:t xml:space="preserve">TERRENO00116</x:t>
        </x:is>
      </x:c>
      <x:c r="B3319" s="184" t="inlineStr">
        <x:is>
          <x:t xml:space="preserve">REP.MAYOR FRP TK 556-22-020 TK DUMP HES 1009093883 OC-4506382759</x:t>
        </x:is>
      </x:c>
      <x:c r="C3319" s="184" t="n">
        <x:v>0</x:v>
      </x:c>
      <x:c r="D3319" s="184" t="n">
        <x:v>0</x:v>
      </x:c>
      <x:c r="E3319" s="184" t="n">
        <x:v>0</x:v>
      </x:c>
      <x:c r="F3319" s="184" t="n">
        <x:v>0</x:v>
      </x:c>
      <x:c r="G3319" s="184" t="n">
        <x:v>0</x:v>
      </x:c>
      <x:c r="H3319" s="193" t="n">
        <x:v>0</x:v>
      </x:c>
      <x:c r="I3319" s="185" t="n">
        <x:v>0</x:v>
      </x:c>
      <x:c r="J3319" s="185" t="n">
        <x:v>0</x:v>
      </x:c>
      <x:c r="K3319" s="289" t="n">
        <x:v>20682877</x:v>
      </x:c>
    </x:row>
    <x:row r="3320" s="117" customFormat="1" hidden="1">
      <x:c r="A3320" s="184" t="inlineStr">
        <x:is>
          <x:t xml:space="preserve">TERRENO00117</x:t>
        </x:is>
      </x:c>
      <x:c r="B3320" s="184" t="inlineStr">
        <x:is>
          <x:t xml:space="preserve">EDP N° 21 MAR24 CONTRATO 4600021614 HES 1002804371</x:t>
        </x:is>
      </x:c>
      <x:c r="C3320" s="184" t="n">
        <x:v>0</x:v>
      </x:c>
      <x:c r="D3320" s="184" t="n">
        <x:v>0</x:v>
      </x:c>
      <x:c r="E3320" s="184" t="n">
        <x:v>0</x:v>
      </x:c>
      <x:c r="F3320" s="184" t="n">
        <x:v>0</x:v>
      </x:c>
      <x:c r="G3320" s="184" t="n">
        <x:v>0</x:v>
      </x:c>
      <x:c r="H3320" s="193" t="n">
        <x:v>0</x:v>
      </x:c>
      <x:c r="I3320" s="185" t="n">
        <x:v>0</x:v>
      </x:c>
      <x:c r="J3320" s="185" t="n">
        <x:v>0</x:v>
      </x:c>
      <x:c r="K3320" s="289" t="n">
        <x:v>12292000</x:v>
      </x:c>
    </x:row>
    <x:row r="3321" s="117" customFormat="1" hidden="1">
      <x:c r="A3321" s="184" t="inlineStr">
        <x:is>
          <x:t xml:space="preserve">TERRENO00118</x:t>
        </x:is>
      </x:c>
      <x:c r="B3321" s="184" t="inlineStr">
        <x:is>
          <x:t xml:space="preserve">GASTOS FAYMET TERRENO POTRERILLOS F-10212</x:t>
        </x:is>
      </x:c>
      <x:c r="C3321" s="184" t="n">
        <x:v>0</x:v>
      </x:c>
      <x:c r="D3321" s="184" t="n">
        <x:v>0</x:v>
      </x:c>
      <x:c r="E3321" s="184" t="n">
        <x:v>0</x:v>
      </x:c>
      <x:c r="F3321" s="184" t="n">
        <x:v>0</x:v>
      </x:c>
      <x:c r="G3321" s="184" t="n">
        <x:v>0</x:v>
      </x:c>
      <x:c r="H3321" s="193" t="n">
        <x:v>0</x:v>
      </x:c>
      <x:c r="I3321" s="185" t="n">
        <x:v>0</x:v>
      </x:c>
      <x:c r="J3321" s="185" t="n">
        <x:v>0</x:v>
      </x:c>
      <x:c r="K3321" s="289" t="n">
        <x:v>9879930</x:v>
      </x:c>
    </x:row>
    <x:row r="3322" s="117" customFormat="1" hidden="1">
      <x:c r="A3322" s="184" t="inlineStr">
        <x:is>
          <x:t xml:space="preserve">TERRENO00119</x:t>
        </x:is>
      </x:c>
      <x:c r="B3322" s="184" t="inlineStr">
        <x:is>
          <x:t xml:space="preserve">SERVICIO DE REVESTIMIENTO LOMAS BAYAS HES 1000580729 OC-4500439574</x:t>
        </x:is>
      </x:c>
      <x:c r="C3322" s="184" t="n">
        <x:v>0</x:v>
      </x:c>
      <x:c r="D3322" s="184" t="n">
        <x:v>0</x:v>
      </x:c>
      <x:c r="E3322" s="184" t="n">
        <x:v>0</x:v>
      </x:c>
      <x:c r="F3322" s="184" t="n">
        <x:v>0</x:v>
      </x:c>
      <x:c r="G3322" s="184" t="n">
        <x:v>0</x:v>
      </x:c>
      <x:c r="H3322" s="193" t="n">
        <x:v>0</x:v>
      </x:c>
      <x:c r="I3322" s="185" t="n">
        <x:v>0</x:v>
      </x:c>
      <x:c r="J3322" s="185" t="n">
        <x:v>0</x:v>
      </x:c>
      <x:c r="K3322" s="289" t="n">
        <x:v>45391033</x:v>
      </x:c>
    </x:row>
    <x:row r="3323" s="117" customFormat="1" hidden="1">
      <x:c r="A3323" s="184" t="inlineStr">
        <x:is>
          <x:t xml:space="preserve">TERRENO00120</x:t>
        </x:is>
      </x:c>
      <x:c r="B3323" s="184" t="inlineStr">
        <x:is>
          <x:t xml:space="preserve">ESTADO DE PAGO Nª 10 REPARACION EQUIPOS SUMINISTRO FRP PP DL CONTRATO 4600029485 HES 1002014091</x:t>
        </x:is>
      </x:c>
      <x:c r="C3323" s="184" t="n">
        <x:v>0</x:v>
      </x:c>
      <x:c r="D3323" s="184" t="n">
        <x:v>0</x:v>
      </x:c>
      <x:c r="E3323" s="184" t="n">
        <x:v>0</x:v>
      </x:c>
      <x:c r="F3323" s="184" t="n">
        <x:v>0</x:v>
      </x:c>
      <x:c r="G3323" s="184" t="n">
        <x:v>0</x:v>
      </x:c>
      <x:c r="H3323" s="193" t="n">
        <x:v>0</x:v>
      </x:c>
      <x:c r="I3323" s="185" t="n">
        <x:v>0</x:v>
      </x:c>
      <x:c r="J3323" s="185" t="n">
        <x:v>0</x:v>
      </x:c>
      <x:c r="K3323" s="289" t="n">
        <x:v>2023844</x:v>
      </x:c>
    </x:row>
    <x:row r="3324" s="117" customFormat="1" hidden="1">
      <x:c r="A3324" s="184" t="inlineStr">
        <x:is>
          <x:t xml:space="preserve">TERRENO00121</x:t>
        </x:is>
      </x:c>
      <x:c r="B3324" s="184" t="inlineStr">
        <x:is>
          <x:t xml:space="preserve">EDP N° 22 ABR24 CONTRATO 4600021614 HES 1002811161</x:t>
        </x:is>
      </x:c>
      <x:c r="C3324" s="184" t="n">
        <x:v>0</x:v>
      </x:c>
      <x:c r="D3324" s="184" t="n">
        <x:v>0</x:v>
      </x:c>
      <x:c r="E3324" s="184" t="n">
        <x:v>0</x:v>
      </x:c>
      <x:c r="F3324" s="184" t="n">
        <x:v>0</x:v>
      </x:c>
      <x:c r="G3324" s="184" t="n">
        <x:v>0</x:v>
      </x:c>
      <x:c r="H3324" s="193" t="n">
        <x:v>0</x:v>
      </x:c>
      <x:c r="I3324" s="185" t="n">
        <x:v>0</x:v>
      </x:c>
      <x:c r="J3324" s="185" t="n">
        <x:v>0</x:v>
      </x:c>
      <x:c r="K3324" s="289" t="n">
        <x:v>11797600</x:v>
      </x:c>
    </x:row>
    <x:row r="3325" s="117" customFormat="1" hidden="1">
      <x:c r="A3325" s="184" t="inlineStr">
        <x:is>
          <x:t xml:space="preserve">TERRENO00122</x:t>
        </x:is>
      </x:c>
      <x:c r="B3325" s="184" t="inlineStr">
        <x:is>
          <x:t xml:space="preserve">SERVICIO DE INTALACION PLACAS FRP TK6 Y TK5 MEL OC 17383 BEAGLE</x:t>
        </x:is>
      </x:c>
      <x:c r="C3325" s="184" t="n">
        <x:v>0</x:v>
      </x:c>
      <x:c r="D3325" s="184" t="n">
        <x:v>0</x:v>
      </x:c>
      <x:c r="E3325" s="184" t="n">
        <x:v>0</x:v>
      </x:c>
      <x:c r="F3325" s="184" t="n">
        <x:v>0</x:v>
      </x:c>
      <x:c r="G3325" s="184" t="n">
        <x:v>0</x:v>
      </x:c>
      <x:c r="H3325" s="193" t="n">
        <x:v>0</x:v>
      </x:c>
      <x:c r="I3325" s="185" t="n">
        <x:v>0</x:v>
      </x:c>
      <x:c r="J3325" s="185" t="n">
        <x:v>0</x:v>
      </x:c>
      <x:c r="K3325" s="289" t="n">
        <x:v>1550220</x:v>
      </x:c>
    </x:row>
    <x:row r="3326" s="117" customFormat="1" hidden="1">
      <x:c r="A3326" s="184" t="inlineStr">
        <x:is>
          <x:t xml:space="preserve">TERRENO00123</x:t>
        </x:is>
      </x:c>
      <x:c r="B3326" s="184" t="inlineStr">
        <x:is>
          <x:t xml:space="preserve">EDP Nª 23 MAY24 CONTRATO 4600021614 HES 1002821287</x:t>
        </x:is>
      </x:c>
      <x:c r="C3326" s="184" t="n">
        <x:v>0</x:v>
      </x:c>
      <x:c r="D3326" s="184" t="n">
        <x:v>0</x:v>
      </x:c>
      <x:c r="E3326" s="184" t="n">
        <x:v>0</x:v>
      </x:c>
      <x:c r="F3326" s="184" t="n">
        <x:v>0</x:v>
      </x:c>
      <x:c r="G3326" s="184" t="n">
        <x:v>0</x:v>
      </x:c>
      <x:c r="H3326" s="193" t="n">
        <x:v>0</x:v>
      </x:c>
      <x:c r="I3326" s="185" t="n">
        <x:v>0</x:v>
      </x:c>
      <x:c r="J3326" s="185" t="n">
        <x:v>0</x:v>
      </x:c>
      <x:c r="K3326" s="289" t="n">
        <x:v>86927530</x:v>
      </x:c>
    </x:row>
    <x:row r="3327" s="117" customFormat="1" hidden="1">
      <x:c r="A3327" s="184" t="inlineStr">
        <x:is>
          <x:t xml:space="preserve">TERRENO00124</x:t>
        </x:is>
      </x:c>
      <x:c r="B3327" s="184" t="inlineStr">
        <x:is>
          <x:t xml:space="preserve">EDP Nª 24 JUN24 CONTRATO 4600021614 HES 1002826032</x:t>
        </x:is>
      </x:c>
      <x:c r="C3327" s="184" t="n">
        <x:v>0</x:v>
      </x:c>
      <x:c r="D3327" s="184" t="n">
        <x:v>0</x:v>
      </x:c>
      <x:c r="E3327" s="184" t="n">
        <x:v>0</x:v>
      </x:c>
      <x:c r="F3327" s="184" t="n">
        <x:v>0</x:v>
      </x:c>
      <x:c r="G3327" s="184" t="n">
        <x:v>0</x:v>
      </x:c>
      <x:c r="H3327" s="193" t="n">
        <x:v>0</x:v>
      </x:c>
      <x:c r="I3327" s="185" t="n">
        <x:v>0</x:v>
      </x:c>
      <x:c r="J3327" s="185" t="n">
        <x:v>0</x:v>
      </x:c>
      <x:c r="K3327" s="289" t="n">
        <x:v>8871800</x:v>
      </x:c>
    </x:row>
    <x:row r="3328" s="117" customFormat="1" hidden="1">
      <x:c r="A3328" s="184" t="inlineStr">
        <x:is>
          <x:t xml:space="preserve">TERRENO00125</x:t>
        </x:is>
      </x:c>
      <x:c r="B3328" s="184" t="inlineStr">
        <x:is>
          <x:t xml:space="preserve">EDP Nª 3 ABR24 CONTRATO 4600024815 OC-4502307894  HES</x:t>
        </x:is>
      </x:c>
      <x:c r="C3328" s="184" t="n">
        <x:v>0</x:v>
      </x:c>
      <x:c r="D3328" s="184" t="n">
        <x:v>0</x:v>
      </x:c>
      <x:c r="E3328" s="184" t="n">
        <x:v>0</x:v>
      </x:c>
      <x:c r="F3328" s="184" t="n">
        <x:v>0</x:v>
      </x:c>
      <x:c r="G3328" s="184" t="n">
        <x:v>0</x:v>
      </x:c>
      <x:c r="H3328" s="193" t="n">
        <x:v>0</x:v>
      </x:c>
      <x:c r="I3328" s="185" t="n">
        <x:v>0</x:v>
      </x:c>
      <x:c r="J3328" s="185" t="n">
        <x:v>0</x:v>
      </x:c>
      <x:c r="K3328" s="289" t="n">
        <x:v>17359131</x:v>
      </x:c>
    </x:row>
    <x:row r="3329" s="117" customFormat="1" hidden="1">
      <x:c r="A3329" s="184" t="inlineStr">
        <x:is>
          <x:t xml:space="preserve">TERRENO00126</x:t>
        </x:is>
      </x:c>
      <x:c r="B3329" s="184" t="inlineStr">
        <x:is>
          <x:t xml:space="preserve">SERVICIO DE REVESTIMIENTO LOMAS BAYAS HES 1000612684 OC-4500439574</x:t>
        </x:is>
      </x:c>
      <x:c r="C3329" s="184" t="n">
        <x:v>0</x:v>
      </x:c>
      <x:c r="D3329" s="184" t="n">
        <x:v>0</x:v>
      </x:c>
      <x:c r="E3329" s="184" t="n">
        <x:v>0</x:v>
      </x:c>
      <x:c r="F3329" s="184" t="n">
        <x:v>0</x:v>
      </x:c>
      <x:c r="G3329" s="184" t="n">
        <x:v>0</x:v>
      </x:c>
      <x:c r="H3329" s="193" t="n">
        <x:v>0</x:v>
      </x:c>
      <x:c r="I3329" s="185" t="n">
        <x:v>0</x:v>
      </x:c>
      <x:c r="J3329" s="185" t="n">
        <x:v>0</x:v>
      </x:c>
      <x:c r="K3329" s="289" t="n">
        <x:v>19432130</x:v>
      </x:c>
    </x:row>
    <x:row r="3330" s="117" customFormat="1" hidden="1">
      <x:c r="A3330" s="184" t="inlineStr">
        <x:is>
          <x:t xml:space="preserve">TERRENO00127</x:t>
        </x:is>
      </x:c>
      <x:c r="B3330" s="184" t="inlineStr">
        <x:is>
          <x:t xml:space="preserve">SERVICIO DE REVESTIMIENTO LOMAS BAYAS HES 1000612680 OC-4500439574</x:t>
        </x:is>
      </x:c>
      <x:c r="C3330" s="184" t="n">
        <x:v>0</x:v>
      </x:c>
      <x:c r="D3330" s="184" t="n">
        <x:v>0</x:v>
      </x:c>
      <x:c r="E3330" s="184" t="n">
        <x:v>0</x:v>
      </x:c>
      <x:c r="F3330" s="184" t="n">
        <x:v>0</x:v>
      </x:c>
      <x:c r="G3330" s="184" t="n">
        <x:v>0</x:v>
      </x:c>
      <x:c r="H3330" s="193" t="n">
        <x:v>0</x:v>
      </x:c>
      <x:c r="I3330" s="185" t="n">
        <x:v>0</x:v>
      </x:c>
      <x:c r="J3330" s="185" t="n">
        <x:v>0</x:v>
      </x:c>
      <x:c r="K3330" s="289" t="n">
        <x:v>22301447</x:v>
      </x:c>
    </x:row>
    <x:row r="3331" s="117" customFormat="1" hidden="1">
      <x:c r="A3331" s="184" t="inlineStr">
        <x:is>
          <x:t xml:space="preserve">TERRENO00128</x:t>
        </x:is>
      </x:c>
      <x:c r="B3331" s="184" t="inlineStr">
        <x:is>
          <x:t xml:space="preserve">EDP Nª 25 AGO24 CONTRATO 4600021614 HES 1002839517</x:t>
        </x:is>
      </x:c>
      <x:c r="C3331" s="184" t="n">
        <x:v>0</x:v>
      </x:c>
      <x:c r="D3331" s="184" t="n">
        <x:v>0</x:v>
      </x:c>
      <x:c r="E3331" s="184" t="n">
        <x:v>0</x:v>
      </x:c>
      <x:c r="F3331" s="184" t="n">
        <x:v>0</x:v>
      </x:c>
      <x:c r="G3331" s="184" t="n">
        <x:v>0</x:v>
      </x:c>
      <x:c r="H3331" s="193" t="n">
        <x:v>0</x:v>
      </x:c>
      <x:c r="I3331" s="185" t="n">
        <x:v>0</x:v>
      </x:c>
      <x:c r="J3331" s="185" t="n">
        <x:v>0</x:v>
      </x:c>
      <x:c r="K3331" s="289" t="n">
        <x:v>18223000</x:v>
      </x:c>
    </x:row>
    <x:row r="3332" s="117" customFormat="1" hidden="1">
      <x:c r="A3332" s="184" t="inlineStr">
        <x:is>
          <x:t xml:space="preserve">TERRENO00129</x:t>
        </x:is>
      </x:c>
      <x:c r="B3332" s="184" t="inlineStr">
        <x:is>
          <x:t xml:space="preserve">ESTADO DE PAGO Nª 11 REPARACION EQUIPOS Y SUMINISTROS PRP PP CONT 4600029485 HES 1002140157</x:t>
        </x:is>
      </x:c>
      <x:c r="C3332" s="184" t="n">
        <x:v>0</x:v>
      </x:c>
      <x:c r="D3332" s="184" t="n">
        <x:v>0</x:v>
      </x:c>
      <x:c r="E3332" s="184" t="n">
        <x:v>0</x:v>
      </x:c>
      <x:c r="F3332" s="184" t="n">
        <x:v>0</x:v>
      </x:c>
      <x:c r="G3332" s="184" t="n">
        <x:v>0</x:v>
      </x:c>
      <x:c r="H3332" s="193" t="n">
        <x:v>0</x:v>
      </x:c>
      <x:c r="I3332" s="185" t="n">
        <x:v>0</x:v>
      </x:c>
      <x:c r="J3332" s="185" t="n">
        <x:v>0</x:v>
      </x:c>
      <x:c r="K3332" s="289" t="n">
        <x:v>4355111</x:v>
      </x:c>
    </x:row>
    <x:row r="3333" s="117" customFormat="1" hidden="1">
      <x:c r="A3333" s="184" t="inlineStr">
        <x:is>
          <x:t xml:space="preserve">TERRENO00130</x:t>
        </x:is>
      </x:c>
      <x:c r="B3333" s="184" t="inlineStr">
        <x:is>
          <x:t xml:space="preserve">EDP Nª 1 JUN24 REP.EMERGENCIA DUCTO OVOTENT CONT.46000282258 HES 1002839987</x:t>
        </x:is>
      </x:c>
      <x:c r="C3333" s="184" t="n">
        <x:v>0</x:v>
      </x:c>
      <x:c r="D3333" s="184" t="n">
        <x:v>0</x:v>
      </x:c>
      <x:c r="E3333" s="184" t="n">
        <x:v>0</x:v>
      </x:c>
      <x:c r="F3333" s="184" t="n">
        <x:v>0</x:v>
      </x:c>
      <x:c r="G3333" s="184" t="n">
        <x:v>0</x:v>
      </x:c>
      <x:c r="H3333" s="193" t="n">
        <x:v>0</x:v>
      </x:c>
      <x:c r="I3333" s="185" t="n">
        <x:v>0</x:v>
      </x:c>
      <x:c r="J3333" s="185" t="n">
        <x:v>0</x:v>
      </x:c>
      <x:c r="K3333" s="289" t="n">
        <x:v>12367802</x:v>
      </x:c>
    </x:row>
    <x:row r="3334" s="117" customFormat="1" hidden="1">
      <x:c r="A3334" s="184" t="inlineStr">
        <x:is>
          <x:t xml:space="preserve">TERRENO00131</x:t>
        </x:is>
      </x:c>
      <x:c r="B3334" s="184" t="inlineStr">
        <x:is>
          <x:t xml:space="preserve">EDP Nª 1 AGOSTO 2024 SERVICIO DE FABRICACION E INSTALACION DE BOQUILLAS Y STOPPERS</x:t>
        </x:is>
      </x:c>
      <x:c r="C3334" s="184" t="n">
        <x:v>0</x:v>
      </x:c>
      <x:c r="D3334" s="184" t="n">
        <x:v>0</x:v>
      </x:c>
      <x:c r="E3334" s="184" t="n">
        <x:v>0</x:v>
      </x:c>
      <x:c r="F3334" s="184" t="n">
        <x:v>0</x:v>
      </x:c>
      <x:c r="G3334" s="184" t="n">
        <x:v>0</x:v>
      </x:c>
      <x:c r="H3334" s="193" t="n">
        <x:v>0</x:v>
      </x:c>
      <x:c r="I3334" s="185" t="n">
        <x:v>0</x:v>
      </x:c>
      <x:c r="J3334" s="185" t="n">
        <x:v>0</x:v>
      </x:c>
      <x:c r="K3334" s="289" t="n">
        <x:v>7551252</x:v>
      </x:c>
    </x:row>
    <x:row r="3335" s="117" customFormat="1" hidden="1">
      <x:c r="A3335" s="184" t="inlineStr">
        <x:is>
          <x:t xml:space="preserve">TERRENO00132</x:t>
        </x:is>
      </x:c>
      <x:c r="B3335" s="184" t="inlineStr">
        <x:is>
          <x:t xml:space="preserve">EDP Nª1 SEPT24 CONTRATO 4600028424 HES 1002841848  JCC0624-NV0001</x:t>
        </x:is>
      </x:c>
      <x:c r="C3335" s="184" t="n">
        <x:v>0</x:v>
      </x:c>
      <x:c r="D3335" s="184" t="n">
        <x:v>0</x:v>
      </x:c>
      <x:c r="E3335" s="184" t="n">
        <x:v>0</x:v>
      </x:c>
      <x:c r="F3335" s="184" t="n">
        <x:v>0</x:v>
      </x:c>
      <x:c r="G3335" s="184" t="n">
        <x:v>0</x:v>
      </x:c>
      <x:c r="H3335" s="193" t="n">
        <x:v>0</x:v>
      </x:c>
      <x:c r="I3335" s="185" t="n">
        <x:v>0</x:v>
      </x:c>
      <x:c r="J3335" s="185" t="n">
        <x:v>0</x:v>
      </x:c>
      <x:c r="K3335" s="289" t="n">
        <x:v>13138850</x:v>
      </x:c>
    </x:row>
    <x:row r="3336" s="117" customFormat="1" hidden="1">
      <x:c r="A3336" s="184" t="inlineStr">
        <x:is>
          <x:t xml:space="preserve">TERRENO00133</x:t>
        </x:is>
      </x:c>
      <x:c r="B3336" s="184" t="inlineStr">
        <x:is>
          <x:t xml:space="preserve">EDP Nª1 SEPT24 CONTRATO 4600028424 HES 1002841849  JCC0624-NV0001</x:t>
        </x:is>
      </x:c>
      <x:c r="C3336" s="184" t="n">
        <x:v>0</x:v>
      </x:c>
      <x:c r="D3336" s="184" t="n">
        <x:v>0</x:v>
      </x:c>
      <x:c r="E3336" s="184" t="n">
        <x:v>0</x:v>
      </x:c>
      <x:c r="F3336" s="184" t="n">
        <x:v>0</x:v>
      </x:c>
      <x:c r="G3336" s="184" t="n">
        <x:v>0</x:v>
      </x:c>
      <x:c r="H3336" s="193" t="n">
        <x:v>0</x:v>
      </x:c>
      <x:c r="I3336" s="185" t="n">
        <x:v>0</x:v>
      </x:c>
      <x:c r="J3336" s="185" t="n">
        <x:v>0</x:v>
      </x:c>
      <x:c r="K3336" s="289" t="n">
        <x:v>118249663</x:v>
      </x:c>
    </x:row>
    <x:row r="3337" s="117" customFormat="1" hidden="1">
      <x:c r="A3337" s="184" t="inlineStr">
        <x:is>
          <x:t xml:space="preserve">TERRENO00134</x:t>
        </x:is>
      </x:c>
      <x:c r="B3337" s="184" t="inlineStr">
        <x:is>
          <x:t xml:space="preserve">EDP Nª4 INSTALACION DE PLACAS PARA REVST TK6 Y TK5 BEAGLE</x:t>
        </x:is>
      </x:c>
      <x:c r="C3337" s="184" t="n">
        <x:v>0</x:v>
      </x:c>
      <x:c r="D3337" s="184" t="n">
        <x:v>0</x:v>
      </x:c>
      <x:c r="E3337" s="184" t="n">
        <x:v>0</x:v>
      </x:c>
      <x:c r="F3337" s="184" t="n">
        <x:v>0</x:v>
      </x:c>
      <x:c r="G3337" s="184" t="n">
        <x:v>0</x:v>
      </x:c>
      <x:c r="H3337" s="193" t="n">
        <x:v>0</x:v>
      </x:c>
      <x:c r="I3337" s="185" t="n">
        <x:v>0</x:v>
      </x:c>
      <x:c r="J3337" s="185" t="n">
        <x:v>0</x:v>
      </x:c>
      <x:c r="K3337" s="289" t="n">
        <x:v>10296844</x:v>
      </x:c>
    </x:row>
    <x:row r="3338" s="117" customFormat="1" hidden="1">
      <x:c r="A3338" s="184" t="inlineStr">
        <x:is>
          <x:t xml:space="preserve">TERRENO00135</x:t>
        </x:is>
      </x:c>
      <x:c r="B3338" s="184" t="inlineStr">
        <x:is>
          <x:t xml:space="preserve">EDP Nª 1 TRABAJOS ADICIONALES INTERIOR DE TK 5  BEAGLE</x:t>
        </x:is>
      </x:c>
      <x:c r="C3338" s="184" t="n">
        <x:v>0</x:v>
      </x:c>
      <x:c r="D3338" s="184" t="n">
        <x:v>0</x:v>
      </x:c>
      <x:c r="E3338" s="184" t="n">
        <x:v>0</x:v>
      </x:c>
      <x:c r="F3338" s="184" t="n">
        <x:v>0</x:v>
      </x:c>
      <x:c r="G3338" s="184" t="n">
        <x:v>0</x:v>
      </x:c>
      <x:c r="H3338" s="193" t="n">
        <x:v>0</x:v>
      </x:c>
      <x:c r="I3338" s="185" t="n">
        <x:v>0</x:v>
      </x:c>
      <x:c r="J3338" s="185" t="n">
        <x:v>0</x:v>
      </x:c>
      <x:c r="K3338" s="289" t="n">
        <x:v>4632607</x:v>
      </x:c>
    </x:row>
    <x:row r="3339" s="117" customFormat="1" hidden="1">
      <x:c r="A3339" s="184" t="inlineStr">
        <x:is>
          <x:t xml:space="preserve">TERRENO00136</x:t>
        </x:is>
      </x:c>
      <x:c r="B3339" s="184" t="inlineStr">
        <x:is>
          <x:t xml:space="preserve">EDP Nª 4 MAY24 CONTRATO 4600024815 HES 1002840140</x:t>
        </x:is>
      </x:c>
      <x:c r="C3339" s="184" t="n">
        <x:v>0</x:v>
      </x:c>
      <x:c r="D3339" s="184" t="n">
        <x:v>0</x:v>
      </x:c>
      <x:c r="E3339" s="184" t="n">
        <x:v>0</x:v>
      </x:c>
      <x:c r="F3339" s="184" t="n">
        <x:v>0</x:v>
      </x:c>
      <x:c r="G3339" s="184" t="n">
        <x:v>0</x:v>
      </x:c>
      <x:c r="H3339" s="193" t="n">
        <x:v>0</x:v>
      </x:c>
      <x:c r="I3339" s="185" t="n">
        <x:v>0</x:v>
      </x:c>
      <x:c r="J3339" s="185" t="n">
        <x:v>0</x:v>
      </x:c>
      <x:c r="K3339" s="289" t="n">
        <x:v>889198</x:v>
      </x:c>
    </x:row>
    <x:row r="3340" s="117" customFormat="1" hidden="1">
      <x:c r="A3340" s="184" t="inlineStr">
        <x:is>
          <x:t xml:space="preserve">TERRENO00137</x:t>
        </x:is>
      </x:c>
      <x:c r="B3340" s="184" t="inlineStr">
        <x:is>
          <x:t xml:space="preserve">EDP Nª 4 MAY24 CONTRATO 4600024815 HES 1002840139</x:t>
        </x:is>
      </x:c>
      <x:c r="C3340" s="184" t="n">
        <x:v>0</x:v>
      </x:c>
      <x:c r="D3340" s="184" t="n">
        <x:v>0</x:v>
      </x:c>
      <x:c r="E3340" s="184" t="n">
        <x:v>0</x:v>
      </x:c>
      <x:c r="F3340" s="184" t="n">
        <x:v>0</x:v>
      </x:c>
      <x:c r="G3340" s="184" t="n">
        <x:v>0</x:v>
      </x:c>
      <x:c r="H3340" s="193" t="n">
        <x:v>0</x:v>
      </x:c>
      <x:c r="I3340" s="185" t="n">
        <x:v>0</x:v>
      </x:c>
      <x:c r="J3340" s="185" t="n">
        <x:v>0</x:v>
      </x:c>
      <x:c r="K3340" s="289" t="n">
        <x:v>2782894</x:v>
      </x:c>
    </x:row>
    <x:row r="3341" s="117" customFormat="1" hidden="1">
      <x:c r="A3341" s="184" t="inlineStr">
        <x:is>
          <x:t xml:space="preserve">TERRENO00138</x:t>
        </x:is>
      </x:c>
      <x:c r="B3341" s="184" t="inlineStr">
        <x:is>
          <x:t xml:space="preserve">EDP Nª 4 MAY24 CONTRATO 4600024815 HES 1002840138</x:t>
        </x:is>
      </x:c>
      <x:c r="C3341" s="184" t="n">
        <x:v>0</x:v>
      </x:c>
      <x:c r="D3341" s="184" t="n">
        <x:v>0</x:v>
      </x:c>
      <x:c r="E3341" s="184" t="n">
        <x:v>0</x:v>
      </x:c>
      <x:c r="F3341" s="184" t="n">
        <x:v>0</x:v>
      </x:c>
      <x:c r="G3341" s="184" t="n">
        <x:v>0</x:v>
      </x:c>
      <x:c r="H3341" s="193" t="n">
        <x:v>0</x:v>
      </x:c>
      <x:c r="I3341" s="185" t="n">
        <x:v>0</x:v>
      </x:c>
      <x:c r="J3341" s="185" t="n">
        <x:v>0</x:v>
      </x:c>
      <x:c r="K3341" s="289" t="n">
        <x:v>7254010</x:v>
      </x:c>
    </x:row>
    <x:row r="3342" s="117" customFormat="1" hidden="1">
      <x:c r="A3342" s="184" t="inlineStr">
        <x:is>
          <x:t xml:space="preserve">TERRENO00139</x:t>
        </x:is>
      </x:c>
      <x:c r="B3342" s="184" t="inlineStr">
        <x:is>
          <x:t xml:space="preserve">EDP Nª 4 MAY24 CONTRATO 4600024815 HES 1002840137</x:t>
        </x:is>
      </x:c>
      <x:c r="C3342" s="184" t="n">
        <x:v>0</x:v>
      </x:c>
      <x:c r="D3342" s="184" t="n">
        <x:v>0</x:v>
      </x:c>
      <x:c r="E3342" s="184" t="n">
        <x:v>0</x:v>
      </x:c>
      <x:c r="F3342" s="184" t="n">
        <x:v>0</x:v>
      </x:c>
      <x:c r="G3342" s="184" t="n">
        <x:v>0</x:v>
      </x:c>
      <x:c r="H3342" s="193" t="n">
        <x:v>0</x:v>
      </x:c>
      <x:c r="I3342" s="185" t="n">
        <x:v>0</x:v>
      </x:c>
      <x:c r="J3342" s="185" t="n">
        <x:v>0</x:v>
      </x:c>
      <x:c r="K3342" s="289" t="n">
        <x:v>7684906</x:v>
      </x:c>
    </x:row>
    <x:row r="3343" s="117" customFormat="1" hidden="1">
      <x:c r="A3343" s="184" t="inlineStr">
        <x:is>
          <x:t xml:space="preserve">TERRENO00140</x:t>
        </x:is>
      </x:c>
      <x:c r="B3343" s="184" t="inlineStr">
        <x:is>
          <x:t xml:space="preserve">EP Nª 1 FINAL REPAR.SECTOR MIXER DECANTADOR CMMC HES 1000082990</x:t>
        </x:is>
      </x:c>
      <x:c r="C3343" s="184" t="n">
        <x:v>0</x:v>
      </x:c>
      <x:c r="D3343" s="184" t="n">
        <x:v>0</x:v>
      </x:c>
      <x:c r="E3343" s="184" t="n">
        <x:v>0</x:v>
      </x:c>
      <x:c r="F3343" s="184" t="n">
        <x:v>0</x:v>
      </x:c>
      <x:c r="G3343" s="184" t="n">
        <x:v>0</x:v>
      </x:c>
      <x:c r="H3343" s="193" t="n">
        <x:v>0</x:v>
      </x:c>
      <x:c r="I3343" s="185" t="n">
        <x:v>0</x:v>
      </x:c>
      <x:c r="J3343" s="185" t="n">
        <x:v>0</x:v>
      </x:c>
      <x:c r="K3343" s="289" t="n">
        <x:v>12293269</x:v>
      </x:c>
    </x:row>
    <x:row r="3344" s="117" customFormat="1" hidden="1">
      <x:c r="A3344" s="184" t="inlineStr">
        <x:is>
          <x:t xml:space="preserve">TERRENO00141</x:t>
        </x:is>
      </x:c>
      <x:c r="B3344" s="184" t="inlineStr">
        <x:is>
          <x:t xml:space="preserve">CDMH CFM0122-NV0009 FRP Y TERR MINISTRO HALES</x:t>
        </x:is>
      </x:c>
      <x:c r="C3344" s="184" t="n">
        <x:v>0</x:v>
      </x:c>
      <x:c r="D3344" s="184" t="n">
        <x:v>0</x:v>
      </x:c>
      <x:c r="E3344" s="184" t="n">
        <x:v>0</x:v>
      </x:c>
      <x:c r="F3344" s="184" t="n">
        <x:v>0</x:v>
      </x:c>
      <x:c r="G3344" s="184" t="n">
        <x:v>0</x:v>
      </x:c>
      <x:c r="H3344" s="193" t="n">
        <x:v>0</x:v>
      </x:c>
      <x:c r="I3344" s="185" t="n">
        <x:v>0</x:v>
      </x:c>
      <x:c r="J3344" s="185" t="n">
        <x:v>0</x:v>
      </x:c>
      <x:c r="K3344" s="289" t="n">
        <x:v>62332914</x:v>
      </x:c>
    </x:row>
    <x:row r="3345" s="117" customFormat="1" hidden="1">
      <x:c r="A3345" s="184" t="inlineStr">
        <x:is>
          <x:t xml:space="preserve">TERRENO00142</x:t>
        </x:is>
      </x:c>
      <x:c r="B3345" s="184" t="inlineStr">
        <x:is>
          <x:t xml:space="preserve">RECUP.BARRERA QCA TK CLO2 356-22-067 HES 1009451040</x:t>
        </x:is>
      </x:c>
      <x:c r="C3345" s="184" t="n">
        <x:v>0</x:v>
      </x:c>
      <x:c r="D3345" s="184" t="n">
        <x:v>0</x:v>
      </x:c>
      <x:c r="E3345" s="184" t="n">
        <x:v>0</x:v>
      </x:c>
      <x:c r="F3345" s="184" t="n">
        <x:v>0</x:v>
      </x:c>
      <x:c r="G3345" s="184" t="n">
        <x:v>0</x:v>
      </x:c>
      <x:c r="H3345" s="193" t="n">
        <x:v>0</x:v>
      </x:c>
      <x:c r="I3345" s="185" t="n">
        <x:v>0</x:v>
      </x:c>
      <x:c r="J3345" s="185" t="n">
        <x:v>0</x:v>
      </x:c>
      <x:c r="K3345" s="289" t="n">
        <x:v>46677211</x:v>
      </x:c>
    </x:row>
    <x:row r="3346" s="117" customFormat="1" hidden="1">
      <x:c r="A3346" s="184" t="inlineStr">
        <x:is>
          <x:t xml:space="preserve">TERRENO00143</x:t>
        </x:is>
      </x:c>
      <x:c r="B3346" s="184" t="inlineStr">
        <x:is>
          <x:t xml:space="preserve">AO POR CAMBIO DE BOQUILLAS EN TK 356-22-067 HES 1009451041</x:t>
        </x:is>
      </x:c>
      <x:c r="C3346" s="184" t="n">
        <x:v>0</x:v>
      </x:c>
      <x:c r="D3346" s="184" t="n">
        <x:v>0</x:v>
      </x:c>
      <x:c r="E3346" s="184" t="n">
        <x:v>0</x:v>
      </x:c>
      <x:c r="F3346" s="184" t="n">
        <x:v>0</x:v>
      </x:c>
      <x:c r="G3346" s="184" t="n">
        <x:v>0</x:v>
      </x:c>
      <x:c r="H3346" s="193" t="n">
        <x:v>0</x:v>
      </x:c>
      <x:c r="I3346" s="185" t="n">
        <x:v>0</x:v>
      </x:c>
      <x:c r="J3346" s="185" t="n">
        <x:v>0</x:v>
      </x:c>
      <x:c r="K3346" s="289" t="n">
        <x:v>4126818</x:v>
      </x:c>
    </x:row>
    <x:row r="3347" s="117" customFormat="1" hidden="1">
      <x:c r="A3347" s="184" t="inlineStr">
        <x:is>
          <x:t xml:space="preserve">TERRENO00144</x:t>
        </x:is>
      </x:c>
      <x:c r="B3347" s="184" t="inlineStr">
        <x:is>
          <x:t xml:space="preserve">EDP Nª 3 OCT24 CONTRATO 4600028424 HES 1002851334 JCC0624-NV0000</x:t>
        </x:is>
      </x:c>
      <x:c r="C3347" s="184" t="n">
        <x:v>0</x:v>
      </x:c>
      <x:c r="D3347" s="184" t="n">
        <x:v>0</x:v>
      </x:c>
      <x:c r="E3347" s="184" t="n">
        <x:v>0</x:v>
      </x:c>
      <x:c r="F3347" s="184" t="n">
        <x:v>0</x:v>
      </x:c>
      <x:c r="G3347" s="184" t="n">
        <x:v>0</x:v>
      </x:c>
      <x:c r="H3347" s="193" t="n">
        <x:v>0</x:v>
      </x:c>
      <x:c r="I3347" s="185" t="n">
        <x:v>0</x:v>
      </x:c>
      <x:c r="J3347" s="185" t="n">
        <x:v>0</x:v>
      </x:c>
      <x:c r="K3347" s="289" t="n">
        <x:v>104056919</x:v>
      </x:c>
    </x:row>
    <x:row r="3348" s="117" customFormat="1" hidden="1">
      <x:c r="A3348" s="184" t="inlineStr">
        <x:is>
          <x:t xml:space="preserve">TERRENO00145</x:t>
        </x:is>
      </x:c>
      <x:c r="B3348" s="184" t="inlineStr">
        <x:is>
          <x:t xml:space="preserve">SERVICIO MONTAJE TKE1 CONTRATO 4502959949 HES 1002197856</x:t>
        </x:is>
      </x:c>
      <x:c r="C3348" s="184" t="n">
        <x:v>0</x:v>
      </x:c>
      <x:c r="D3348" s="184" t="n">
        <x:v>0</x:v>
      </x:c>
      <x:c r="E3348" s="184" t="n">
        <x:v>0</x:v>
      </x:c>
      <x:c r="F3348" s="184" t="n">
        <x:v>0</x:v>
      </x:c>
      <x:c r="G3348" s="184" t="n">
        <x:v>0</x:v>
      </x:c>
      <x:c r="H3348" s="193" t="n">
        <x:v>0</x:v>
      </x:c>
      <x:c r="I3348" s="185" t="n">
        <x:v>0</x:v>
      </x:c>
      <x:c r="J3348" s="185" t="n">
        <x:v>0</x:v>
      </x:c>
      <x:c r="K3348" s="289" t="n">
        <x:v>5351000</x:v>
      </x:c>
    </x:row>
    <x:row r="3349" s="117" customFormat="1" hidden="1">
      <x:c r="A3349" s="184" t="inlineStr">
        <x:is>
          <x:t xml:space="preserve">TERRENO00146</x:t>
        </x:is>
      </x:c>
      <x:c r="B3349" s="184" t="inlineStr">
        <x:is>
          <x:t xml:space="preserve">ED N° 13 SUMINISTROS CONTRATO 3.22.0011.1 HES 1002205149 ANGLOAMERICAN SUR</x:t>
        </x:is>
      </x:c>
      <x:c r="C3349" s="184" t="n">
        <x:v>0</x:v>
      </x:c>
      <x:c r="D3349" s="184" t="n">
        <x:v>0</x:v>
      </x:c>
      <x:c r="E3349" s="184" t="n">
        <x:v>0</x:v>
      </x:c>
      <x:c r="F3349" s="184" t="n">
        <x:v>0</x:v>
      </x:c>
      <x:c r="G3349" s="184" t="n">
        <x:v>0</x:v>
      </x:c>
      <x:c r="H3349" s="193" t="n">
        <x:v>0</x:v>
      </x:c>
      <x:c r="I3349" s="185" t="n">
        <x:v>0</x:v>
      </x:c>
      <x:c r="J3349" s="185" t="n">
        <x:v>0</x:v>
      </x:c>
      <x:c r="K3349" s="289" t="n">
        <x:v>16905616</x:v>
      </x:c>
    </x:row>
    <x:row r="3350" s="117" customFormat="1" hidden="1">
      <x:c r="A3350" s="184" t="inlineStr">
        <x:is>
          <x:t xml:space="preserve">TERRENO00147</x:t>
        </x:is>
      </x:c>
      <x:c r="B3350" s="184" t="inlineStr">
        <x:is>
          <x:t xml:space="preserve">ED N|12 SUMINISTROS Y MANT, CONT 3.22.0011.1 HES 1002176400</x:t>
        </x:is>
      </x:c>
      <x:c r="C3350" s="184" t="n">
        <x:v>0</x:v>
      </x:c>
      <x:c r="D3350" s="184" t="n">
        <x:v>0</x:v>
      </x:c>
      <x:c r="E3350" s="184" t="n">
        <x:v>0</x:v>
      </x:c>
      <x:c r="F3350" s="184" t="n">
        <x:v>0</x:v>
      </x:c>
      <x:c r="G3350" s="184" t="n">
        <x:v>0</x:v>
      </x:c>
      <x:c r="H3350" s="193" t="n">
        <x:v>0</x:v>
      </x:c>
      <x:c r="I3350" s="185" t="n">
        <x:v>0</x:v>
      </x:c>
      <x:c r="J3350" s="185" t="n">
        <x:v>0</x:v>
      </x:c>
      <x:c r="K3350" s="289" t="n">
        <x:v>6979042</x:v>
      </x:c>
    </x:row>
    <x:row r="3351" s="117" customFormat="1" hidden="1">
      <x:c r="A3351" s="184" t="inlineStr">
        <x:is>
          <x:t xml:space="preserve">TERRENO00148</x:t>
        </x:is>
      </x:c>
      <x:c r="B3351" s="184" t="inlineStr">
        <x:is>
          <x:t xml:space="preserve">SERVICIO DE REP DECANTADOR W1 RLS1024-NV0003 CMMC</x:t>
        </x:is>
      </x:c>
      <x:c r="C3351" s="184" t="n">
        <x:v>0</x:v>
      </x:c>
      <x:c r="D3351" s="184" t="n">
        <x:v>0</x:v>
      </x:c>
      <x:c r="E3351" s="184" t="n">
        <x:v>0</x:v>
      </x:c>
      <x:c r="F3351" s="184" t="n">
        <x:v>0</x:v>
      </x:c>
      <x:c r="G3351" s="184" t="n">
        <x:v>0</x:v>
      </x:c>
      <x:c r="H3351" s="193" t="n">
        <x:v>0</x:v>
      </x:c>
      <x:c r="I3351" s="185" t="n">
        <x:v>0</x:v>
      </x:c>
      <x:c r="J3351" s="185" t="n">
        <x:v>0</x:v>
      </x:c>
      <x:c r="K3351" s="289" t="n">
        <x:v>8828086</x:v>
      </x:c>
    </x:row>
    <x:row r="3352" s="117" customFormat="1" hidden="1">
      <x:c r="A3352" s="184" t="inlineStr">
        <x:is>
          <x:t xml:space="preserve">TERRENO00149</x:t>
        </x:is>
      </x:c>
      <x:c r="B3352" s="184" t="inlineStr">
        <x:is>
          <x:t xml:space="preserve">EDP Nª 3 NOV24 CONTRATO 4600028424 HES 1002861449</x:t>
        </x:is>
      </x:c>
      <x:c r="C3352" s="184" t="n">
        <x:v>0</x:v>
      </x:c>
      <x:c r="D3352" s="184" t="n">
        <x:v>0</x:v>
      </x:c>
      <x:c r="E3352" s="184" t="n">
        <x:v>0</x:v>
      </x:c>
      <x:c r="F3352" s="184" t="n">
        <x:v>0</x:v>
      </x:c>
      <x:c r="G3352" s="184" t="n">
        <x:v>0</x:v>
      </x:c>
      <x:c r="H3352" s="193" t="n">
        <x:v>0</x:v>
      </x:c>
      <x:c r="I3352" s="185" t="n">
        <x:v>0</x:v>
      </x:c>
      <x:c r="J3352" s="185" t="n">
        <x:v>0</x:v>
      </x:c>
      <x:c r="K3352" s="289" t="n">
        <x:v>33011860</x:v>
      </x:c>
    </x:row>
    <x:row r="3353" s="117" customFormat="1" hidden="1">
      <x:c r="A3353" s="184" t="inlineStr">
        <x:is>
          <x:t xml:space="preserve">TERRENO00150</x:t>
        </x:is>
      </x:c>
      <x:c r="B3353" s="184" t="inlineStr">
        <x:is>
          <x:t xml:space="preserve">EDP Nª 3 NOV24 CONTRATO 4600028424 HES 1002861450</x:t>
        </x:is>
      </x:c>
      <x:c r="C3353" s="184" t="n">
        <x:v>0</x:v>
      </x:c>
      <x:c r="D3353" s="184" t="n">
        <x:v>0</x:v>
      </x:c>
      <x:c r="E3353" s="184" t="n">
        <x:v>0</x:v>
      </x:c>
      <x:c r="F3353" s="184" t="n">
        <x:v>0</x:v>
      </x:c>
      <x:c r="G3353" s="184" t="n">
        <x:v>0</x:v>
      </x:c>
      <x:c r="H3353" s="193" t="n">
        <x:v>0</x:v>
      </x:c>
      <x:c r="I3353" s="185" t="n">
        <x:v>0</x:v>
      </x:c>
      <x:c r="J3353" s="185" t="n">
        <x:v>0</x:v>
      </x:c>
      <x:c r="K3353" s="289" t="n">
        <x:v>89225922</x:v>
      </x:c>
    </x:row>
    <x:row r="3354" s="117" customFormat="1" hidden="1">
      <x:c r="A3354" s="184" t="inlineStr">
        <x:is>
          <x:t xml:space="preserve">TERRENO00151</x:t>
        </x:is>
      </x:c>
      <x:c r="B3354" s="184" t="inlineStr">
        <x:is>
          <x:t xml:space="preserve">EDP Nª 3 NOV24 CONTRATO 4600028424 HES 1002861451</x:t>
        </x:is>
      </x:c>
      <x:c r="C3354" s="184" t="n">
        <x:v>0</x:v>
      </x:c>
      <x:c r="D3354" s="184" t="n">
        <x:v>0</x:v>
      </x:c>
      <x:c r="E3354" s="184" t="n">
        <x:v>0</x:v>
      </x:c>
      <x:c r="F3354" s="184" t="n">
        <x:v>0</x:v>
      </x:c>
      <x:c r="G3354" s="184" t="n">
        <x:v>0</x:v>
      </x:c>
      <x:c r="H3354" s="193" t="n">
        <x:v>0</x:v>
      </x:c>
      <x:c r="I3354" s="185" t="n">
        <x:v>0</x:v>
      </x:c>
      <x:c r="J3354" s="185" t="n">
        <x:v>0</x:v>
      </x:c>
      <x:c r="K3354" s="289" t="n">
        <x:v>7382647</x:v>
      </x:c>
    </x:row>
    <x:row r="3355" s="117" customFormat="1" hidden="1">
      <x:c r="A3355" s="184" t="inlineStr">
        <x:is>
          <x:t xml:space="preserve">TERRENO00152</x:t>
        </x:is>
      </x:c>
      <x:c r="B3355" s="184" t="inlineStr">
        <x:is>
          <x:t xml:space="preserve">EDP Nª1 JUN24 CONTRATO 4500028024 HES 1002860470</x:t>
        </x:is>
      </x:c>
      <x:c r="C3355" s="184" t="n">
        <x:v>0</x:v>
      </x:c>
      <x:c r="D3355" s="184" t="n">
        <x:v>0</x:v>
      </x:c>
      <x:c r="E3355" s="184" t="n">
        <x:v>0</x:v>
      </x:c>
      <x:c r="F3355" s="184" t="n">
        <x:v>0</x:v>
      </x:c>
      <x:c r="G3355" s="184" t="n">
        <x:v>0</x:v>
      </x:c>
      <x:c r="H3355" s="193" t="n">
        <x:v>0</x:v>
      </x:c>
      <x:c r="I3355" s="185" t="n">
        <x:v>0</x:v>
      </x:c>
      <x:c r="J3355" s="185" t="n">
        <x:v>0</x:v>
      </x:c>
      <x:c r="K3355" s="289" t="n">
        <x:v>27590080</x:v>
      </x:c>
    </x:row>
    <x:row r="3356" s="117" customFormat="1" hidden="1">
      <x:c r="A3356" s="184" t="inlineStr">
        <x:is>
          <x:t xml:space="preserve">TERRENO00153</x:t>
        </x:is>
      </x:c>
      <x:c r="B3356" s="184" t="inlineStr">
        <x:is>
          <x:t xml:space="preserve">SERVICIO DE ASESORIA EN TERRENO MO ESPECIALIZADA ACCIONA PATACHE CONTRATO 2784 CFM0924-NV0000</x:t>
        </x:is>
      </x:c>
      <x:c r="C3356" s="184" t="n">
        <x:v>0</x:v>
      </x:c>
      <x:c r="D3356" s="184" t="n">
        <x:v>0</x:v>
      </x:c>
      <x:c r="E3356" s="184" t="n">
        <x:v>0</x:v>
      </x:c>
      <x:c r="F3356" s="184" t="n">
        <x:v>0</x:v>
      </x:c>
      <x:c r="G3356" s="184" t="n">
        <x:v>0</x:v>
      </x:c>
      <x:c r="H3356" s="193" t="n">
        <x:v>0</x:v>
      </x:c>
      <x:c r="I3356" s="185" t="n">
        <x:v>0</x:v>
      </x:c>
      <x:c r="J3356" s="185" t="n">
        <x:v>0</x:v>
      </x:c>
      <x:c r="K3356" s="289" t="n">
        <x:v>2929678</x:v>
      </x:c>
    </x:row>
    <x:row r="3357" s="117" customFormat="1" hidden="1">
      <x:c r="A3357" s="184" t="inlineStr">
        <x:is>
          <x:t xml:space="preserve">TERRENO00154</x:t>
        </x:is>
      </x:c>
      <x:c r="B3357" s="184" t="inlineStr">
        <x:is>
          <x:t xml:space="preserve">ED N° 14 SUMINISTROS CONTRATO 3.22.0011.1 HES 1002230499 ANGLOAMERICAN SUR</x:t>
        </x:is>
      </x:c>
      <x:c r="C3357" s="184" t="n">
        <x:v>0</x:v>
      </x:c>
      <x:c r="D3357" s="184" t="n">
        <x:v>0</x:v>
      </x:c>
      <x:c r="E3357" s="184" t="n">
        <x:v>0</x:v>
      </x:c>
      <x:c r="F3357" s="184" t="n">
        <x:v>0</x:v>
      </x:c>
      <x:c r="G3357" s="184" t="n">
        <x:v>0</x:v>
      </x:c>
      <x:c r="H3357" s="193" t="n">
        <x:v>0</x:v>
      </x:c>
      <x:c r="I3357" s="185" t="n">
        <x:v>0</x:v>
      </x:c>
      <x:c r="J3357" s="185" t="n">
        <x:v>0</x:v>
      </x:c>
      <x:c r="K3357" s="289" t="n">
        <x:v>16641279</x:v>
      </x:c>
    </x:row>
    <x:row r="3358" s="117" customFormat="1" hidden="1">
      <x:c r="A3358" s="184" t="inlineStr">
        <x:is>
          <x:t xml:space="preserve">TERRENO00155</x:t>
        </x:is>
      </x:c>
      <x:c r="B3358" s="184" t="inlineStr">
        <x:is>
          <x:t xml:space="preserve">EDP N° 26 DIC24 CONTRATO 4600021614 HES 1002865353</x:t>
        </x:is>
      </x:c>
      <x:c r="C3358" s="184" t="n">
        <x:v>0</x:v>
      </x:c>
      <x:c r="D3358" s="184" t="n">
        <x:v>0</x:v>
      </x:c>
      <x:c r="E3358" s="184" t="n">
        <x:v>0</x:v>
      </x:c>
      <x:c r="F3358" s="184" t="n">
        <x:v>0</x:v>
      </x:c>
      <x:c r="G3358" s="184" t="n">
        <x:v>0</x:v>
      </x:c>
      <x:c r="H3358" s="193" t="n">
        <x:v>0</x:v>
      </x:c>
      <x:c r="I3358" s="185" t="n">
        <x:v>0</x:v>
      </x:c>
      <x:c r="J3358" s="185" t="n">
        <x:v>0</x:v>
      </x:c>
      <x:c r="K3358" s="289" t="n">
        <x:v>31805935</x:v>
      </x:c>
    </x:row>
    <x:row r="3359" s="117" customFormat="1" hidden="1">
      <x:c r="A3359" s="184" t="inlineStr">
        <x:is>
          <x:t xml:space="preserve">TERRENO00156</x:t>
        </x:is>
      </x:c>
      <x:c r="B3359" s="184" t="inlineStr">
        <x:is>
          <x:t xml:space="preserve">EDP N° 27 ENE25 CONTRATO 4600021614 HES 1002884595 OC 4502385021</x:t>
        </x:is>
      </x:c>
      <x:c r="C3359" s="184" t="n">
        <x:v>0</x:v>
      </x:c>
      <x:c r="D3359" s="184" t="n">
        <x:v>0</x:v>
      </x:c>
      <x:c r="E3359" s="184" t="n">
        <x:v>0</x:v>
      </x:c>
      <x:c r="F3359" s="184" t="n">
        <x:v>0</x:v>
      </x:c>
      <x:c r="G3359" s="184" t="n">
        <x:v>0</x:v>
      </x:c>
      <x:c r="H3359" s="193" t="n">
        <x:v>0</x:v>
      </x:c>
      <x:c r="I3359" s="185" t="n">
        <x:v>0</x:v>
      </x:c>
      <x:c r="J3359" s="185" t="n">
        <x:v>0</x:v>
      </x:c>
      <x:c r="K3359" s="289" t="n">
        <x:v>106620152</x:v>
      </x:c>
    </x:row>
    <x:row r="3360" s="117" customFormat="1" hidden="1">
      <x:c r="A3360" s="184" t="inlineStr">
        <x:is>
          <x:t xml:space="preserve">TERRENO00157</x:t>
        </x:is>
      </x:c>
      <x:c r="B3360" s="184" t="inlineStr">
        <x:is>
          <x:t xml:space="preserve">ED N° 15 SUMINISTROS CONTRATO 3.22.0011.1 HES 1002388416 ANGLOAMERICAN SUR</x:t>
        </x:is>
      </x:c>
      <x:c r="C3360" s="184" t="n">
        <x:v>0</x:v>
      </x:c>
      <x:c r="D3360" s="184" t="n">
        <x:v>0</x:v>
      </x:c>
      <x:c r="E3360" s="184" t="n">
        <x:v>0</x:v>
      </x:c>
      <x:c r="F3360" s="184" t="n">
        <x:v>0</x:v>
      </x:c>
      <x:c r="G3360" s="184" t="n">
        <x:v>0</x:v>
      </x:c>
      <x:c r="H3360" s="193" t="n">
        <x:v>0</x:v>
      </x:c>
      <x:c r="I3360" s="185" t="n">
        <x:v>0</x:v>
      </x:c>
      <x:c r="J3360" s="185" t="n">
        <x:v>0</x:v>
      </x:c>
      <x:c r="K3360" s="289" t="n">
        <x:v>38556337</x:v>
      </x:c>
    </x:row>
    <x:row r="3361" s="117" customFormat="1" hidden="1">
      <x:c r="A3361" s="184" t="inlineStr">
        <x:is>
          <x:t xml:space="preserve">TERRENO00158</x:t>
        </x:is>
      </x:c>
      <x:c r="B3361" s="184" t="inlineStr">
        <x:is>
          <x:t xml:space="preserve">EDP Nª 28 MAR25 CONTRATO 4600021614 HES 1002891431 OC 4502393783</x:t>
        </x:is>
      </x:c>
      <x:c r="C3361" s="184" t="n">
        <x:v>0</x:v>
      </x:c>
      <x:c r="D3361" s="184" t="n">
        <x:v>0</x:v>
      </x:c>
      <x:c r="E3361" s="184" t="n">
        <x:v>0</x:v>
      </x:c>
      <x:c r="F3361" s="184" t="n">
        <x:v>0</x:v>
      </x:c>
      <x:c r="G3361" s="184" t="n">
        <x:v>0</x:v>
      </x:c>
      <x:c r="H3361" s="193" t="n">
        <x:v>0</x:v>
      </x:c>
      <x:c r="I3361" s="185" t="n">
        <x:v>0</x:v>
      </x:c>
      <x:c r="J3361" s="185" t="n">
        <x:v>0</x:v>
      </x:c>
      <x:c r="K3361" s="289" t="n">
        <x:v>11352553</x:v>
      </x:c>
    </x:row>
    <x:row r="3362" s="117" customFormat="1" hidden="1">
      <x:c r="A3362" s="184" t="inlineStr">
        <x:is>
          <x:t xml:space="preserve">TERRENO00159</x:t>
        </x:is>
      </x:c>
      <x:c r="B3362" s="184" t="inlineStr">
        <x:is>
          <x:t xml:space="preserve">EDP Nª 5 MAR25 CONTRATO 4600024815 HES 1002886996 OC 4502387264</x:t>
        </x:is>
      </x:c>
      <x:c r="C3362" s="184" t="n">
        <x:v>0</x:v>
      </x:c>
      <x:c r="D3362" s="184" t="n">
        <x:v>0</x:v>
      </x:c>
      <x:c r="E3362" s="184" t="n">
        <x:v>0</x:v>
      </x:c>
      <x:c r="F3362" s="184" t="n">
        <x:v>0</x:v>
      </x:c>
      <x:c r="G3362" s="184" t="n">
        <x:v>0</x:v>
      </x:c>
      <x:c r="H3362" s="193" t="n">
        <x:v>0</x:v>
      </x:c>
      <x:c r="I3362" s="185" t="n">
        <x:v>0</x:v>
      </x:c>
      <x:c r="J3362" s="185" t="n">
        <x:v>0</x:v>
      </x:c>
      <x:c r="K3362" s="289" t="n">
        <x:v>67552832</x:v>
      </x:c>
    </x:row>
    <x:row r="3363" s="117" customFormat="1" hidden="1">
      <x:c r="A3363" s="184" t="inlineStr">
        <x:is>
          <x:t xml:space="preserve">TERRENO00160</x:t>
        </x:is>
      </x:c>
      <x:c r="B3363" s="184" t="inlineStr">
        <x:is>
          <x:t xml:space="preserve">ESTADO DE PAGO N° 16 REPARACION EQUIPOS Y SUM FRP HES 1002417563 CONT 4600029485</x:t>
        </x:is>
      </x:c>
      <x:c r="C3363" s="184" t="n">
        <x:v>0</x:v>
      </x:c>
      <x:c r="D3363" s="184" t="n">
        <x:v>0</x:v>
      </x:c>
      <x:c r="E3363" s="184" t="n">
        <x:v>0</x:v>
      </x:c>
      <x:c r="F3363" s="184" t="n">
        <x:v>0</x:v>
      </x:c>
      <x:c r="G3363" s="184" t="n">
        <x:v>0</x:v>
      </x:c>
      <x:c r="H3363" s="193" t="n">
        <x:v>0</x:v>
      </x:c>
      <x:c r="I3363" s="185" t="n">
        <x:v>0</x:v>
      </x:c>
      <x:c r="J3363" s="185" t="n">
        <x:v>0</x:v>
      </x:c>
      <x:c r="K3363" s="289" t="n">
        <x:v>2962546</x:v>
      </x:c>
    </x:row>
    <x:row r="3364" s="117" customFormat="1" hidden="1">
      <x:c r="A3364" s="184" t="inlineStr">
        <x:is>
          <x:t xml:space="preserve">TERRENO00161</x:t>
        </x:is>
      </x:c>
      <x:c r="B3364" s="184" t="inlineStr">
        <x:is>
          <x:t xml:space="preserve">EDP Nª 29 ABR25 CONTRATO 4600021624 HES 1002895446</x:t>
        </x:is>
      </x:c>
      <x:c r="C3364" s="184" t="n">
        <x:v>0</x:v>
      </x:c>
      <x:c r="D3364" s="184" t="n">
        <x:v>0</x:v>
      </x:c>
      <x:c r="E3364" s="184" t="n">
        <x:v>0</x:v>
      </x:c>
      <x:c r="F3364" s="184" t="n">
        <x:v>0</x:v>
      </x:c>
      <x:c r="G3364" s="184" t="n">
        <x:v>0</x:v>
      </x:c>
      <x:c r="H3364" s="193" t="n">
        <x:v>0</x:v>
      </x:c>
      <x:c r="I3364" s="185" t="n">
        <x:v>0</x:v>
      </x:c>
      <x:c r="J3364" s="185" t="n">
        <x:v>0</x:v>
      </x:c>
      <x:c r="K3364" s="289" t="n">
        <x:v>11427710</x:v>
      </x:c>
    </x:row>
    <x:row r="3365" s="117" customFormat="1" hidden="1">
      <x:c r="A3365" s="184" t="inlineStr">
        <x:is>
          <x:t xml:space="preserve">TERRENO00162</x:t>
        </x:is>
      </x:c>
      <x:c r="B3365" s="184" t="inlineStr">
        <x:is>
          <x:t xml:space="preserve">edp n° 2 MAY25 CONTRATO 4500028024 HES 1002900183</x:t>
        </x:is>
      </x:c>
      <x:c r="C3365" s="184" t="n">
        <x:v>0</x:v>
      </x:c>
      <x:c r="D3365" s="184" t="n">
        <x:v>0</x:v>
      </x:c>
      <x:c r="E3365" s="184" t="n">
        <x:v>0</x:v>
      </x:c>
      <x:c r="F3365" s="184" t="n">
        <x:v>0</x:v>
      </x:c>
      <x:c r="G3365" s="184" t="n">
        <x:v>0</x:v>
      </x:c>
      <x:c r="H3365" s="193" t="n">
        <x:v>0</x:v>
      </x:c>
      <x:c r="I3365" s="185" t="n">
        <x:v>0</x:v>
      </x:c>
      <x:c r="J3365" s="185" t="n">
        <x:v>0</x:v>
      </x:c>
      <x:c r="K3365" s="289" t="n">
        <x:v>2181027</x:v>
      </x:c>
    </x:row>
    <x:row r="3366" s="117" customFormat="1" hidden="1">
      <x:c r="A3366" s="184" t="inlineStr">
        <x:is>
          <x:t xml:space="preserve">TERRENO00163</x:t>
        </x:is>
      </x:c>
      <x:c r="B3366" s="184" t="inlineStr">
        <x:is>
          <x:t xml:space="preserve">EDP N° 17(PARCIAL)CONTRATO 4600029485/4502230807 HES 1002442966 CHAGRES</x:t>
        </x:is>
      </x:c>
      <x:c r="C3366" s="184" t="n">
        <x:v>0</x:v>
      </x:c>
      <x:c r="D3366" s="184" t="n">
        <x:v>0</x:v>
      </x:c>
      <x:c r="E3366" s="184" t="n">
        <x:v>0</x:v>
      </x:c>
      <x:c r="F3366" s="184" t="n">
        <x:v>0</x:v>
      </x:c>
      <x:c r="G3366" s="184" t="n">
        <x:v>0</x:v>
      </x:c>
      <x:c r="H3366" s="193" t="n">
        <x:v>0</x:v>
      </x:c>
      <x:c r="I3366" s="185" t="n">
        <x:v>0</x:v>
      </x:c>
      <x:c r="J3366" s="185" t="n">
        <x:v>0</x:v>
      </x:c>
      <x:c r="K3366" s="289" t="n">
        <x:v>5365323</x:v>
      </x:c>
    </x:row>
    <x:row r="3367" s="117" customFormat="1" hidden="1">
      <x:c r="A3367" s="184" t="inlineStr">
        <x:is>
          <x:t xml:space="preserve">TERRENO00164</x:t>
        </x:is>
      </x:c>
      <x:c r="B3367" s="184" t="inlineStr">
        <x:is>
          <x:t xml:space="preserve">EDP N° 6 ABR25 CONTRATO 4600024815 HES 10028994364-370 OC 4502399167</x:t>
        </x:is>
      </x:c>
      <x:c r="C3367" s="184" t="n">
        <x:v>0</x:v>
      </x:c>
      <x:c r="D3367" s="184" t="n">
        <x:v>0</x:v>
      </x:c>
      <x:c r="E3367" s="184" t="n">
        <x:v>0</x:v>
      </x:c>
      <x:c r="F3367" s="184" t="n">
        <x:v>0</x:v>
      </x:c>
      <x:c r="G3367" s="184" t="n">
        <x:v>0</x:v>
      </x:c>
      <x:c r="H3367" s="193" t="n">
        <x:v>0</x:v>
      </x:c>
      <x:c r="I3367" s="185" t="n">
        <x:v>0</x:v>
      </x:c>
      <x:c r="J3367" s="185" t="n">
        <x:v>0</x:v>
      </x:c>
      <x:c r="K3367" s="289" t="n">
        <x:v>44867181</x:v>
      </x:c>
    </x:row>
    <x:row r="3368" s="117" customFormat="1" hidden="1">
      <x:c r="A3368" s="184" t="inlineStr">
        <x:is>
          <x:t xml:space="preserve">TERRENO00165</x:t>
        </x:is>
      </x:c>
      <x:c r="B3368" s="184" t="inlineStr">
        <x:is>
          <x:t xml:space="preserve">EDP N°30 MAY25 CONTRATO 4600021614 HES 1002907742 OC 4502417405</x:t>
        </x:is>
      </x:c>
      <x:c r="C3368" s="184" t="n">
        <x:v>0</x:v>
      </x:c>
      <x:c r="D3368" s="184" t="n">
        <x:v>0</x:v>
      </x:c>
      <x:c r="E3368" s="184" t="n">
        <x:v>0</x:v>
      </x:c>
      <x:c r="F3368" s="184" t="n">
        <x:v>0</x:v>
      </x:c>
      <x:c r="G3368" s="184" t="n">
        <x:v>0</x:v>
      </x:c>
      <x:c r="H3368" s="193" t="n">
        <x:v>0</x:v>
      </x:c>
      <x:c r="I3368" s="185" t="n">
        <x:v>0</x:v>
      </x:c>
      <x:c r="J3368" s="185" t="n">
        <x:v>0</x:v>
      </x:c>
      <x:c r="K3368" s="289" t="n">
        <x:v>23698266</x:v>
      </x:c>
    </x:row>
    <x:row r="3369" s="117" customFormat="1" hidden="1">
      <x:c r="A3369" s="184" t="inlineStr">
        <x:is>
          <x:t xml:space="preserve">TERRENO00166</x:t>
        </x:is>
      </x:c>
      <x:c r="B3369" s="184" t="inlineStr">
        <x:is>
          <x:t xml:space="preserve">EDP N° 7 JUN25 CONTRATO 4600024815 HES 1002908381 OC 4502418025</x:t>
        </x:is>
      </x:c>
      <x:c r="C3369" s="184" t="n">
        <x:v>0</x:v>
      </x:c>
      <x:c r="D3369" s="184" t="n">
        <x:v>0</x:v>
      </x:c>
      <x:c r="E3369" s="184" t="n">
        <x:v>0</x:v>
      </x:c>
      <x:c r="F3369" s="184" t="n">
        <x:v>0</x:v>
      </x:c>
      <x:c r="G3369" s="184" t="n">
        <x:v>0</x:v>
      </x:c>
      <x:c r="H3369" s="193" t="n">
        <x:v>0</x:v>
      </x:c>
      <x:c r="I3369" s="185" t="n">
        <x:v>0</x:v>
      </x:c>
      <x:c r="J3369" s="185" t="n">
        <x:v>0</x:v>
      </x:c>
      <x:c r="K3369" s="289" t="n">
        <x:v>61355414</x:v>
      </x:c>
    </x:row>
    <x:row r="3370" s="117" customFormat="1" hidden="1">
      <x:c r="A3370" s="184" t="inlineStr">
        <x:is>
          <x:t xml:space="preserve">TERRENO00167</x:t>
        </x:is>
      </x:c>
      <x:c r="B3370" s="184" t="inlineStr">
        <x:is>
          <x:t xml:space="preserve">EDP N° 19(PARCIAL)CONTRATO 4600029485/4502230807 HES 1002535371CHAGRES</x:t>
        </x:is>
      </x:c>
      <x:c r="C3370" s="184" t="n">
        <x:v>0</x:v>
      </x:c>
      <x:c r="D3370" s="184" t="n">
        <x:v>0</x:v>
      </x:c>
      <x:c r="E3370" s="184" t="n">
        <x:v>0</x:v>
      </x:c>
      <x:c r="F3370" s="184" t="n">
        <x:v>0</x:v>
      </x:c>
      <x:c r="G3370" s="184" t="n">
        <x:v>0</x:v>
      </x:c>
      <x:c r="H3370" s="193" t="n">
        <x:v>0</x:v>
      </x:c>
      <x:c r="I3370" s="185" t="n">
        <x:v>0</x:v>
      </x:c>
      <x:c r="J3370" s="185" t="n">
        <x:v>0</x:v>
      </x:c>
      <x:c r="K3370" s="289" t="n">
        <x:v>9479499</x:v>
      </x:c>
    </x:row>
    <x:row r="3371" s="117" customFormat="1" hidden="1">
      <x:c r="A3371" s="184" t="inlineStr">
        <x:is>
          <x:t xml:space="preserve">TERRENO00168</x:t>
        </x:is>
      </x:c>
      <x:c r="B3371" s="184" t="inlineStr">
        <x:is>
          <x:t xml:space="preserve">EDP Nª 31 JUN25 CONTRATO 4600021614 HES 1002928025</x:t>
        </x:is>
      </x:c>
      <x:c r="C3371" s="184" t="n">
        <x:v>0</x:v>
      </x:c>
      <x:c r="D3371" s="184" t="n">
        <x:v>0</x:v>
      </x:c>
      <x:c r="E3371" s="184" t="n">
        <x:v>0</x:v>
      </x:c>
      <x:c r="F3371" s="184" t="n">
        <x:v>0</x:v>
      </x:c>
      <x:c r="G3371" s="184" t="n">
        <x:v>0</x:v>
      </x:c>
      <x:c r="H3371" s="193" t="n">
        <x:v>0</x:v>
      </x:c>
      <x:c r="I3371" s="185" t="n">
        <x:v>0</x:v>
      </x:c>
      <x:c r="J3371" s="185" t="n">
        <x:v>0</x:v>
      </x:c>
      <x:c r="K3371" s="289" t="n">
        <x:v>25761930</x:v>
      </x:c>
    </x:row>
    <x:row r="3372" s="117" customFormat="1" hidden="1">
      <x:c r="A3372" s="184" t="inlineStr">
        <x:is>
          <x:t xml:space="preserve">TERRENO00169</x:t>
        </x:is>
      </x:c>
      <x:c r="B3372" s="184" t="inlineStr">
        <x:is>
          <x:t xml:space="preserve">EDP Nª 31 JUL25 CONTRATO 4600021614 HES 1002928074</x:t>
        </x:is>
      </x:c>
      <x:c r="C3372" s="184" t="n">
        <x:v>0</x:v>
      </x:c>
      <x:c r="D3372" s="184" t="n">
        <x:v>0</x:v>
      </x:c>
      <x:c r="E3372" s="184" t="n">
        <x:v>0</x:v>
      </x:c>
      <x:c r="F3372" s="184" t="n">
        <x:v>0</x:v>
      </x:c>
      <x:c r="G3372" s="184" t="n">
        <x:v>0</x:v>
      </x:c>
      <x:c r="H3372" s="193" t="n">
        <x:v>0</x:v>
      </x:c>
      <x:c r="I3372" s="185" t="n">
        <x:v>0</x:v>
      </x:c>
      <x:c r="J3372" s="185" t="n">
        <x:v>0</x:v>
      </x:c>
      <x:c r="K3372" s="289" t="n">
        <x:v>8994489</x:v>
      </x:c>
    </x:row>
    <x:row r="3373" s="117" customFormat="1" hidden="1">
      <x:c r="A3373" s="184" t="inlineStr">
        <x:is>
          <x:t xml:space="preserve">TERRENO00170</x:t>
        </x:is>
      </x:c>
      <x:c r="B3373" s="184" t="inlineStr">
        <x:is>
          <x:t xml:space="preserve">EDP Nª 3 JUL25 CONTRATO 4600024815  OC-4502442713 HES1002924266</x:t>
        </x:is>
      </x:c>
      <x:c r="C3373" s="184" t="n">
        <x:v>0</x:v>
      </x:c>
      <x:c r="D3373" s="184" t="n">
        <x:v>0</x:v>
      </x:c>
      <x:c r="E3373" s="184" t="n">
        <x:v>0</x:v>
      </x:c>
      <x:c r="F3373" s="184" t="n">
        <x:v>0</x:v>
      </x:c>
      <x:c r="G3373" s="184" t="n">
        <x:v>0</x:v>
      </x:c>
      <x:c r="H3373" s="193" t="n">
        <x:v>0</x:v>
      </x:c>
      <x:c r="I3373" s="185" t="n">
        <x:v>0</x:v>
      </x:c>
      <x:c r="J3373" s="185" t="n">
        <x:v>0</x:v>
      </x:c>
      <x:c r="K3373" s="289" t="n">
        <x:v>2958788</x:v>
      </x:c>
    </x:row>
    <x:row r="3374" s="117" customFormat="1" hidden="1">
      <x:c r="A3374" s="184" t="inlineStr">
        <x:is>
          <x:t xml:space="preserve">TERRENO00171</x:t>
        </x:is>
      </x:c>
      <x:c r="B3374" s="184" t="inlineStr">
        <x:is>
          <x:t xml:space="preserve">EDP N° 20 OC SAP 460029485 HES 1002535435 ANGLO</x:t>
        </x:is>
      </x:c>
      <x:c r="C3374" s="184" t="n">
        <x:v>0</x:v>
      </x:c>
      <x:c r="D3374" s="184" t="n">
        <x:v>0</x:v>
      </x:c>
      <x:c r="E3374" s="184" t="n">
        <x:v>0</x:v>
      </x:c>
      <x:c r="F3374" s="184" t="n">
        <x:v>0</x:v>
      </x:c>
      <x:c r="G3374" s="184" t="n">
        <x:v>0</x:v>
      </x:c>
      <x:c r="H3374" s="193" t="n">
        <x:v>0</x:v>
      </x:c>
      <x:c r="I3374" s="185" t="n">
        <x:v>0</x:v>
      </x:c>
      <x:c r="J3374" s="185" t="n">
        <x:v>0</x:v>
      </x:c>
      <x:c r="K3374" s="289" t="n">
        <x:v>12984056</x:v>
      </x:c>
    </x:row>
    <x:row r="3375" s="117" customFormat="1" hidden="1">
      <x:c r="A3375" s="184" t="inlineStr">
        <x:is>
          <x:t xml:space="preserve">TERRENO00172</x:t>
        </x:is>
      </x:c>
      <x:c r="B3375" s="184" t="inlineStr">
        <x:is>
          <x:t xml:space="preserve">SERV.MONTAJE SPOOL Y REP.BQ CONT.4600030062 SALVADOR</x:t>
        </x:is>
      </x:c>
      <x:c r="C3375" s="184" t="n">
        <x:v>0</x:v>
      </x:c>
      <x:c r="D3375" s="184" t="n">
        <x:v>0</x:v>
      </x:c>
      <x:c r="E3375" s="184" t="n">
        <x:v>0</x:v>
      </x:c>
      <x:c r="F3375" s="184" t="n">
        <x:v>0</x:v>
      </x:c>
      <x:c r="G3375" s="184" t="n">
        <x:v>0</x:v>
      </x:c>
      <x:c r="H3375" s="193" t="n">
        <x:v>0</x:v>
      </x:c>
      <x:c r="I3375" s="185" t="n">
        <x:v>0</x:v>
      </x:c>
      <x:c r="J3375" s="185" t="n">
        <x:v>0</x:v>
      </x:c>
      <x:c r="K3375" s="289" t="n">
        <x:v>14022485</x:v>
      </x:c>
    </x:row>
    <x:row r="3376" s="117" customFormat="1" hidden="1">
      <x:c r="A3376" s="184" t="inlineStr">
        <x:is>
          <x:t xml:space="preserve">TERRENO00173</x:t>
        </x:is>
      </x:c>
      <x:c r="B3376" s="184" t="inlineStr">
        <x:is>
          <x:t xml:space="preserve">EDP Nª 9 AGO25 CONTRATO 4600024815 HES 1002932637</x:t>
        </x:is>
      </x:c>
      <x:c r="C3376" s="184" t="n">
        <x:v>0</x:v>
      </x:c>
      <x:c r="D3376" s="184" t="n">
        <x:v>0</x:v>
      </x:c>
      <x:c r="E3376" s="184" t="n">
        <x:v>0</x:v>
      </x:c>
      <x:c r="F3376" s="184" t="n">
        <x:v>0</x:v>
      </x:c>
      <x:c r="G3376" s="184" t="n">
        <x:v>0</x:v>
      </x:c>
      <x:c r="H3376" s="193" t="n">
        <x:v>0</x:v>
      </x:c>
      <x:c r="I3376" s="185" t="n">
        <x:v>0</x:v>
      </x:c>
      <x:c r="J3376" s="185" t="n">
        <x:v>0</x:v>
      </x:c>
      <x:c r="K3376" s="289" t="n">
        <x:v>36563403</x:v>
      </x:c>
    </x:row>
    <x:row r="3377" s="117" customFormat="1" hidden="1">
      <x:c r="A3377" s="184" t="inlineStr">
        <x:is>
          <x:t xml:space="preserve">TERRENO00174</x:t>
        </x:is>
      </x:c>
      <x:c r="B3377" s="184" t="inlineStr">
        <x:is>
          <x:t xml:space="preserve">EDP N° 21 OC SAP 460029485 HES 1002585580 ANGLOAMERICAN SUR</x:t>
        </x:is>
      </x:c>
      <x:c r="C3377" s="184" t="n">
        <x:v>0</x:v>
      </x:c>
      <x:c r="D3377" s="184" t="n">
        <x:v>0</x:v>
      </x:c>
      <x:c r="E3377" s="184" t="n">
        <x:v>0</x:v>
      </x:c>
      <x:c r="F3377" s="184" t="n">
        <x:v>0</x:v>
      </x:c>
      <x:c r="G3377" s="184" t="n">
        <x:v>0</x:v>
      </x:c>
      <x:c r="H3377" s="193" t="n">
        <x:v>0</x:v>
      </x:c>
      <x:c r="I3377" s="185" t="n">
        <x:v>0</x:v>
      </x:c>
      <x:c r="J3377" s="185" t="n">
        <x:v>0</x:v>
      </x:c>
      <x:c r="K3377" s="289" t="n">
        <x:v>19986527</x:v>
      </x:c>
    </x:row>
    <x:row r="3378" s="117" customFormat="1" hidden="1">
      <x:c r="A3378" s="184" t="inlineStr">
        <x:is>
          <x:t xml:space="preserve">TERRENO00175</x:t>
        </x:is>
      </x:c>
      <x:c r="B3378" s="184" t="inlineStr">
        <x:is>
          <x:t xml:space="preserve">EDP Nª 10 SEP25 CONTRATO 4600024815 HES 1002932331 OC-4502454457</x:t>
        </x:is>
      </x:c>
      <x:c r="C3378" s="184" t="n">
        <x:v>0</x:v>
      </x:c>
      <x:c r="D3378" s="184" t="n">
        <x:v>0</x:v>
      </x:c>
      <x:c r="E3378" s="184" t="n">
        <x:v>0</x:v>
      </x:c>
      <x:c r="F3378" s="184" t="n">
        <x:v>0</x:v>
      </x:c>
      <x:c r="G3378" s="184" t="n">
        <x:v>0</x:v>
      </x:c>
      <x:c r="H3378" s="193" t="n">
        <x:v>0</x:v>
      </x:c>
      <x:c r="I3378" s="185" t="n">
        <x:v>0</x:v>
      </x:c>
      <x:c r="J3378" s="185" t="n">
        <x:v>0</x:v>
      </x:c>
      <x:c r="K3378" s="289" t="n">
        <x:v>28808417</x:v>
      </x:c>
    </x:row>
    <x:row r="3379" s="117" customFormat="1" hidden="1">
      <x:c r="A3379" s="184" t="inlineStr">
        <x:is>
          <x:t xml:space="preserve">TERRENO00176</x:t>
        </x:is>
      </x:c>
      <x:c r="B3379" s="184" t="inlineStr">
        <x:is>
          <x:t xml:space="preserve">EDP Nª 10 SEP25 CONTRATO 4600024815 HES 1002932329 OC-4502454457</x:t>
        </x:is>
      </x:c>
      <x:c r="C3379" s="184" t="n">
        <x:v>0</x:v>
      </x:c>
      <x:c r="D3379" s="184" t="n">
        <x:v>0</x:v>
      </x:c>
      <x:c r="E3379" s="184" t="n">
        <x:v>0</x:v>
      </x:c>
      <x:c r="F3379" s="184" t="n">
        <x:v>0</x:v>
      </x:c>
      <x:c r="G3379" s="184" t="n">
        <x:v>0</x:v>
      </x:c>
      <x:c r="H3379" s="193" t="n">
        <x:v>0</x:v>
      </x:c>
      <x:c r="I3379" s="185" t="n">
        <x:v>0</x:v>
      </x:c>
      <x:c r="J3379" s="185" t="n">
        <x:v>0</x:v>
      </x:c>
      <x:c r="K3379" s="289" t="n">
        <x:v>24625507</x:v>
      </x:c>
    </x:row>
    <x:row r="3380" s="117" customFormat="1" hidden="1">
      <x:c r="A3380" s="184" t="inlineStr">
        <x:is>
          <x:t xml:space="preserve">TERRENO00177</x:t>
        </x:is>
      </x:c>
      <x:c r="B3380" s="184" t="inlineStr">
        <x:is>
          <x:t xml:space="preserve">EDP Nª 10 SEP25 CONTRATO 4600024815 HES 1002932330 OC-4502454457</x:t>
        </x:is>
      </x:c>
      <x:c r="C3380" s="184" t="n">
        <x:v>0</x:v>
      </x:c>
      <x:c r="D3380" s="184" t="n">
        <x:v>0</x:v>
      </x:c>
      <x:c r="E3380" s="184" t="n">
        <x:v>0</x:v>
      </x:c>
      <x:c r="F3380" s="184" t="n">
        <x:v>0</x:v>
      </x:c>
      <x:c r="G3380" s="184" t="n">
        <x:v>0</x:v>
      </x:c>
      <x:c r="H3380" s="193" t="n">
        <x:v>0</x:v>
      </x:c>
      <x:c r="I3380" s="185" t="n">
        <x:v>0</x:v>
      </x:c>
      <x:c r="J3380" s="185" t="n">
        <x:v>0</x:v>
      </x:c>
      <x:c r="K3380" s="289" t="n">
        <x:v>65830060</x:v>
      </x:c>
    </x:row>
    <x:row r="3381" s="117" customFormat="1" hidden="1">
      <x:c r="A3381" s="184" t="inlineStr">
        <x:is>
          <x:t xml:space="preserve">TERRENO00178</x:t>
        </x:is>
      </x:c>
      <x:c r="B3381" s="184" t="inlineStr">
        <x:is>
          <x:t xml:space="preserve">EDP Nª 10-1 SEP25 CONTRATO 4600024815 HES 1002939115 OC 4502465563</x:t>
        </x:is>
      </x:c>
      <x:c r="C3381" s="184" t="n">
        <x:v>0</x:v>
      </x:c>
      <x:c r="D3381" s="184" t="n">
        <x:v>0</x:v>
      </x:c>
      <x:c r="E3381" s="184" t="n">
        <x:v>0</x:v>
      </x:c>
      <x:c r="F3381" s="184" t="n">
        <x:v>0</x:v>
      </x:c>
      <x:c r="G3381" s="184" t="n">
        <x:v>0</x:v>
      </x:c>
      <x:c r="H3381" s="193" t="n">
        <x:v>0</x:v>
      </x:c>
      <x:c r="I3381" s="185" t="n">
        <x:v>0</x:v>
      </x:c>
      <x:c r="J3381" s="185" t="n">
        <x:v>0</x:v>
      </x:c>
      <x:c r="K3381" s="289" t="n">
        <x:v>19643532</x:v>
      </x:c>
    </x:row>
    <x:row r="3382" s="117" customFormat="1" hidden="1">
      <x:c r="A3382" s="184" t="inlineStr">
        <x:is>
          <x:t xml:space="preserve">TERRENO00179</x:t>
        </x:is>
      </x:c>
      <x:c r="B3382" s="184" t="inlineStr">
        <x:is>
          <x:t xml:space="preserve">EDP Nª 10-1 SEP25 CONTRATO 4600024815 HES 1002939116 OC 4502465563</x:t>
        </x:is>
      </x:c>
      <x:c r="C3382" s="184" t="n">
        <x:v>0</x:v>
      </x:c>
      <x:c r="D3382" s="184" t="n">
        <x:v>0</x:v>
      </x:c>
      <x:c r="E3382" s="184" t="n">
        <x:v>0</x:v>
      </x:c>
      <x:c r="F3382" s="184" t="n">
        <x:v>0</x:v>
      </x:c>
      <x:c r="G3382" s="184" t="n">
        <x:v>0</x:v>
      </x:c>
      <x:c r="H3382" s="193" t="n">
        <x:v>0</x:v>
      </x:c>
      <x:c r="I3382" s="185" t="n">
        <x:v>0</x:v>
      </x:c>
      <x:c r="J3382" s="185" t="n">
        <x:v>0</x:v>
      </x:c>
      <x:c r="K3382" s="289" t="n">
        <x:v>32566081</x:v>
      </x:c>
    </x:row>
    <x:row r="3383" s="117" customFormat="1" hidden="1">
      <x:c r="A3383" s="184" t="inlineStr">
        <x:is>
          <x:t xml:space="preserve">TERRENO00180</x:t>
        </x:is>
      </x:c>
      <x:c r="B3383" s="184" t="inlineStr">
        <x:is>
          <x:t xml:space="preserve">EDP Nª 1 SERVICIO IONTERVENCION EN STACK ENAP REF BIO BIO</x:t>
        </x:is>
      </x:c>
      <x:c r="C3383" s="184" t="n">
        <x:v>0</x:v>
      </x:c>
      <x:c r="D3383" s="184" t="n">
        <x:v>0</x:v>
      </x:c>
      <x:c r="E3383" s="184" t="n">
        <x:v>0</x:v>
      </x:c>
      <x:c r="F3383" s="184" t="n">
        <x:v>0</x:v>
      </x:c>
      <x:c r="G3383" s="184" t="n">
        <x:v>0</x:v>
      </x:c>
      <x:c r="H3383" s="193" t="n">
        <x:v>0</x:v>
      </x:c>
      <x:c r="I3383" s="185" t="n">
        <x:v>0</x:v>
      </x:c>
      <x:c r="J3383" s="185" t="n">
        <x:v>0</x:v>
      </x:c>
      <x:c r="K3383" s="289" t="n">
        <x:v>45472675</x:v>
      </x:c>
    </x:row>
    <x:row r="3384" s="117" customFormat="1" hidden="1">
      <x:c r="A3384" s="184" t="inlineStr">
        <x:is>
          <x:t xml:space="preserve">TERRENO00181</x:t>
        </x:is>
      </x:c>
      <x:c r="B3384" s="184" t="inlineStr">
        <x:is>
          <x:t xml:space="preserve">EDP N° 03 CONTRATO 4600029959 HES 1002949209 OC 4502472689</x:t>
        </x:is>
      </x:c>
      <x:c r="C3384" s="184" t="n">
        <x:v>0</x:v>
      </x:c>
      <x:c r="D3384" s="184" t="n">
        <x:v>0</x:v>
      </x:c>
      <x:c r="E3384" s="184" t="n">
        <x:v>0</x:v>
      </x:c>
      <x:c r="F3384" s="184" t="n">
        <x:v>0</x:v>
      </x:c>
      <x:c r="G3384" s="184" t="n">
        <x:v>0</x:v>
      </x:c>
      <x:c r="H3384" s="193" t="n">
        <x:v>0</x:v>
      </x:c>
      <x:c r="I3384" s="185" t="n">
        <x:v>0</x:v>
      </x:c>
      <x:c r="J3384" s="185" t="n">
        <x:v>0</x:v>
      </x:c>
      <x:c r="K3384" s="289" t="n">
        <x:v>14395228</x:v>
      </x:c>
    </x:row>
    <x:row r="3385" s="117" customFormat="1" hidden="1">
      <x:c r="A3385" s="184" t="inlineStr">
        <x:is>
          <x:t xml:space="preserve">TERRENO00182</x:t>
        </x:is>
      </x:c>
      <x:c r="B3385" s="184" t="inlineStr">
        <x:is>
          <x:t xml:space="preserve">EDP N° 02 CONTRATO 4600029959 HES 1002949208 OC 4502472703</x:t>
        </x:is>
      </x:c>
      <x:c r="C3385" s="184" t="n">
        <x:v>0</x:v>
      </x:c>
      <x:c r="D3385" s="184" t="n">
        <x:v>0</x:v>
      </x:c>
      <x:c r="E3385" s="184" t="n">
        <x:v>0</x:v>
      </x:c>
      <x:c r="F3385" s="184" t="n">
        <x:v>0</x:v>
      </x:c>
      <x:c r="G3385" s="184" t="n">
        <x:v>0</x:v>
      </x:c>
      <x:c r="H3385" s="193" t="n">
        <x:v>0</x:v>
      </x:c>
      <x:c r="I3385" s="185" t="n">
        <x:v>0</x:v>
      </x:c>
      <x:c r="J3385" s="185" t="n">
        <x:v>0</x:v>
      </x:c>
      <x:c r="K3385" s="289" t="n">
        <x:v>14395228</x:v>
      </x:c>
    </x:row>
    <x:row r="3386" s="117" customFormat="1" hidden="1">
      <x:c r="A3386" s="184" t="inlineStr">
        <x:is>
          <x:t xml:space="preserve">TERRENO00183</x:t>
        </x:is>
      </x:c>
      <x:c r="B3386" s="184" t="inlineStr">
        <x:is>
          <x:t xml:space="preserve">EDP N° 2 CONTRATO 4600030062 HES1002950276 OC 4502478450</x:t>
        </x:is>
      </x:c>
      <x:c r="C3386" s="184" t="n">
        <x:v>0</x:v>
      </x:c>
      <x:c r="D3386" s="184" t="n">
        <x:v>0</x:v>
      </x:c>
      <x:c r="E3386" s="184" t="n">
        <x:v>0</x:v>
      </x:c>
      <x:c r="F3386" s="184" t="n">
        <x:v>0</x:v>
      </x:c>
      <x:c r="G3386" s="184" t="n">
        <x:v>0</x:v>
      </x:c>
      <x:c r="H3386" s="193" t="n">
        <x:v>0</x:v>
      </x:c>
      <x:c r="I3386" s="185" t="n">
        <x:v>0</x:v>
      </x:c>
      <x:c r="J3386" s="185" t="n">
        <x:v>0</x:v>
      </x:c>
      <x:c r="K3386" s="289" t="n">
        <x:v>54010214</x:v>
      </x:c>
    </x:row>
    <x:row r="3387" s="117" customFormat="1" hidden="1">
      <x:c r="A3387" s="184" t="inlineStr">
        <x:is>
          <x:t xml:space="preserve">TERRENO00184</x:t>
        </x:is>
      </x:c>
      <x:c r="B3387" s="184" t="inlineStr">
        <x:is>
          <x:t xml:space="preserve">EDP N° 2 CONTRATO 4600030062 HES 1002950275 OC 4502478450</x:t>
        </x:is>
      </x:c>
      <x:c r="C3387" s="184" t="n">
        <x:v>0</x:v>
      </x:c>
      <x:c r="D3387" s="184" t="n">
        <x:v>0</x:v>
      </x:c>
      <x:c r="E3387" s="184" t="n">
        <x:v>0</x:v>
      </x:c>
      <x:c r="F3387" s="184" t="n">
        <x:v>0</x:v>
      </x:c>
      <x:c r="G3387" s="184" t="n">
        <x:v>0</x:v>
      </x:c>
      <x:c r="H3387" s="193" t="n">
        <x:v>0</x:v>
      </x:c>
      <x:c r="I3387" s="185" t="n">
        <x:v>0</x:v>
      </x:c>
      <x:c r="J3387" s="185" t="n">
        <x:v>0</x:v>
      </x:c>
      <x:c r="K3387" s="289" t="n">
        <x:v>61391404</x:v>
      </x:c>
    </x:row>
    <x:row r="3388" s="117" customFormat="1" hidden="1">
      <x:c r="A3388" s="184" t="inlineStr">
        <x:is>
          <x:t xml:space="preserve">TERRENO00185</x:t>
        </x:is>
      </x:c>
      <x:c r="B3388" s="184" t="inlineStr">
        <x:is>
          <x:t xml:space="preserve">EDP N° 2 CONTRATO 4600030062 HES 1002950278 OC 4502478450</x:t>
        </x:is>
      </x:c>
      <x:c r="C3388" s="184" t="n">
        <x:v>0</x:v>
      </x:c>
      <x:c r="D3388" s="184" t="n">
        <x:v>0</x:v>
      </x:c>
      <x:c r="E3388" s="184" t="n">
        <x:v>0</x:v>
      </x:c>
      <x:c r="F3388" s="184" t="n">
        <x:v>0</x:v>
      </x:c>
      <x:c r="G3388" s="184" t="n">
        <x:v>0</x:v>
      </x:c>
      <x:c r="H3388" s="193" t="n">
        <x:v>0</x:v>
      </x:c>
      <x:c r="I3388" s="185" t="n">
        <x:v>0</x:v>
      </x:c>
      <x:c r="J3388" s="185" t="n">
        <x:v>0</x:v>
      </x:c>
      <x:c r="K3388" s="289" t="n">
        <x:v>603530155</x:v>
      </x:c>
    </x:row>
    <x:row r="3389" s="117" customFormat="1" hidden="1">
      <x:c r="A3389" s="184" t="inlineStr">
        <x:is>
          <x:t xml:space="preserve">TERRENO00271</x:t>
        </x:is>
      </x:c>
      <x:c r="B3389" s="184" t="inlineStr">
        <x:is>
          <x:t xml:space="preserve">ESTADO DE PAGO N° 4 CONTRATO  SAP 4600029485   REPARACION EQUIPOS SUMINISTRO HES1001414909</x:t>
        </x:is>
      </x:c>
      <x:c r="C3389" s="184" t="n">
        <x:v>0</x:v>
      </x:c>
      <x:c r="D3389" s="184" t="n">
        <x:v>0</x:v>
      </x:c>
      <x:c r="E3389" s="184" t="n">
        <x:v>0</x:v>
      </x:c>
      <x:c r="F3389" s="184" t="n">
        <x:v>0</x:v>
      </x:c>
      <x:c r="G3389" s="184" t="n">
        <x:v>0</x:v>
      </x:c>
      <x:c r="H3389" s="193" t="n">
        <x:v>0</x:v>
      </x:c>
      <x:c r="I3389" s="185" t="n">
        <x:v>0</x:v>
      </x:c>
      <x:c r="J3389" s="185" t="n">
        <x:v>0</x:v>
      </x:c>
      <x:c r="K3389" s="289" t="n">
        <x:v>41553068</x:v>
      </x:c>
    </x:row>
    <x:row r="3390" s="117" customFormat="1" hidden="1">
      <x:c r="A3390" s="184" t="inlineStr">
        <x:is>
          <x:t xml:space="preserve">TERRENO00272</x:t>
        </x:is>
      </x:c>
      <x:c r="B3390" s="184" t="inlineStr">
        <x:is>
          <x:t xml:space="preserve">REFUERZO UNIONES ANG1 ANGAMOS EP Nª2</x:t>
        </x:is>
      </x:c>
      <x:c r="C3390" s="184" t="n">
        <x:v>0</x:v>
      </x:c>
      <x:c r="D3390" s="184" t="n">
        <x:v>0</x:v>
      </x:c>
      <x:c r="E3390" s="184" t="n">
        <x:v>0</x:v>
      </x:c>
      <x:c r="F3390" s="184" t="n">
        <x:v>0</x:v>
      </x:c>
      <x:c r="G3390" s="184" t="n">
        <x:v>0</x:v>
      </x:c>
      <x:c r="H3390" s="193" t="n">
        <x:v>0</x:v>
      </x:c>
      <x:c r="I3390" s="185" t="n">
        <x:v>0</x:v>
      </x:c>
      <x:c r="J3390" s="185" t="n">
        <x:v>0</x:v>
      </x:c>
      <x:c r="K3390" s="289" t="n">
        <x:v>15655024</x:v>
      </x:c>
    </x:row>
    <x:row r="3391" s="117" customFormat="1" hidden="1">
      <x:c r="A3391" s="184" t="inlineStr">
        <x:is>
          <x:t xml:space="preserve">TERRENO00273</x:t>
        </x:is>
      </x:c>
      <x:c r="B3391" s="184" t="inlineStr">
        <x:is>
          <x:t xml:space="preserve">RIGIDIZACION DE UNION TUBERIA ANGAMOS HES</x:t>
        </x:is>
      </x:c>
      <x:c r="C3391" s="184" t="n">
        <x:v>0</x:v>
      </x:c>
      <x:c r="D3391" s="184" t="n">
        <x:v>0</x:v>
      </x:c>
      <x:c r="E3391" s="184" t="n">
        <x:v>0</x:v>
      </x:c>
      <x:c r="F3391" s="184" t="n">
        <x:v>0</x:v>
      </x:c>
      <x:c r="G3391" s="184" t="n">
        <x:v>0</x:v>
      </x:c>
      <x:c r="H3391" s="193" t="n">
        <x:v>0</x:v>
      </x:c>
      <x:c r="I3391" s="185" t="n">
        <x:v>0</x:v>
      </x:c>
      <x:c r="J3391" s="185" t="n">
        <x:v>0</x:v>
      </x:c>
      <x:c r="K3391" s="289" t="n">
        <x:v>3092623</x:v>
      </x:c>
    </x:row>
    <x:row r="3392" s="117" customFormat="1" hidden="1">
      <x:c r="A3392" s="184" t="inlineStr">
        <x:is>
          <x:t xml:space="preserve">TERRENO00274</x:t>
        </x:is>
      </x:c>
      <x:c r="B3392" s="184" t="inlineStr">
        <x:is>
          <x:t xml:space="preserve">SERV.REPARACION LINEA GRP ANGAMOS</x:t>
        </x:is>
      </x:c>
      <x:c r="C3392" s="184" t="n">
        <x:v>0</x:v>
      </x:c>
      <x:c r="D3392" s="184" t="n">
        <x:v>0</x:v>
      </x:c>
      <x:c r="E3392" s="184" t="n">
        <x:v>0</x:v>
      </x:c>
      <x:c r="F3392" s="184" t="n">
        <x:v>0</x:v>
      </x:c>
      <x:c r="G3392" s="184" t="n">
        <x:v>0</x:v>
      </x:c>
      <x:c r="H3392" s="193" t="n">
        <x:v>0</x:v>
      </x:c>
      <x:c r="I3392" s="185" t="n">
        <x:v>0</x:v>
      </x:c>
      <x:c r="J3392" s="185" t="n">
        <x:v>0</x:v>
      </x:c>
      <x:c r="K3392" s="289" t="n">
        <x:v>613563</x:v>
      </x:c>
    </x:row>
    <x:row r="3393" s="117" customFormat="1" hidden="1">
      <x:c r="A3393" s="184" t="inlineStr">
        <x:is>
          <x:t xml:space="preserve">TERRENO00275</x:t>
        </x:is>
      </x:c>
      <x:c r="B3393" s="184" t="inlineStr">
        <x:is>
          <x:t xml:space="preserve">ESTADO DE PAGO N° 5.1 CONTRATO SAP 4600029485 SUMINISTRO Y REP EQUIPO FRP Y PP HES 1001447584</x:t>
        </x:is>
      </x:c>
      <x:c r="C3393" s="184" t="n">
        <x:v>0</x:v>
      </x:c>
      <x:c r="D3393" s="184" t="n">
        <x:v>0</x:v>
      </x:c>
      <x:c r="E3393" s="184" t="n">
        <x:v>0</x:v>
      </x:c>
      <x:c r="F3393" s="184" t="n">
        <x:v>0</x:v>
      </x:c>
      <x:c r="G3393" s="184" t="n">
        <x:v>0</x:v>
      </x:c>
      <x:c r="H3393" s="193" t="n">
        <x:v>0</x:v>
      </x:c>
      <x:c r="I3393" s="185" t="n">
        <x:v>0</x:v>
      </x:c>
      <x:c r="J3393" s="185" t="n">
        <x:v>0</x:v>
      </x:c>
      <x:c r="K3393" s="289" t="n">
        <x:v>31777050</x:v>
      </x:c>
    </x:row>
    <x:row r="3394" s="117" customFormat="1" hidden="1">
      <x:c r="A3394" s="184" t="inlineStr">
        <x:is>
          <x:t xml:space="preserve">TERRENO00276</x:t>
        </x:is>
      </x:c>
      <x:c r="B3394" s="184" t="inlineStr">
        <x:is>
          <x:t xml:space="preserve">EDP N° 2 HES 1002703761 REPRAC.POLIMERICAS Y ANTIAC,VENTANAS</x:t>
        </x:is>
      </x:c>
      <x:c r="C3394" s="184" t="n">
        <x:v>0</x:v>
      </x:c>
      <x:c r="D3394" s="184" t="n">
        <x:v>0</x:v>
      </x:c>
      <x:c r="E3394" s="184" t="n">
        <x:v>0</x:v>
      </x:c>
      <x:c r="F3394" s="184" t="n">
        <x:v>0</x:v>
      </x:c>
      <x:c r="G3394" s="184" t="n">
        <x:v>0</x:v>
      </x:c>
      <x:c r="H3394" s="193" t="n">
        <x:v>0</x:v>
      </x:c>
      <x:c r="I3394" s="185" t="n">
        <x:v>0</x:v>
      </x:c>
      <x:c r="J3394" s="185" t="n">
        <x:v>0</x:v>
      </x:c>
      <x:c r="K3394" s="289" t="n">
        <x:v>44538881</x:v>
      </x:c>
    </x:row>
    <x:row r="3395" s="117" customFormat="1" hidden="1">
      <x:c r="A3395" s="184" t="inlineStr">
        <x:is>
          <x:t xml:space="preserve">TERRENO00277</x:t>
        </x:is>
      </x:c>
      <x:c r="B3395" s="184" t="inlineStr">
        <x:is>
          <x:t xml:space="preserve">EDP N° 1 HES 10026701032 REPARC.POLIMERICAS Y ANTIAC,VENTANAS</x:t>
        </x:is>
      </x:c>
      <x:c r="C3395" s="184" t="n">
        <x:v>0</x:v>
      </x:c>
      <x:c r="D3395" s="184" t="n">
        <x:v>0</x:v>
      </x:c>
      <x:c r="E3395" s="184" t="n">
        <x:v>0</x:v>
      </x:c>
      <x:c r="F3395" s="184" t="n">
        <x:v>0</x:v>
      </x:c>
      <x:c r="G3395" s="184" t="n">
        <x:v>0</x:v>
      </x:c>
      <x:c r="H3395" s="193" t="n">
        <x:v>0</x:v>
      </x:c>
      <x:c r="I3395" s="185" t="n">
        <x:v>0</x:v>
      </x:c>
      <x:c r="J3395" s="185" t="n">
        <x:v>0</x:v>
      </x:c>
      <x:c r="K3395" s="289" t="n">
        <x:v>23115679</x:v>
      </x:c>
    </x:row>
    <x:row r="3396" s="117" customFormat="1" hidden="1">
      <x:c r="A3396" s="184" t="inlineStr">
        <x:is>
          <x:t xml:space="preserve">TERRENO00278</x:t>
        </x:is>
      </x:c>
      <x:c r="B3396" s="184" t="inlineStr">
        <x:is>
          <x:t xml:space="preserve">ESTADO DE PAGO N° 7 CONTRATO 4600021614 HES 1002703135 SERV.MANT.FRP Y PP PLGS</x:t>
        </x:is>
      </x:c>
      <x:c r="C3396" s="184" t="n">
        <x:v>0</x:v>
      </x:c>
      <x:c r="D3396" s="184" t="n">
        <x:v>0</x:v>
      </x:c>
      <x:c r="E3396" s="184" t="n">
        <x:v>0</x:v>
      </x:c>
      <x:c r="F3396" s="184" t="n">
        <x:v>0</x:v>
      </x:c>
      <x:c r="G3396" s="184" t="n">
        <x:v>0</x:v>
      </x:c>
      <x:c r="H3396" s="193" t="n">
        <x:v>0</x:v>
      </x:c>
      <x:c r="I3396" s="185" t="n">
        <x:v>0</x:v>
      </x:c>
      <x:c r="J3396" s="185" t="n">
        <x:v>0</x:v>
      </x:c>
      <x:c r="K3396" s="289" t="n">
        <x:v>9551197</x:v>
      </x:c>
    </x:row>
    <x:row r="3397" s="117" customFormat="1" hidden="1">
      <x:c r="A3397" s="184" t="inlineStr">
        <x:is>
          <x:t xml:space="preserve">TERRENO00279</x:t>
        </x:is>
      </x:c>
      <x:c r="B3397" s="184" t="inlineStr">
        <x:is>
          <x:t xml:space="preserve">ESTADO DE PAGO N° 6 CONTRATO 4600021614 HES 1002700406 SERV.MANT.FRP Y PP PLGS</x:t>
        </x:is>
      </x:c>
      <x:c r="C3397" s="184" t="n">
        <x:v>0</x:v>
      </x:c>
      <x:c r="D3397" s="184" t="n">
        <x:v>0</x:v>
      </x:c>
      <x:c r="E3397" s="184" t="n">
        <x:v>0</x:v>
      </x:c>
      <x:c r="F3397" s="184" t="n">
        <x:v>0</x:v>
      </x:c>
      <x:c r="G3397" s="184" t="n">
        <x:v>0</x:v>
      </x:c>
      <x:c r="H3397" s="193" t="n">
        <x:v>0</x:v>
      </x:c>
      <x:c r="I3397" s="185" t="n">
        <x:v>0</x:v>
      </x:c>
      <x:c r="J3397" s="185" t="n">
        <x:v>0</x:v>
      </x:c>
      <x:c r="K3397" s="289" t="n">
        <x:v>18784526</x:v>
      </x:c>
    </x:row>
    <x:row r="3398" s="117" customFormat="1" hidden="1">
      <x:c r="A3398" s="184" t="inlineStr">
        <x:is>
          <x:t xml:space="preserve">TERRENO00280</x:t>
        </x:is>
      </x:c>
      <x:c r="B3398" s="184" t="inlineStr">
        <x:is>
          <x:t xml:space="preserve">POS 80 CANT 0,8 CLP  15.080.000 WE 5008913134 DOCUMENTACION TECNICA</x:t>
        </x:is>
      </x:c>
      <x:c r="C3398" s="184" t="n">
        <x:v>0</x:v>
      </x:c>
      <x:c r="D3398" s="184" t="n">
        <x:v>0</x:v>
      </x:c>
      <x:c r="E3398" s="184" t="n">
        <x:v>0</x:v>
      </x:c>
      <x:c r="F3398" s="184" t="n">
        <x:v>0</x:v>
      </x:c>
      <x:c r="G3398" s="184" t="n">
        <x:v>0</x:v>
      </x:c>
      <x:c r="H3398" s="193" t="n">
        <x:v>0</x:v>
      </x:c>
      <x:c r="I3398" s="185" t="n">
        <x:v>0</x:v>
      </x:c>
      <x:c r="J3398" s="185" t="n">
        <x:v>0</x:v>
      </x:c>
      <x:c r="K3398" s="289" t="n">
        <x:v>3600000</x:v>
      </x:c>
    </x:row>
    <x:row r="3399" s="117" customFormat="1" hidden="1">
      <x:c r="A3399" s="184" t="inlineStr">
        <x:is>
          <x:t xml:space="preserve">TERRENO00281</x:t>
        </x:is>
      </x:c>
      <x:c r="B3399" s="184" t="inlineStr">
        <x:is>
          <x:t xml:space="preserve">SERVICIO DE REPARACION BQ SALVADOR JCC1022-NV0002</x:t>
        </x:is>
      </x:c>
      <x:c r="C3399" s="184" t="n">
        <x:v>0</x:v>
      </x:c>
      <x:c r="D3399" s="184" t="n">
        <x:v>0</x:v>
      </x:c>
      <x:c r="E3399" s="184" t="n">
        <x:v>0</x:v>
      </x:c>
      <x:c r="F3399" s="184" t="n">
        <x:v>0</x:v>
      </x:c>
      <x:c r="G3399" s="184" t="n">
        <x:v>0</x:v>
      </x:c>
      <x:c r="H3399" s="193" t="n">
        <x:v>0</x:v>
      </x:c>
      <x:c r="I3399" s="185" t="n">
        <x:v>0</x:v>
      </x:c>
      <x:c r="J3399" s="185" t="n">
        <x:v>0</x:v>
      </x:c>
      <x:c r="K3399" s="289" t="n">
        <x:v>58042488</x:v>
      </x:c>
    </x:row>
    <x:row r="3400" s="117" customFormat="1" hidden="1">
      <x:c r="A3400" s="184" t="inlineStr">
        <x:is>
          <x:t xml:space="preserve">TERRENO00282</x:t>
        </x:is>
      </x:c>
      <x:c r="B3400" s="184" t="inlineStr">
        <x:is>
          <x:t xml:space="preserve">ESTADO DE PAGO N° 5 CONTRATO  SAP 4600029485   REPARACION EQUIPOS SUMINISTRO HES1001488882</x:t>
        </x:is>
      </x:c>
      <x:c r="C3400" s="184" t="n">
        <x:v>0</x:v>
      </x:c>
      <x:c r="D3400" s="184" t="n">
        <x:v>0</x:v>
      </x:c>
      <x:c r="E3400" s="184" t="n">
        <x:v>0</x:v>
      </x:c>
      <x:c r="F3400" s="184" t="n">
        <x:v>0</x:v>
      </x:c>
      <x:c r="G3400" s="184" t="n">
        <x:v>0</x:v>
      </x:c>
      <x:c r="H3400" s="193" t="n">
        <x:v>0</x:v>
      </x:c>
      <x:c r="I3400" s="185" t="n">
        <x:v>0</x:v>
      </x:c>
      <x:c r="J3400" s="185" t="n">
        <x:v>0</x:v>
      </x:c>
      <x:c r="K3400" s="289" t="n">
        <x:v>24757507</x:v>
      </x:c>
    </x:row>
    <x:row r="3401" s="117" customFormat="1" hidden="1">
      <x:c r="A3401" s="184" t="inlineStr">
        <x:is>
          <x:t xml:space="preserve">TERRENO00283</x:t>
        </x:is>
      </x:c>
      <x:c r="B3401" s="184" t="inlineStr">
        <x:is>
          <x:t xml:space="preserve">INSPECCION PLANTA DE TRATAMIENTO A.S.1. PLANTA PLYWOOD HAS 1016773283   OS 4902184692</x:t>
        </x:is>
      </x:c>
      <x:c r="C3401" s="184" t="n">
        <x:v>0</x:v>
      </x:c>
      <x:c r="D3401" s="184" t="n">
        <x:v>0</x:v>
      </x:c>
      <x:c r="E3401" s="184" t="n">
        <x:v>0</x:v>
      </x:c>
      <x:c r="F3401" s="184" t="n">
        <x:v>0</x:v>
      </x:c>
      <x:c r="G3401" s="184" t="n">
        <x:v>0</x:v>
      </x:c>
      <x:c r="H3401" s="193" t="n">
        <x:v>0</x:v>
      </x:c>
      <x:c r="I3401" s="185" t="n">
        <x:v>0</x:v>
      </x:c>
      <x:c r="J3401" s="185" t="n">
        <x:v>0</x:v>
      </x:c>
      <x:c r="K3401" s="289" t="n">
        <x:v>402684</x:v>
      </x:c>
    </x:row>
    <x:row r="3402" s="117" customFormat="1" hidden="1">
      <x:c r="A3402" s="184" t="inlineStr">
        <x:is>
          <x:t xml:space="preserve">TERRENO00285</x:t>
        </x:is>
      </x:c>
      <x:c r="B3402" s="184" t="inlineStr">
        <x:is>
          <x:t xml:space="preserve">ESTADO DE PAGO7000014047 CONTRATO 4600023860 HES 1002713907  SERVICIO DE REPARACIONES  POLIMERICAS Y</x:t>
        </x:is>
      </x:c>
      <x:c r="C3402" s="184" t="n">
        <x:v>0</x:v>
      </x:c>
      <x:c r="D3402" s="184" t="n">
        <x:v>0</x:v>
      </x:c>
      <x:c r="E3402" s="184" t="n">
        <x:v>0</x:v>
      </x:c>
      <x:c r="F3402" s="184" t="n">
        <x:v>0</x:v>
      </x:c>
      <x:c r="G3402" s="184" t="n">
        <x:v>0</x:v>
      </x:c>
      <x:c r="H3402" s="193" t="n">
        <x:v>0</x:v>
      </x:c>
      <x:c r="I3402" s="185" t="n">
        <x:v>0</x:v>
      </x:c>
      <x:c r="J3402" s="185" t="n">
        <x:v>0</x:v>
      </x:c>
      <x:c r="K3402" s="289" t="n">
        <x:v>17848368</x:v>
      </x:c>
    </x:row>
    <x:row r="3403" s="117" customFormat="1" hidden="1">
      <x:c r="A3403" s="184" t="inlineStr">
        <x:is>
          <x:t xml:space="preserve">TERRENO00286</x:t>
        </x:is>
      </x:c>
      <x:c r="B3403" s="184" t="inlineStr">
        <x:is>
          <x:t xml:space="preserve">POS 0010 REPARACION A SECTORES DE ESTANQUE TAG T_E115_50 EN FRP PARA ACIDO FORMICO</x:t>
        </x:is>
      </x:c>
      <x:c r="C3403" s="184" t="n">
        <x:v>0</x:v>
      </x:c>
      <x:c r="D3403" s="184" t="n">
        <x:v>0</x:v>
      </x:c>
      <x:c r="E3403" s="184" t="n">
        <x:v>0</x:v>
      </x:c>
      <x:c r="F3403" s="184" t="n">
        <x:v>0</x:v>
      </x:c>
      <x:c r="G3403" s="184" t="n">
        <x:v>0</x:v>
      </x:c>
      <x:c r="H3403" s="193" t="n">
        <x:v>0</x:v>
      </x:c>
      <x:c r="I3403" s="185" t="n">
        <x:v>0</x:v>
      </x:c>
      <x:c r="J3403" s="185" t="n">
        <x:v>0</x:v>
      </x:c>
      <x:c r="K3403" s="289" t="n">
        <x:v>2558505</x:v>
      </x:c>
    </x:row>
    <x:row r="3404" s="117" customFormat="1" hidden="1">
      <x:c r="A3404" s="184" t="inlineStr">
        <x:is>
          <x:t xml:space="preserve">TERRENO00287</x:t>
        </x:is>
      </x:c>
      <x:c r="B3404" s="184" t="inlineStr">
        <x:is>
          <x:t xml:space="preserve">ESTADO DE PAGO Nª 8CCTR 4502169919 CONTRATO 4600021614 HES 1002714846</x:t>
        </x:is>
      </x:c>
      <x:c r="C3404" s="184" t="n">
        <x:v>0</x:v>
      </x:c>
      <x:c r="D3404" s="184" t="n">
        <x:v>0</x:v>
      </x:c>
      <x:c r="E3404" s="184" t="n">
        <x:v>0</x:v>
      </x:c>
      <x:c r="F3404" s="184" t="n">
        <x:v>0</x:v>
      </x:c>
      <x:c r="G3404" s="184" t="n">
        <x:v>0</x:v>
      </x:c>
      <x:c r="H3404" s="193" t="n">
        <x:v>0</x:v>
      </x:c>
      <x:c r="I3404" s="185" t="n">
        <x:v>0</x:v>
      </x:c>
      <x:c r="J3404" s="185" t="n">
        <x:v>0</x:v>
      </x:c>
      <x:c r="K3404" s="289" t="n">
        <x:v>10328151</x:v>
      </x:c>
    </x:row>
    <x:row r="3405" s="117" customFormat="1" hidden="1">
      <x:c r="A3405" s="184" t="inlineStr">
        <x:is>
          <x:t xml:space="preserve">TERRENO00288</x:t>
        </x:is>
      </x:c>
      <x:c r="B3405" s="184" t="inlineStr">
        <x:is>
          <x:t xml:space="preserve">POS 10 REPARACION TK AGUA ESPONJAMIENTO OC 4501936548</x:t>
        </x:is>
      </x:c>
      <x:c r="C3405" s="184" t="n">
        <x:v>0</x:v>
      </x:c>
      <x:c r="D3405" s="184" t="n">
        <x:v>0</x:v>
      </x:c>
      <x:c r="E3405" s="184" t="n">
        <x:v>0</x:v>
      </x:c>
      <x:c r="F3405" s="184" t="n">
        <x:v>0</x:v>
      </x:c>
      <x:c r="G3405" s="184" t="n">
        <x:v>0</x:v>
      </x:c>
      <x:c r="H3405" s="193" t="n">
        <x:v>0</x:v>
      </x:c>
      <x:c r="I3405" s="185" t="n">
        <x:v>0</x:v>
      </x:c>
      <x:c r="J3405" s="185" t="n">
        <x:v>0</x:v>
      </x:c>
      <x:c r="K3405" s="289" t="n">
        <x:v>100</x:v>
      </x:c>
    </x:row>
    <x:row r="3406" s="117" customFormat="1" hidden="1">
      <x:c r="A3406" s="184" t="inlineStr">
        <x:is>
          <x:t xml:space="preserve">TERRENO00289</x:t>
        </x:is>
      </x:c>
      <x:c r="B3406" s="184" t="inlineStr">
        <x:is>
          <x:t xml:space="preserve">ESTADO DE PAGO Nª 9 CCTR 4502184708 CONTRATO 4600021614 HES 1002724677</x:t>
        </x:is>
      </x:c>
      <x:c r="C3406" s="184" t="n">
        <x:v>0</x:v>
      </x:c>
      <x:c r="D3406" s="184" t="n">
        <x:v>0</x:v>
      </x:c>
      <x:c r="E3406" s="184" t="n">
        <x:v>0</x:v>
      </x:c>
      <x:c r="F3406" s="184" t="n">
        <x:v>0</x:v>
      </x:c>
      <x:c r="G3406" s="184" t="n">
        <x:v>0</x:v>
      </x:c>
      <x:c r="H3406" s="193" t="n">
        <x:v>0</x:v>
      </x:c>
      <x:c r="I3406" s="185" t="n">
        <x:v>0</x:v>
      </x:c>
      <x:c r="J3406" s="185" t="n">
        <x:v>0</x:v>
      </x:c>
      <x:c r="K3406" s="289" t="n">
        <x:v>27868155</x:v>
      </x:c>
    </x:row>
    <x:row r="3407" s="117" customFormat="1" hidden="1">
      <x:c r="A3407" s="184" t="inlineStr">
        <x:is>
          <x:t xml:space="preserve">TERRENO00290</x:t>
        </x:is>
      </x:c>
      <x:c r="B3407" s="184" t="inlineStr">
        <x:is>
          <x:t xml:space="preserve">DEMISTER 10% RETE,OC 4502044445 WE 5009090268</x:t>
        </x:is>
      </x:c>
      <x:c r="C3407" s="184" t="n">
        <x:v>0</x:v>
      </x:c>
      <x:c r="D3407" s="184" t="n">
        <x:v>0</x:v>
      </x:c>
      <x:c r="E3407" s="184" t="n">
        <x:v>0</x:v>
      </x:c>
      <x:c r="F3407" s="184" t="n">
        <x:v>0</x:v>
      </x:c>
      <x:c r="G3407" s="184" t="n">
        <x:v>0</x:v>
      </x:c>
      <x:c r="H3407" s="193" t="n">
        <x:v>0</x:v>
      </x:c>
      <x:c r="I3407" s="185" t="n">
        <x:v>0</x:v>
      </x:c>
      <x:c r="J3407" s="185" t="n">
        <x:v>0</x:v>
      </x:c>
      <x:c r="K3407" s="289" t="n">
        <x:v>18981079</x:v>
      </x:c>
    </x:row>
    <x:row r="3408" s="117" customFormat="1" hidden="1">
      <x:c r="A3408" s="184" t="inlineStr">
        <x:is>
          <x:t xml:space="preserve">TERRENO00291</x:t>
        </x:is>
      </x:c>
      <x:c r="B3408" s="184" t="inlineStr">
        <x:is>
          <x:t xml:space="preserve">REVESTIMIENTO DUCTOS ACERO EN FRP AES ANDES HES 1001381865</x:t>
        </x:is>
      </x:c>
      <x:c r="C3408" s="184" t="n">
        <x:v>0</x:v>
      </x:c>
      <x:c r="D3408" s="184" t="n">
        <x:v>0</x:v>
      </x:c>
      <x:c r="E3408" s="184" t="n">
        <x:v>0</x:v>
      </x:c>
      <x:c r="F3408" s="184" t="n">
        <x:v>0</x:v>
      </x:c>
      <x:c r="G3408" s="184" t="n">
        <x:v>0</x:v>
      </x:c>
      <x:c r="H3408" s="193" t="n">
        <x:v>0</x:v>
      </x:c>
      <x:c r="I3408" s="185" t="n">
        <x:v>0</x:v>
      </x:c>
      <x:c r="J3408" s="185" t="n">
        <x:v>0</x:v>
      </x:c>
      <x:c r="K3408" s="289" t="n">
        <x:v>3911751</x:v>
      </x:c>
    </x:row>
    <x:row r="3409" s="117" customFormat="1" hidden="1">
      <x:c r="A3409" s="184" t="inlineStr">
        <x:is>
          <x:t xml:space="preserve">TERRENO00292</x:t>
        </x:is>
      </x:c>
      <x:c r="B3409" s="184" t="inlineStr">
        <x:is>
          <x:t xml:space="preserve">10070216 SERVICIO TERRENO VENDAJES SPOOL FRP CDGB</x:t>
        </x:is>
      </x:c>
      <x:c r="C3409" s="184" t="n">
        <x:v>0</x:v>
      </x:c>
      <x:c r="D3409" s="184" t="n">
        <x:v>0</x:v>
      </x:c>
      <x:c r="E3409" s="184" t="n">
        <x:v>0</x:v>
      </x:c>
      <x:c r="F3409" s="184" t="n">
        <x:v>0</x:v>
      </x:c>
      <x:c r="G3409" s="184" t="n">
        <x:v>0</x:v>
      </x:c>
      <x:c r="H3409" s="193" t="n">
        <x:v>0</x:v>
      </x:c>
      <x:c r="I3409" s="185" t="n">
        <x:v>0</x:v>
      </x:c>
      <x:c r="J3409" s="185" t="n">
        <x:v>0</x:v>
      </x:c>
      <x:c r="K3409" s="289" t="n">
        <x:v>15165590</x:v>
      </x:c>
    </x:row>
    <x:row r="3410" s="117" customFormat="1" hidden="1">
      <x:c r="A3410" s="184" t="inlineStr">
        <x:is>
          <x:t xml:space="preserve">TERRENO00346</x:t>
        </x:is>
      </x:c>
      <x:c r="B3410" s="184" t="inlineStr">
        <x:is>
          <x:t xml:space="preserve">ESTADO DE PAGO Nª 1 CCTR 4502202854 HES 1002738883</x:t>
        </x:is>
      </x:c>
      <x:c r="C3410" s="184" t="n">
        <x:v>0</x:v>
      </x:c>
      <x:c r="D3410" s="184" t="n">
        <x:v>0</x:v>
      </x:c>
      <x:c r="E3410" s="184" t="n">
        <x:v>0</x:v>
      </x:c>
      <x:c r="F3410" s="184" t="n">
        <x:v>0</x:v>
      </x:c>
      <x:c r="G3410" s="184" t="n">
        <x:v>0</x:v>
      </x:c>
      <x:c r="H3410" s="193" t="n">
        <x:v>0</x:v>
      </x:c>
      <x:c r="I3410" s="185" t="n">
        <x:v>0</x:v>
      </x:c>
      <x:c r="J3410" s="185" t="n">
        <x:v>0</x:v>
      </x:c>
      <x:c r="K3410" s="289" t="n">
        <x:v>7340866</x:v>
      </x:c>
    </x:row>
    <x:row r="3411" s="117" customFormat="1" hidden="1">
      <x:c r="A3411" s="184" t="inlineStr">
        <x:is>
          <x:t xml:space="preserve">TERRENO00347</x:t>
        </x:is>
      </x:c>
      <x:c r="B3411" s="184" t="inlineStr">
        <x:is>
          <x:t xml:space="preserve">ESTADO DE PAGO Nª 1 CCTR 4502202854 HES 1002738884</x:t>
        </x:is>
      </x:c>
      <x:c r="C3411" s="184" t="n">
        <x:v>0</x:v>
      </x:c>
      <x:c r="D3411" s="184" t="n">
        <x:v>0</x:v>
      </x:c>
      <x:c r="E3411" s="184" t="n">
        <x:v>0</x:v>
      </x:c>
      <x:c r="F3411" s="184" t="n">
        <x:v>0</x:v>
      </x:c>
      <x:c r="G3411" s="184" t="n">
        <x:v>0</x:v>
      </x:c>
      <x:c r="H3411" s="193" t="n">
        <x:v>0</x:v>
      </x:c>
      <x:c r="I3411" s="185" t="n">
        <x:v>0</x:v>
      </x:c>
      <x:c r="J3411" s="185" t="n">
        <x:v>0</x:v>
      </x:c>
      <x:c r="K3411" s="289" t="n">
        <x:v>28229523</x:v>
      </x:c>
    </x:row>
    <x:row r="3412" s="117" customFormat="1" hidden="1">
      <x:c r="A3412" s="184" t="inlineStr">
        <x:is>
          <x:t xml:space="preserve">TERRENO00348</x:t>
        </x:is>
      </x:c>
      <x:c r="B3412" s="184" t="inlineStr">
        <x:is>
          <x:t xml:space="preserve">ESTADO DE PAGO Nª 1 CCTR 4502202854 HES 1002738885</x:t>
        </x:is>
      </x:c>
      <x:c r="C3412" s="184" t="n">
        <x:v>0</x:v>
      </x:c>
      <x:c r="D3412" s="184" t="n">
        <x:v>0</x:v>
      </x:c>
      <x:c r="E3412" s="184" t="n">
        <x:v>0</x:v>
      </x:c>
      <x:c r="F3412" s="184" t="n">
        <x:v>0</x:v>
      </x:c>
      <x:c r="G3412" s="184" t="n">
        <x:v>0</x:v>
      </x:c>
      <x:c r="H3412" s="193" t="n">
        <x:v>0</x:v>
      </x:c>
      <x:c r="I3412" s="185" t="n">
        <x:v>0</x:v>
      </x:c>
      <x:c r="J3412" s="185" t="n">
        <x:v>0</x:v>
      </x:c>
      <x:c r="K3412" s="289" t="n">
        <x:v>26901147</x:v>
      </x:c>
    </x:row>
    <x:row r="3413" s="117" customFormat="1" hidden="1">
      <x:c r="A3413" s="184" t="inlineStr">
        <x:is>
          <x:t xml:space="preserve">TERRENO00349</x:t>
        </x:is>
      </x:c>
      <x:c r="B3413" s="184" t="inlineStr">
        <x:is>
          <x:t xml:space="preserve">ESTADO DE PAGO Nª 1 CCTR 4502243492 HES 1002767967</x:t>
        </x:is>
      </x:c>
      <x:c r="C3413" s="184" t="n">
        <x:v>0</x:v>
      </x:c>
      <x:c r="D3413" s="184" t="n">
        <x:v>0</x:v>
      </x:c>
      <x:c r="E3413" s="184" t="n">
        <x:v>0</x:v>
      </x:c>
      <x:c r="F3413" s="184" t="n">
        <x:v>0</x:v>
      </x:c>
      <x:c r="G3413" s="184" t="n">
        <x:v>0</x:v>
      </x:c>
      <x:c r="H3413" s="193" t="n">
        <x:v>0</x:v>
      </x:c>
      <x:c r="I3413" s="185" t="n">
        <x:v>0</x:v>
      </x:c>
      <x:c r="J3413" s="185" t="n">
        <x:v>0</x:v>
      </x:c>
      <x:c r="K3413" s="289" t="n">
        <x:v>63026104</x:v>
      </x:c>
    </x:row>
    <x:row r="3414" s="117" customFormat="1" hidden="1">
      <x:c r="A3414" s="184" t="inlineStr">
        <x:is>
          <x:t xml:space="preserve">TERRENO00436</x:t>
        </x:is>
      </x:c>
      <x:c r="B3414" s="184" t="inlineStr">
        <x:is>
          <x:t xml:space="preserve">ESTADO DE PAGO Nª 1 CCTR 4502202854 HES 1002738883</x:t>
        </x:is>
      </x:c>
      <x:c r="C3414" s="184" t="n">
        <x:v>0</x:v>
      </x:c>
      <x:c r="D3414" s="184" t="n">
        <x:v>0</x:v>
      </x:c>
      <x:c r="E3414" s="184" t="n">
        <x:v>0</x:v>
      </x:c>
      <x:c r="F3414" s="184" t="n">
        <x:v>0</x:v>
      </x:c>
      <x:c r="G3414" s="184" t="n">
        <x:v>0</x:v>
      </x:c>
      <x:c r="H3414" s="193" t="n">
        <x:v>0</x:v>
      </x:c>
      <x:c r="I3414" s="185" t="n">
        <x:v>0</x:v>
      </x:c>
      <x:c r="J3414" s="185" t="n">
        <x:v>0</x:v>
      </x:c>
      <x:c r="K3414" s="289" t="n">
        <x:v>0</x:v>
      </x:c>
    </x:row>
    <x:row r="3415" s="117" customFormat="1" hidden="1">
      <x:c r="A3415" s="184" t="inlineStr">
        <x:is>
          <x:t xml:space="preserve">TRIPLAAMAO12</x:t>
        </x:is>
      </x:c>
      <x:c r="B3415" s="184" t="inlineStr">
        <x:is>
          <x:t xml:space="preserve">PLANCHA TRIXALON AMARILLO 12mm</x:t>
        </x:is>
      </x:c>
      <x:c r="C3415" s="184" t="n">
        <x:v>0</x:v>
      </x:c>
      <x:c r="D3415" s="184" t="n">
        <x:v>0</x:v>
      </x:c>
      <x:c r="E3415" s="184" t="n">
        <x:v>0</x:v>
      </x:c>
      <x:c r="F3415" s="184" t="n">
        <x:v>0</x:v>
      </x:c>
      <x:c r="G3415" s="184" t="n">
        <x:v>0</x:v>
      </x:c>
      <x:c r="H3415" s="193" t="n">
        <x:v>0</x:v>
      </x:c>
      <x:c r="I3415" s="185" t="n">
        <x:v>0</x:v>
      </x:c>
      <x:c r="J3415" s="185" t="n">
        <x:v>0</x:v>
      </x:c>
      <x:c r="K3415" s="289" t="n">
        <x:v>39800</x:v>
      </x:c>
    </x:row>
    <x:row r="3416" s="117" customFormat="1" hidden="1">
      <x:c r="A3416" s="184" t="inlineStr">
        <x:is>
          <x:t xml:space="preserve">TRIPLABLA025</x:t>
        </x:is>
      </x:c>
      <x:c r="B3416" s="184" t="inlineStr">
        <x:is>
          <x:t xml:space="preserve">PLANCHA TRIXALON BLANCO 25mm x 1000 x 2000</x:t>
        </x:is>
      </x:c>
      <x:c r="C3416" s="184" t="n">
        <x:v>0</x:v>
      </x:c>
      <x:c r="D3416" s="184" t="n">
        <x:v>0</x:v>
      </x:c>
      <x:c r="E3416" s="184" t="n">
        <x:v>0</x:v>
      </x:c>
      <x:c r="F3416" s="184" t="n">
        <x:v>0</x:v>
      </x:c>
      <x:c r="G3416" s="184" t="n">
        <x:v>0</x:v>
      </x:c>
      <x:c r="H3416" s="193" t="n">
        <x:v>0</x:v>
      </x:c>
      <x:c r="I3416" s="185" t="n">
        <x:v>0</x:v>
      </x:c>
      <x:c r="J3416" s="185" t="n">
        <x:v>0</x:v>
      </x:c>
      <x:c r="K3416" s="289" t="n">
        <x:v>355937</x:v>
      </x:c>
    </x:row>
    <x:row r="3417" s="117" customFormat="1" hidden="1">
      <x:c r="A3417" s="184" t="inlineStr">
        <x:is>
          <x:t xml:space="preserve">TRIPLABLAO25</x:t>
        </x:is>
      </x:c>
      <x:c r="B3417" s="184" t="inlineStr">
        <x:is>
          <x:t xml:space="preserve">PLANCHA TRIXALON BLANCO 25mm x 1200 x 2000</x:t>
        </x:is>
      </x:c>
      <x:c r="C3417" s="184" t="n">
        <x:v>1</x:v>
      </x:c>
      <x:c r="D3417" s="184" t="n">
        <x:v>0</x:v>
      </x:c>
      <x:c r="E3417" s="184" t="n">
        <x:v>0</x:v>
      </x:c>
      <x:c r="F3417" s="184" t="n">
        <x:v>1</x:v>
      </x:c>
      <x:c r="G3417" s="184" t="n">
        <x:v>132000</x:v>
      </x:c>
      <x:c r="H3417" s="193" t="n">
        <x:v>0</x:v>
      </x:c>
      <x:c r="I3417" s="185" t="n">
        <x:v>0</x:v>
      </x:c>
      <x:c r="J3417" s="185" t="n">
        <x:v>132000</x:v>
      </x:c>
      <x:c r="K3417" s="289" t="n">
        <x:v>132000</x:v>
      </x:c>
    </x:row>
    <x:row r="3418" s="117" customFormat="1" hidden="1">
      <x:c r="A3418" s="184" t="inlineStr">
        <x:is>
          <x:t xml:space="preserve">TRIPLANEG001</x:t>
        </x:is>
      </x:c>
      <x:c r="B3418" s="184" t="inlineStr">
        <x:is>
          <x:t xml:space="preserve">BOCINA DE TRIXALON NEGRO ZELLAMID 1100 MO (PA 6-MO) TUBE 260 X 180 X 1000 MM ANILLOS BBA W450</x:t>
        </x:is>
      </x:c>
      <x:c r="C3418" s="184" t="n">
        <x:v>2</x:v>
      </x:c>
      <x:c r="D3418" s="184" t="n">
        <x:v>0</x:v>
      </x:c>
      <x:c r="E3418" s="184" t="n">
        <x:v>0</x:v>
      </x:c>
      <x:c r="F3418" s="184" t="n">
        <x:v>2</x:v>
      </x:c>
      <x:c r="G3418" s="184" t="n">
        <x:v>1602657</x:v>
      </x:c>
      <x:c r="H3418" s="193" t="n">
        <x:v>0</x:v>
      </x:c>
      <x:c r="I3418" s="185" t="n">
        <x:v>0</x:v>
      </x:c>
      <x:c r="J3418" s="185" t="n">
        <x:v>1602657</x:v>
      </x:c>
      <x:c r="K3418" s="289" t="n">
        <x:v>801328.84615385</x:v>
      </x:c>
    </x:row>
    <x:row r="3419" s="117" customFormat="1" hidden="1">
      <x:c r="A3419" s="184" t="inlineStr">
        <x:is>
          <x:t xml:space="preserve">TRIPLANEG002</x:t>
        </x:is>
      </x:c>
      <x:c r="B3419" s="184" t="inlineStr">
        <x:is>
          <x:t xml:space="preserve">PLANCHA TRIXALON NEGRO 25MM X 1000 MM X 2000 MM</x:t>
        </x:is>
      </x:c>
      <x:c r="C3419" s="184" t="n">
        <x:v>0</x:v>
      </x:c>
      <x:c r="D3419" s="184" t="n">
        <x:v>0</x:v>
      </x:c>
      <x:c r="E3419" s="184" t="n">
        <x:v>0</x:v>
      </x:c>
      <x:c r="F3419" s="184" t="n">
        <x:v>0</x:v>
      </x:c>
      <x:c r="G3419" s="184" t="n">
        <x:v>0</x:v>
      </x:c>
      <x:c r="H3419" s="193" t="n">
        <x:v>0</x:v>
      </x:c>
      <x:c r="I3419" s="185" t="n">
        <x:v>0</x:v>
      </x:c>
      <x:c r="J3419" s="185" t="n">
        <x:v>0</x:v>
      </x:c>
      <x:c r="K3419" s="289" t="n">
        <x:v>422988</x:v>
      </x:c>
    </x:row>
    <x:row r="3420" s="117" customFormat="1" hidden="1">
      <x:c r="A3420" s="184" t="inlineStr">
        <x:is>
          <x:t xml:space="preserve">TRIPLANEGO12</x:t>
        </x:is>
      </x:c>
      <x:c r="B3420" s="184" t="inlineStr">
        <x:is>
          <x:t xml:space="preserve">PLANCHA TRIXALON NEGRO 12mm</x:t>
        </x:is>
      </x:c>
      <x:c r="C3420" s="184" t="n">
        <x:v>10</x:v>
      </x:c>
      <x:c r="D3420" s="184" t="n">
        <x:v>0</x:v>
      </x:c>
      <x:c r="E3420" s="184" t="n">
        <x:v>0</x:v>
      </x:c>
      <x:c r="F3420" s="184" t="n">
        <x:v>10</x:v>
      </x:c>
      <x:c r="G3420" s="184" t="n">
        <x:v>432000</x:v>
      </x:c>
      <x:c r="H3420" s="193" t="n">
        <x:v>0</x:v>
      </x:c>
      <x:c r="I3420" s="185" t="n">
        <x:v>0</x:v>
      </x:c>
      <x:c r="J3420" s="185" t="n">
        <x:v>432000</x:v>
      </x:c>
      <x:c r="K3420" s="289" t="n">
        <x:v>43200</x:v>
      </x:c>
    </x:row>
    <x:row r="3421" s="117" customFormat="1" hidden="1">
      <x:c r="A3421" s="184" t="inlineStr">
        <x:is>
          <x:t xml:space="preserve">TRIPLANEGO19</x:t>
        </x:is>
      </x:c>
      <x:c r="B3421" s="184" t="inlineStr">
        <x:is>
          <x:t xml:space="preserve">PLANCHA TRIXALON NEGRO 19mm</x:t>
        </x:is>
      </x:c>
      <x:c r="C3421" s="184" t="n">
        <x:v>0</x:v>
      </x:c>
      <x:c r="D3421" s="184" t="n">
        <x:v>0</x:v>
      </x:c>
      <x:c r="E3421" s="184" t="n">
        <x:v>0</x:v>
      </x:c>
      <x:c r="F3421" s="184" t="n">
        <x:v>0</x:v>
      </x:c>
      <x:c r="G3421" s="184" t="n">
        <x:v>0</x:v>
      </x:c>
      <x:c r="H3421" s="193" t="n">
        <x:v>0</x:v>
      </x:c>
      <x:c r="I3421" s="185" t="n">
        <x:v>0</x:v>
      </x:c>
      <x:c r="J3421" s="185" t="n">
        <x:v>0</x:v>
      </x:c>
      <x:c r="K3421" s="289" t="n">
        <x:v>107000</x:v>
      </x:c>
    </x:row>
    <x:row r="3422" s="117" customFormat="1" hidden="1">
      <x:c r="A3422" s="184" t="inlineStr">
        <x:is>
          <x:t xml:space="preserve">TRIPLANEGO25</x:t>
        </x:is>
      </x:c>
      <x:c r="B3422" s="184" t="inlineStr">
        <x:is>
          <x:t xml:space="preserve">PLANCHA TRIXALON NEGRO 25mm X 1200 MM X 2000 MM</x:t>
        </x:is>
      </x:c>
      <x:c r="C3422" s="184" t="n">
        <x:v>9</x:v>
      </x:c>
      <x:c r="D3422" s="184" t="n">
        <x:v>0</x:v>
      </x:c>
      <x:c r="E3422" s="184" t="n">
        <x:v>0</x:v>
      </x:c>
      <x:c r="F3422" s="184" t="n">
        <x:v>9</x:v>
      </x:c>
      <x:c r="G3422" s="184" t="n">
        <x:v>4626422</x:v>
      </x:c>
      <x:c r="H3422" s="193" t="n">
        <x:v>0</x:v>
      </x:c>
      <x:c r="I3422" s="185" t="n">
        <x:v>0</x:v>
      </x:c>
      <x:c r="J3422" s="185" t="n">
        <x:v>4626422</x:v>
      </x:c>
      <x:c r="K3422" s="289" t="n">
        <x:v>514047.2745098</x:v>
      </x:c>
    </x:row>
    <x:row r="3423" s="117" customFormat="1" hidden="1">
      <x:c r="A3423" s="184" t="inlineStr">
        <x:is>
          <x:t xml:space="preserve">TUBECT001001</x:t>
        </x:is>
      </x:c>
      <x:c r="B3423" s="184" t="inlineStr">
        <x:is>
          <x:t xml:space="preserve">(40743106300) Tubería SK+ fabric 1m 63x3,0 ECTFENatur. Syn.fabric</x:t>
        </x:is>
      </x:c>
      <x:c r="C3423" s="184" t="n">
        <x:v>1</x:v>
      </x:c>
      <x:c r="D3423" s="184" t="n">
        <x:v>0</x:v>
      </x:c>
      <x:c r="E3423" s="184" t="n">
        <x:v>0</x:v>
      </x:c>
      <x:c r="F3423" s="184" t="n">
        <x:v>1</x:v>
      </x:c>
      <x:c r="G3423" s="184" t="n">
        <x:v>433942</x:v>
      </x:c>
      <x:c r="H3423" s="193" t="n">
        <x:v>0</x:v>
      </x:c>
      <x:c r="I3423" s="185" t="n">
        <x:v>0</x:v>
      </x:c>
      <x:c r="J3423" s="185" t="n">
        <x:v>433942</x:v>
      </x:c>
      <x:c r="K3423" s="289" t="n">
        <x:v>433942</x:v>
      </x:c>
    </x:row>
    <x:row r="3424" s="117" customFormat="1" hidden="1">
      <x:c r="A3424" s="184" t="inlineStr">
        <x:is>
          <x:t xml:space="preserve">TUBECT001002</x:t>
        </x:is>
      </x:c>
      <x:c r="B3424" s="184" t="inlineStr">
        <x:is>
          <x:t xml:space="preserve">(40743111000) Tubería SK+ fabric 1m 110x3,0 ECTFENatur. Syn.fabric</x:t>
        </x:is>
      </x:c>
      <x:c r="C3424" s="184" t="n">
        <x:v>2</x:v>
      </x:c>
      <x:c r="D3424" s="184" t="n">
        <x:v>0</x:v>
      </x:c>
      <x:c r="E3424" s="184" t="n">
        <x:v>0</x:v>
      </x:c>
      <x:c r="F3424" s="184" t="n">
        <x:v>2</x:v>
      </x:c>
      <x:c r="G3424" s="184" t="n">
        <x:v>2007945</x:v>
      </x:c>
      <x:c r="H3424" s="193" t="n">
        <x:v>0</x:v>
      </x:c>
      <x:c r="I3424" s="185" t="n">
        <x:v>0</x:v>
      </x:c>
      <x:c r="J3424" s="185" t="n">
        <x:v>2007945</x:v>
      </x:c>
      <x:c r="K3424" s="289" t="n">
        <x:v>1003972.8</x:v>
      </x:c>
    </x:row>
    <x:row r="3425" s="117" customFormat="1" hidden="1">
      <x:c r="A3425" s="184" t="inlineStr">
        <x:is>
          <x:t xml:space="preserve">VAR001001001</x:t>
        </x:is>
      </x:c>
      <x:c r="B3425" s="184" t="inlineStr">
        <x:is>
          <x:t xml:space="preserve">(008316101) MT CAÑERÍA INOX AISI316L Ø 1" SCH10 C/C</x:t>
        </x:is>
      </x:c>
      <x:c r="C3425" s="184" t="n">
        <x:v>0</x:v>
      </x:c>
      <x:c r="D3425" s="184" t="n">
        <x:v>2</x:v>
      </x:c>
      <x:c r="E3425" s="184" t="n">
        <x:v>0</x:v>
      </x:c>
      <x:c r="F3425" s="184" t="n">
        <x:v>2</x:v>
      </x:c>
      <x:c r="G3425" s="184" t="n">
        <x:v>0</x:v>
      </x:c>
      <x:c r="H3425" s="193" t="n">
        <x:v>35734</x:v>
      </x:c>
      <x:c r="I3425" s="185" t="n">
        <x:v>0</x:v>
      </x:c>
      <x:c r="J3425" s="185" t="n">
        <x:v>35734</x:v>
      </x:c>
      <x:c r="K3425" s="289" t="n">
        <x:v>17867</x:v>
      </x:c>
    </x:row>
    <x:row r="3426" s="117" customFormat="1" hidden="1">
      <x:c r="A3426" s="184" t="inlineStr">
        <x:is>
          <x:t xml:space="preserve">VAR001001002</x:t>
        </x:is>
      </x:c>
      <x:c r="B3426" s="184" t="inlineStr">
        <x:is>
          <x:t xml:space="preserve">(008316110) MT CAÑERÍA INOX AISI316L Ø 10" SCH10 C/C</x:t>
        </x:is>
      </x:c>
      <x:c r="C3426" s="184" t="n">
        <x:v>0</x:v>
      </x:c>
      <x:c r="D3426" s="184" t="n">
        <x:v>1</x:v>
      </x:c>
      <x:c r="E3426" s="184" t="n">
        <x:v>0</x:v>
      </x:c>
      <x:c r="F3426" s="184" t="n">
        <x:v>1</x:v>
      </x:c>
      <x:c r="G3426" s="184" t="n">
        <x:v>0</x:v>
      </x:c>
      <x:c r="H3426" s="193" t="n">
        <x:v>282750</x:v>
      </x:c>
      <x:c r="I3426" s="185" t="n">
        <x:v>0</x:v>
      </x:c>
      <x:c r="J3426" s="185" t="n">
        <x:v>282750</x:v>
      </x:c>
      <x:c r="K3426" s="289" t="n">
        <x:v>282750</x:v>
      </x:c>
    </x:row>
    <x:row r="3427" s="117" customFormat="1" hidden="1">
      <x:c r="A3427" s="184" t="inlineStr">
        <x:is>
          <x:t xml:space="preserve">VELPLC001001</x:t>
        </x:is>
      </x:c>
      <x:c r="B3427" s="184" t="inlineStr">
        <x:is>
          <x:t xml:space="preserve">VELLUMOIDE EN PLANCHA 1/32 PLG X 1 MTS X 1 MTS</x:t>
        </x:is>
      </x:c>
      <x:c r="C3427" s="184" t="n">
        <x:v>22</x:v>
      </x:c>
      <x:c r="D3427" s="184" t="n">
        <x:v>0</x:v>
      </x:c>
      <x:c r="E3427" s="184" t="n">
        <x:v>0</x:v>
      </x:c>
      <x:c r="F3427" s="184" t="n">
        <x:v>22</x:v>
      </x:c>
      <x:c r="G3427" s="184" t="n">
        <x:v>206604</x:v>
      </x:c>
      <x:c r="H3427" s="193" t="n">
        <x:v>0</x:v>
      </x:c>
      <x:c r="I3427" s="185" t="n">
        <x:v>0</x:v>
      </x:c>
      <x:c r="J3427" s="185" t="n">
        <x:v>206604</x:v>
      </x:c>
      <x:c r="K3427" s="289" t="n">
        <x:v>9391.07142857</x:v>
      </x:c>
    </x:row>
    <x:row r="3428" s="117" customFormat="1" hidden="1">
      <x:c r="A3428" s="184" t="inlineStr">
        <x:is>
          <x:t xml:space="preserve">VELPLC001002</x:t>
        </x:is>
      </x:c>
      <x:c r="B3428" s="184" t="inlineStr">
        <x:is>
          <x:t xml:space="preserve">VELLUMOIDE EN PLANCHA 1/16 PLG X 1 MTS X 1 MTS</x:t>
        </x:is>
      </x:c>
      <x:c r="C3428" s="184" t="n">
        <x:v>0</x:v>
      </x:c>
      <x:c r="D3428" s="184" t="n">
        <x:v>0</x:v>
      </x:c>
      <x:c r="E3428" s="184" t="n">
        <x:v>0</x:v>
      </x:c>
      <x:c r="F3428" s="184" t="n">
        <x:v>0</x:v>
      </x:c>
      <x:c r="G3428" s="184" t="n">
        <x:v>0</x:v>
      </x:c>
      <x:c r="H3428" s="193" t="n">
        <x:v>0</x:v>
      </x:c>
      <x:c r="I3428" s="185" t="n">
        <x:v>0</x:v>
      </x:c>
      <x:c r="J3428" s="185" t="n">
        <x:v>0</x:v>
      </x:c>
      <x:c r="K3428" s="289" t="n">
        <x:v>5390</x:v>
      </x:c>
    </x:row>
    <x:row r="3429" s="117" customFormat="1" hidden="1">
      <x:c r="A3429" s="184" t="inlineStr">
        <x:is>
          <x:t xml:space="preserve">VELPLC001003</x:t>
        </x:is>
      </x:c>
      <x:c r="B3429" s="184" t="inlineStr">
        <x:is>
          <x:t xml:space="preserve">VELLUMOIDE EN PLANCHA 1/64 PLG X 1 MTS (ROLLO 50MTS)</x:t>
        </x:is>
      </x:c>
      <x:c r="C3429" s="184" t="n">
        <x:v>0</x:v>
      </x:c>
      <x:c r="D3429" s="184" t="n">
        <x:v>0</x:v>
      </x:c>
      <x:c r="E3429" s="184" t="n">
        <x:v>0</x:v>
      </x:c>
      <x:c r="F3429" s="184" t="n">
        <x:v>0</x:v>
      </x:c>
      <x:c r="G3429" s="184" t="n">
        <x:v>0</x:v>
      </x:c>
      <x:c r="H3429" s="193" t="n">
        <x:v>0</x:v>
      </x:c>
      <x:c r="I3429" s="185" t="n">
        <x:v>0</x:v>
      </x:c>
      <x:c r="J3429" s="185" t="n">
        <x:v>0</x:v>
      </x:c>
      <x:c r="K3429" s="289" t="n">
        <x:v>4100</x:v>
      </x:c>
    </x:row>
    <x:row r="3430" s="117" customFormat="1" hidden="1">
      <x:c r="A3430" s="184" t="inlineStr">
        <x:is>
          <x:t xml:space="preserve">VITPLC001997</x:t>
        </x:is>
      </x:c>
      <x:c r="B3430" s="184" t="inlineStr">
        <x:is>
          <x:t xml:space="preserve">EMPAQUETADURA 3/16 PLG 4.8MM VITON S/TELA</x:t>
        </x:is>
      </x:c>
      <x:c r="C3430" s="184" t="n">
        <x:v>0</x:v>
      </x:c>
      <x:c r="D3430" s="184" t="n">
        <x:v>0</x:v>
      </x:c>
      <x:c r="E3430" s="184" t="n">
        <x:v>0</x:v>
      </x:c>
      <x:c r="F3430" s="184" t="n">
        <x:v>0</x:v>
      </x:c>
      <x:c r="G3430" s="184" t="n">
        <x:v>0</x:v>
      </x:c>
      <x:c r="H3430" s="193" t="n">
        <x:v>0</x:v>
      </x:c>
      <x:c r="I3430" s="185" t="n">
        <x:v>0</x:v>
      </x:c>
      <x:c r="J3430" s="185" t="n">
        <x:v>0</x:v>
      </x:c>
      <x:c r="K3430" s="289" t="n">
        <x:v>2430000</x:v>
      </x:c>
    </x:row>
    <x:row r="3431" s="117" customFormat="1" hidden="1">
      <x:c r="A3431" s="184" t="inlineStr">
        <x:is>
          <x:t xml:space="preserve">VITPLC001998</x:t>
        </x:is>
      </x:c>
      <x:c r="B3431" s="184" t="inlineStr">
        <x:is>
          <x:t xml:space="preserve">VITON DE 1/8 PLG DESPUNTES</x:t>
        </x:is>
      </x:c>
      <x:c r="C3431" s="184" t="n">
        <x:v>0</x:v>
      </x:c>
      <x:c r="D3431" s="184" t="n">
        <x:v>0</x:v>
      </x:c>
      <x:c r="E3431" s="184" t="n">
        <x:v>0</x:v>
      </x:c>
      <x:c r="F3431" s="184" t="n">
        <x:v>0</x:v>
      </x:c>
      <x:c r="G3431" s="184" t="n">
        <x:v>0</x:v>
      </x:c>
      <x:c r="H3431" s="193" t="n">
        <x:v>0</x:v>
      </x:c>
      <x:c r="I3431" s="185" t="n">
        <x:v>0</x:v>
      </x:c>
      <x:c r="J3431" s="185" t="n">
        <x:v>0</x:v>
      </x:c>
      <x:c r="K3431" s="289" t="n">
        <x:v>4500</x:v>
      </x:c>
    </x:row>
    <x:row r="3432" s="117" customFormat="1" hidden="1">
      <x:c r="A3432" s="184" t="inlineStr">
        <x:is>
          <x:t xml:space="preserve">VITPLC001999</x:t>
        </x:is>
      </x:c>
      <x:c r="B3432" s="184" t="inlineStr">
        <x:is>
          <x:t xml:space="preserve">VITON DE 1/4 PLG DESPUNTES</x:t>
        </x:is>
      </x:c>
      <x:c r="C3432" s="184" t="n">
        <x:v>0</x:v>
      </x:c>
      <x:c r="D3432" s="184" t="n">
        <x:v>0</x:v>
      </x:c>
      <x:c r="E3432" s="184" t="n">
        <x:v>0</x:v>
      </x:c>
      <x:c r="F3432" s="184" t="n">
        <x:v>0</x:v>
      </x:c>
      <x:c r="G3432" s="184" t="n">
        <x:v>0</x:v>
      </x:c>
      <x:c r="H3432" s="193" t="n">
        <x:v>0</x:v>
      </x:c>
      <x:c r="I3432" s="185" t="n">
        <x:v>0</x:v>
      </x:c>
      <x:c r="J3432" s="185" t="n">
        <x:v>0</x:v>
      </x:c>
      <x:c r="K3432" s="289" t="n">
        <x:v>4500</x:v>
      </x:c>
    </x:row>
    <x:row r="3433" s="117" customFormat="1" hidden="1">
      <x:c r="A3433" s="184" t="inlineStr">
        <x:is>
          <x:t xml:space="preserve">Z00001001001</x:t>
        </x:is>
      </x:c>
      <x:c r="B3433" s="184" t="inlineStr">
        <x:is>
          <x:t xml:space="preserve">1152920 EMPAQUE;LAMINADO .NOM 60X60 1&amp;8 DURABLA DURLON 9000</x:t>
        </x:is>
      </x:c>
      <x:c r="C3433" s="184" t="n">
        <x:v>0</x:v>
      </x:c>
      <x:c r="D3433" s="184" t="n">
        <x:v>0</x:v>
      </x:c>
      <x:c r="E3433" s="184" t="n">
        <x:v>0</x:v>
      </x:c>
      <x:c r="F3433" s="184" t="n">
        <x:v>0</x:v>
      </x:c>
      <x:c r="G3433" s="184" t="n">
        <x:v>0</x:v>
      </x:c>
      <x:c r="H3433" s="193" t="n">
        <x:v>0</x:v>
      </x:c>
      <x:c r="I3433" s="185" t="n">
        <x:v>0</x:v>
      </x:c>
      <x:c r="J3433" s="185" t="n">
        <x:v>0</x:v>
      </x:c>
      <x:c r="K3433" s="289" t="n">
        <x:v>0</x:v>
      </x:c>
    </x:row>
    <x:row r="3434" s="117" customFormat="1" hidden="1">
      <x:c r="A3434" s="184" t="inlineStr">
        <x:is>
          <x:t xml:space="preserve">Z00001001002</x:t>
        </x:is>
      </x:c>
      <x:c r="B3434" s="184" t="inlineStr">
        <x:is>
          <x:t xml:space="preserve">1530905 EMPAQUE;GOMA EN PLANCHA,57 A 87 SHORE VITON 6 MM ESP.FORMATO 1 X 2 MTS</x:t>
        </x:is>
      </x:c>
      <x:c r="C3434" s="184" t="n">
        <x:v>0</x:v>
      </x:c>
      <x:c r="D3434" s="184" t="n">
        <x:v>0</x:v>
      </x:c>
      <x:c r="E3434" s="184" t="n">
        <x:v>0</x:v>
      </x:c>
      <x:c r="F3434" s="184" t="n">
        <x:v>0</x:v>
      </x:c>
      <x:c r="G3434" s="184" t="n">
        <x:v>0</x:v>
      </x:c>
      <x:c r="H3434" s="193" t="n">
        <x:v>0</x:v>
      </x:c>
      <x:c r="I3434" s="185" t="n">
        <x:v>0</x:v>
      </x:c>
      <x:c r="J3434" s="185" t="n">
        <x:v>0</x:v>
      </x:c>
      <x:c r="K3434" s="289" t="n">
        <x:v>0</x:v>
      </x:c>
    </x:row>
    <x:row r="3435" s="117" customFormat="1" hidden="1">
      <x:c r="A3435" s="184" t="inlineStr">
        <x:is>
          <x:t xml:space="preserve">Z00001001003</x:t>
        </x:is>
      </x:c>
      <x:c r="B3435" s="184" t="inlineStr">
        <x:is>
          <x:t xml:space="preserve">1130494 EMPAQUE:SECCION CUADRADA ,NOM 5/8 IN  2007G-10C</x:t>
        </x:is>
      </x:c>
      <x:c r="C3435" s="184" t="n">
        <x:v>0</x:v>
      </x:c>
      <x:c r="D3435" s="184" t="n">
        <x:v>0</x:v>
      </x:c>
      <x:c r="E3435" s="184" t="n">
        <x:v>0</x:v>
      </x:c>
      <x:c r="F3435" s="184" t="n">
        <x:v>0</x:v>
      </x:c>
      <x:c r="G3435" s="184" t="n">
        <x:v>0</x:v>
      </x:c>
      <x:c r="H3435" s="193" t="n">
        <x:v>0</x:v>
      </x:c>
      <x:c r="I3435" s="185" t="n">
        <x:v>0</x:v>
      </x:c>
      <x:c r="J3435" s="185" t="n">
        <x:v>0</x:v>
      </x:c>
      <x:c r="K3435" s="289" t="n">
        <x:v>0</x:v>
      </x:c>
    </x:row>
    <x:row r="3436" s="117" customFormat="1" hidden="1">
      <x:c r="A3436" s="184" t="inlineStr">
        <x:is>
          <x:t xml:space="preserve">Z00001001004</x:t>
        </x:is>
      </x:c>
      <x:c r="B3436" s="184" t="inlineStr">
        <x:is>
          <x:t xml:space="preserve">1180862 PLANCHA EMPAQUETADURAB  DURLON 9000 1/8 X 60 X 60 IN</x:t>
        </x:is>
      </x:c>
      <x:c r="C3436" s="184" t="n">
        <x:v>0</x:v>
      </x:c>
      <x:c r="D3436" s="184" t="n">
        <x:v>0</x:v>
      </x:c>
      <x:c r="E3436" s="184" t="n">
        <x:v>0</x:v>
      </x:c>
      <x:c r="F3436" s="184" t="n">
        <x:v>0</x:v>
      </x:c>
      <x:c r="G3436" s="184" t="n">
        <x:v>0</x:v>
      </x:c>
      <x:c r="H3436" s="193" t="n">
        <x:v>0</x:v>
      </x:c>
      <x:c r="I3436" s="185" t="n">
        <x:v>0</x:v>
      </x:c>
      <x:c r="J3436" s="185" t="n">
        <x:v>0</x:v>
      </x:c>
      <x:c r="K3436" s="289" t="n">
        <x:v>0</x:v>
      </x:c>
    </x:row>
    <x:row r="3437" s="117" customFormat="1" hidden="1">
      <x:c r="A3437" s="184" t="inlineStr">
        <x:is>
          <x:t xml:space="preserve">Z00001001005</x:t>
        </x:is>
      </x:c>
      <x:c r="B3437" s="184" t="inlineStr">
        <x:is>
          <x:t xml:space="preserve">KG 1130490 EMPAQUETADURA SECCION CUADRADA NOM 1/2 IN  ( GFO -430)</x:t>
        </x:is>
      </x:c>
      <x:c r="C3437" s="184" t="n">
        <x:v>0</x:v>
      </x:c>
      <x:c r="D3437" s="184" t="n">
        <x:v>0</x:v>
      </x:c>
      <x:c r="E3437" s="184" t="n">
        <x:v>0</x:v>
      </x:c>
      <x:c r="F3437" s="184" t="n">
        <x:v>0</x:v>
      </x:c>
      <x:c r="G3437" s="184" t="n">
        <x:v>0</x:v>
      </x:c>
      <x:c r="H3437" s="193" t="n">
        <x:v>0</x:v>
      </x:c>
      <x:c r="I3437" s="185" t="n">
        <x:v>0</x:v>
      </x:c>
      <x:c r="J3437" s="185" t="n">
        <x:v>0</x:v>
      </x:c>
      <x:c r="K3437" s="289" t="n">
        <x:v>0</x:v>
      </x:c>
    </x:row>
    <x:row r="3438" s="117" customFormat="1" hidden="1">
      <x:c r="A3438" s="184" t="inlineStr">
        <x:is>
          <x:t xml:space="preserve">Z00001001006</x:t>
        </x:is>
      </x:c>
      <x:c r="B3438" s="184" t="inlineStr">
        <x:is>
          <x:t xml:space="preserve">KG 1130451 EMPAQUETADURA SECCION CUADRADA NOM 3/8 IN (GFO-430)</x:t>
        </x:is>
      </x:c>
      <x:c r="C3438" s="184" t="n">
        <x:v>0</x:v>
      </x:c>
      <x:c r="D3438" s="184" t="n">
        <x:v>0</x:v>
      </x:c>
      <x:c r="E3438" s="184" t="n">
        <x:v>0</x:v>
      </x:c>
      <x:c r="F3438" s="184" t="n">
        <x:v>0</x:v>
      </x:c>
      <x:c r="G3438" s="184" t="n">
        <x:v>0</x:v>
      </x:c>
      <x:c r="H3438" s="193" t="n">
        <x:v>0</x:v>
      </x:c>
      <x:c r="I3438" s="185" t="n">
        <x:v>0</x:v>
      </x:c>
      <x:c r="J3438" s="185" t="n">
        <x:v>0</x:v>
      </x:c>
      <x:c r="K3438" s="289" t="n">
        <x:v>0</x:v>
      </x:c>
    </x:row>
    <x:row r="3439" s="117" customFormat="1" hidden="1">
      <x:c r="A3439" s="184" t="inlineStr">
        <x:is>
          <x:t xml:space="preserve">Z00001001007</x:t>
        </x:is>
      </x:c>
      <x:c r="B3439" s="184" t="inlineStr">
        <x:is>
          <x:t xml:space="preserve">COD 1143581 TUBERIA ROLLO;NOM 50.8 MM , BRIDA.SCH 40 DIA 2 PLG X 400 MM</x:t>
        </x:is>
      </x:c>
      <x:c r="C3439" s="184" t="n">
        <x:v>0</x:v>
      </x:c>
      <x:c r="D3439" s="184" t="n">
        <x:v>0</x:v>
      </x:c>
      <x:c r="E3439" s="184" t="n">
        <x:v>0</x:v>
      </x:c>
      <x:c r="F3439" s="184" t="n">
        <x:v>0</x:v>
      </x:c>
      <x:c r="G3439" s="184" t="n">
        <x:v>0</x:v>
      </x:c>
      <x:c r="H3439" s="193" t="n">
        <x:v>0</x:v>
      </x:c>
      <x:c r="I3439" s="185" t="n">
        <x:v>0</x:v>
      </x:c>
      <x:c r="J3439" s="185" t="n">
        <x:v>0</x:v>
      </x:c>
      <x:c r="K3439" s="289" t="n">
        <x:v>0</x:v>
      </x:c>
    </x:row>
    <x:row r="3440" s="117" customFormat="1" hidden="1">
      <x:c r="A3440" s="184" t="inlineStr">
        <x:is>
          <x:t xml:space="preserve">Z00001001008</x:t>
        </x:is>
      </x:c>
      <x:c r="B3440" s="184" t="inlineStr">
        <x:is>
          <x:t xml:space="preserve">COD 1143582 TUBERIA ROLLO; NOM 50.8 MM, BRIDA, SCH40 DIA 2PLG X 2568MM</x:t>
        </x:is>
      </x:c>
      <x:c r="C3440" s="184" t="n">
        <x:v>0</x:v>
      </x:c>
      <x:c r="D3440" s="184" t="n">
        <x:v>0</x:v>
      </x:c>
      <x:c r="E3440" s="184" t="n">
        <x:v>0</x:v>
      </x:c>
      <x:c r="F3440" s="184" t="n">
        <x:v>0</x:v>
      </x:c>
      <x:c r="G3440" s="184" t="n">
        <x:v>0</x:v>
      </x:c>
      <x:c r="H3440" s="193" t="n">
        <x:v>0</x:v>
      </x:c>
      <x:c r="I3440" s="185" t="n">
        <x:v>0</x:v>
      </x:c>
      <x:c r="J3440" s="185" t="n">
        <x:v>0</x:v>
      </x:c>
      <x:c r="K3440" s="289" t="n">
        <x:v>0</x:v>
      </x:c>
    </x:row>
    <x:row r="3441" s="117" customFormat="1" hidden="1">
      <x:c r="A3441" s="184" t="inlineStr">
        <x:is>
          <x:t xml:space="preserve">z00001001009</x:t>
        </x:is>
      </x:c>
      <x:c r="B3441" s="184" t="inlineStr">
        <x:is>
          <x:t xml:space="preserve">COD 1117001 TUBERIA ROLLO;NOM 152,4 MM,BRIDA,SCH 40</x:t>
        </x:is>
      </x:c>
      <x:c r="C3441" s="184" t="n">
        <x:v>0</x:v>
      </x:c>
      <x:c r="D3441" s="184" t="n">
        <x:v>0</x:v>
      </x:c>
      <x:c r="E3441" s="184" t="n">
        <x:v>0</x:v>
      </x:c>
      <x:c r="F3441" s="184" t="n">
        <x:v>0</x:v>
      </x:c>
      <x:c r="G3441" s="184" t="n">
        <x:v>0</x:v>
      </x:c>
      <x:c r="H3441" s="193" t="n">
        <x:v>0</x:v>
      </x:c>
      <x:c r="I3441" s="185" t="n">
        <x:v>0</x:v>
      </x:c>
      <x:c r="J3441" s="185" t="n">
        <x:v>0</x:v>
      </x:c>
      <x:c r="K3441" s="289" t="n">
        <x:v>0</x:v>
      </x:c>
    </x:row>
    <x:row r="3442" s="117" customFormat="1" hidden="1">
      <x:c r="A3442" s="184" t="inlineStr">
        <x:is>
          <x:t xml:space="preserve">Z00001001010</x:t>
        </x:is>
      </x:c>
      <x:c r="B3442" s="184" t="inlineStr">
        <x:is>
          <x:t xml:space="preserve">COD 1117001 TUBERIA ROLLO;NOM 152,4 MM,BRIDA,SCH 40</x:t>
        </x:is>
      </x:c>
      <x:c r="C3442" s="184" t="n">
        <x:v>0</x:v>
      </x:c>
      <x:c r="D3442" s="184" t="n">
        <x:v>0</x:v>
      </x:c>
      <x:c r="E3442" s="184" t="n">
        <x:v>0</x:v>
      </x:c>
      <x:c r="F3442" s="184" t="n">
        <x:v>0</x:v>
      </x:c>
      <x:c r="G3442" s="184" t="n">
        <x:v>0</x:v>
      </x:c>
      <x:c r="H3442" s="193" t="n">
        <x:v>0</x:v>
      </x:c>
      <x:c r="I3442" s="185" t="n">
        <x:v>0</x:v>
      </x:c>
      <x:c r="J3442" s="185" t="n">
        <x:v>0</x:v>
      </x:c>
      <x:c r="K3442" s="289" t="n">
        <x:v>0</x:v>
      </x:c>
    </x:row>
    <x:row r="3443" s="117" customFormat="1" hidden="1">
      <x:c r="A3443" s="184" t="inlineStr">
        <x:is>
          <x:t xml:space="preserve">Z00001001011</x:t>
        </x:is>
      </x:c>
      <x:c r="B3443" s="184" t="inlineStr">
        <x:is>
          <x:t xml:space="preserve">COD 1117028 REDUCTOR TUBE T;INSTRUMENTACION DIA 6 PLG X 1 PLG</x:t>
        </x:is>
      </x:c>
      <x:c r="C3443" s="184" t="n">
        <x:v>0</x:v>
      </x:c>
      <x:c r="D3443" s="184" t="n">
        <x:v>0</x:v>
      </x:c>
      <x:c r="E3443" s="184" t="n">
        <x:v>0</x:v>
      </x:c>
      <x:c r="F3443" s="184" t="n">
        <x:v>0</x:v>
      </x:c>
      <x:c r="G3443" s="184" t="n">
        <x:v>0</x:v>
      </x:c>
      <x:c r="H3443" s="193" t="n">
        <x:v>0</x:v>
      </x:c>
      <x:c r="I3443" s="185" t="n">
        <x:v>0</x:v>
      </x:c>
      <x:c r="J3443" s="185" t="n">
        <x:v>0</x:v>
      </x:c>
      <x:c r="K3443" s="289" t="n">
        <x:v>0</x:v>
      </x:c>
    </x:row>
    <x:row r="3444" s="117" customFormat="1" hidden="1">
      <x:c r="A3444" s="184" t="inlineStr">
        <x:is>
          <x:t xml:space="preserve">Z00001001012</x:t>
        </x:is>
      </x:c>
      <x:c r="B3444" s="184" t="inlineStr">
        <x:is>
          <x:t xml:space="preserve">COD 1117029 REDUCTOR TUBE T ;INSTUMENTACION DIA 6 PLG X 1 PLG</x:t>
        </x:is>
      </x:c>
      <x:c r="C3444" s="184" t="n">
        <x:v>0</x:v>
      </x:c>
      <x:c r="D3444" s="184" t="n">
        <x:v>0</x:v>
      </x:c>
      <x:c r="E3444" s="184" t="n">
        <x:v>0</x:v>
      </x:c>
      <x:c r="F3444" s="184" t="n">
        <x:v>0</x:v>
      </x:c>
      <x:c r="G3444" s="184" t="n">
        <x:v>0</x:v>
      </x:c>
      <x:c r="H3444" s="193" t="n">
        <x:v>0</x:v>
      </x:c>
      <x:c r="I3444" s="185" t="n">
        <x:v>0</x:v>
      </x:c>
      <x:c r="J3444" s="185" t="n">
        <x:v>0</x:v>
      </x:c>
      <x:c r="K3444" s="289" t="n">
        <x:v>0</x:v>
      </x:c>
    </x:row>
    <x:row r="3445" s="117" customFormat="1" hidden="1">
      <x:c r="A3445" s="184" t="inlineStr">
        <x:is>
          <x:t xml:space="preserve">Z00001001013</x:t>
        </x:is>
      </x:c>
      <x:c r="B3445" s="184" t="inlineStr">
        <x:is>
          <x:t xml:space="preserve">1137858 SUJETADOR ESTACION DE MARTILLEO TRIXALON</x:t>
        </x:is>
      </x:c>
      <x:c r="C3445" s="184" t="n">
        <x:v>0</x:v>
      </x:c>
      <x:c r="D3445" s="184" t="n">
        <x:v>0</x:v>
      </x:c>
      <x:c r="E3445" s="184" t="n">
        <x:v>0</x:v>
      </x:c>
      <x:c r="F3445" s="184" t="n">
        <x:v>0</x:v>
      </x:c>
      <x:c r="G3445" s="184" t="n">
        <x:v>0</x:v>
      </x:c>
      <x:c r="H3445" s="193" t="n">
        <x:v>0</x:v>
      </x:c>
      <x:c r="I3445" s="185" t="n">
        <x:v>0</x:v>
      </x:c>
      <x:c r="J3445" s="185" t="n">
        <x:v>0</x:v>
      </x:c>
      <x:c r="K3445" s="289" t="n">
        <x:v>0</x:v>
      </x:c>
    </x:row>
    <x:row r="3446" s="117" customFormat="1" hidden="1">
      <x:c r="A3446" s="184" t="inlineStr">
        <x:is>
          <x:t xml:space="preserve">Z00001001014</x:t>
        </x:is>
      </x:c>
      <x:c r="B3446" s="184" t="inlineStr">
        <x:is>
          <x:t xml:space="preserve">1299386 EMPAQUETADURA;BA-C DONIT,6 PLG X 1/8 ESP FF C/MANGUITO</x:t>
        </x:is>
      </x:c>
      <x:c r="C3446" s="184" t="n">
        <x:v>0</x:v>
      </x:c>
      <x:c r="D3446" s="184" t="n">
        <x:v>0</x:v>
      </x:c>
      <x:c r="E3446" s="184" t="n">
        <x:v>0</x:v>
      </x:c>
      <x:c r="F3446" s="184" t="n">
        <x:v>0</x:v>
      </x:c>
      <x:c r="G3446" s="184" t="n">
        <x:v>0</x:v>
      </x:c>
      <x:c r="H3446" s="193" t="n">
        <x:v>0</x:v>
      </x:c>
      <x:c r="I3446" s="185" t="n">
        <x:v>0</x:v>
      </x:c>
      <x:c r="J3446" s="185" t="n">
        <x:v>0</x:v>
      </x:c>
      <x:c r="K3446" s="289" t="n">
        <x:v>0</x:v>
      </x:c>
    </x:row>
    <x:row r="3447" s="117" customFormat="1" hidden="1">
      <x:c r="A3447" s="184" t="inlineStr">
        <x:is>
          <x:t xml:space="preserve">Z00001001015</x:t>
        </x:is>
      </x:c>
      <x:c r="B3447" s="184" t="inlineStr">
        <x:is>
          <x:t xml:space="preserve">1230629 TUBERIA FLEX;CUELLO LARGO, NOM 12 IN</x:t>
        </x:is>
      </x:c>
      <x:c r="C3447" s="184" t="n">
        <x:v>0</x:v>
      </x:c>
      <x:c r="D3447" s="184" t="n">
        <x:v>0</x:v>
      </x:c>
      <x:c r="E3447" s="184" t="n">
        <x:v>0</x:v>
      </x:c>
      <x:c r="F3447" s="184" t="n">
        <x:v>0</x:v>
      </x:c>
      <x:c r="G3447" s="184" t="n">
        <x:v>0</x:v>
      </x:c>
      <x:c r="H3447" s="193" t="n">
        <x:v>0</x:v>
      </x:c>
      <x:c r="I3447" s="185" t="n">
        <x:v>0</x:v>
      </x:c>
      <x:c r="J3447" s="185" t="n">
        <x:v>0</x:v>
      </x:c>
      <x:c r="K3447" s="289" t="n">
        <x:v>0</x:v>
      </x:c>
    </x:row>
    <x:row r="3448" s="117" customFormat="1" hidden="1">
      <x:c r="A3448" s="184" t="inlineStr">
        <x:is>
          <x:t xml:space="preserve">Z00001001016</x:t>
        </x:is>
      </x:c>
      <x:c r="B3448" s="184" t="inlineStr">
        <x:is>
          <x:t xml:space="preserve">1121729 TOBERA;POLIPROPILENO,SUPERIOR,UHMW</x:t>
        </x:is>
      </x:c>
      <x:c r="C3448" s="184" t="n">
        <x:v>0</x:v>
      </x:c>
      <x:c r="D3448" s="184" t="n">
        <x:v>0</x:v>
      </x:c>
      <x:c r="E3448" s="184" t="n">
        <x:v>0</x:v>
      </x:c>
      <x:c r="F3448" s="184" t="n">
        <x:v>0</x:v>
      </x:c>
      <x:c r="G3448" s="184" t="n">
        <x:v>0</x:v>
      </x:c>
      <x:c r="H3448" s="193" t="n">
        <x:v>0</x:v>
      </x:c>
      <x:c r="I3448" s="185" t="n">
        <x:v>0</x:v>
      </x:c>
      <x:c r="J3448" s="185" t="n">
        <x:v>0</x:v>
      </x:c>
      <x:c r="K3448" s="289" t="n">
        <x:v>928460</x:v>
      </x:c>
    </x:row>
    <x:row r="3449" s="117" customFormat="1" hidden="1">
      <x:c r="A3449" s="184" t="inlineStr">
        <x:is>
          <x:t xml:space="preserve">Z00001001017</x:t>
        </x:is>
      </x:c>
      <x:c r="B3449" s="184" t="inlineStr">
        <x:is>
          <x:t xml:space="preserve">1130597 EMPAQUETADURA ESPESOR 1/16 PLG DIMENSION 60 PLG X 60 PLG DURLON 9000</x:t>
        </x:is>
      </x:c>
      <x:c r="C3449" s="184" t="n">
        <x:v>0</x:v>
      </x:c>
      <x:c r="D3449" s="184" t="n">
        <x:v>0</x:v>
      </x:c>
      <x:c r="E3449" s="184" t="n">
        <x:v>0</x:v>
      </x:c>
      <x:c r="F3449" s="184" t="n">
        <x:v>0</x:v>
      </x:c>
      <x:c r="G3449" s="184" t="n">
        <x:v>0</x:v>
      </x:c>
      <x:c r="H3449" s="193" t="n">
        <x:v>0</x:v>
      </x:c>
      <x:c r="I3449" s="185" t="n">
        <x:v>0</x:v>
      </x:c>
      <x:c r="J3449" s="185" t="n">
        <x:v>0</x:v>
      </x:c>
      <x:c r="K3449" s="289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.25"/>
  <x:cols>
    <x:col min="1" max="1" width="16.5" style="117" customWidth="1"/>
  </x:cols>
  <x:sheetData>
    <x:row r="1">
      <x:c r="A1" s="73" t="inlineStr">
        <x:is>
          <x:t xml:space="preserve">BOCINA </x:t>
        </x:is>
      </x:c>
      <x:c r="B1" s="73" t="inlineStr">
        <x:is>
          <x:t xml:space="preserve">EXT</x:t>
        </x:is>
      </x:c>
      <x:c r="C1" s="73" t="inlineStr">
        <x:is>
          <x:t xml:space="preserve">INT</x:t>
        </x:is>
      </x:c>
      <x:c r="D1" s="73" t="inlineStr">
        <x:is>
          <x:t xml:space="preserve">LARGO</x:t>
        </x:is>
      </x:c>
    </x:row>
    <x:row r="2">
      <x:c r="A2" s="12" t="inlineStr">
        <x:is>
          <x:t xml:space="preserve">PTFE+GF</x:t>
        </x:is>
      </x:c>
      <x:c r="B2" s="12" t="n">
        <x:v>96</x:v>
      </x:c>
      <x:c r="C2" s="12" t="n">
        <x:v>65</x:v>
      </x:c>
      <x:c r="D2" s="12" t="n">
        <x:v>300</x:v>
      </x:c>
    </x:row>
    <x:row r="3">
      <x:c r="A3" s="12" t="inlineStr">
        <x:is>
          <x:t xml:space="preserve">PTFE+GF</x:t>
        </x:is>
      </x:c>
      <x:c r="B3" s="12" t="n">
        <x:v>135</x:v>
      </x:c>
      <x:c r="C3" s="12" t="n">
        <x:v>80</x:v>
      </x:c>
      <x:c r="D3" s="12" t="n">
        <x:v>300</x:v>
      </x:c>
    </x:row>
    <x:row r="4">
      <x:c r="A4" s="12" t="inlineStr">
        <x:is>
          <x:t xml:space="preserve">PTFE+GF</x:t>
        </x:is>
      </x:c>
      <x:c r="B4" s="12" t="n">
        <x:v>200</x:v>
      </x:c>
      <x:c r="C4" s="12" t="n">
        <x:v>115</x:v>
      </x:c>
      <x:c r="D4" s="12" t="n">
        <x:v>300</x:v>
      </x:c>
    </x:row>
    <x:row r="5">
      <x:c r="A5" s="12" t="inlineStr">
        <x:is>
          <x:t xml:space="preserve">PTFE+GF</x:t>
        </x:is>
      </x:c>
      <x:c r="B5" s="12" t="n">
        <x:v>248</x:v>
      </x:c>
      <x:c r="C5" s="12" t="n">
        <x:v>185</x:v>
      </x:c>
      <x:c r="D5" s="12" t="n">
        <x:v>300</x:v>
      </x:c>
    </x:row>
    <x:row r="6">
      <x:c r="A6" s="12" t="inlineStr">
        <x:is>
          <x:t xml:space="preserve">PTFE+GF</x:t>
        </x:is>
      </x:c>
      <x:c r="B6" s="12" t="n">
        <x:v>325</x:v>
      </x:c>
      <x:c r="C6" s="12" t="n">
        <x:v>245</x:v>
      </x:c>
      <x:c r="D6" s="12" t="n">
        <x:v>250</x:v>
      </x:c>
    </x:row>
    <x:row r="7">
      <x:c r="A7" s="12" t="inlineStr">
        <x:is>
          <x:t xml:space="preserve">BARRA PTFE</x:t>
        </x:is>
      </x:c>
      <x:c r="B7" s="12" t="n">
        <x:v>200</x:v>
      </x:c>
      <x:c r="C7" s="12" t="inlineStr">
        <x:is>
          <x:t xml:space="preserve">N/A</x:t>
        </x:is>
      </x:c>
      <x:c r="D7" s="12" t="n">
        <x:v>300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4.25"/>
  <x:cols>
    <x:col min="1" max="1" width="16.375" style="117" customWidth="1"/>
    <x:col min="2" max="2" width="25.625" style="117" customWidth="1"/>
    <x:col min="3" max="3" width="72" style="117" customWidth="1"/>
    <x:col min="4" max="4" width="12.375" style="117" customWidth="1"/>
    <x:col min="5" max="5" width="18.25" style="117" customWidth="1"/>
    <x:col min="6" max="6" width="12.375" style="117" customWidth="1"/>
    <x:col min="7" max="7" width="19.5" style="117" customWidth="1"/>
    <x:col min="8" max="8" width="22.125" style="117" customWidth="1"/>
    <x:col min="9" max="9" width="22.25" style="117" customWidth="1"/>
    <x:col min="10" max="10" width="17" style="117" customWidth="1"/>
    <x:col min="11" max="11" width="21.375" style="117" customWidth="1"/>
  </x:cols>
  <x:sheetData>
    <x:row r="1">
      <x:c r="A1" s="75" t="inlineStr">
        <x:is>
          <x:t xml:space="preserve">Código</x:t>
        </x:is>
      </x:c>
      <x:c r="B1" s="76" t="inlineStr">
        <x:is>
          <x:t xml:space="preserve">PRODUCTO</x:t>
        </x:is>
      </x:c>
      <x:c r="C1" s="75" t="inlineStr">
        <x:is>
          <x:t xml:space="preserve">Descripción</x:t>
        </x:is>
      </x:c>
      <x:c r="D1" s="76" t="inlineStr">
        <x:is>
          <x:t xml:space="preserve">Salida 2024</x:t>
        </x:is>
      </x:c>
      <x:c r="E1" s="76" t="inlineStr">
        <x:is>
          <x:t xml:space="preserve">MES VENTA 2024</x:t>
        </x:is>
      </x:c>
      <x:c r="F1" s="76" t="inlineStr">
        <x:is>
          <x:t xml:space="preserve">Salida 2025</x:t>
        </x:is>
      </x:c>
      <x:c r="G1" s="76" t="inlineStr">
        <x:is>
          <x:t xml:space="preserve">MES VENTA 2025</x:t>
        </x:is>
      </x:c>
      <x:c r="H1" s="76" t="inlineStr">
        <x:is>
          <x:t xml:space="preserve">ANILLOS A BOC</x:t>
        </x:is>
      </x:c>
      <x:c r="I1" s="76" t="inlineStr">
        <x:is>
          <x:t xml:space="preserve">BOCINAS A COMPRAR</x:t>
        </x:is>
      </x:c>
      <x:c r="J1" s="76" t="inlineStr">
        <x:is>
          <x:t xml:space="preserve">TOTAL ANILLOS</x:t>
        </x:is>
      </x:c>
      <x:c r="K1" s="76" t="inlineStr">
        <x:is>
          <x:t xml:space="preserve">MESES INVENTARIO</x:t>
        </x:is>
      </x:c>
    </x:row>
    <x:row r="2" s="117" customFormat="1" hidden="1">
      <x:c r="A2" s="75" t="inlineStr">
        <x:is>
          <x:t xml:space="preserve">PDTVULTEF041</x:t>
        </x:is>
      </x:c>
      <x:c r="B2" s="75" t="str">
        <x:f>RIGHT(C2,10)</x:f>
        <x:v>A480132000</x:v>
      </x:c>
      <x:c r="C2" s="75" t="inlineStr">
        <x:is>
          <x:t xml:space="preserve">ASH 16X14 ANILLO HIDRAULICO N 32 A480132000</x:t>
        </x:is>
      </x:c>
      <x:c r="D2" s="75" t="n">
        <x:v>15</x:v>
      </x:c>
      <x:c r="E2" s="77" t="n">
        <x:f>D2/12</x:f>
        <x:v>1.25</x:v>
      </x:c>
      <x:c r="F2" s="75" t="n">
        <x:f>VLOOKUP(A2,Hoja6!A:E,5,0)</x:f>
        <x:v>2</x:v>
      </x:c>
      <x:c r="G2" s="77" t="n">
        <x:f>(F2+D2)/17</x:f>
        <x:v>1</x:v>
      </x:c>
      <x:c r="H2" s="75" t="str">
        <x:f>VLOOKUP(B2,Hoja6!G:M,7,0)</x:f>
      </x:c>
      <x:c r="I2" s="75" t="n">
        <x:v>1</x:v>
      </x:c>
      <x:c r="J2" s="78" t="n">
        <x:f>I2*H2</x:f>
        <x:v>0</x:v>
      </x:c>
      <x:c r="K2" s="82" t="n">
        <x:f>J2/G2</x:f>
        <x:v>0</x:v>
      </x:c>
    </x:row>
    <x:row r="3" s="117" customFormat="1" hidden="1">
      <x:c r="A3" s="75" t="inlineStr">
        <x:is>
          <x:t xml:space="preserve">PDTVULTEF011</x:t>
        </x:is>
      </x:c>
      <x:c r="B3" s="75" t="str">
        <x:f>RIGHT(C3,10)</x:f>
        <x:v>A440132001</x:v>
      </x:c>
      <x:c r="C3" s="75" t="inlineStr">
        <x:is>
          <x:t xml:space="preserve">ASH 6X6 SRC ANILLO HIDRAULICO 32 A440132001</x:t>
        </x:is>
      </x:c>
      <x:c r="D3" s="75" t="n">
        <x:v>41</x:v>
      </x:c>
      <x:c r="E3" s="77" t="n">
        <x:f>D3/12</x:f>
        <x:v>3.4166666666666665</x:v>
      </x:c>
      <x:c r="F3" s="75" t="n">
        <x:f>VLOOKUP(A3,Hoja6!A:E,5,0)</x:f>
        <x:v>47</x:v>
      </x:c>
      <x:c r="G3" s="77" t="n">
        <x:f>(F3+D3)/17</x:f>
        <x:v>5.176470588235294</x:v>
      </x:c>
      <x:c r="H3" s="75" t="str">
        <x:f>VLOOKUP(B3,Hoja6!G:M,7,0)</x:f>
      </x:c>
      <x:c r="I3" s="75" t="n">
        <x:v>2</x:v>
      </x:c>
      <x:c r="J3" s="78" t="n">
        <x:f>I3*H3</x:f>
        <x:v>0</x:v>
      </x:c>
      <x:c r="K3" s="82" t="n">
        <x:f>J3/G3</x:f>
        <x:v>0</x:v>
      </x:c>
    </x:row>
    <x:row r="4" s="117" customFormat="1" hidden="1">
      <x:c r="A4" s="75" t="inlineStr">
        <x:is>
          <x:t xml:space="preserve">PDTVULTEF025</x:t>
        </x:is>
      </x:c>
      <x:c r="B4" s="75" t="str">
        <x:f>RIGHT(C4,10)</x:f>
        <x:v>A530132000</x:v>
      </x:c>
      <x:c r="C4" s="75" t="inlineStr">
        <x:is>
          <x:t xml:space="preserve">ASH 26X24 SRC ANILLO HIDRAULICO N 32 A530132000</x:t>
        </x:is>
      </x:c>
      <x:c r="D4" s="75" t="n">
        <x:v>3</x:v>
      </x:c>
      <x:c r="E4" s="77" t="n">
        <x:f>D4/12</x:f>
        <x:v>0.25</x:v>
      </x:c>
      <x:c r="F4" s="75" t="n">
        <x:f>VLOOKUP(A4,Hoja6!A:E,5,0)</x:f>
        <x:v>11</x:v>
      </x:c>
      <x:c r="G4" s="77" t="n">
        <x:f>(F4+D4)/17</x:f>
        <x:v>0.8235294117647058</x:v>
      </x:c>
      <x:c r="H4" s="75" t="str">
        <x:f>VLOOKUP(B4,Hoja6!G:M,7,0)</x:f>
      </x:c>
      <x:c r="I4" s="75" t="n">
        <x:v>3</x:v>
      </x:c>
      <x:c r="J4" s="78" t="n">
        <x:f>I4*H4</x:f>
        <x:v>0</x:v>
      </x:c>
      <x:c r="K4" s="82" t="n">
        <x:f>J4/G4</x:f>
        <x:v>0</x:v>
      </x:c>
    </x:row>
    <x:row r="5" s="117" customFormat="1" hidden="1">
      <x:c r="A5" s="75" t="inlineStr">
        <x:is>
          <x:t xml:space="preserve">PDTVULTEF016</x:t>
        </x:is>
      </x:c>
      <x:c r="B5" s="75" t="str">
        <x:f>RIGHT(C5,10)</x:f>
        <x:v>A460132001</x:v>
      </x:c>
      <x:c r="C5" s="75" t="inlineStr">
        <x:is>
          <x:t xml:space="preserve">ASH 10X10 SRC ANILLO HIDRAULICO 32 A460132001</x:t>
        </x:is>
      </x:c>
      <x:c r="D5" s="75" t="n">
        <x:v>124</x:v>
      </x:c>
      <x:c r="E5" s="77" t="n">
        <x:f>D5/12</x:f>
        <x:v>10.333333333333334</x:v>
      </x:c>
      <x:c r="F5" s="75" t="n">
        <x:f>VLOOKUP(A5,Hoja6!A:E,5,0)</x:f>
        <x:v>28</x:v>
      </x:c>
      <x:c r="G5" s="77" t="n">
        <x:f>(F5+D5)/17</x:f>
        <x:v>8.941176470588236</x:v>
      </x:c>
      <x:c r="H5" s="75" t="str">
        <x:f>VLOOKUP(B5,Hoja6!G:M,7,0)</x:f>
      </x:c>
      <x:c r="I5" s="75" t="n">
        <x:f>VLOOKUP(B5,Hoja6!G:N,8,0)</x:f>
        <x:v>6</x:v>
      </x:c>
      <x:c r="J5" s="78" t="n">
        <x:f>I5*H5</x:f>
        <x:v>0</x:v>
      </x:c>
      <x:c r="K5" s="82" t="n">
        <x:f>J5/G5</x:f>
        <x:v>0</x:v>
      </x:c>
    </x:row>
    <x:row r="6" s="117" customFormat="1" hidden="1">
      <x:c r="A6" s="78" t="inlineStr">
        <x:is>
          <x:t xml:space="preserve">PDTVULTEF006</x:t>
        </x:is>
      </x:c>
      <x:c r="B6" s="75" t="str">
        <x:f>RIGHT(C6,10)</x:f>
        <x:v>A420132001</x:v>
      </x:c>
      <x:c r="C6" s="78" t="inlineStr">
        <x:is>
          <x:t xml:space="preserve">ASH 4X3 SRC  ANILLO HIDRAULICO 32 A420132001</x:t>
        </x:is>
      </x:c>
      <x:c r="D6" s="78" t="n">
        <x:v>92</x:v>
      </x:c>
      <x:c r="E6" s="77" t="n">
        <x:f>D6/12</x:f>
        <x:v>7.666666666666667</x:v>
      </x:c>
      <x:c r="F6" s="75" t="n">
        <x:f>VLOOKUP(A6,Hoja6!A:E,5,0)</x:f>
        <x:v>39</x:v>
      </x:c>
      <x:c r="G6" s="77" t="n">
        <x:f>(F6+D6)/17</x:f>
        <x:v>7.705882352941177</x:v>
      </x:c>
      <x:c r="H6" s="75" t="str">
        <x:f>VLOOKUP(B6,Hoja6!G:M,7,0)</x:f>
      </x:c>
      <x:c r="I6" s="75" t="n">
        <x:f>VLOOKUP(B6,Hoja6!G:N,8,0)</x:f>
        <x:v>6</x:v>
      </x:c>
      <x:c r="J6" s="78" t="n">
        <x:f>I6*H6</x:f>
        <x:v>0</x:v>
      </x:c>
      <x:c r="K6" s="82" t="n">
        <x:f>J6/G6</x:f>
        <x:v>0</x:v>
      </x:c>
    </x:row>
    <x:row r="7" s="117" customFormat="1" hidden="1">
      <x:c r="A7" s="75" t="inlineStr">
        <x:is>
          <x:t xml:space="preserve">PDTVULTEF019</x:t>
        </x:is>
      </x:c>
      <x:c r="B7" s="75" t="str">
        <x:f>RIGHT(C7,10)</x:f>
        <x:v>A470132001</x:v>
      </x:c>
      <x:c r="C7" s="75" t="inlineStr">
        <x:is>
          <x:t xml:space="preserve">ASH 14X12 SRC ANILLO HIDRAULICO 32  A470132001</x:t>
        </x:is>
      </x:c>
      <x:c r="D7" s="75" t="n">
        <x:v>31</x:v>
      </x:c>
      <x:c r="E7" s="77" t="n">
        <x:f>D7/12</x:f>
        <x:v>2.5833333333333335</x:v>
      </x:c>
      <x:c r="F7" s="75" t="n">
        <x:f>VLOOKUP(A7,Hoja6!A:E,5,0)</x:f>
        <x:v>52</x:v>
      </x:c>
      <x:c r="G7" s="77" t="n">
        <x:f>(F7+D7)/17</x:f>
        <x:v>4.882352941176471</x:v>
      </x:c>
      <x:c r="H7" s="75" t="str">
        <x:f>VLOOKUP(B7,Hoja6!G:M,7,0)</x:f>
      </x:c>
      <x:c r="I7" s="75" t="n">
        <x:f>VLOOKUP(B7,Hoja6!G:N,8,0)</x:f>
        <x:v>3</x:v>
      </x:c>
      <x:c r="J7" s="78" t="n">
        <x:f>I7*H7</x:f>
        <x:v>0</x:v>
      </x:c>
      <x:c r="K7" s="82" t="n">
        <x:f>J7/G7</x:f>
        <x:v>0</x:v>
      </x:c>
    </x:row>
    <x:row r="8" s="117" customFormat="1" hidden="1">
      <x:c r="A8" s="75" t="inlineStr">
        <x:is>
          <x:t xml:space="preserve">PDTVULTEF014</x:t>
        </x:is>
      </x:c>
      <x:c r="B8" s="75" t="str">
        <x:f>RIGHT(C8,10)</x:f>
        <x:v>A450132001</x:v>
      </x:c>
      <x:c r="C8" s="75" t="inlineStr">
        <x:is>
          <x:t xml:space="preserve">ASH 8X8 SRC ANILLO HIDRAULICO 32 A450132001</x:t>
        </x:is>
      </x:c>
      <x:c r="D8" s="75" t="n">
        <x:v>117</x:v>
      </x:c>
      <x:c r="E8" s="77" t="n">
        <x:f>D8/12</x:f>
        <x:v>9.75</x:v>
      </x:c>
      <x:c r="F8" s="75" t="n">
        <x:f>VLOOKUP(A8,Hoja6!A:E,5,0)</x:f>
        <x:v>99</x:v>
      </x:c>
      <x:c r="G8" s="77" t="n">
        <x:f>(F8+D8)/17</x:f>
        <x:v>12.705882352941176</x:v>
      </x:c>
      <x:c r="H8" s="75" t="str">
        <x:f>VLOOKUP(B8,Hoja6!G:M,7,0)</x:f>
      </x:c>
      <x:c r="I8" s="75" t="n">
        <x:f>VLOOKUP(B8,Hoja6!G:N,8,0)</x:f>
        <x:v>6</x:v>
      </x:c>
      <x:c r="J8" s="78" t="n">
        <x:f>I8*H8</x:f>
        <x:v>0</x:v>
      </x:c>
      <x:c r="K8" s="82" t="n">
        <x:f>J8/G8</x:f>
        <x:v>0</x:v>
      </x:c>
    </x:row>
    <x:row r="9" s="117" customFormat="1" hidden="1">
      <x:c r="A9" s="75" t="inlineStr">
        <x:is>
          <x:t xml:space="preserve">PDTVULTEF012</x:t>
        </x:is>
      </x:c>
      <x:c r="B9" s="75" t="str">
        <x:f>RIGHT(C9,10)</x:f>
        <x:v>A440232001</x:v>
      </x:c>
      <x:c r="C9" s="75" t="inlineStr">
        <x:is>
          <x:t xml:space="preserve">ASH 6X6 SRH ANILLO HIDRAULICO 32 A440232001</x:t>
        </x:is>
      </x:c>
      <x:c r="D9" s="75" t="n">
        <x:v>326</x:v>
      </x:c>
      <x:c r="E9" s="77" t="n">
        <x:f>D9/12</x:f>
        <x:v>27.166666666666668</x:v>
      </x:c>
      <x:c r="F9" s="75" t="n">
        <x:f>VLOOKUP(A9,Hoja6!A:E,5,0)</x:f>
        <x:v>124</x:v>
      </x:c>
      <x:c r="G9" s="77" t="n">
        <x:f>(F9+D9)/17</x:f>
        <x:v>26.470588235294116</x:v>
      </x:c>
      <x:c r="H9" s="75" t="str">
        <x:f>VLOOKUP(B9,Hoja6!G:M,7,0)</x:f>
      </x:c>
      <x:c r="I9" s="75" t="n">
        <x:v>13</x:v>
      </x:c>
      <x:c r="J9" s="78" t="n">
        <x:f>I9*H9</x:f>
        <x:v>0</x:v>
      </x:c>
      <x:c r="K9" s="82" t="n">
        <x:f>J9/G9</x:f>
        <x:v>0</x:v>
      </x:c>
    </x:row>
    <x:row r="10">
      <x:c r="A10" s="8" t="inlineStr">
        <x:is>
          <x:t xml:space="preserve">PDTVULTEF018</x:t>
        </x:is>
      </x:c>
      <x:c r="B10" s="79" t="str">
        <x:f>RIGHT(C10,10)</x:f>
        <x:v>A460143000</x:v>
      </x:c>
      <x:c r="C10" s="8" t="inlineStr">
        <x:is>
          <x:t xml:space="preserve">ASH 10X10 SRH  EMPAQUETADURA 43   A460143000</x:t>
        </x:is>
      </x:c>
      <x:c r="D10" t="n">
        <x:v>21</x:v>
      </x:c>
      <x:c r="E10" s="80" t="n">
        <x:f>D10/12</x:f>
        <x:v>1.75</x:v>
      </x:c>
      <x:c r="F10" s="30" t="n">
        <x:f>VLOOKUP(A10,Hoja6!A:E,5,0)</x:f>
        <x:v>24</x:v>
      </x:c>
      <x:c r="G10" s="80" t="n">
        <x:f>F10/12</x:f>
        <x:v>2</x:v>
      </x:c>
      <x:c r="H10" s="79" t="e">
        <x:f>VLOOKUP(B10,Hoja6!G:M,7,0)</x:f>
        <x:v>#N/A</x:v>
      </x:c>
      <x:c r="I10" s="30" t="e">
        <x:f>VLOOKUP(B10,Hoja6!G:N,8,0)</x:f>
        <x:v>#N/A</x:v>
      </x:c>
      <x:c r="J10" t="e">
        <x:f>I10*H10</x:f>
        <x:v>#N/A</x:v>
      </x:c>
      <x:c r="K10" s="81" t="e">
        <x:f>J10/G10</x:f>
        <x:v>#N/A</x:v>
      </x:c>
    </x:row>
    <x:row r="11">
      <x:c r="A11" s="8" t="inlineStr">
        <x:is>
          <x:t xml:space="preserve">PDTVULTEF015</x:t>
        </x:is>
      </x:c>
      <x:c r="B11" s="79" t="str">
        <x:f>RIGHT(C11,10)</x:f>
        <x:v>A450143000</x:v>
      </x:c>
      <x:c r="C11" s="8" t="inlineStr">
        <x:is>
          <x:t xml:space="preserve">ASH 8X8 SRH  EMPAQUETADURA 43 A450143000</x:t>
        </x:is>
      </x:c>
      <x:c r="D11" t="n">
        <x:v>14</x:v>
      </x:c>
      <x:c r="E11" s="80" t="n">
        <x:f>D11/12</x:f>
        <x:v>1.1666666666666667</x:v>
      </x:c>
      <x:c r="F11" s="30" t="n">
        <x:f>VLOOKUP(A11,Hoja6!A:E,5,0)</x:f>
        <x:v>12</x:v>
      </x:c>
      <x:c r="G11" s="80" t="n">
        <x:f>F11/12</x:f>
        <x:v>1</x:v>
      </x:c>
      <x:c r="H11" s="79" t="e">
        <x:f>VLOOKUP(B11,Hoja6!G:M,7,0)</x:f>
        <x:v>#N/A</x:v>
      </x:c>
      <x:c r="I11" s="30" t="e">
        <x:f>VLOOKUP(B11,Hoja6!G:N,8,0)</x:f>
        <x:v>#N/A</x:v>
      </x:c>
      <x:c r="J11" t="e">
        <x:f>I11*H11</x:f>
        <x:v>#N/A</x:v>
      </x:c>
      <x:c r="K11" s="81" t="e">
        <x:f>J11/G11</x:f>
        <x:v>#N/A</x:v>
      </x:c>
    </x:row>
    <x:row r="12">
      <x:c r="A12" s="8" t="inlineStr">
        <x:is>
          <x:t xml:space="preserve">PDTVULTEF002</x:t>
        </x:is>
      </x:c>
      <x:c r="B12" s="79" t="str">
        <x:f>RIGHT(C12,10)</x:f>
        <x:v>A400132001</x:v>
      </x:c>
      <x:c r="C12" s="8" t="inlineStr">
        <x:is>
          <x:t xml:space="preserve">ASH 2X1.1/2 SRH ANILLO  HIDRAULICO 32 A400132001</x:t>
        </x:is>
      </x:c>
      <x:c r="D12" t="n">
        <x:v>4</x:v>
      </x:c>
      <x:c r="E12" s="80" t="n">
        <x:f>D12/12</x:f>
        <x:v>0.3333333333333333</x:v>
      </x:c>
      <x:c r="F12" s="30" t="n">
        <x:f>VLOOKUP(A12,Hoja6!A:E,5,0)</x:f>
        <x:v>11</x:v>
      </x:c>
      <x:c r="G12" s="80" t="n">
        <x:f>F12/12</x:f>
        <x:v>0.9166666666666666</x:v>
      </x:c>
      <x:c r="H12" s="79" t="e">
        <x:f>VLOOKUP(B12,Hoja6!G:M,7,0)</x:f>
        <x:v>#N/A</x:v>
      </x:c>
      <x:c r="I12" s="30" t="e">
        <x:f>VLOOKUP(B12,Hoja6!G:N,8,0)</x:f>
        <x:v>#N/A</x:v>
      </x:c>
      <x:c r="J12" t="e">
        <x:f>I12*H12</x:f>
        <x:v>#N/A</x:v>
      </x:c>
      <x:c r="K12" s="81" t="e">
        <x:f>J12/G12</x:f>
        <x:v>#N/A</x:v>
      </x:c>
    </x:row>
    <x:row r="13" s="78" customFormat="1" hidden="1">
      <x:c r="A13" s="78" t="inlineStr">
        <x:is>
          <x:t xml:space="preserve">PDTVULTEF010</x:t>
        </x:is>
      </x:c>
      <x:c r="B13" s="75" t="str">
        <x:f>RIGHT(C13,10)</x:f>
        <x:v>A430232001</x:v>
      </x:c>
      <x:c r="C13" s="78" t="inlineStr">
        <x:is>
          <x:t xml:space="preserve">ASH 5X4 SRH ANILLO HIDRAULICO 32 A430232001</x:t>
        </x:is>
      </x:c>
      <x:c r="D13" s="78" t="n">
        <x:v>132</x:v>
      </x:c>
      <x:c r="E13" s="77" t="n">
        <x:f>D13/12</x:f>
        <x:v>11</x:v>
      </x:c>
      <x:c r="F13" s="75" t="n">
        <x:f>VLOOKUP(A13,Hoja6!A:E,5,0)</x:f>
        <x:v>38</x:v>
      </x:c>
      <x:c r="G13" s="77" t="n">
        <x:f>(F13+D13)/17</x:f>
        <x:v>10</x:v>
      </x:c>
      <x:c r="H13" s="75" t="str">
        <x:f>VLOOKUP(B13,Hoja6!G:M,7,0)</x:f>
      </x:c>
      <x:c r="I13" s="75" t="n">
        <x:v>4</x:v>
      </x:c>
      <x:c r="J13" s="78" t="n">
        <x:f>I13*H13</x:f>
        <x:v>0</x:v>
      </x:c>
      <x:c r="K13" s="82" t="n">
        <x:f>J13/G13</x:f>
        <x:v>0</x:v>
      </x:c>
    </x:row>
    <x:row r="14">
      <x:c r="A14" s="8" t="inlineStr">
        <x:is>
          <x:t xml:space="preserve">PDTVULTEF004</x:t>
        </x:is>
      </x:c>
      <x:c r="B14" s="79" t="str">
        <x:f>RIGHT(C14,10)</x:f>
        <x:v>A410132001</x:v>
      </x:c>
      <x:c r="C14" s="8" t="inlineStr">
        <x:is>
          <x:t xml:space="preserve">ASH 2.1/2X2 SRH ANILLO  HIDRAULICO 32 A410132001</x:t>
        </x:is>
      </x:c>
      <x:c r="D14" t="n">
        <x:v>23</x:v>
      </x:c>
      <x:c r="E14" s="80" t="n">
        <x:f>D14/12</x:f>
        <x:v>1.9166666666666667</x:v>
      </x:c>
      <x:c r="F14" s="30" t="n">
        <x:f>VLOOKUP(A14,Hoja6!A:E,5,0)</x:f>
        <x:v>10</x:v>
      </x:c>
      <x:c r="G14" s="80" t="n">
        <x:f>F14/12</x:f>
        <x:v>0.8333333333333334</x:v>
      </x:c>
      <x:c r="H14" s="79" t="e">
        <x:f>VLOOKUP(B14,Hoja6!G:M,7,0)</x:f>
        <x:v>#N/A</x:v>
      </x:c>
      <x:c r="I14" s="30" t="e">
        <x:f>VLOOKUP(B14,Hoja6!G:N,8,0)</x:f>
        <x:v>#N/A</x:v>
      </x:c>
      <x:c r="J14" t="e">
        <x:f>I14*H14</x:f>
        <x:v>#N/A</x:v>
      </x:c>
      <x:c r="K14" s="81" t="e">
        <x:f>J14/G14</x:f>
        <x:v>#N/A</x:v>
      </x:c>
    </x:row>
    <x:row r="15">
      <x:c r="A15" s="8" t="inlineStr">
        <x:is>
          <x:t xml:space="preserve">PDTVULTEF008</x:t>
        </x:is>
      </x:c>
      <x:c r="B15" s="79" t="str">
        <x:f>RIGHT(C15,10)</x:f>
        <x:v>A430132001</x:v>
      </x:c>
      <x:c r="C15" s="8" t="inlineStr">
        <x:is>
          <x:t xml:space="preserve">ASH 5X4 ANILLO HIDRAULICO 32 A430132001</x:t>
        </x:is>
      </x:c>
      <x:c r="D15" t="n">
        <x:v>29</x:v>
      </x:c>
      <x:c r="E15" s="80" t="n">
        <x:f>D15/12</x:f>
        <x:v>2.4166666666666665</x:v>
      </x:c>
      <x:c r="F15" s="30" t="n">
        <x:f>VLOOKUP(A15,Hoja6!A:E,5,0)</x:f>
        <x:v>8</x:v>
      </x:c>
      <x:c r="G15" s="80" t="n">
        <x:f>F15/12</x:f>
        <x:v>0.6666666666666666</x:v>
      </x:c>
      <x:c r="H15" s="79" t="e">
        <x:f>VLOOKUP(B15,Hoja6!G:M,7,0)</x:f>
        <x:v>#N/A</x:v>
      </x:c>
      <x:c r="I15" s="30" t="e">
        <x:f>VLOOKUP(B15,Hoja6!G:N,8,0)</x:f>
        <x:v>#N/A</x:v>
      </x:c>
      <x:c r="J15" t="e">
        <x:f>I15*H15</x:f>
        <x:v>#N/A</x:v>
      </x:c>
      <x:c r="K15" s="81" t="e">
        <x:f>J15/G15</x:f>
        <x:v>#N/A</x:v>
      </x:c>
    </x:row>
    <x:row r="16">
      <x:c r="A16" t="inlineStr">
        <x:is>
          <x:t xml:space="preserve">PDTVULTEF028</x:t>
        </x:is>
      </x:c>
      <x:c r="B16" s="30" t="str">
        <x:f>RIGHT(C16,10)</x:f>
        <x:v>0407711000</x:v>
      </x:c>
      <x:c r="C16" t="inlineStr">
        <x:is>
          <x:t xml:space="preserve">BGH 4X6 ANILLO LINTERNA B0407711000</x:t>
        </x:is>
      </x:c>
      <x:c r="D16" t="n">
        <x:v>15</x:v>
      </x:c>
      <x:c r="E16" s="74" t="n">
        <x:f>D16/12</x:f>
        <x:v>1.25</x:v>
      </x:c>
      <x:c r="F16" s="30" t="n">
        <x:f>VLOOKUP(A16,Hoja6!A:E,5,0)</x:f>
        <x:v>4</x:v>
      </x:c>
      <x:c r="G16" s="74" t="n">
        <x:f>F16/12</x:f>
        <x:v>0.3333333333333333</x:v>
      </x:c>
      <x:c r="H16" s="30" t="e">
        <x:f>VLOOKUP(B16,Hoja6!G:M,7,0)</x:f>
        <x:v>#N/A</x:v>
      </x:c>
      <x:c r="I16" s="30" t="e">
        <x:f>VLOOKUP(B16,Hoja6!G:N,8,0)</x:f>
        <x:v>#N/A</x:v>
      </x:c>
      <x:c r="J16" t="e">
        <x:f>I16*H16</x:f>
        <x:v>#N/A</x:v>
      </x:c>
      <x:c r="K16" s="81" t="e">
        <x:f>J16/G16</x:f>
        <x:v>#N/A</x:v>
      </x:c>
    </x:row>
    <x:row r="17">
      <x:c r="A17" t="inlineStr">
        <x:is>
          <x:t xml:space="preserve">PDTVULTEF013</x:t>
        </x:is>
      </x:c>
      <x:c r="B17" s="30" t="str">
        <x:f>RIGHT(C17,10)</x:f>
        <x:v>A440143000</x:v>
      </x:c>
      <x:c r="C17" t="inlineStr">
        <x:is>
          <x:t xml:space="preserve">ASH 6X6 SRH  EMPAQUETADURA 43 A440143000</x:t>
        </x:is>
      </x:c>
      <x:c r="D17" t="n">
        <x:v>2</x:v>
      </x:c>
      <x:c r="E17" s="74" t="n">
        <x:f>D17/12</x:f>
        <x:v>0.16666666666666666</x:v>
      </x:c>
      <x:c r="F17" s="30" t="n">
        <x:f>VLOOKUP(A17,Hoja6!A:E,5,0)</x:f>
        <x:v>3</x:v>
      </x:c>
      <x:c r="G17" s="74" t="n">
        <x:f>F17/12</x:f>
        <x:v>0.25</x:v>
      </x:c>
      <x:c r="H17" s="30" t="e">
        <x:f>VLOOKUP(B17,Hoja6!G:M,7,0)</x:f>
        <x:v>#N/A</x:v>
      </x:c>
      <x:c r="I17" s="30" t="e">
        <x:f>VLOOKUP(B17,Hoja6!G:N,8,0)</x:f>
        <x:v>#N/A</x:v>
      </x:c>
      <x:c r="J17" t="e">
        <x:f>I17*H17</x:f>
        <x:v>#N/A</x:v>
      </x:c>
      <x:c r="K17" s="81" t="e">
        <x:f>J17/G17</x:f>
        <x:v>#N/A</x:v>
      </x:c>
    </x:row>
    <x:row r="18">
      <x:c r="A18" t="inlineStr">
        <x:is>
          <x:t xml:space="preserve">PDTVULTEF042</x:t>
        </x:is>
      </x:c>
      <x:c r="B18" s="30" t="str">
        <x:f>RIGHT(C18,10)</x:f>
        <x:v>B060722000</x:v>
      </x:c>
      <x:c r="C18" t="inlineStr">
        <x:is>
          <x:t xml:space="preserve">BGH 6X8 ANILLO LINTERNA B060722000</x:t>
        </x:is>
      </x:c>
      <x:c r="D18" t="n">
        <x:v>0</x:v>
      </x:c>
      <x:c r="E18" s="74" t="n">
        <x:f>D18/12</x:f>
        <x:v>0</x:v>
      </x:c>
      <x:c r="F18" s="30" t="n">
        <x:f>VLOOKUP(A18,Hoja6!A:E,5,0)</x:f>
        <x:v>3</x:v>
      </x:c>
      <x:c r="G18" s="74" t="n">
        <x:f>F18/12</x:f>
        <x:v>0.25</x:v>
      </x:c>
      <x:c r="H18" s="30" t="e">
        <x:f>VLOOKUP(B18,Hoja6!G:M,7,0)</x:f>
        <x:v>#N/A</x:v>
      </x:c>
      <x:c r="I18" s="30" t="e">
        <x:f>VLOOKUP(B18,Hoja6!G:N,8,0)</x:f>
        <x:v>#N/A</x:v>
      </x:c>
      <x:c r="J18" t="e">
        <x:f>I18*H18</x:f>
        <x:v>#N/A</x:v>
      </x:c>
      <x:c r="K18" s="81" t="e">
        <x:f>J18/G18</x:f>
        <x:v>#N/A</x:v>
      </x:c>
    </x:row>
    <x:row r="19">
      <x:c r="A19" t="inlineStr">
        <x:is>
          <x:t xml:space="preserve">PDTVULTEF040</x:t>
        </x:is>
      </x:c>
      <x:c r="B19" s="30" t="str">
        <x:f>RIGHT(C19,10)</x:f>
        <x:v>A490232004</x:v>
      </x:c>
      <x:c r="C19" t="inlineStr">
        <x:is>
          <x:t xml:space="preserve">ASH 18X16 SRH ANILLO HIDRAULICO 32  TRIXALON NEGRO  A490232004</x:t>
        </x:is>
      </x:c>
      <x:c r="D19" t="n">
        <x:v>6</x:v>
      </x:c>
      <x:c r="E19" s="74" t="n">
        <x:f>D19/12</x:f>
        <x:v>0.5</x:v>
      </x:c>
      <x:c r="F19" s="30" t="n">
        <x:f>VLOOKUP(A19,Hoja6!A:E,5,0)</x:f>
        <x:v>2</x:v>
      </x:c>
      <x:c r="G19" s="74" t="n">
        <x:f>F19/12</x:f>
        <x:v>0.16666666666666666</x:v>
      </x:c>
      <x:c r="H19" s="30" t="e">
        <x:f>VLOOKUP(B19,Hoja6!G:M,7,0)</x:f>
        <x:v>#N/A</x:v>
      </x:c>
      <x:c r="I19" s="30" t="e">
        <x:f>VLOOKUP(B19,Hoja6!G:N,8,0)</x:f>
        <x:v>#N/A</x:v>
      </x:c>
      <x:c r="J19" t="e">
        <x:f>I19*H19</x:f>
        <x:v>#N/A</x:v>
      </x:c>
      <x:c r="K19" s="81" t="e">
        <x:f>J19/G19</x:f>
        <x:v>#N/A</x:v>
      </x:c>
    </x:row>
    <x:row r="20" s="78" customFormat="1" hidden="1">
      <x:c r="A20" s="78" t="inlineStr">
        <x:is>
          <x:t xml:space="preserve">PDTVULTEF023</x:t>
        </x:is>
      </x:c>
      <x:c r="B20" s="75" t="str">
        <x:f>RIGHT(C20,10)</x:f>
        <x:v>A490232001</x:v>
      </x:c>
      <x:c r="C20" s="78" t="inlineStr">
        <x:is>
          <x:t xml:space="preserve">ASH 18X16 SRH ANILLO HIDRAULICO 32  A490232001</x:t>
        </x:is>
      </x:c>
      <x:c r="D20" s="78" t="n">
        <x:v>144</x:v>
      </x:c>
      <x:c r="E20" s="77" t="n">
        <x:f>D20/12</x:f>
        <x:v>12</x:v>
      </x:c>
      <x:c r="F20" s="75" t="n">
        <x:f>VLOOKUP(A20,Hoja6!A:E,5,0)</x:f>
        <x:v>85</x:v>
      </x:c>
      <x:c r="G20" s="77" t="n">
        <x:f>(F20+D20)/17</x:f>
        <x:v>13.470588235294118</x:v>
      </x:c>
      <x:c r="H20" s="75" t="str">
        <x:f>VLOOKUP(B20,Hoja6!G:M,7,0)</x:f>
      </x:c>
      <x:c r="I20" s="75" t="n">
        <x:f>VLOOKUP(B20,Hoja6!G:N,8,0)</x:f>
        <x:v>6</x:v>
      </x:c>
      <x:c r="J20" s="78" t="n">
        <x:f>I20*H20</x:f>
        <x:v>0</x:v>
      </x:c>
      <x:c r="K20" s="82" t="n">
        <x:f>J20/G20</x:f>
        <x:v>0</x:v>
      </x:c>
    </x:row>
    <x:row r="21" s="117" customFormat="1" hidden="1">
      <x:c r="A21" t="inlineStr">
        <x:is>
          <x:t xml:space="preserve">PDTVULTEF005</x:t>
        </x:is>
      </x:c>
      <x:c r="B21" s="30" t="str">
        <x:f>RIGHT(C21,10)</x:f>
        <x:v>B030771100</x:v>
      </x:c>
      <x:c r="C21" t="inlineStr">
        <x:is>
          <x:t xml:space="preserve">BGH 3X4 ANILLO LINTERNA B030771100</x:t>
        </x:is>
      </x:c>
      <x:c r="D21" t="n">
        <x:v>9</x:v>
      </x:c>
      <x:c r="E21" s="74" t="n">
        <x:f>D21/12</x:f>
        <x:v>0.75</x:v>
      </x:c>
      <x:c r="F21" s="30" t="n">
        <x:f>VLOOKUP(A21,Hoja6!A:E,5,0)</x:f>
        <x:v>0</x:v>
      </x:c>
      <x:c r="G21" s="74" t="n">
        <x:f>F21/12</x:f>
        <x:v>0</x:v>
      </x:c>
      <x:c r="H21" s="30" t="e">
        <x:f>VLOOKUP(B21,Hoja6!G:M,7,0)</x:f>
        <x:v>#N/A</x:v>
      </x:c>
      <x:c r="I21" s="30" t="e">
        <x:f>VLOOKUP(B21,Hoja6!G:N,8,0)</x:f>
        <x:v>#N/A</x:v>
      </x:c>
      <x:c r="J21" t="e">
        <x:f>I21*H21</x:f>
        <x:v>#N/A</x:v>
      </x:c>
      <x:c r="K21" s="81" t="e">
        <x:f>J21/G21</x:f>
        <x:v>#N/A</x:v>
      </x:c>
    </x:row>
    <x:row r="22" s="117" customFormat="1" hidden="1">
      <x:c r="A22" t="inlineStr">
        <x:is>
          <x:t xml:space="preserve">PDTVULTEF039</x:t>
        </x:is>
      </x:c>
      <x:c r="B22" s="30" t="str">
        <x:f>RIGHT(C22,10)</x:f>
        <x:v>A410143000</x:v>
      </x:c>
      <x:c r="C22" t="inlineStr">
        <x:is>
          <x:t xml:space="preserve">ASH 2.1/2X2 SRH EMPAQUETADURA N 43 A410143000</x:t>
        </x:is>
      </x:c>
      <x:c r="D22" t="n">
        <x:v>7</x:v>
      </x:c>
      <x:c r="E22" s="74" t="n">
        <x:f>D22/12</x:f>
        <x:v>0.5833333333333334</x:v>
      </x:c>
      <x:c r="F22" s="30" t="n">
        <x:f>VLOOKUP(A22,Hoja6!A:E,5,0)</x:f>
        <x:v>0</x:v>
      </x:c>
      <x:c r="G22" s="74" t="n">
        <x:f>F22/12</x:f>
        <x:v>0</x:v>
      </x:c>
      <x:c r="H22" s="30" t="e">
        <x:f>VLOOKUP(B22,Hoja6!G:M,7,0)</x:f>
        <x:v>#N/A</x:v>
      </x:c>
      <x:c r="I22" s="30" t="e">
        <x:f>VLOOKUP(B22,Hoja6!G:N,8,0)</x:f>
        <x:v>#N/A</x:v>
      </x:c>
      <x:c r="J22" t="e">
        <x:f>I22*H22</x:f>
        <x:v>#N/A</x:v>
      </x:c>
      <x:c r="K22" s="81" t="e">
        <x:f>J22/G22</x:f>
        <x:v>#N/A</x:v>
      </x:c>
    </x:row>
    <x:row r="23" s="117" customFormat="1" hidden="1">
      <x:c r="A23" t="inlineStr">
        <x:is>
          <x:t xml:space="preserve">PDTVULTEF007</x:t>
        </x:is>
      </x:c>
      <x:c r="B23" s="30" t="str">
        <x:f>RIGHT(C23,10)</x:f>
        <x:v>A420143000</x:v>
      </x:c>
      <x:c r="C23" t="inlineStr">
        <x:is>
          <x:t xml:space="preserve">ASH 4X3 SRH EMPAQUETADURA 43 A420143000</x:t>
        </x:is>
      </x:c>
      <x:c r="D23" t="n">
        <x:v>6</x:v>
      </x:c>
      <x:c r="E23" s="74" t="n">
        <x:f>D23/12</x:f>
        <x:v>0.5</x:v>
      </x:c>
      <x:c r="F23" s="30" t="n">
        <x:f>VLOOKUP(A23,Hoja6!A:E,5,0)</x:f>
        <x:v>0</x:v>
      </x:c>
      <x:c r="G23" s="74" t="n">
        <x:f>F23/12</x:f>
        <x:v>0</x:v>
      </x:c>
      <x:c r="H23" s="30" t="e">
        <x:f>VLOOKUP(B23,Hoja6!G:M,7,0)</x:f>
        <x:v>#N/A</x:v>
      </x:c>
      <x:c r="I23" s="30" t="e">
        <x:f>VLOOKUP(B23,Hoja6!G:N,8,0)</x:f>
        <x:v>#N/A</x:v>
      </x:c>
      <x:c r="J23" t="e">
        <x:f>I23*H23</x:f>
        <x:v>#N/A</x:v>
      </x:c>
      <x:c r="K23" s="81" t="e">
        <x:f>J23/G23</x:f>
        <x:v>#N/A</x:v>
      </x:c>
    </x:row>
    <x:row r="24" s="117" customFormat="1" hidden="1">
      <x:c r="A24" t="inlineStr">
        <x:is>
          <x:t xml:space="preserve">PDTVULTEF030</x:t>
        </x:is>
      </x:c>
      <x:c r="B24" s="30" t="str">
        <x:f>RIGHT(C24,17)</x:f>
        <x:v>A3-110-104001 R.5</x:v>
      </x:c>
      <x:c r="C24" t="inlineStr">
        <x:is>
          <x:t xml:space="preserve">RESTRICTOR ANILLO LINTERNA B118-1P50  A3-110-104001 R.5</x:t>
        </x:is>
      </x:c>
      <x:c r="D24" t="n">
        <x:v>1</x:v>
      </x:c>
      <x:c r="E24" s="74" t="n">
        <x:f>D24/12</x:f>
        <x:v>0.08333333333333333</x:v>
      </x:c>
      <x:c r="F24" s="30" t="n">
        <x:f>VLOOKUP(A24,Hoja6!A:E,5,0)</x:f>
        <x:v>0</x:v>
      </x:c>
      <x:c r="G24" s="74" t="n">
        <x:f>F24/12</x:f>
        <x:v>0</x:v>
      </x:c>
      <x:c r="H24" s="30" t="e">
        <x:f>VLOOKUP(B24,Hoja6!G:M,7,0)</x:f>
        <x:v>#N/A</x:v>
      </x:c>
      <x:c r="I24" s="30" t="e">
        <x:f>VLOOKUP(B24,Hoja6!G:N,8,0)</x:f>
        <x:v>#N/A</x:v>
      </x:c>
      <x:c r="J24" t="e">
        <x:f>I24*H24</x:f>
        <x:v>#N/A</x:v>
      </x:c>
      <x:c r="K24" s="81" t="e">
        <x:f>J24/G24</x:f>
        <x:v>#N/A</x:v>
      </x:c>
    </x:row>
    <x:row r="25" s="78" customFormat="1" hidden="1">
      <x:c r="A25" s="83" t="inlineStr">
        <x:is>
          <x:t xml:space="preserve">PDTVULTEF021</x:t>
        </x:is>
      </x:c>
      <x:c r="B25" s="84" t="str">
        <x:f>RIGHT(C25,10)</x:f>
        <x:v>A480232001</x:v>
      </x:c>
      <x:c r="C25" s="83" t="inlineStr">
        <x:is>
          <x:t xml:space="preserve">ASH 16X14 SRH ANILLO HIDRAULICO 32  A480232001</x:t>
        </x:is>
      </x:c>
      <x:c r="D25" s="83" t="n">
        <x:v>17</x:v>
      </x:c>
      <x:c r="E25" s="85" t="n">
        <x:f>D25/12</x:f>
        <x:v>1.4166666666666667</x:v>
      </x:c>
      <x:c r="F25" s="84" t="n">
        <x:f>VLOOKUP(A25,Hoja6!A:E,5,0)</x:f>
        <x:v>0</x:v>
      </x:c>
      <x:c r="G25" s="85" t="n">
        <x:f>F25/12</x:f>
        <x:v>0</x:v>
      </x:c>
      <x:c r="H25" s="84" t="str">
        <x:f>VLOOKUP(B25,Hoja6!G:M,7,0)</x:f>
      </x:c>
      <x:c r="I25" s="84" t="n">
        <x:f>VLOOKUP(B25,Hoja6!G:N,8,0)</x:f>
        <x:v>10</x:v>
      </x:c>
      <x:c r="J25" s="83" t="n">
        <x:f>I25*H25</x:f>
        <x:v>0</x:v>
      </x:c>
      <x:c r="K25" s="86" t="e">
        <x:f>J25/G25</x:f>
        <x:v>#DIV/0!</x:v>
      </x:c>
    </x:row>
    <x:row r="26" s="117" customFormat="1" hidden="1">
      <x:c r="A26" t="inlineStr">
        <x:is>
          <x:t xml:space="preserve">PDTVULTEF003</x:t>
        </x:is>
      </x:c>
      <x:c r="B26" s="30" t="str">
        <x:f>RIGHT(C26,10)</x:f>
        <x:v>A400143000</x:v>
      </x:c>
      <x:c r="C26" t="inlineStr">
        <x:is>
          <x:t xml:space="preserve">ASH 2X1.1/2 SRC EMPAQUETADURA 43 A400143000</x:t>
        </x:is>
      </x:c>
      <x:c r="D26" t="n">
        <x:v>0</x:v>
      </x:c>
      <x:c r="E26" s="74" t="n">
        <x:f>D26/12</x:f>
        <x:v>0</x:v>
      </x:c>
      <x:c r="F26" s="30" t="n">
        <x:f>VLOOKUP(A26,Hoja6!A:E,5,0)</x:f>
        <x:v>0</x:v>
      </x:c>
      <x:c r="G26" s="74" t="n">
        <x:f>F26/12</x:f>
        <x:v>0</x:v>
      </x:c>
      <x:c r="H26" s="30" t="e">
        <x:f>VLOOKUP(B26,Hoja6!G:M,7,0)</x:f>
        <x:v>#N/A</x:v>
      </x:c>
      <x:c r="I26" s="30" t="e">
        <x:f>VLOOKUP(B26,Hoja6!G:N,8,0)</x:f>
        <x:v>#N/A</x:v>
      </x:c>
      <x:c r="J26" t="e">
        <x:f>I26*H26</x:f>
        <x:v>#N/A</x:v>
      </x:c>
      <x:c r="K26" s="81" t="e">
        <x:f>J26/G26</x:f>
        <x:v>#N/A</x:v>
      </x:c>
    </x:row>
    <x:row r="27" s="117" customFormat="1" hidden="1">
      <x:c r="A27" t="inlineStr">
        <x:is>
          <x:t xml:space="preserve">PDTVULTEF009</x:t>
        </x:is>
      </x:c>
      <x:c r="B27" s="30" t="str">
        <x:f>RIGHT(C27,10)</x:f>
        <x:v>A430143000</x:v>
      </x:c>
      <x:c r="C27" t="inlineStr">
        <x:is>
          <x:t xml:space="preserve">ASH 5X4 SRH EMPAQUETADURA 43 A430143000</x:t>
        </x:is>
      </x:c>
      <x:c r="D27" t="n">
        <x:v>0</x:v>
      </x:c>
      <x:c r="E27" s="74" t="n">
        <x:f>D27/12</x:f>
        <x:v>0</x:v>
      </x:c>
      <x:c r="F27" s="30" t="n">
        <x:f>VLOOKUP(A27,Hoja6!A:E,5,0)</x:f>
        <x:v>0</x:v>
      </x:c>
      <x:c r="G27" s="74" t="n">
        <x:f>F27/12</x:f>
        <x:v>0</x:v>
      </x:c>
      <x:c r="H27" s="30" t="e">
        <x:f>VLOOKUP(B27,Hoja6!G:M,7,0)</x:f>
        <x:v>#N/A</x:v>
      </x:c>
      <x:c r="I27" s="30" t="e">
        <x:f>VLOOKUP(B27,Hoja6!G:N,8,0)</x:f>
        <x:v>#N/A</x:v>
      </x:c>
      <x:c r="J27" t="e">
        <x:f>I27*H27</x:f>
        <x:v>#N/A</x:v>
      </x:c>
      <x:c r="K27" s="81" t="e">
        <x:f>J27/G27</x:f>
        <x:v>#N/A</x:v>
      </x:c>
    </x:row>
    <x:row r="28" s="117" customFormat="1" hidden="1">
      <x:c r="A28" t="inlineStr">
        <x:is>
          <x:t xml:space="preserve">PDTVULTEF017</x:t>
        </x:is>
      </x:c>
      <x:c r="B28" s="30" t="str">
        <x:f>RIGHT(C28,10)</x:f>
        <x:v>A460132002</x:v>
      </x:c>
      <x:c r="C28" t="inlineStr">
        <x:is>
          <x:t xml:space="preserve">ASH 10X10 SRC ANILLO HIDRAULICO 32 500 PSI A460132002</x:t>
        </x:is>
      </x:c>
      <x:c r="D28" t="n">
        <x:v>0</x:v>
      </x:c>
      <x:c r="E28" s="74" t="n">
        <x:f>D28/12</x:f>
        <x:v>0</x:v>
      </x:c>
      <x:c r="F28" s="30" t="n">
        <x:f>VLOOKUP(A28,Hoja6!A:E,5,0)</x:f>
        <x:v>0</x:v>
      </x:c>
      <x:c r="G28" s="74" t="n">
        <x:f>F28/12</x:f>
        <x:v>0</x:v>
      </x:c>
      <x:c r="H28" s="30" t="e">
        <x:f>VLOOKUP(B28,Hoja6!G:M,7,0)</x:f>
        <x:v>#N/A</x:v>
      </x:c>
      <x:c r="I28" s="30" t="e">
        <x:f>VLOOKUP(B28,Hoja6!G:N,8,0)</x:f>
        <x:v>#N/A</x:v>
      </x:c>
      <x:c r="J28" t="e">
        <x:f>I28*H28</x:f>
        <x:v>#N/A</x:v>
      </x:c>
      <x:c r="K28" s="81" t="e">
        <x:f>J28/G28</x:f>
        <x:v>#N/A</x:v>
      </x:c>
    </x:row>
    <x:row r="29" s="117" customFormat="1" hidden="1">
      <x:c r="A29" t="inlineStr">
        <x:is>
          <x:t xml:space="preserve">PDTVULTEF020</x:t>
        </x:is>
      </x:c>
      <x:c r="B29" s="30" t="str">
        <x:f>RIGHT(C29,10)</x:f>
        <x:v>A470143000</x:v>
      </x:c>
      <x:c r="C29" t="inlineStr">
        <x:is>
          <x:t xml:space="preserve">ASH 14X12 SRC EMPAQUETADURA 43 A470143000</x:t>
        </x:is>
      </x:c>
      <x:c r="D29" t="n">
        <x:v>0</x:v>
      </x:c>
      <x:c r="E29" s="74" t="n">
        <x:f>D29/12</x:f>
        <x:v>0</x:v>
      </x:c>
      <x:c r="F29" s="30" t="n">
        <x:f>VLOOKUP(A29,Hoja6!A:E,5,0)</x:f>
        <x:v>0</x:v>
      </x:c>
      <x:c r="G29" s="74" t="n">
        <x:f>F29/12</x:f>
        <x:v>0</x:v>
      </x:c>
      <x:c r="H29" s="30" t="e">
        <x:f>VLOOKUP(B29,Hoja6!G:M,7,0)</x:f>
        <x:v>#N/A</x:v>
      </x:c>
      <x:c r="I29" s="30" t="e">
        <x:f>VLOOKUP(B29,Hoja6!G:N,8,0)</x:f>
        <x:v>#N/A</x:v>
      </x:c>
      <x:c r="J29" t="e">
        <x:f>I29*H29</x:f>
        <x:v>#N/A</x:v>
      </x:c>
      <x:c r="K29" s="81" t="e">
        <x:f>J29/G29</x:f>
        <x:v>#N/A</x:v>
      </x:c>
    </x:row>
    <x:row r="30" s="117" customFormat="1" hidden="1">
      <x:c r="A30" t="inlineStr">
        <x:is>
          <x:t xml:space="preserve">PDTVULTEF022</x:t>
        </x:is>
      </x:c>
      <x:c r="B30" s="30" t="str">
        <x:f>RIGHT(C30,10)</x:f>
        <x:v>A480143000</x:v>
      </x:c>
      <x:c r="C30" t="inlineStr">
        <x:is>
          <x:t xml:space="preserve">ASH 16X14 SRC  EMPAQUETADURA 43 A480143000</x:t>
        </x:is>
      </x:c>
      <x:c r="D30" t="n">
        <x:v>0</x:v>
      </x:c>
      <x:c r="E30" s="74" t="n">
        <x:f>D30/12</x:f>
        <x:v>0</x:v>
      </x:c>
      <x:c r="F30" s="30" t="n">
        <x:f>VLOOKUP(A30,Hoja6!A:E,5,0)</x:f>
        <x:v>0</x:v>
      </x:c>
      <x:c r="G30" s="74" t="n">
        <x:f>F30/12</x:f>
        <x:v>0</x:v>
      </x:c>
      <x:c r="H30" s="30" t="e">
        <x:f>VLOOKUP(B30,Hoja6!G:M,7,0)</x:f>
        <x:v>#N/A</x:v>
      </x:c>
      <x:c r="I30" s="30" t="e">
        <x:f>VLOOKUP(B30,Hoja6!G:N,8,0)</x:f>
        <x:v>#N/A</x:v>
      </x:c>
      <x:c r="J30" t="e">
        <x:f>I30*H30</x:f>
        <x:v>#N/A</x:v>
      </x:c>
      <x:c r="K30" s="81" t="e">
        <x:f>J30/G30</x:f>
        <x:v>#N/A</x:v>
      </x:c>
    </x:row>
    <x:row r="31" s="117" customFormat="1" hidden="1">
      <x:c r="A31" t="inlineStr">
        <x:is>
          <x:t xml:space="preserve">PDTVULTEF024</x:t>
        </x:is>
      </x:c>
      <x:c r="B31" s="30" t="str">
        <x:f>RIGHT(C31,10)</x:f>
        <x:v>A490143000</x:v>
      </x:c>
      <x:c r="C31" t="inlineStr">
        <x:is>
          <x:t xml:space="preserve">ASH 18X16 SRC  EMPAQUETADURA 43 A490143000</x:t>
        </x:is>
      </x:c>
      <x:c r="D31" t="n">
        <x:v>0</x:v>
      </x:c>
      <x:c r="E31" s="74" t="n">
        <x:f>D31/12</x:f>
        <x:v>0</x:v>
      </x:c>
      <x:c r="F31" s="30" t="n">
        <x:f>VLOOKUP(A31,Hoja6!A:E,5,0)</x:f>
        <x:v>0</x:v>
      </x:c>
      <x:c r="G31" s="74" t="n">
        <x:f>F31/12</x:f>
        <x:v>0</x:v>
      </x:c>
      <x:c r="H31" s="30" t="e">
        <x:f>VLOOKUP(B31,Hoja6!G:M,7,0)</x:f>
        <x:v>#N/A</x:v>
      </x:c>
      <x:c r="I31" s="30" t="e">
        <x:f>VLOOKUP(B31,Hoja6!G:N,8,0)</x:f>
        <x:v>#N/A</x:v>
      </x:c>
      <x:c r="J31" t="e">
        <x:f>I31*H31</x:f>
        <x:v>#N/A</x:v>
      </x:c>
      <x:c r="K31" s="81" t="e">
        <x:f>J31/G31</x:f>
        <x:v>#N/A</x:v>
      </x:c>
    </x:row>
    <x:row r="32" s="117" customFormat="1" hidden="1">
      <x:c r="A32" t="inlineStr">
        <x:is>
          <x:t xml:space="preserve">PDTVULTEF026</x:t>
        </x:is>
      </x:c>
      <x:c r="B32" s="30" t="str">
        <x:f>RIGHT(C32,11)</x:f>
        <x:v>B0103711000</x:v>
      </x:c>
      <x:c r="C32" t="inlineStr">
        <x:is>
          <x:t xml:space="preserve">BGH 1.1/2X2 ANILLO LINTERNA B0103711000</x:t>
        </x:is>
      </x:c>
      <x:c r="D32" t="n">
        <x:v>0</x:v>
      </x:c>
      <x:c r="E32" s="74" t="n">
        <x:f>D32/12</x:f>
        <x:v>0</x:v>
      </x:c>
      <x:c r="F32" s="30" t="n">
        <x:f>VLOOKUP(A32,Hoja6!A:E,5,0)</x:f>
        <x:v>0</x:v>
      </x:c>
      <x:c r="G32" s="74" t="n">
        <x:f>F32/12</x:f>
        <x:v>0</x:v>
      </x:c>
      <x:c r="H32" s="30" t="e">
        <x:f>VLOOKUP(B32,Hoja6!G:M,7,0)</x:f>
        <x:v>#N/A</x:v>
      </x:c>
      <x:c r="I32" s="30" t="e">
        <x:f>VLOOKUP(B32,Hoja6!G:N,8,0)</x:f>
        <x:v>#N/A</x:v>
      </x:c>
      <x:c r="J32" t="e">
        <x:f>I32*H32</x:f>
        <x:v>#N/A</x:v>
      </x:c>
      <x:c r="K32" s="81" t="e">
        <x:f>J32/G32</x:f>
        <x:v>#N/A</x:v>
      </x:c>
    </x:row>
    <x:row r="33" s="117" customFormat="1" hidden="1">
      <x:c r="A33" t="inlineStr">
        <x:is>
          <x:t xml:space="preserve">PDTVULTEF027</x:t>
        </x:is>
      </x:c>
      <x:c r="B33" s="30" t="str">
        <x:f>RIGHT(C33,11)</x:f>
        <x:v>B0207711000</x:v>
      </x:c>
      <x:c r="C33" t="inlineStr">
        <x:is>
          <x:t xml:space="preserve">BGH 2X2.1/2 ANILLO LINTERNA B0207711000</x:t>
        </x:is>
      </x:c>
      <x:c r="D33" t="n">
        <x:v>0</x:v>
      </x:c>
      <x:c r="E33" s="74" t="n">
        <x:f>D33/12</x:f>
        <x:v>0</x:v>
      </x:c>
      <x:c r="F33" s="30" t="n">
        <x:f>VLOOKUP(A33,Hoja6!A:E,5,0)</x:f>
        <x:v>0</x:v>
      </x:c>
      <x:c r="G33" s="74" t="n">
        <x:f>F33/12</x:f>
        <x:v>0</x:v>
      </x:c>
      <x:c r="H33" s="30" t="e">
        <x:f>VLOOKUP(B33,Hoja6!G:M,7,0)</x:f>
        <x:v>#N/A</x:v>
      </x:c>
      <x:c r="I33" s="30" t="e">
        <x:f>VLOOKUP(B33,Hoja6!G:N,8,0)</x:f>
        <x:v>#N/A</x:v>
      </x:c>
      <x:c r="J33" t="e">
        <x:f>I33*H33</x:f>
        <x:v>#N/A</x:v>
      </x:c>
      <x:c r="K33" s="81" t="e">
        <x:f>J33/G33</x:f>
        <x:v>#N/A</x:v>
      </x:c>
    </x:row>
    <x:row r="34" s="117" customFormat="1" hidden="1">
      <x:c r="A34" t="inlineStr">
        <x:is>
          <x:t xml:space="preserve">PDTVULTEF031</x:t>
        </x:is>
      </x:c>
      <x:c r="B34" s="30" t="str">
        <x:f>RIGHT(C34,10)</x:f>
        <x:v>DDPT063P05</x:v>
      </x:c>
      <x:c r="C34" t="inlineStr">
        <x:is>
          <x:t xml:space="preserve">100 DDA-SLM LANTER RING DDPT063P05</x:t>
        </x:is>
      </x:c>
      <x:c r="D34" t="n">
        <x:v>0</x:v>
      </x:c>
      <x:c r="E34" s="74" t="n">
        <x:f>D34/12</x:f>
        <x:v>0</x:v>
      </x:c>
      <x:c r="F34" s="30" t="n">
        <x:f>VLOOKUP(A34,Hoja6!A:E,5,0)</x:f>
        <x:v>0</x:v>
      </x:c>
      <x:c r="G34" s="74" t="n">
        <x:f>F34/12</x:f>
        <x:v>0</x:v>
      </x:c>
      <x:c r="H34" s="30" t="e">
        <x:f>VLOOKUP(B34,Hoja6!G:M,7,0)</x:f>
        <x:v>#N/A</x:v>
      </x:c>
      <x:c r="I34" s="30" t="e">
        <x:f>VLOOKUP(B34,Hoja6!G:N,8,0)</x:f>
        <x:v>#N/A</x:v>
      </x:c>
      <x:c r="J34" t="e">
        <x:f>I34*H34</x:f>
        <x:v>#N/A</x:v>
      </x:c>
      <x:c r="K34" s="81" t="e">
        <x:f>J34/G34</x:f>
        <x:v>#N/A</x:v>
      </x:c>
    </x:row>
    <x:row r="35" s="117" customFormat="1" hidden="1">
      <x:c r="A35" t="inlineStr">
        <x:is>
          <x:t xml:space="preserve">PDTVULTEF032</x:t>
        </x:is>
      </x:c>
      <x:c r="B35" s="30" t="str">
        <x:f>RIGHT(C35,9)</x:f>
        <x:v>EPT063P05</x:v>
      </x:c>
      <x:c r="C35" t="inlineStr">
        <x:is>
          <x:t xml:space="preserve">150 EA -SLM LANTER RING EPT063P05</x:t>
        </x:is>
      </x:c>
      <x:c r="D35" t="n">
        <x:v>0</x:v>
      </x:c>
      <x:c r="E35" s="74" t="n">
        <x:f>D35/12</x:f>
        <x:v>0</x:v>
      </x:c>
      <x:c r="F35" s="30" t="n">
        <x:f>VLOOKUP(A35,Hoja6!A:E,5,0)</x:f>
        <x:v>0</x:v>
      </x:c>
      <x:c r="G35" s="74" t="n">
        <x:f>F35/12</x:f>
        <x:v>0</x:v>
      </x:c>
      <x:c r="H35" s="30" t="e">
        <x:f>VLOOKUP(B35,Hoja6!G:M,7,0)</x:f>
        <x:v>#N/A</x:v>
      </x:c>
      <x:c r="I35" s="30" t="e">
        <x:f>VLOOKUP(B35,Hoja6!G:N,8,0)</x:f>
        <x:v>#N/A</x:v>
      </x:c>
      <x:c r="J35" t="e">
        <x:f>I35*H35</x:f>
        <x:v>#N/A</x:v>
      </x:c>
      <x:c r="K35" s="81" t="e">
        <x:f>J35/G35</x:f>
        <x:v>#N/A</x:v>
      </x:c>
    </x:row>
    <x:row r="36" s="117" customFormat="1" hidden="1">
      <x:c r="A36" t="inlineStr">
        <x:is>
          <x:t xml:space="preserve">PDTVULTEF033</x:t>
        </x:is>
      </x:c>
      <x:c r="B36" s="30" t="str">
        <x:f>RIGHT(C36,9)</x:f>
        <x:v>F118-1P50</x:v>
      </x:c>
      <x:c r="C36" t="inlineStr">
        <x:is>
          <x:t xml:space="preserve">RESTRICTOR ANILLO LINTERNA F118-1P50</x:t>
        </x:is>
      </x:c>
      <x:c r="D36" t="n">
        <x:v>0</x:v>
      </x:c>
      <x:c r="E36" s="74" t="n">
        <x:f>D36/12</x:f>
        <x:v>0</x:v>
      </x:c>
      <x:c r="F36" s="30" t="n">
        <x:f>VLOOKUP(A36,Hoja6!A:E,5,0)</x:f>
        <x:v>0</x:v>
      </x:c>
      <x:c r="G36" s="74" t="n">
        <x:f>F36/12</x:f>
        <x:v>0</x:v>
      </x:c>
      <x:c r="H36" s="30" t="e">
        <x:f>VLOOKUP(B36,Hoja6!G:M,7,0)</x:f>
        <x:v>#N/A</x:v>
      </x:c>
      <x:c r="I36" s="30" t="e">
        <x:f>VLOOKUP(B36,Hoja6!G:N,8,0)</x:f>
        <x:v>#N/A</x:v>
      </x:c>
      <x:c r="J36" t="e">
        <x:f>I36*H36</x:f>
        <x:v>#N/A</x:v>
      </x:c>
      <x:c r="K36" s="81" t="e">
        <x:f>J36/G36</x:f>
        <x:v>#N/A</x:v>
      </x:c>
    </x:row>
    <x:row r="37" s="117" customFormat="1" hidden="1">
      <x:c r="A37" t="inlineStr">
        <x:is>
          <x:t xml:space="preserve">PDTVULTEF034</x:t>
        </x:is>
      </x:c>
      <x:c r="B37" s="30" t="str">
        <x:f>RIGHT(C37,10)</x:f>
        <x:v>FPT063P050</x:v>
      </x:c>
      <x:c r="C37" t="inlineStr">
        <x:is>
          <x:t xml:space="preserve">200 FA-SLR LANTER RING FPT063P050</x:t>
        </x:is>
      </x:c>
      <x:c r="D37" t="n">
        <x:v>0</x:v>
      </x:c>
      <x:c r="E37" s="74" t="n">
        <x:f>D37/12</x:f>
        <x:v>0</x:v>
      </x:c>
      <x:c r="F37" s="30" t="n">
        <x:f>VLOOKUP(A37,Hoja6!A:E,5,0)</x:f>
        <x:v>0</x:v>
      </x:c>
      <x:c r="G37" s="74" t="n">
        <x:f>F37/12</x:f>
        <x:v>0</x:v>
      </x:c>
      <x:c r="H37" s="30" t="e">
        <x:f>VLOOKUP(B37,Hoja6!G:M,7,0)</x:f>
        <x:v>#N/A</x:v>
      </x:c>
      <x:c r="I37" s="30" t="e">
        <x:f>VLOOKUP(B37,Hoja6!G:N,8,0)</x:f>
        <x:v>#N/A</x:v>
      </x:c>
      <x:c r="J37" t="e">
        <x:f>I37*H37</x:f>
        <x:v>#N/A</x:v>
      </x:c>
      <x:c r="K37" s="81" t="e">
        <x:f>J37/G37</x:f>
        <x:v>#N/A</x:v>
      </x:c>
    </x:row>
    <x:row r="38" s="117" customFormat="1" hidden="1">
      <x:c r="A38" t="inlineStr">
        <x:is>
          <x:t xml:space="preserve">PDTVULTEF035</x:t>
        </x:is>
      </x:c>
      <x:c r="B38" s="30" t="str">
        <x:f>RIGHT(C38,5)</x:f>
        <x:v>47137</x:v>
      </x:c>
      <x:c r="C38" t="inlineStr">
        <x:is>
          <x:t xml:space="preserve">LANTERN RING 47137</x:t>
        </x:is>
      </x:c>
      <x:c r="D38" t="n">
        <x:v>0</x:v>
      </x:c>
      <x:c r="E38" s="74" t="n">
        <x:f>D38/12</x:f>
        <x:v>0</x:v>
      </x:c>
      <x:c r="F38" s="30" t="n">
        <x:f>VLOOKUP(A38,Hoja6!A:E,5,0)</x:f>
        <x:v>0</x:v>
      </x:c>
      <x:c r="G38" s="74" t="n">
        <x:f>F38/12</x:f>
        <x:v>0</x:v>
      </x:c>
      <x:c r="H38" s="30" t="e">
        <x:f>VLOOKUP(B38,Hoja6!G:M,7,0)</x:f>
        <x:v>#N/A</x:v>
      </x:c>
      <x:c r="I38" s="30" t="e">
        <x:f>VLOOKUP(B38,Hoja6!G:N,8,0)</x:f>
        <x:v>#N/A</x:v>
      </x:c>
      <x:c r="J38" t="e">
        <x:f>I38*H38</x:f>
        <x:v>#N/A</x:v>
      </x:c>
      <x:c r="K38" s="81" t="e">
        <x:f>J38/G38</x:f>
        <x:v>#N/A</x:v>
      </x:c>
    </x:row>
    <x:row r="39" s="117" customFormat="1" hidden="1">
      <x:c r="A39" t="inlineStr">
        <x:is>
          <x:t xml:space="preserve">PDTVULTEF036</x:t>
        </x:is>
      </x:c>
      <x:c r="B39" s="30" t="str">
        <x:f>RIGHT(C39,10)</x:f>
        <x:v> G118-1P50</x:v>
      </x:c>
      <x:c r="C39" t="inlineStr">
        <x:is>
          <x:t xml:space="preserve">RESTRICTOR ANILLO LINTERNA G118-1P50</x:t>
        </x:is>
      </x:c>
      <x:c r="D39" t="n">
        <x:v>0</x:v>
      </x:c>
      <x:c r="E39" s="74" t="n">
        <x:f>D39/12</x:f>
        <x:v>0</x:v>
      </x:c>
      <x:c r="F39" s="30" t="n">
        <x:f>VLOOKUP(A39,Hoja6!A:E,5,0)</x:f>
        <x:v>0</x:v>
      </x:c>
      <x:c r="G39" s="74" t="n">
        <x:f>F39/12</x:f>
        <x:v>0</x:v>
      </x:c>
      <x:c r="H39" s="30" t="e">
        <x:f>VLOOKUP(B39,Hoja6!G:M,7,0)</x:f>
        <x:v>#N/A</x:v>
      </x:c>
      <x:c r="I39" s="30" t="e">
        <x:f>VLOOKUP(B39,Hoja6!G:N,8,0)</x:f>
        <x:v>#N/A</x:v>
      </x:c>
      <x:c r="J39" t="e">
        <x:f>I39*H39</x:f>
        <x:v>#N/A</x:v>
      </x:c>
      <x:c r="K39" s="81" t="e">
        <x:f>J39/G39</x:f>
        <x:v>#N/A</x:v>
      </x:c>
    </x:row>
    <x:row r="40" s="117" customFormat="1" hidden="1">
      <x:c r="A40" t="inlineStr">
        <x:is>
          <x:t xml:space="preserve">PDTVULTEF037</x:t>
        </x:is>
      </x:c>
      <x:c r="B40" s="30" t="str">
        <x:f>RIGHT(C40,10)</x:f>
        <x:v>V610046000</x:v>
      </x:c>
      <x:c r="C40" t="inlineStr">
        <x:is>
          <x:t xml:space="preserve">GOLILLA BGV5000 40/50 IMPELLER WASHER V610046000</x:t>
        </x:is>
      </x:c>
      <x:c r="D40" t="n">
        <x:v>0</x:v>
      </x:c>
      <x:c r="E40" s="74" t="n">
        <x:f>D40/12</x:f>
        <x:v>0</x:v>
      </x:c>
      <x:c r="F40" s="30" t="n">
        <x:f>VLOOKUP(A40,Hoja6!A:E,5,0)</x:f>
        <x:v>0</x:v>
      </x:c>
      <x:c r="G40" s="74" t="n">
        <x:f>F40/12</x:f>
        <x:v>0</x:v>
      </x:c>
      <x:c r="H40" s="30" t="e">
        <x:f>VLOOKUP(B40,Hoja6!G:M,7,0)</x:f>
        <x:v>#N/A</x:v>
      </x:c>
      <x:c r="I40" s="30" t="e">
        <x:f>VLOOKUP(B40,Hoja6!G:N,8,0)</x:f>
        <x:v>#N/A</x:v>
      </x:c>
      <x:c r="J40" t="e">
        <x:f>I40*H40</x:f>
        <x:v>#N/A</x:v>
      </x:c>
      <x:c r="K40" s="81" t="e">
        <x:f>J40/G40</x:f>
        <x:v>#N/A</x:v>
      </x:c>
    </x:row>
    <x:row r="41" s="117" customFormat="1" hidden="1">
      <x:c r="A41" t="inlineStr">
        <x:is>
          <x:t xml:space="preserve">PDTVULTEF038</x:t>
        </x:is>
      </x:c>
      <x:c r="B41" s="30" t="str">
        <x:f>RIGHT(C41,10)</x:f>
        <x:v>V630046000</x:v>
      </x:c>
      <x:c r="C41" t="inlineStr">
        <x:is>
          <x:t xml:space="preserve">GOLILLA BGV5000 80  IMPELLER WASHER V630046000</x:t>
        </x:is>
      </x:c>
      <x:c r="D41" t="n">
        <x:v>0</x:v>
      </x:c>
      <x:c r="E41" s="74" t="n">
        <x:f>D41/12</x:f>
        <x:v>0</x:v>
      </x:c>
      <x:c r="F41" s="30" t="n">
        <x:f>VLOOKUP(A41,Hoja6!A:E,5,0)</x:f>
        <x:v>0</x:v>
      </x:c>
      <x:c r="G41" s="74" t="n">
        <x:f>F41/12</x:f>
        <x:v>0</x:v>
      </x:c>
      <x:c r="H41" s="30" t="e">
        <x:f>VLOOKUP(B41,Hoja6!G:M,7,0)</x:f>
        <x:v>#N/A</x:v>
      </x:c>
      <x:c r="I41" s="30" t="e">
        <x:f>VLOOKUP(B41,Hoja6!G:N,8,0)</x:f>
        <x:v>#N/A</x:v>
      </x:c>
      <x:c r="J41" t="e">
        <x:f>I41*H41</x:f>
        <x:v>#N/A</x:v>
      </x:c>
      <x:c r="K41" s="81" t="e">
        <x:f>J41/G41</x:f>
        <x:v>#N/A</x:v>
      </x:c>
    </x:row>
    <x:row r="42" s="117" customFormat="1" hidden="1">
      <x:c r="A42" t="inlineStr">
        <x:is>
          <x:t xml:space="preserve">PDTVULTEF043</x:t>
        </x:is>
      </x:c>
      <x:c r="B42" s="30" t="str">
        <x:f>RIGHT(C42,10)</x:f>
        <x:v>B070730000</x:v>
      </x:c>
      <x:c r="C42" t="inlineStr">
        <x:is>
          <x:t xml:space="preserve">BGH 8 X 10 ANILLO HIDRAULICO B070730000</x:t>
        </x:is>
      </x:c>
      <x:c r="D42" t="n">
        <x:v>0</x:v>
      </x:c>
      <x:c r="E42" s="74" t="n">
        <x:f>D42/12</x:f>
        <x:v>0</x:v>
      </x:c>
      <x:c r="F42" s="30" t="n">
        <x:f>VLOOKUP(A42,Hoja6!A:E,5,0)</x:f>
        <x:v>0</x:v>
      </x:c>
      <x:c r="G42" s="74" t="n">
        <x:f>F42/12</x:f>
        <x:v>0</x:v>
      </x:c>
      <x:c r="H42" s="30" t="e">
        <x:f>VLOOKUP(B42,Hoja6!G:M,7,0)</x:f>
        <x:v>#N/A</x:v>
      </x:c>
      <x:c r="I42" s="30" t="e">
        <x:f>VLOOKUP(B42,Hoja6!G:N,8,0)</x:f>
        <x:v>#N/A</x:v>
      </x:c>
      <x:c r="J42" t="e">
        <x:f>I42*H42</x:f>
        <x:v>#N/A</x:v>
      </x:c>
      <x:c r="K42" s="81" t="e">
        <x:f>J42/G42</x:f>
        <x:v>#N/A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4.25"/>
  <x:cols>
    <x:col min="4" max="4" width="7.125" style="117" customWidth="1"/>
    <x:col min="7" max="7" width="27.375" style="117" customWidth="1"/>
    <x:col min="8" max="8" width="22.625" style="117" customWidth="1"/>
    <x:col min="13" max="13" width="12" style="117" customWidth="1"/>
  </x:cols>
  <x:sheetData>
    <x:row r="1">
      <x:c r="A1" t="inlineStr">
        <x:is>
          <x:t xml:space="preserve">Código</x:t>
        </x:is>
      </x:c>
      <x:c r="B1" t="inlineStr">
        <x:is>
          <x:t xml:space="preserve">Descripción</x:t>
        </x:is>
      </x:c>
      <x:c r="E1" t="inlineStr">
        <x:is>
          <x:t xml:space="preserve">Salida</x:t>
        </x:is>
      </x:c>
      <x:c r="I1" t="inlineStr">
        <x:is>
          <x:t xml:space="preserve">OD</x:t>
        </x:is>
      </x:c>
      <x:c r="J1" t="inlineStr">
        <x:is>
          <x:t xml:space="preserve">ID</x:t>
        </x:is>
      </x:c>
      <x:c r="K1" t="inlineStr">
        <x:is>
          <x:t xml:space="preserve">THCK</x:t>
        </x:is>
      </x:c>
      <x:c r="L1" t="inlineStr">
        <x:is>
          <x:t xml:space="preserve">AN/BOC</x:t>
        </x:is>
      </x:c>
      <x:c r="M1" t="inlineStr">
        <x:is>
          <x:t xml:space="preserve">AN/BOCINA</x:t>
        </x:is>
      </x:c>
      <x:c r="N1" s="7" t="inlineStr">
        <x:is>
          <x:t xml:space="preserve">BOCINAS</x:t>
        </x:is>
      </x:c>
    </x:row>
    <x:row r="2">
      <x:c r="A2" t="inlineStr">
        <x:is>
          <x:t xml:space="preserve">'111222333444</x:t>
        </x:is>
      </x:c>
      <x:c r="B2" t="inlineStr">
        <x:is>
          <x:t xml:space="preserve">ARTICULO</x:t>
        </x:is>
      </x:c>
      <x:c r="E2" t="n">
        <x:v>0</x:v>
      </x:c>
      <x:c r="G2" t="inlineStr">
        <x:is>
          <x:t xml:space="preserve">A420132001</x:t>
        </x:is>
      </x:c>
      <x:c r="H2" t="inlineStr">
        <x:is>
          <x:t xml:space="preserve">ASH 4X3</x:t>
        </x:is>
      </x:c>
      <x:c r="I2" t="n">
        <x:v>91</x:v>
      </x:c>
      <x:c r="J2" t="n">
        <x:v>70</x:v>
      </x:c>
      <x:c r="K2" t="n">
        <x:v>20</x:v>
      </x:c>
      <x:c r="L2" s="290" t="n">
        <x:f>300/(K2+5)</x:f>
        <x:v>12</x:v>
      </x:c>
      <x:c r="M2" s="8" t="n">
        <x:f>+ROUND(L2,0)</x:f>
        <x:v>12</x:v>
      </x:c>
      <x:c r="N2" t="n">
        <x:v>6</x:v>
      </x:c>
    </x:row>
    <x:row r="3">
      <x:c r="A3" t="inlineStr">
        <x:is>
          <x:t xml:space="preserve">ACFMAQ001001</x:t>
        </x:is>
      </x:c>
      <x:c r="B3" t="inlineStr">
        <x:is>
          <x:t xml:space="preserve">MODULO DE GRANALLADO FB32-ROBOT - COLECTOR DE POLVO CON PANEL ELECTRICO SERIE 846 C/CABLES 100</x:t>
        </x:is>
      </x:c>
      <x:c r="E3" t="n">
        <x:v>0</x:v>
      </x:c>
      <x:c r="G3" t="inlineStr">
        <x:is>
          <x:t xml:space="preserve">A430232001</x:t>
        </x:is>
      </x:c>
      <x:c r="H3" t="inlineStr">
        <x:is>
          <x:t xml:space="preserve">ASH 5X4</x:t>
        </x:is>
      </x:c>
      <x:c r="I3" t="n">
        <x:v>111</x:v>
      </x:c>
      <x:c r="J3" t="n">
        <x:v>85</x:v>
      </x:c>
      <x:c r="K3" t="n">
        <x:v>20</x:v>
      </x:c>
      <x:c r="L3" s="290" t="n">
        <x:f>300/(K3+5)</x:f>
        <x:v>12</x:v>
      </x:c>
      <x:c r="M3" s="8" t="n">
        <x:f>+ROUND(L3,0)</x:f>
        <x:v>12</x:v>
      </x:c>
      <x:c r="N3" t="n">
        <x:v>3</x:v>
      </x:c>
    </x:row>
    <x:row r="4">
      <x:c r="A4" t="inlineStr">
        <x:is>
          <x:t xml:space="preserve">BACFIBTAP003</x:t>
        </x:is>
      </x:c>
      <x:c r="B4" t="inlineStr">
        <x:is>
          <x:t xml:space="preserve">BACKING TAPE 3/4" X 1/16 TCHK X 100FT ROLL -</x:t>
        </x:is>
      </x:c>
      <x:c r="E4" t="n">
        <x:v>0</x:v>
      </x:c>
      <x:c r="G4" t="inlineStr">
        <x:is>
          <x:t xml:space="preserve">A440132001</x:t>
        </x:is>
      </x:c>
      <x:c r="H4" t="inlineStr">
        <x:is>
          <x:t xml:space="preserve">ASH 6X6</x:t>
        </x:is>
      </x:c>
      <x:c r="I4" t="n">
        <x:v>130</x:v>
      </x:c>
      <x:c r="J4" t="n">
        <x:v>105</x:v>
      </x:c>
      <x:c r="K4" t="n">
        <x:v>18</x:v>
      </x:c>
      <x:c r="L4" s="290" t="n">
        <x:f>300/(K4+5)</x:f>
        <x:v>13.043478260869565</x:v>
      </x:c>
      <x:c r="M4" s="8" t="n">
        <x:f>+ROUND(L4,0)</x:f>
        <x:v>13</x:v>
      </x:c>
      <x:c r="N4" t="n">
        <x:v>12</x:v>
      </x:c>
    </x:row>
    <x:row r="5">
      <x:c r="A5" t="inlineStr">
        <x:is>
          <x:t xml:space="preserve">BACFIBTAP004</x:t>
        </x:is>
      </x:c>
      <x:c r="B5" t="inlineStr">
        <x:is>
          <x:t xml:space="preserve">BACKING TAPE 1" X 1/16 TCHK X 100FT ROLL -</x:t>
        </x:is>
      </x:c>
      <x:c r="E5" t="n">
        <x:v>0</x:v>
      </x:c>
      <x:c r="G5" t="inlineStr">
        <x:is>
          <x:t xml:space="preserve">A440232001</x:t>
        </x:is>
      </x:c>
      <x:c r="H5" t="inlineStr">
        <x:is>
          <x:t xml:space="preserve">ASH 6X6</x:t>
        </x:is>
      </x:c>
      <x:c r="I5" t="n">
        <x:v>130</x:v>
      </x:c>
      <x:c r="J5" t="n">
        <x:v>105</x:v>
      </x:c>
      <x:c r="K5" t="n">
        <x:v>26</x:v>
      </x:c>
      <x:c r="L5" s="290" t="n">
        <x:f>300/(K5+5)</x:f>
        <x:v>9.67741935483871</x:v>
      </x:c>
      <x:c r="M5" s="8" t="n">
        <x:f>+ROUND(L5,0)-1</x:f>
        <x:v>9</x:v>
      </x:c>
      <x:c r="N5" t="n">
        <x:v>12</x:v>
      </x:c>
    </x:row>
    <x:row r="6">
      <x:c r="A6" t="inlineStr">
        <x:is>
          <x:t xml:space="preserve">BACFIBTAP005</x:t>
        </x:is>
      </x:c>
      <x:c r="B6" t="inlineStr">
        <x:is>
          <x:t xml:space="preserve">BACKING TAPE 1-1/2" X 1/16 TCHK X 100FT ROLL -</x:t>
        </x:is>
      </x:c>
      <x:c r="E6" t="n">
        <x:v>0</x:v>
      </x:c>
      <x:c r="G6" t="inlineStr">
        <x:is>
          <x:t xml:space="preserve">A450132001</x:t>
        </x:is>
      </x:c>
      <x:c r="H6" t="inlineStr">
        <x:is>
          <x:t xml:space="preserve">ASH 8X8</x:t>
        </x:is>
      </x:c>
      <x:c r="I6" t="n">
        <x:v>163</x:v>
      </x:c>
      <x:c r="J6" t="n">
        <x:v>130</x:v>
      </x:c>
      <x:c r="K6" t="n">
        <x:v>16</x:v>
      </x:c>
      <x:c r="L6" s="290" t="n">
        <x:f>300/(K6+5)</x:f>
        <x:v>14.285714285714286</x:v>
      </x:c>
      <x:c r="M6" s="8" t="n">
        <x:f>+ROUND(L6,0)</x:f>
        <x:v>14</x:v>
      </x:c>
      <x:c r="N6" t="n">
        <x:v>6</x:v>
      </x:c>
    </x:row>
    <x:row r="7">
      <x:c r="A7" t="inlineStr">
        <x:is>
          <x:t xml:space="preserve">BACFIBTAP006</x:t>
        </x:is>
      </x:c>
      <x:c r="B7" t="inlineStr">
        <x:is>
          <x:t xml:space="preserve">BACKING TAPE 2" X 1/16 TCHK X 100FT ROLL -</x:t>
        </x:is>
      </x:c>
      <x:c r="E7" t="n">
        <x:v>111</x:v>
      </x:c>
      <x:c r="G7" t="inlineStr">
        <x:is>
          <x:t xml:space="preserve">A460132001</x:t>
        </x:is>
      </x:c>
      <x:c r="H7" t="inlineStr">
        <x:is>
          <x:t xml:space="preserve">ASH 10X10</x:t>
        </x:is>
      </x:c>
      <x:c r="I7" t="n">
        <x:v>173</x:v>
      </x:c>
      <x:c r="J7" t="n">
        <x:v>139</x:v>
      </x:c>
      <x:c r="K7" t="n">
        <x:v>16</x:v>
      </x:c>
      <x:c r="L7" s="290" t="n">
        <x:f>300/(K7+5)</x:f>
        <x:v>14.285714285714286</x:v>
      </x:c>
      <x:c r="M7" s="8" t="n">
        <x:f>+ROUND(L7,0)</x:f>
        <x:v>14</x:v>
      </x:c>
      <x:c r="N7" t="n">
        <x:v>6</x:v>
      </x:c>
    </x:row>
    <x:row r="8">
      <x:c r="A8" t="inlineStr">
        <x:is>
          <x:t xml:space="preserve">BACFIBTAP007</x:t>
        </x:is>
      </x:c>
      <x:c r="B8" t="inlineStr">
        <x:is>
          <x:t xml:space="preserve">BACKING TAPE 2-1/2" X 1/16 TCHK X 100FT ROLL -</x:t>
        </x:is>
      </x:c>
      <x:c r="E8" t="n">
        <x:v>0</x:v>
      </x:c>
      <x:c r="G8" t="inlineStr">
        <x:is>
          <x:t xml:space="preserve">A470132001</x:t>
        </x:is>
      </x:c>
      <x:c r="H8" t="inlineStr">
        <x:is>
          <x:t xml:space="preserve">ASH 14X12</x:t>
        </x:is>
      </x:c>
      <x:c r="I8" t="n">
        <x:v>194</x:v>
      </x:c>
      <x:c r="J8" t="n">
        <x:v>154</x:v>
      </x:c>
      <x:c r="K8" t="n">
        <x:v>19</x:v>
      </x:c>
      <x:c r="L8" s="290" t="n">
        <x:f>300/(K8+5)</x:f>
        <x:v>12.5</x:v>
      </x:c>
      <x:c r="M8" s="8" t="n">
        <x:f>+ROUND(L8,0)-1</x:f>
        <x:v>12</x:v>
      </x:c>
      <x:c r="N8" t="n">
        <x:v>3</x:v>
      </x:c>
    </x:row>
    <x:row r="9">
      <x:c r="A9" t="inlineStr">
        <x:is>
          <x:t xml:space="preserve">BACFIBTAP008</x:t>
        </x:is>
      </x:c>
      <x:c r="B9" t="inlineStr">
        <x:is>
          <x:t xml:space="preserve">BACKING TAPE 3" X 1/16 TCHK X 100FT ROLL -</x:t>
        </x:is>
      </x:c>
      <x:c r="E9" t="n">
        <x:v>0</x:v>
      </x:c>
      <x:c r="G9" t="inlineStr">
        <x:is>
          <x:t xml:space="preserve">A480132000</x:t>
        </x:is>
      </x:c>
      <x:c r="H9" t="inlineStr">
        <x:is>
          <x:t xml:space="preserve">ASH 16X14</x:t>
        </x:is>
      </x:c>
      <x:c r="I9" t="n">
        <x:v>230</x:v>
      </x:c>
      <x:c r="J9" t="n">
        <x:v>190</x:v>
      </x:c>
      <x:c r="K9" t="n">
        <x:v>26</x:v>
      </x:c>
      <x:c r="L9" s="290" t="n">
        <x:f>300/(K9+5)</x:f>
        <x:v>9.67741935483871</x:v>
      </x:c>
      <x:c r="M9" s="8" t="n">
        <x:f>+ROUND(L9,0)-1</x:f>
        <x:v>9</x:v>
      </x:c>
      <x:c r="N9" t="n">
        <x:v>10</x:v>
      </x:c>
    </x:row>
    <x:row r="10">
      <x:c r="A10" t="inlineStr">
        <x:is>
          <x:t xml:space="preserve">BACFIBTAP009</x:t>
        </x:is>
      </x:c>
      <x:c r="B10" t="inlineStr">
        <x:is>
          <x:t xml:space="preserve">BACKING TAPE 3-1/2" X 1/16 TCHK X 100FT ROLL -</x:t>
        </x:is>
      </x:c>
      <x:c r="E10" t="n">
        <x:v>0</x:v>
      </x:c>
      <x:c r="G10" t="inlineStr">
        <x:is>
          <x:t xml:space="preserve">A480232001</x:t>
        </x:is>
      </x:c>
      <x:c r="H10" t="inlineStr">
        <x:is>
          <x:t xml:space="preserve">ASH 16X14</x:t>
        </x:is>
      </x:c>
      <x:c r="I10" t="n">
        <x:v>230</x:v>
      </x:c>
      <x:c r="J10" t="n">
        <x:v>190</x:v>
      </x:c>
      <x:c r="K10" t="n">
        <x:v>45</x:v>
      </x:c>
      <x:c r="L10" s="290" t="n">
        <x:f>300/(K10+5)</x:f>
        <x:v>6</x:v>
      </x:c>
      <x:c r="M10" s="8" t="n">
        <x:f>+ROUND(L10,0)</x:f>
        <x:v>6</x:v>
      </x:c>
      <x:c r="N10" t="n">
        <x:v>10</x:v>
      </x:c>
    </x:row>
    <x:row r="11">
      <x:c r="A11" t="inlineStr">
        <x:is>
          <x:t xml:space="preserve">BACFIBTAP010</x:t>
        </x:is>
      </x:c>
      <x:c r="B11" t="inlineStr">
        <x:is>
          <x:t xml:space="preserve">BACKING TAPE 4" X 1/16 TCHK X 100FT ROLL -</x:t>
        </x:is>
      </x:c>
      <x:c r="E11" t="n">
        <x:v>0</x:v>
      </x:c>
      <x:c r="G11" t="inlineStr">
        <x:is>
          <x:t xml:space="preserve">A490232001</x:t>
        </x:is>
      </x:c>
      <x:c r="H11" t="inlineStr">
        <x:is>
          <x:t xml:space="preserve">18X16 SRH</x:t>
        </x:is>
      </x:c>
      <x:c r="I11" t="n">
        <x:v>243</x:v>
      </x:c>
      <x:c r="J11" t="n">
        <x:v>203</x:v>
      </x:c>
      <x:c r="K11" t="n">
        <x:v>55</x:v>
      </x:c>
      <x:c r="L11" s="290" t="n">
        <x:f>300/(K11+5)</x:f>
        <x:v>5</x:v>
      </x:c>
      <x:c r="M11" s="8" t="n">
        <x:f>+ROUND(L11,0)</x:f>
        <x:v>5</x:v>
      </x:c>
      <x:c r="N11" t="n">
        <x:v>6</x:v>
      </x:c>
    </x:row>
    <x:row r="12">
      <x:c r="A12" t="inlineStr">
        <x:is>
          <x:t xml:space="preserve">BARTEFFIV001</x:t>
        </x:is>
      </x:c>
      <x:c r="B12" t="inlineStr">
        <x:is>
          <x:t xml:space="preserve">BARRA DE PTFA FIBRA DE VIDRIO 85 MM X 305 MM ( 4,3 KG C/U)</x:t>
        </x:is>
      </x:c>
      <x:c r="E12" t="n">
        <x:v>2</x:v>
      </x:c>
      <x:c r="G12" t="inlineStr">
        <x:is>
          <x:t xml:space="preserve">A530132000</x:t>
        </x:is>
      </x:c>
      <x:c r="H12" t="inlineStr">
        <x:is>
          <x:t xml:space="preserve">450 MCR</x:t>
        </x:is>
      </x:c>
      <x:c r="I12" t="n">
        <x:v>304</x:v>
      </x:c>
      <x:c r="J12" t="n">
        <x:v>250</x:v>
      </x:c>
      <x:c r="K12" t="n">
        <x:v>74</x:v>
      </x:c>
      <x:c r="L12" s="290" t="n">
        <x:f>250/(K12+5)</x:f>
        <x:v>3.1645569620253164</x:v>
      </x:c>
      <x:c r="M12" s="8" t="n">
        <x:f>+ROUND(L12,0)</x:f>
        <x:v>3</x:v>
      </x:c>
      <x:c r="N12" t="n">
        <x:v>6</x:v>
      </x:c>
    </x:row>
    <x:row r="13">
      <x:c r="A13" t="inlineStr">
        <x:is>
          <x:t xml:space="preserve">BARTEFFIV002</x:t>
        </x:is>
      </x:c>
      <x:c r="B13" t="inlineStr">
        <x:is>
          <x:t xml:space="preserve">BOCINA PTFA FIBRA DE VIDRIO 80MMX50MMX305MM (3 KG C/U)</x:t>
        </x:is>
      </x:c>
      <x:c r="E13" t="n">
        <x:v>0</x:v>
      </x:c>
    </x:row>
    <x:row r="14">
      <x:c r="A14" t="inlineStr">
        <x:is>
          <x:t xml:space="preserve">BARTEFFIV003</x:t>
        </x:is>
      </x:c>
      <x:c r="B14" t="inlineStr">
        <x:is>
          <x:t xml:space="preserve">BOCINA PTFA FIBRA DE VIDRIO 120MMX50MMX305MM (8.2 KG C/U)</x:t>
        </x:is>
      </x:c>
      <x:c r="E14" t="n">
        <x:v>0</x:v>
      </x:c>
    </x:row>
    <x:row r="15">
      <x:c r="A15" t="inlineStr">
        <x:is>
          <x:t xml:space="preserve">BARTEFFIV004</x:t>
        </x:is>
      </x:c>
      <x:c r="B15" t="inlineStr">
        <x:is>
          <x:t xml:space="preserve">BOCINA PTFA FIBRA DE VIDRIO 130 MMX80MMX305MM (7.4 KG C/U)</x:t>
        </x:is>
      </x:c>
      <x:c r="E15" t="n">
        <x:v>0</x:v>
      </x:c>
    </x:row>
    <x:row r="16">
      <x:c r="A16" t="inlineStr">
        <x:is>
          <x:t xml:space="preserve">BARTEFFIV005</x:t>
        </x:is>
      </x:c>
      <x:c r="B16" t="inlineStr">
        <x:is>
          <x:t xml:space="preserve">BOCINA PTFA FIBRA DE VIDRIO 110MMX60MMX305MM (4.88 KG C/U)</x:t>
        </x:is>
      </x:c>
      <x:c r="E16" t="n">
        <x:v>0</x:v>
      </x:c>
    </x:row>
    <x:row r="17">
      <x:c r="A17" t="inlineStr">
        <x:is>
          <x:t xml:space="preserve">BARTEFFIV006</x:t>
        </x:is>
      </x:c>
      <x:c r="B17" t="inlineStr">
        <x:is>
          <x:t xml:space="preserve">BARRA DE PTFA FIBRA DE VIDRIO 65 MM X 305 MM ( 3 KG C/U)</x:t>
        </x:is>
      </x:c>
      <x:c r="E17" t="n">
        <x:v>0</x:v>
      </x:c>
    </x:row>
    <x:row r="18">
      <x:c r="A18" t="inlineStr">
        <x:is>
          <x:t xml:space="preserve">BARTEFFIV007</x:t>
        </x:is>
      </x:c>
      <x:c r="B18" t="inlineStr">
        <x:is>
          <x:t xml:space="preserve">BOCINA PTFA FIBRA DE VIDRIO 200MM X 75 MM X 300 MM ( 19.3 KG C/U)</x:t>
        </x:is>
      </x:c>
      <x:c r="E18" t="n">
        <x:v>2</x:v>
      </x:c>
    </x:row>
    <x:row r="19">
      <x:c r="A19" t="inlineStr">
        <x:is>
          <x:t xml:space="preserve">BARTEFFIV008</x:t>
        </x:is>
      </x:c>
      <x:c r="B19" t="inlineStr">
        <x:is>
          <x:t xml:space="preserve">BOCINA PTFA FIBRA DE VIDRIO 200MM X 100 MM X 300 MM ( 17.2 KG C/U)</x:t>
        </x:is>
      </x:c>
      <x:c r="E19" t="n">
        <x:v>0</x:v>
      </x:c>
    </x:row>
    <x:row r="20">
      <x:c r="A20" t="inlineStr">
        <x:is>
          <x:t xml:space="preserve">BARTEFFIV009</x:t>
        </x:is>
      </x:c>
      <x:c r="B20" t="inlineStr">
        <x:is>
          <x:t xml:space="preserve">BOCINA PTFA FIBRA DE VIDRIO 230MM X 180 MM X 305 MM ( 15.5 KG C/U)</x:t>
        </x:is>
      </x:c>
      <x:c r="E20" t="n">
        <x:v>0</x:v>
      </x:c>
    </x:row>
    <x:row r="21">
      <x:c r="A21" t="inlineStr">
        <x:is>
          <x:t xml:space="preserve">BARTEFFIV010</x:t>
        </x:is>
      </x:c>
      <x:c r="B21" t="inlineStr">
        <x:is>
          <x:t xml:space="preserve">BOCINA PTFA FIBRA DE VIDRIO 250MM X 200 MM X 205 MM ( 9.8 KG C/U)</x:t>
        </x:is>
      </x:c>
      <x:c r="E21" t="n">
        <x:v>0</x:v>
      </x:c>
    </x:row>
    <x:row r="22">
      <x:c r="A22" t="inlineStr">
        <x:is>
          <x:t xml:space="preserve">BARTEFFIV011</x:t>
        </x:is>
      </x:c>
      <x:c r="B22" t="inlineStr">
        <x:is>
          <x:t xml:space="preserve">BOCINA PTFA FIBRA DE VIDRIO 250MM X 160 MM X 300 MM ( 22,8 KG C/U)</x:t>
        </x:is>
      </x:c>
      <x:c r="E22" t="n">
        <x:v>0</x:v>
      </x:c>
    </x:row>
    <x:row r="23">
      <x:c r="A23" t="inlineStr">
        <x:is>
          <x:t xml:space="preserve">BARTEFFIV012</x:t>
        </x:is>
      </x:c>
      <x:c r="B23" t="inlineStr">
        <x:is>
          <x:t xml:space="preserve">BOCINA PTFA FIBRA DE VIDRIO 330MM X 250 MM X 225 MM ( 19.8 KG C/U)</x:t>
        </x:is>
      </x:c>
      <x:c r="E23" t="n">
        <x:v>0</x:v>
      </x:c>
    </x:row>
    <x:row r="24">
      <x:c r="A24" t="inlineStr">
        <x:is>
          <x:t xml:space="preserve">BARTEFFIV013</x:t>
        </x:is>
      </x:c>
      <x:c r="B24" t="inlineStr">
        <x:is>
          <x:t xml:space="preserve">BARRA DE PTFA FIBRA DE VIDRIO 4 PLG X 210MM</x:t>
        </x:is>
      </x:c>
      <x:c r="E24" t="n">
        <x:v>0</x:v>
      </x:c>
    </x:row>
    <x:row r="25">
      <x:c r="A25" t="inlineStr">
        <x:is>
          <x:t xml:space="preserve">BARTEFFIV014</x:t>
        </x:is>
      </x:c>
      <x:c r="B25" t="inlineStr">
        <x:is>
          <x:t xml:space="preserve">BARRA DE PTFA FIBRA DE VIDRIO 100 MM X 1000MM</x:t>
        </x:is>
      </x:c>
      <x:c r="E25" t="n">
        <x:v>0</x:v>
      </x:c>
    </x:row>
    <x:row r="26">
      <x:c r="A26" t="inlineStr">
        <x:is>
          <x:t xml:space="preserve">BARTEFFIV016</x:t>
        </x:is>
      </x:c>
      <x:c r="B26" t="inlineStr">
        <x:is>
          <x:t xml:space="preserve">BOCINA TEFLON FIBRA DE VIDRIO 25% 270 X 180 X 300 MM  (22KG C/U) (MCS25GF10-750X7-250X12 ENFLO)</x:t>
        </x:is>
      </x:c>
      <x:c r="E26" t="n">
        <x:v>0</x:v>
      </x:c>
    </x:row>
    <x:row r="27">
      <x:c r="A27" t="inlineStr">
        <x:is>
          <x:t xml:space="preserve">BARTEFFIV017</x:t>
        </x:is>
      </x:c>
      <x:c r="B27" t="inlineStr">
        <x:is>
          <x:t xml:space="preserve">BOCINA TEFLON FIBRA DE VIDRIO 25% 350 X 230 X 200 MM  (26.25 KG C/U) (MCS25GF14X9-250X8 ENFLO)</x:t>
        </x:is>
      </x:c>
      <x:c r="E27" t="n">
        <x:v>0</x:v>
      </x:c>
    </x:row>
    <x:row r="28">
      <x:c r="A28" t="inlineStr">
        <x:is>
          <x:t xml:space="preserve">BARTEFFIV018</x:t>
        </x:is>
      </x:c>
      <x:c r="B28" t="inlineStr">
        <x:is>
          <x:t xml:space="preserve">BOCINA TEFLON FIBRA DE VIDRIO 25% 320 X 250 X 180 MM ( 19 KG) (MCS25GF12-500X9-750X6-750 ENFLO)</x:t>
        </x:is>
      </x:c>
      <x:c r="E28" t="n">
        <x:v>0</x:v>
      </x:c>
    </x:row>
    <x:row r="29">
      <x:c r="A29" t="inlineStr">
        <x:is>
          <x:t xml:space="preserve">BARTEFFIV019</x:t>
        </x:is>
      </x:c>
      <x:c r="B29" t="inlineStr">
        <x:is>
          <x:t xml:space="preserve">BOCINA PTFE-FIV 140 X 90 X 250 MM</x:t>
        </x:is>
      </x:c>
      <x:c r="E29" t="n">
        <x:v>0</x:v>
      </x:c>
    </x:row>
    <x:row r="30">
      <x:c r="A30" t="inlineStr">
        <x:is>
          <x:t xml:space="preserve">BARTEFFIV020</x:t>
        </x:is>
      </x:c>
      <x:c r="B30" t="inlineStr">
        <x:is>
          <x:t xml:space="preserve">BOCInA PTFE-FIV 90 X 40 X 300 MM</x:t>
        </x:is>
      </x:c>
      <x:c r="E30" t="n">
        <x:v>2</x:v>
      </x:c>
    </x:row>
    <x:row r="31">
      <x:c r="A31" t="inlineStr">
        <x:is>
          <x:t xml:space="preserve">BARTEFFIV021</x:t>
        </x:is>
      </x:c>
      <x:c r="B31" t="inlineStr">
        <x:is>
          <x:t xml:space="preserve">BARRA PTFE-FV 25% 85MM DIAM X 300 MM LGO ENFLO</x:t>
        </x:is>
      </x:c>
      <x:c r="E31" t="n">
        <x:v>2</x:v>
      </x:c>
    </x:row>
    <x:row r="32">
      <x:c r="A32" t="inlineStr">
        <x:is>
          <x:t xml:space="preserve">BARTEFFIV022</x:t>
        </x:is>
      </x:c>
      <x:c r="B32" t="inlineStr">
        <x:is>
          <x:t xml:space="preserve">BOCINA PTFE-FIV 85 X 50 X 300</x:t>
        </x:is>
      </x:c>
      <x:c r="E32" t="n">
        <x:v>0</x:v>
      </x:c>
    </x:row>
    <x:row r="33">
      <x:c r="A33" t="inlineStr">
        <x:is>
          <x:t xml:space="preserve">BARTEFFIV023</x:t>
        </x:is>
      </x:c>
      <x:c r="B33" t="inlineStr">
        <x:is>
          <x:t xml:space="preserve">BOCINA PTFE FV 240 X 140 X 300 (MCS25GF 10-500X4X12)</x:t>
        </x:is>
      </x:c>
      <x:c r="E33" t="n">
        <x:v>0</x:v>
      </x:c>
    </x:row>
    <x:row r="34">
      <x:c r="A34" t="inlineStr">
        <x:is>
          <x:t xml:space="preserve">BARTEFFIV024</x:t>
        </x:is>
      </x:c>
      <x:c r="B34" t="inlineStr">
        <x:is>
          <x:t xml:space="preserve">BOCINA PTFE-FIV 250X130X300 (MCS25GF10-500X5X12 ENFLO)</x:t>
        </x:is>
      </x:c>
      <x:c r="E34" t="n">
        <x:v>0</x:v>
      </x:c>
    </x:row>
    <x:row r="35">
      <x:c r="A35" t="inlineStr">
        <x:is>
          <x:t xml:space="preserve">BARTEFFIV025</x:t>
        </x:is>
      </x:c>
      <x:c r="B35" t="inlineStr">
        <x:is>
          <x:t xml:space="preserve">BOCINA PTFE-FIV 200X90X300 (MCS25GF8-500X3-500X12 ENFLO)</x:t>
        </x:is>
      </x:c>
      <x:c r="E35" t="n">
        <x:v>0</x:v>
      </x:c>
    </x:row>
    <x:row r="36">
      <x:c r="A36" t="inlineStr">
        <x:is>
          <x:t xml:space="preserve">BARTEFFIV026</x:t>
        </x:is>
      </x:c>
      <x:c r="B36" t="inlineStr">
        <x:is>
          <x:t xml:space="preserve">BOCINA PTFE-FIV 150X90X300 (MCS25GF6-500X3-500X12 ENFLO)</x:t>
        </x:is>
      </x:c>
      <x:c r="E36" t="n">
        <x:v>0</x:v>
      </x:c>
    </x:row>
    <x:row r="37">
      <x:c r="A37" t="inlineStr">
        <x:is>
          <x:t xml:space="preserve">BARTEFFIV027</x:t>
        </x:is>
      </x:c>
      <x:c r="B37" t="inlineStr">
        <x:is>
          <x:t xml:space="preserve">BOCINA PTFE/FIV  10.236 INCH OD X 7.874 INCH ID X 12 INCH LGO (MCS25GF12X6X12)</x:t>
        </x:is>
      </x:c>
      <x:c r="E37" t="n">
        <x:v>0</x:v>
      </x:c>
    </x:row>
    <x:row r="38">
      <x:c r="A38" t="inlineStr">
        <x:is>
          <x:t xml:space="preserve">BARTEFFIV028</x:t>
        </x:is>
      </x:c>
      <x:c r="B38" t="inlineStr">
        <x:is>
          <x:t xml:space="preserve">BOCINA PTFE/FIV  12.992 INCH OD X  11.024 INCH ID X 8.750 INCH LGO (MCS25GF14X10-500X8-750)</x:t>
        </x:is>
      </x:c>
      <x:c r="E38" t="n">
        <x:v>0</x:v>
      </x:c>
    </x:row>
    <x:row r="39">
      <x:c r="A39" t="inlineStr">
        <x:is>
          <x:t xml:space="preserve">BARTEFFIV029</x:t>
        </x:is>
      </x:c>
      <x:c r="B39" t="inlineStr">
        <x:is>
          <x:t xml:space="preserve">BOCINA PTFE/FIV  10.433 INCH OD X  9.055 INCH ID X 8 INCH LGO (MCS25GF11-500X9X8)</x:t>
        </x:is>
      </x:c>
      <x:c r="E39" t="n">
        <x:v>0</x:v>
      </x:c>
    </x:row>
    <x:row r="40">
      <x:c r="A40" t="inlineStr">
        <x:is>
          <x:t xml:space="preserve">BARTEFFIV030</x:t>
        </x:is>
      </x:c>
      <x:c r="B40" t="inlineStr">
        <x:is>
          <x:t xml:space="preserve">BOCINA PTFE/ MMFIV OD 240 X ID 180 X 203</x:t>
        </x:is>
      </x:c>
      <x:c r="E40" t="n">
        <x:v>0</x:v>
      </x:c>
    </x:row>
    <x:row r="41">
      <x:c r="A41" t="inlineStr">
        <x:is>
          <x:t xml:space="preserve">BARTEFFIV031</x:t>
        </x:is>
      </x:c>
      <x:c r="B41" t="inlineStr">
        <x:is>
          <x:t xml:space="preserve">BOCINA PTFE/FIV OD 260 X ID 200 X 304 MM</x:t>
        </x:is>
      </x:c>
      <x:c r="E41" t="n">
        <x:v>0</x:v>
      </x:c>
    </x:row>
    <x:row r="42">
      <x:c r="A42" t="inlineStr">
        <x:is>
          <x:t xml:space="preserve">BARTEFFIV032</x:t>
        </x:is>
      </x:c>
      <x:c r="B42" t="inlineStr">
        <x:is>
          <x:t xml:space="preserve">BOCINA PTFE/FIV OD 330 X ID 280 X 222 MM</x:t>
        </x:is>
      </x:c>
      <x:c r="E42" t="n">
        <x:v>0</x:v>
      </x:c>
    </x:row>
    <x:row r="43">
      <x:c r="A43" t="inlineStr">
        <x:is>
          <x:t xml:space="preserve">BARTEFFIV033</x:t>
        </x:is>
      </x:c>
      <x:c r="B43" t="inlineStr">
        <x:is>
          <x:t xml:space="preserve">BOCINA PTFE/FIV OD 280 X ID 230 X 203 MM</x:t>
        </x:is>
      </x:c>
      <x:c r="E43" t="n">
        <x:v>0</x:v>
      </x:c>
    </x:row>
    <x:row r="44">
      <x:c r="A44" t="inlineStr">
        <x:is>
          <x:t xml:space="preserve">BARTEFFIV034</x:t>
        </x:is>
      </x:c>
      <x:c r="B44" t="inlineStr">
        <x:is>
          <x:t xml:space="preserve">BOCINA PTFE/FIV OD 260 X ID 220 X 150 MM</x:t>
        </x:is>
      </x:c>
      <x:c r="E44" t="n">
        <x:v>0</x:v>
      </x:c>
    </x:row>
    <x:row r="45">
      <x:c r="A45" t="inlineStr">
        <x:is>
          <x:t xml:space="preserve">BARTEFFIV035</x:t>
        </x:is>
      </x:c>
      <x:c r="B45" t="inlineStr">
        <x:is>
          <x:t xml:space="preserve">BOCINA PTFE/FIV OD 260 X ID 180 X 300 MM</x:t>
        </x:is>
      </x:c>
      <x:c r="E45" t="n">
        <x:v>0</x:v>
      </x:c>
    </x:row>
    <x:row r="46">
      <x:c r="A46" t="inlineStr">
        <x:is>
          <x:t xml:space="preserve">BARTEFFIV036</x:t>
        </x:is>
      </x:c>
      <x:c r="B46" t="inlineStr">
        <x:is>
          <x:t xml:space="preserve">BOCINA PTFE/FIV OD 220 X ID 100 X 300 MM</x:t>
        </x:is>
      </x:c>
      <x:c r="E46" t="n">
        <x:v>0</x:v>
      </x:c>
    </x:row>
    <x:row r="47">
      <x:c r="A47" t="inlineStr">
        <x:is>
          <x:t xml:space="preserve">BARTEFFIV037</x:t>
        </x:is>
      </x:c>
      <x:c r="B47" t="inlineStr">
        <x:is>
          <x:t xml:space="preserve">BOCINA PTFE/FIV OD 150 X ID 60 X 150  MM</x:t>
        </x:is>
      </x:c>
      <x:c r="E47" t="n">
        <x:v>1</x:v>
      </x:c>
    </x:row>
    <x:row r="48">
      <x:c r="A48" t="inlineStr">
        <x:is>
          <x:t xml:space="preserve">BARTEFFIV038</x:t>
        </x:is>
      </x:c>
      <x:c r="B48" t="inlineStr">
        <x:is>
          <x:t xml:space="preserve">BOCINA PTFE/FIV OD 130 X ID 60 X 150 MM</x:t>
        </x:is>
      </x:c>
      <x:c r="E48" t="n">
        <x:v>1</x:v>
      </x:c>
    </x:row>
    <x:row r="49">
      <x:c r="A49" t="inlineStr">
        <x:is>
          <x:t xml:space="preserve">BARTEFFIV039</x:t>
        </x:is>
      </x:c>
      <x:c r="B49" t="inlineStr">
        <x:is>
          <x:t xml:space="preserve">BOCINA PTFE/FIV OD 250 X ID 205 X 220 MM</x:t>
        </x:is>
      </x:c>
      <x:c r="E49" t="n">
        <x:v>0</x:v>
      </x:c>
    </x:row>
    <x:row r="50">
      <x:c r="A50" t="inlineStr">
        <x:is>
          <x:t xml:space="preserve">BARTEFFIV040</x:t>
        </x:is>
      </x:c>
      <x:c r="B50" t="inlineStr">
        <x:is>
          <x:t xml:space="preserve">BOCINA PTFE/FIV OD 330 X ID 285 X 275 MM</x:t>
        </x:is>
      </x:c>
      <x:c r="E50" t="n">
        <x:v>0</x:v>
      </x:c>
    </x:row>
    <x:row r="51">
      <x:c r="A51" t="inlineStr">
        <x:is>
          <x:t xml:space="preserve">BARTEFFIV041</x:t>
        </x:is>
      </x:c>
      <x:c r="B51" t="inlineStr">
        <x:is>
          <x:t xml:space="preserve">BOCINA PTFE/FIV OD 260 X ID 196 X 300 MM</x:t>
        </x:is>
      </x:c>
      <x:c r="E51" t="n">
        <x:v>0</x:v>
      </x:c>
    </x:row>
    <x:row r="52">
      <x:c r="A52" t="inlineStr">
        <x:is>
          <x:t xml:space="preserve">BARTEFFIV042</x:t>
        </x:is>
      </x:c>
      <x:c r="B52" t="inlineStr">
        <x:is>
          <x:t xml:space="preserve">BOCINA PTFE/FIV OD 250 X ID 230 X 220 MM</x:t>
        </x:is>
      </x:c>
      <x:c r="E52" t="n">
        <x:v>1</x:v>
      </x:c>
    </x:row>
    <x:row r="53">
      <x:c r="A53" t="inlineStr">
        <x:is>
          <x:t xml:space="preserve">BARTEFFIV043</x:t>
        </x:is>
      </x:c>
      <x:c r="B53" t="inlineStr">
        <x:is>
          <x:t xml:space="preserve">BOCINA PTFE/FIV OD 300 X ID 270 X 275 MM</x:t>
        </x:is>
      </x:c>
      <x:c r="E53" t="n">
        <x:v>3</x:v>
      </x:c>
    </x:row>
    <x:row r="54">
      <x:c r="A54" t="inlineStr">
        <x:is>
          <x:t xml:space="preserve">BARTEFFIV044</x:t>
        </x:is>
      </x:c>
      <x:c r="B54" t="inlineStr">
        <x:is>
          <x:t xml:space="preserve">BOCINA PTFE/FIV OD 270 X ID 240 X 290 MM</x:t>
        </x:is>
      </x:c>
      <x:c r="E54" t="n">
        <x:v>0</x:v>
      </x:c>
    </x:row>
    <x:row r="55">
      <x:c r="A55" t="inlineStr">
        <x:is>
          <x:t xml:space="preserve">BARTEFFIV045</x:t>
        </x:is>
      </x:c>
      <x:c r="B55" t="inlineStr">
        <x:is>
          <x:t xml:space="preserve">BOCINA PTFE/FIV OD 310 X ID 260 X 240 MM</x:t>
        </x:is>
      </x:c>
      <x:c r="E55" t="n">
        <x:v>1</x:v>
      </x:c>
    </x:row>
    <x:row r="56">
      <x:c r="A56" t="inlineStr">
        <x:is>
          <x:t xml:space="preserve">BARTEFFIV046</x:t>
        </x:is>
      </x:c>
      <x:c r="B56" t="inlineStr">
        <x:is>
          <x:t xml:space="preserve">BOCINA PTFE/FIV OD 250 X ID 200 X 300 MM</x:t>
        </x:is>
      </x:c>
      <x:c r="E56" t="n">
        <x:v>0</x:v>
      </x:c>
    </x:row>
    <x:row r="57">
      <x:c r="A57" t="inlineStr">
        <x:is>
          <x:t xml:space="preserve">BARTEFFIV047</x:t>
        </x:is>
      </x:c>
      <x:c r="B57" t="inlineStr">
        <x:is>
          <x:t xml:space="preserve">BOCINA PTFE/FIV OD 240 X ID 180 X 300 MM</x:t>
        </x:is>
      </x:c>
      <x:c r="E57" t="n">
        <x:v>3</x:v>
      </x:c>
    </x:row>
    <x:row r="58">
      <x:c r="A58" t="inlineStr">
        <x:is>
          <x:t xml:space="preserve">BARTEFFIV048</x:t>
        </x:is>
      </x:c>
      <x:c r="B58" t="inlineStr">
        <x:is>
          <x:t xml:space="preserve">BOCINA PTFE/FIV OD 200 X ID 150 X 300 MM</x:t>
        </x:is>
      </x:c>
      <x:c r="E58" t="n">
        <x:v>2</x:v>
      </x:c>
    </x:row>
    <x:row r="59">
      <x:c r="A59" t="inlineStr">
        <x:is>
          <x:t xml:space="preserve">BARTEFFIV049</x:t>
        </x:is>
      </x:c>
      <x:c r="B59" t="inlineStr">
        <x:is>
          <x:t xml:space="preserve">BOCINA PTFE/FIV OD 175 X ID 135 X 300 MM</x:t>
        </x:is>
      </x:c>
      <x:c r="E59" t="n">
        <x:v>1</x:v>
      </x:c>
    </x:row>
    <x:row r="60">
      <x:c r="A60" t="inlineStr">
        <x:is>
          <x:t xml:space="preserve">BARTEFFIV050</x:t>
        </x:is>
      </x:c>
      <x:c r="B60" t="inlineStr">
        <x:is>
          <x:t xml:space="preserve">BOCINA PTFE/FIV OD 170 X ID 125 X 300 MM</x:t>
        </x:is>
      </x:c>
      <x:c r="E60" t="n">
        <x:v>7</x:v>
      </x:c>
    </x:row>
    <x:row r="61">
      <x:c r="A61" t="inlineStr">
        <x:is>
          <x:t xml:space="preserve">BARTEFFIV051</x:t>
        </x:is>
      </x:c>
      <x:c r="B61" t="inlineStr">
        <x:is>
          <x:t xml:space="preserve">BOCINA PTFE/FIV OD 250 X ID 205  X 200 MM</x:t>
        </x:is>
      </x:c>
      <x:c r="E61" t="n">
        <x:v>0</x:v>
      </x:c>
    </x:row>
    <x:row r="62">
      <x:c r="A62" t="inlineStr">
        <x:is>
          <x:t xml:space="preserve">BARTEFFIV052</x:t>
        </x:is>
      </x:c>
      <x:c r="B62" t="inlineStr">
        <x:is>
          <x:t xml:space="preserve">BOCINA PTFE/FIV OD 260 X ID 230 X 200 MM</x:t>
        </x:is>
      </x:c>
      <x:c r="E62" t="n">
        <x:v>0</x:v>
      </x:c>
    </x:row>
    <x:row r="63">
      <x:c r="A63" t="inlineStr">
        <x:is>
          <x:t xml:space="preserve">BARTEFFIV053</x:t>
        </x:is>
      </x:c>
      <x:c r="B63" t="inlineStr">
        <x:is>
          <x:t xml:space="preserve">BOCINA PTFE/FIV OD 330 X ID 290 X 200 MM</x:t>
        </x:is>
      </x:c>
      <x:c r="E63" t="n">
        <x:v>0</x:v>
      </x:c>
    </x:row>
    <x:row r="64">
      <x:c r="A64" t="inlineStr">
        <x:is>
          <x:t xml:space="preserve">BARTEFFIV054</x:t>
        </x:is>
      </x:c>
      <x:c r="B64" t="inlineStr">
        <x:is>
          <x:t xml:space="preserve">BOCINA PTFE/FIV OD 250 X ID 210 X 170 MM</x:t>
        </x:is>
      </x:c>
      <x:c r="E64" t="n">
        <x:v>0</x:v>
      </x:c>
    </x:row>
    <x:row r="65">
      <x:c r="A65" t="inlineStr">
        <x:is>
          <x:t xml:space="preserve">BARTEFFIV055</x:t>
        </x:is>
      </x:c>
      <x:c r="B65" t="inlineStr">
        <x:is>
          <x:t xml:space="preserve">BOCINA PTFE/FIV OD 250 X ID 210 X 220 MM</x:t>
        </x:is>
      </x:c>
      <x:c r="E65" t="n">
        <x:v>0</x:v>
      </x:c>
    </x:row>
    <x:row r="66">
      <x:c r="A66" t="inlineStr">
        <x:is>
          <x:t xml:space="preserve">BARTEFFIV056</x:t>
        </x:is>
      </x:c>
      <x:c r="B66" t="inlineStr">
        <x:is>
          <x:t xml:space="preserve">BOCINA PTFE/FIV OD  250 X ID 190 X 300 MM</x:t>
        </x:is>
      </x:c>
      <x:c r="E66" t="n">
        <x:v>6</x:v>
      </x:c>
    </x:row>
    <x:row r="67">
      <x:c r="A67" t="inlineStr">
        <x:is>
          <x:t xml:space="preserve">BARTEFFIV057</x:t>
        </x:is>
      </x:c>
      <x:c r="B67" t="inlineStr">
        <x:is>
          <x:t xml:space="preserve">BOCINA PTFE/FIV OD 200 X ID 145 X 300 MM</x:t>
        </x:is>
      </x:c>
      <x:c r="E67" t="n">
        <x:v>5</x:v>
      </x:c>
    </x:row>
    <x:row r="68">
      <x:c r="A68" t="inlineStr">
        <x:is>
          <x:t xml:space="preserve">BARTEFFIV058</x:t>
        </x:is>
      </x:c>
      <x:c r="B68" t="inlineStr">
        <x:is>
          <x:t xml:space="preserve">BOCINA PTFE/FIV OD 140 X ID 90 X 300 MM</x:t>
        </x:is>
      </x:c>
      <x:c r="E68" t="n">
        <x:v>10</x:v>
      </x:c>
    </x:row>
    <x:row r="69">
      <x:c r="A69" t="inlineStr">
        <x:is>
          <x:t xml:space="preserve">BARTEFFIV059</x:t>
        </x:is>
      </x:c>
      <x:c r="B69" t="inlineStr">
        <x:is>
          <x:t xml:space="preserve">BOCINA PTFE/FIV OD 170 X ID 120 X 300 MM</x:t>
        </x:is>
      </x:c>
      <x:c r="E69" t="n">
        <x:v>1</x:v>
      </x:c>
    </x:row>
    <x:row r="70">
      <x:c r="A70" t="inlineStr">
        <x:is>
          <x:t xml:space="preserve">BARTEFFIV060</x:t>
        </x:is>
      </x:c>
      <x:c r="B70" t="inlineStr">
        <x:is>
          <x:t xml:space="preserve">BOCINA PTFE/FIV OD 120 X ID 70 X 300 MM</x:t>
        </x:is>
      </x:c>
      <x:c r="E70" t="n">
        <x:v>7</x:v>
      </x:c>
    </x:row>
    <x:row r="71">
      <x:c r="A71" t="inlineStr">
        <x:is>
          <x:t xml:space="preserve">BARTEFFIV061</x:t>
        </x:is>
      </x:c>
      <x:c r="B71" t="inlineStr">
        <x:is>
          <x:t xml:space="preserve">BOCINA PTFE/FIV OD 250 X ID 200 X 220 MM</x:t>
        </x:is>
      </x:c>
      <x:c r="E71" t="n">
        <x:v>2</x:v>
      </x:c>
    </x:row>
    <x:row r="72">
      <x:c r="A72" t="inlineStr">
        <x:is>
          <x:t xml:space="preserve">BARTEFFIV062</x:t>
        </x:is>
      </x:c>
      <x:c r="B72" t="inlineStr">
        <x:is>
          <x:t xml:space="preserve">BOCINA PTFE/FIV OD 250 X ID 200 X 170 MM</x:t>
        </x:is>
      </x:c>
      <x:c r="E72" t="n">
        <x:v>0</x:v>
      </x:c>
    </x:row>
    <x:row r="73">
      <x:c r="A73" t="inlineStr">
        <x:is>
          <x:t xml:space="preserve">BARTEFFIV063</x:t>
        </x:is>
      </x:c>
      <x:c r="B73" t="inlineStr">
        <x:is>
          <x:t xml:space="preserve">BOCINA PTFE/FIV OD 180 X ID 130 X 300MM</x:t>
        </x:is>
      </x:c>
      <x:c r="E73" t="n">
        <x:v>4</x:v>
      </x:c>
    </x:row>
    <x:row r="74">
      <x:c r="A74" t="inlineStr">
        <x:is>
          <x:t xml:space="preserve">BARTEFFIV064</x:t>
        </x:is>
      </x:c>
      <x:c r="B74" t="inlineStr">
        <x:is>
          <x:t xml:space="preserve">BARRA PTFE/FIV OD 70 X 1000 MM</x:t>
        </x:is>
      </x:c>
      <x:c r="E74" t="n">
        <x:v>0</x:v>
      </x:c>
    </x:row>
    <x:row r="75">
      <x:c r="A75" t="inlineStr">
        <x:is>
          <x:t xml:space="preserve">BARTEFFIV065</x:t>
        </x:is>
      </x:c>
      <x:c r="B75" t="inlineStr">
        <x:is>
          <x:t xml:space="preserve">BOCINA PTFE/FIV OD 335 X ID 245 X 233 MM</x:t>
        </x:is>
      </x:c>
      <x:c r="E75" t="n">
        <x:v>4</x:v>
      </x:c>
    </x:row>
    <x:row r="76">
      <x:c r="A76" t="inlineStr">
        <x:is>
          <x:t xml:space="preserve">BARTEFFIV066</x:t>
        </x:is>
      </x:c>
      <x:c r="B76" t="inlineStr">
        <x:is>
          <x:t xml:space="preserve">BOCINA PTFE/FIV OD 248 X ID 196 X 300 MM</x:t>
        </x:is>
      </x:c>
      <x:c r="E76" t="n">
        <x:v>10</x:v>
      </x:c>
    </x:row>
    <x:row r="77">
      <x:c r="A77" t="inlineStr">
        <x:is>
          <x:t xml:space="preserve">BARTEFPUR001</x:t>
        </x:is>
      </x:c>
      <x:c r="B77" t="inlineStr">
        <x:is>
          <x:t xml:space="preserve">BARRA TEFLON PURO DIAM 50 MM X 1000 MM LGO</x:t>
        </x:is>
      </x:c>
      <x:c r="E77" t="n">
        <x:v>0</x:v>
      </x:c>
    </x:row>
    <x:row r="78">
      <x:c r="A78" t="inlineStr">
        <x:is>
          <x:t xml:space="preserve">BARTEFPUR002</x:t>
        </x:is>
      </x:c>
      <x:c r="B78" t="inlineStr">
        <x:is>
          <x:t xml:space="preserve">BARRA TEFLON PURO DIAM 140 MM</x:t>
        </x:is>
      </x:c>
      <x:c r="E78" t="n">
        <x:v>1</x:v>
      </x:c>
    </x:row>
    <x:row r="79">
      <x:c r="A79" t="inlineStr">
        <x:is>
          <x:t xml:space="preserve">BARTEFPUR003</x:t>
        </x:is>
      </x:c>
      <x:c r="B79" t="inlineStr">
        <x:is>
          <x:t xml:space="preserve">BARRA TEFLON PURO DIAM 150 MM</x:t>
        </x:is>
      </x:c>
      <x:c r="E79" t="n">
        <x:v>0</x:v>
      </x:c>
    </x:row>
    <x:row r="80">
      <x:c r="A80" t="inlineStr">
        <x:is>
          <x:t xml:space="preserve">BARTEFPUR004</x:t>
        </x:is>
      </x:c>
      <x:c r="B80" t="inlineStr">
        <x:is>
          <x:t xml:space="preserve">BARRA TEFLON PURO 100x1000 mm c/u</x:t>
        </x:is>
      </x:c>
      <x:c r="E80" t="n">
        <x:v>0</x:v>
      </x:c>
    </x:row>
    <x:row r="81">
      <x:c r="A81" t="inlineStr">
        <x:is>
          <x:t xml:space="preserve">BARTEFPUR005</x:t>
        </x:is>
      </x:c>
      <x:c r="B81" t="inlineStr">
        <x:is>
          <x:t xml:space="preserve">BARRA DE TEFLON PURO DIAMETRO 200MM X 300 MM LGO</x:t>
        </x:is>
      </x:c>
      <x:c r="E81" t="n">
        <x:v>0</x:v>
      </x:c>
    </x:row>
    <x:row r="82">
      <x:c r="A82" t="inlineStr">
        <x:is>
          <x:t xml:space="preserve">BARTEFPUR006</x:t>
        </x:is>
      </x:c>
      <x:c r="B82" t="inlineStr">
        <x:is>
          <x:t xml:space="preserve">BARRA TEFLON PURO DIAM 180 MM</x:t>
        </x:is>
      </x:c>
      <x:c r="E82" t="n">
        <x:v>0</x:v>
      </x:c>
    </x:row>
    <x:row r="83">
      <x:c r="A83" t="inlineStr">
        <x:is>
          <x:t xml:space="preserve">BARTEFPUR007</x:t>
        </x:is>
      </x:c>
      <x:c r="B83" t="inlineStr">
        <x:is>
          <x:t xml:space="preserve">BARRA TEFLON PURO DIAM 120 MM x 220MM</x:t>
        </x:is>
      </x:c>
      <x:c r="E83" t="n">
        <x:v>0</x:v>
      </x:c>
    </x:row>
    <x:row r="84">
      <x:c r="A84" t="inlineStr">
        <x:is>
          <x:t xml:space="preserve">BARTEFPUR008</x:t>
        </x:is>
      </x:c>
      <x:c r="B84" t="inlineStr">
        <x:is>
          <x:t xml:space="preserve">BARRA TEFLON PURO DIAM 130 MM x 220MM</x:t>
        </x:is>
      </x:c>
      <x:c r="E84" t="n">
        <x:v>0</x:v>
      </x:c>
    </x:row>
    <x:row r="85">
      <x:c r="A85" t="inlineStr">
        <x:is>
          <x:t xml:space="preserve">BOCTEFCIL001</x:t>
        </x:is>
      </x:c>
      <x:c r="B85" t="inlineStr">
        <x:is>
          <x:t xml:space="preserve">BOCINA TEFLON 10 1/4 X 5 3/4</x:t>
        </x:is>
      </x:c>
      <x:c r="E85" t="n">
        <x:v>0</x:v>
      </x:c>
    </x:row>
    <x:row r="86">
      <x:c r="A86" t="inlineStr">
        <x:is>
          <x:t xml:space="preserve">BOCTEFCIL002</x:t>
        </x:is>
      </x:c>
      <x:c r="B86" t="inlineStr">
        <x:is>
          <x:t xml:space="preserve">BOCINA TEFLON 10 1/4 X 6 1/4</x:t>
        </x:is>
      </x:c>
      <x:c r="E86" t="n">
        <x:v>0</x:v>
      </x:c>
    </x:row>
    <x:row r="87">
      <x:c r="A87" t="inlineStr">
        <x:is>
          <x:t xml:space="preserve">BOCTEFCIL003</x:t>
        </x:is>
      </x:c>
      <x:c r="B87" t="inlineStr">
        <x:is>
          <x:t xml:space="preserve">BOCINA TEFLON 10 1/4 X 7</x:t>
        </x:is>
      </x:c>
      <x:c r="E87" t="n">
        <x:v>0</x:v>
      </x:c>
    </x:row>
    <x:row r="88">
      <x:c r="A88" t="inlineStr">
        <x:is>
          <x:t xml:space="preserve">BOCTEFCIL004</x:t>
        </x:is>
      </x:c>
      <x:c r="B88" t="inlineStr">
        <x:is>
          <x:t xml:space="preserve">BOCINA TEFLON 13 1/4 x 9 3/4</x:t>
        </x:is>
      </x:c>
      <x:c r="E88" t="n">
        <x:v>0</x:v>
      </x:c>
    </x:row>
    <x:row r="89">
      <x:c r="A89" t="inlineStr">
        <x:is>
          <x:t xml:space="preserve">BOCTEFCIL005</x:t>
        </x:is>
      </x:c>
      <x:c r="B89" t="inlineStr">
        <x:is>
          <x:t xml:space="preserve">BOCINA TEFLON 3 1/2 X 1 7/8</x:t>
        </x:is>
      </x:c>
      <x:c r="E89" t="n">
        <x:v>0</x:v>
      </x:c>
    </x:row>
    <x:row r="90">
      <x:c r="A90" t="inlineStr">
        <x:is>
          <x:t xml:space="preserve">BOCTEFCIL006</x:t>
        </x:is>
      </x:c>
      <x:c r="B90" t="inlineStr">
        <x:is>
          <x:t xml:space="preserve">BOCINA TEFLON 3 3/4 X 1 1/2</x:t>
        </x:is>
      </x:c>
      <x:c r="E90" t="n">
        <x:v>0</x:v>
      </x:c>
    </x:row>
    <x:row r="91">
      <x:c r="A91" t="inlineStr">
        <x:is>
          <x:t xml:space="preserve">BOCTEFCIL007</x:t>
        </x:is>
      </x:c>
      <x:c r="B91" t="inlineStr">
        <x:is>
          <x:t xml:space="preserve">BOCINA TEFLON 4 3/8 X 2 1/4</x:t>
        </x:is>
      </x:c>
      <x:c r="E91" t="n">
        <x:v>0</x:v>
      </x:c>
    </x:row>
    <x:row r="92">
      <x:c r="A92" t="inlineStr">
        <x:is>
          <x:t xml:space="preserve">BOCTEFCIL008</x:t>
        </x:is>
      </x:c>
      <x:c r="B92" t="inlineStr">
        <x:is>
          <x:t xml:space="preserve">BOCINA TEFLON 5 3/4 X 3</x:t>
        </x:is>
      </x:c>
      <x:c r="E92" t="n">
        <x:v>0</x:v>
      </x:c>
    </x:row>
    <x:row r="93">
      <x:c r="A93" t="inlineStr">
        <x:is>
          <x:t xml:space="preserve">BOCTEFCIL009</x:t>
        </x:is>
      </x:c>
      <x:c r="B93" t="inlineStr">
        <x:is>
          <x:t xml:space="preserve">BOCINA TEFLON 7 1/4 X 4</x:t>
        </x:is>
      </x:c>
      <x:c r="E93" t="n">
        <x:v>0</x:v>
      </x:c>
    </x:row>
    <x:row r="94">
      <x:c r="A94" t="inlineStr">
        <x:is>
          <x:t xml:space="preserve">BOCTEFCIL010</x:t>
        </x:is>
      </x:c>
      <x:c r="B94" t="inlineStr">
        <x:is>
          <x:t xml:space="preserve">BOCINA TEFLON 8 1/4 X 5 1/2</x:t>
        </x:is>
      </x:c>
      <x:c r="E94" t="n">
        <x:v>0</x:v>
      </x:c>
    </x:row>
    <x:row r="95">
      <x:c r="A95" t="inlineStr">
        <x:is>
          <x:t xml:space="preserve">CARSILGRA001</x:t>
        </x:is>
      </x:c>
      <x:c r="B95" t="inlineStr">
        <x:is>
          <x:t xml:space="preserve">CARBURO DE SILICIO GRANO 120</x:t>
        </x:is>
      </x:c>
      <x:c r="E95" t="n">
        <x:v>0</x:v>
      </x:c>
    </x:row>
    <x:row r="96">
      <x:c r="A96" t="inlineStr">
        <x:is>
          <x:t xml:space="preserve">CARSILGRA002</x:t>
        </x:is>
      </x:c>
      <x:c r="B96" t="inlineStr">
        <x:is>
          <x:t xml:space="preserve">CARBURO DE SILICIO GRANO 240</x:t>
        </x:is>
      </x:c>
      <x:c r="E96" t="n">
        <x:v>0</x:v>
      </x:c>
    </x:row>
    <x:row r="97">
      <x:c r="A97" t="inlineStr">
        <x:is>
          <x:t xml:space="preserve">CARSILGRA003</x:t>
        </x:is>
      </x:c>
      <x:c r="B97" t="inlineStr">
        <x:is>
          <x:t xml:space="preserve">CARBURO DE SILICIO GRANO 220</x:t>
        </x:is>
      </x:c>
      <x:c r="E97" t="n">
        <x:v>0</x:v>
      </x:c>
    </x:row>
    <x:row r="98">
      <x:c r="A98" t="inlineStr">
        <x:is>
          <x:t xml:space="preserve">CARSILGRA004</x:t>
        </x:is>
      </x:c>
      <x:c r="B98" t="inlineStr">
        <x:is>
          <x:t xml:space="preserve">CARBURO DE SILICIO GRANO 320</x:t>
        </x:is>
      </x:c>
      <x:c r="E98" t="n">
        <x:v>0</x:v>
      </x:c>
    </x:row>
    <x:row r="99">
      <x:c r="A99" t="inlineStr">
        <x:is>
          <x:t xml:space="preserve">CARSILGRA005</x:t>
        </x:is>
      </x:c>
      <x:c r="B99" t="inlineStr">
        <x:is>
          <x:t xml:space="preserve">CARBURO DE SILICIO GRANO 400</x:t>
        </x:is>
      </x:c>
      <x:c r="E99" t="n">
        <x:v>0</x:v>
      </x:c>
    </x:row>
    <x:row r="100">
      <x:c r="A100" t="inlineStr">
        <x:is>
          <x:t xml:space="preserve">CARSILGRA006</x:t>
        </x:is>
      </x:c>
      <x:c r="B100" t="inlineStr">
        <x:is>
          <x:t xml:space="preserve">CARBURO DE SILICIO GRANO 600</x:t>
        </x:is>
      </x:c>
      <x:c r="E100" t="n">
        <x:v>0</x:v>
      </x:c>
    </x:row>
    <x:row r="101">
      <x:c r="A101" t="inlineStr">
        <x:is>
          <x:t xml:space="preserve">CARSILGRA007</x:t>
        </x:is>
      </x:c>
      <x:c r="B101" t="inlineStr">
        <x:is>
          <x:t xml:space="preserve">CARBURO DE SILICIO GRANO 800</x:t>
        </x:is>
      </x:c>
      <x:c r="E101" t="n">
        <x:v>0</x:v>
      </x:c>
    </x:row>
    <x:row r="102">
      <x:c r="A102" t="inlineStr">
        <x:is>
          <x:t xml:space="preserve">CARSILGRA008</x:t>
        </x:is>
      </x:c>
      <x:c r="B102" t="inlineStr">
        <x:is>
          <x:t xml:space="preserve">CARBURO DE SILICIO GRANO 1000</x:t>
        </x:is>
      </x:c>
      <x:c r="E102" t="n">
        <x:v>0</x:v>
      </x:c>
    </x:row>
    <x:row r="103">
      <x:c r="A103" t="inlineStr">
        <x:is>
          <x:t xml:space="preserve">CARSILGRA009</x:t>
        </x:is>
      </x:c>
      <x:c r="B103" t="inlineStr">
        <x:is>
          <x:t xml:space="preserve">CARBURO DE SILICIO GRANO 1200</x:t>
        </x:is>
      </x:c>
      <x:c r="E103" t="n">
        <x:v>0</x:v>
      </x:c>
    </x:row>
    <x:row r="104">
      <x:c r="A104" t="inlineStr">
        <x:is>
          <x:t xml:space="preserve">CER001001001</x:t>
        </x:is>
      </x:c>
      <x:c r="B104" t="inlineStr">
        <x:is>
          <x:t xml:space="preserve">CERTIFICACION DE ESTANQUES  DS43 OC.45101476122</x:t>
        </x:is>
      </x:c>
      <x:c r="E104" t="n">
        <x:v>0</x:v>
      </x:c>
    </x:row>
    <x:row r="105">
      <x:c r="A105" t="inlineStr">
        <x:is>
          <x:t xml:space="preserve">COMPRADIR001</x:t>
        </x:is>
      </x:c>
      <x:c r="B105" t="inlineStr">
        <x:is>
          <x:t xml:space="preserve">DISCOS LIJA 5 PLG PS 73 GR 80 8 PERF</x:t>
        </x:is>
      </x:c>
      <x:c r="E105" t="n">
        <x:v>0</x:v>
      </x:c>
    </x:row>
    <x:row r="106">
      <x:c r="A106" t="inlineStr">
        <x:is>
          <x:t xml:space="preserve">COMPRADIR002</x:t>
        </x:is>
      </x:c>
      <x:c r="B106" t="inlineStr">
        <x:is>
          <x:t xml:space="preserve">Disco de lija para lijadora orbital 4 1/2 grano 60</x:t>
        </x:is>
      </x:c>
      <x:c r="E106" t="n">
        <x:v>50</x:v>
      </x:c>
    </x:row>
    <x:row r="107">
      <x:c r="A107" t="inlineStr">
        <x:is>
          <x:t xml:space="preserve">COMPRADIR003</x:t>
        </x:is>
      </x:c>
      <x:c r="B107" t="inlineStr">
        <x:is>
          <x:t xml:space="preserve">Disco de lija para lijadora orbital 4 1/2 grano 80</x:t>
        </x:is>
      </x:c>
      <x:c r="E107" t="n">
        <x:v>50</x:v>
      </x:c>
    </x:row>
    <x:row r="108">
      <x:c r="A108" t="inlineStr">
        <x:is>
          <x:t xml:space="preserve">COMPRADIR004</x:t>
        </x:is>
      </x:c>
      <x:c r="B108" t="inlineStr">
        <x:is>
          <x:t xml:space="preserve">Disco de lija para lijadora orbital 4 1/2 grano 100</x:t>
        </x:is>
      </x:c>
      <x:c r="E108" t="n">
        <x:v>50</x:v>
      </x:c>
    </x:row>
    <x:row r="109">
      <x:c r="A109" t="inlineStr">
        <x:is>
          <x:t xml:space="preserve">COMPRADIR005</x:t>
        </x:is>
      </x:c>
      <x:c r="B109" t="inlineStr">
        <x:is>
          <x:t xml:space="preserve">Disco de lija para lijadora orbital 4 1/2 grano 120</x:t>
        </x:is>
      </x:c>
      <x:c r="E109" t="n">
        <x:v>50</x:v>
      </x:c>
    </x:row>
    <x:row r="110">
      <x:c r="A110" t="inlineStr">
        <x:is>
          <x:t xml:space="preserve">CPVCOD090008</x:t>
        </x:is>
      </x:c>
      <x:c r="B110" t="inlineStr">
        <x:is>
          <x:t xml:space="preserve">CODO CPVC SCH 80 90° - 8"</x:t>
        </x:is>
      </x:c>
      <x:c r="E110" t="n">
        <x:v>0</x:v>
      </x:c>
    </x:row>
    <x:row r="111">
      <x:c r="A111" t="inlineStr">
        <x:is>
          <x:t xml:space="preserve">CPVFLNSTN002</x:t>
        </x:is>
      </x:c>
      <x:c r="B111" t="inlineStr">
        <x:is>
          <x:t xml:space="preserve">FLANGE CPVC STONE SOC CL150 -  2"</x:t>
        </x:is>
      </x:c>
      <x:c r="E111" t="n">
        <x:v>0</x:v>
      </x:c>
    </x:row>
    <x:row r="112">
      <x:c r="A112" t="inlineStr">
        <x:is>
          <x:t xml:space="preserve">CPVFLNSTN003</x:t>
        </x:is>
      </x:c>
      <x:c r="B112" t="inlineStr">
        <x:is>
          <x:t xml:space="preserve">FLANGE CPVC STONE SOC CL150 -  3"</x:t>
        </x:is>
      </x:c>
      <x:c r="E112" t="n">
        <x:v>0</x:v>
      </x:c>
    </x:row>
    <x:row r="113">
      <x:c r="A113" t="inlineStr">
        <x:is>
          <x:t xml:space="preserve">CPVFLNSTN008</x:t>
        </x:is>
      </x:c>
      <x:c r="B113" t="inlineStr">
        <x:is>
          <x:t xml:space="preserve">FLANGE CPVC STONE SOC CL150 -  8"</x:t>
        </x:is>
      </x:c>
      <x:c r="E113" t="n">
        <x:v>0</x:v>
      </x:c>
    </x:row>
    <x:row r="114">
      <x:c r="A114" t="inlineStr">
        <x:is>
          <x:t xml:space="preserve">CPVPLASIM4MM</x:t>
        </x:is>
      </x:c>
      <x:c r="B114" t="inlineStr">
        <x:is>
          <x:t xml:space="preserve">PLANCHA CPVC 4mm</x:t>
        </x:is>
      </x:c>
      <x:c r="E114" t="n">
        <x:v>0</x:v>
      </x:c>
    </x:row>
    <x:row r="115">
      <x:c r="A115" t="inlineStr">
        <x:is>
          <x:t xml:space="preserve">CPVPLASIM5MM</x:t>
        </x:is>
      </x:c>
      <x:c r="B115" t="inlineStr">
        <x:is>
          <x:t xml:space="preserve">PLANCHA CPVC 5mm</x:t>
        </x:is>
      </x:c>
      <x:c r="E115" t="n">
        <x:v>0</x:v>
      </x:c>
    </x:row>
    <x:row r="116">
      <x:c r="A116" t="inlineStr">
        <x:is>
          <x:t xml:space="preserve">CPVTUBSCH002</x:t>
        </x:is>
      </x:c>
      <x:c r="B116" t="inlineStr">
        <x:is>
          <x:t xml:space="preserve">TUBO CPVC SCH80 20FT - 2"</x:t>
        </x:is>
      </x:c>
      <x:c r="E116" t="n">
        <x:v>0</x:v>
      </x:c>
    </x:row>
    <x:row r="117">
      <x:c r="A117" t="inlineStr">
        <x:is>
          <x:t xml:space="preserve">CPVTUBSCH003</x:t>
        </x:is>
      </x:c>
      <x:c r="B117" t="inlineStr">
        <x:is>
          <x:t xml:space="preserve">TUBO CPVC SCH80 20FT - 3"</x:t>
        </x:is>
      </x:c>
      <x:c r="E117" t="n">
        <x:v>0</x:v>
      </x:c>
    </x:row>
    <x:row r="118">
      <x:c r="A118" t="inlineStr">
        <x:is>
          <x:t xml:space="preserve">CPVTUBSCH006</x:t>
        </x:is>
      </x:c>
      <x:c r="B118" t="inlineStr">
        <x:is>
          <x:t xml:space="preserve">TUBO CPVC 1600 (6PLG)X4500 MM</x:t>
        </x:is>
      </x:c>
      <x:c r="E118" t="n">
        <x:v>0</x:v>
      </x:c>
    </x:row>
    <x:row r="119">
      <x:c r="A119" t="inlineStr">
        <x:is>
          <x:t xml:space="preserve">CPVTUBSCH008</x:t>
        </x:is>
      </x:c>
      <x:c r="B119" t="inlineStr">
        <x:is>
          <x:t xml:space="preserve">TUBO CPVC SCH80 20FT - 8"</x:t>
        </x:is>
      </x:c>
      <x:c r="E119" t="n">
        <x:v>0</x:v>
      </x:c>
    </x:row>
    <x:row r="120">
      <x:c r="A120" t="inlineStr">
        <x:is>
          <x:t xml:space="preserve">DUR790001001</x:t>
        </x:is>
      </x:c>
      <x:c r="B120" t="inlineStr">
        <x:is>
          <x:t xml:space="preserve">PLANCHA DE DURLON 7900 1/8 PLG X 60 PLG X 63 PLG (DW30-120-126)</x:t>
        </x:is>
      </x:c>
      <x:c r="E120" t="n">
        <x:v>48</x:v>
      </x:c>
    </x:row>
    <x:row r="121">
      <x:c r="A121" t="inlineStr">
        <x:is>
          <x:t xml:space="preserve">DUR790001002</x:t>
        </x:is>
      </x:c>
      <x:c r="B121" t="inlineStr">
        <x:is>
          <x:t xml:space="preserve">PLA NCHA DE DURLON 7900 1/16 60X63 PLG (DW15-120-126)</x:t>
        </x:is>
      </x:c>
      <x:c r="E121" t="n">
        <x:v>4</x:v>
      </x:c>
    </x:row>
    <x:row r="122">
      <x:c r="A122" t="inlineStr">
        <x:is>
          <x:t xml:space="preserve">DUR790001003</x:t>
        </x:is>
      </x:c>
      <x:c r="B122" t="inlineStr">
        <x:is>
          <x:t xml:space="preserve">PLANCHA EMPAQUETADURA DURABLA 1850MMX3200MM X 1/8 IN ESP DURLON 7900 CODIGO 910325580 (CMPC)</x:t>
        </x:is>
      </x:c>
      <x:c r="E122" t="n">
        <x:v>0</x:v>
      </x:c>
    </x:row>
    <x:row r="123">
      <x:c r="A123" t="inlineStr">
        <x:is>
          <x:t xml:space="preserve">DUR790001199</x:t>
        </x:is>
      </x:c>
      <x:c r="B123" t="inlineStr">
        <x:is>
          <x:t xml:space="preserve">DESPUNTES DE DURLON 7900 1/8 PLG</x:t>
        </x:is>
      </x:c>
      <x:c r="E123" t="n">
        <x:v>0</x:v>
      </x:c>
    </x:row>
    <x:row r="124">
      <x:c r="A124" t="inlineStr">
        <x:is>
          <x:t xml:space="preserve">DUR830001001</x:t>
        </x:is>
      </x:c>
      <x:c r="B124" t="inlineStr">
        <x:is>
          <x:t xml:space="preserve">PLA DE DURLON 8300 1/8 60x63</x:t>
        </x:is>
      </x:c>
      <x:c r="E124" t="n">
        <x:v>0</x:v>
      </x:c>
    </x:row>
    <x:row r="125">
      <x:c r="A125" t="inlineStr">
        <x:is>
          <x:t xml:space="preserve">DUR850001001</x:t>
        </x:is>
      </x:c>
      <x:c r="B125" t="inlineStr">
        <x:is>
          <x:t xml:space="preserve">PLANCHA DE DURLON 8500 DE 1/8 PL X 60 PLG X 63 PLG</x:t>
        </x:is>
      </x:c>
      <x:c r="E125" t="n">
        <x:v>1</x:v>
      </x:c>
    </x:row>
    <x:row r="126">
      <x:c r="A126" t="inlineStr">
        <x:is>
          <x:t xml:space="preserve">DUR860001001</x:t>
        </x:is>
      </x:c>
      <x:c r="B126" t="inlineStr">
        <x:is>
          <x:t xml:space="preserve">PLA DE DURLON 8600 1/8 60X63</x:t>
        </x:is>
      </x:c>
      <x:c r="E126" t="n">
        <x:v>1</x:v>
      </x:c>
    </x:row>
    <x:row r="127">
      <x:c r="A127" t="inlineStr">
        <x:is>
          <x:t xml:space="preserve">DUR900001001</x:t>
        </x:is>
      </x:c>
      <x:c r="B127" t="inlineStr">
        <x:is>
          <x:t xml:space="preserve">PLA DE DURLON 9000 1/8 60x60</x:t>
        </x:is>
      </x:c>
      <x:c r="E127" t="n">
        <x:v>61</x:v>
      </x:c>
    </x:row>
    <x:row r="128">
      <x:c r="A128" t="inlineStr">
        <x:is>
          <x:t xml:space="preserve">DUR900001002</x:t>
        </x:is>
      </x:c>
      <x:c r="B128" t="inlineStr">
        <x:is>
          <x:t xml:space="preserve">PLA DE DURLON 9000 1/16 X 60X60</x:t>
        </x:is>
      </x:c>
      <x:c r="E128" t="n">
        <x:v>8</x:v>
      </x:c>
    </x:row>
    <x:row r="129">
      <x:c r="A129" t="inlineStr">
        <x:is>
          <x:t xml:space="preserve">DUR900001003</x:t>
        </x:is>
      </x:c>
      <x:c r="B129" t="inlineStr">
        <x:is>
          <x:t xml:space="preserve">PLANCHA DE DURLON 9000 3/32 PLG X 60 PLG X 60 PLG</x:t>
        </x:is>
      </x:c>
      <x:c r="E129" t="n">
        <x:v>0</x:v>
      </x:c>
    </x:row>
    <x:row r="130">
      <x:c r="A130" t="inlineStr">
        <x:is>
          <x:t xml:space="preserve">DUR900001004</x:t>
        </x:is>
      </x:c>
      <x:c r="B130" t="inlineStr">
        <x:is>
          <x:t xml:space="preserve">PLANCHA DE DURLON 9000 1/32X60X60 PLG</x:t>
        </x:is>
      </x:c>
      <x:c r="E130" t="n">
        <x:v>0</x:v>
      </x:c>
    </x:row>
    <x:row r="131">
      <x:c r="A131" t="inlineStr">
        <x:is>
          <x:t xml:space="preserve">DUR900001005</x:t>
        </x:is>
      </x:c>
      <x:c r="B131" t="inlineStr">
        <x:is>
          <x:t xml:space="preserve">PLANCHA DURLON 9007 1/8 X 60 X 60 PLG (TA30-060-300)</x:t>
        </x:is>
      </x:c>
      <x:c r="E131" t="n">
        <x:v>38.5</x:v>
      </x:c>
    </x:row>
    <x:row r="132">
      <x:c r="A132" t="inlineStr">
        <x:is>
          <x:t xml:space="preserve">DUR900001198</x:t>
        </x:is>
      </x:c>
      <x:c r="B132" t="inlineStr">
        <x:is>
          <x:t xml:space="preserve">KIT MUESTRAS COMERCIAL DE  EMPAQUETADURAS TRIAGLE  DURLON</x:t>
        </x:is>
      </x:c>
      <x:c r="E132" t="n">
        <x:v>0</x:v>
      </x:c>
    </x:row>
    <x:row r="133">
      <x:c r="A133" t="inlineStr">
        <x:is>
          <x:t xml:space="preserve">DUR900001999</x:t>
        </x:is>
      </x:c>
      <x:c r="B133" t="inlineStr">
        <x:is>
          <x:t xml:space="preserve">DURLON 9000 1/8 PLG DESPUNTES X KG</x:t>
        </x:is>
      </x:c>
      <x:c r="E133" t="n">
        <x:v>0</x:v>
      </x:c>
    </x:row>
    <x:row r="134">
      <x:c r="A134" t="inlineStr">
        <x:is>
          <x:t xml:space="preserve">DUR902001001</x:t>
        </x:is>
      </x:c>
      <x:c r="B134" t="inlineStr">
        <x:is>
          <x:t xml:space="preserve">PLA DE DURLON9002 1/8 X60X60</x:t>
        </x:is>
      </x:c>
      <x:c r="E134" t="n">
        <x:v>0</x:v>
      </x:c>
    </x:row>
    <x:row r="135">
      <x:c r="A135" t="inlineStr">
        <x:is>
          <x:t xml:space="preserve">DUR902001002</x:t>
        </x:is>
      </x:c>
      <x:c r="B135" t="inlineStr">
        <x:is>
          <x:t xml:space="preserve">PLA DE DURLON 9002 1/16 X60X60</x:t>
        </x:is>
      </x:c>
      <x:c r="E135" t="n">
        <x:v>0</x:v>
      </x:c>
    </x:row>
    <x:row r="136">
      <x:c r="A136" t="inlineStr">
        <x:is>
          <x:t xml:space="preserve">ECHFIT001001</x:t>
        </x:is>
      </x:c>
      <x:c r="B136" t="inlineStr">
        <x:is>
          <x:t xml:space="preserve">CODO 45GRD DIAM 2 PLG STANDAR</x:t>
        </x:is>
      </x:c>
      <x:c r="E136" t="n">
        <x:v>0</x:v>
      </x:c>
    </x:row>
    <x:row r="137">
      <x:c r="A137" t="inlineStr">
        <x:is>
          <x:t xml:space="preserve">ECHFIT001002</x:t>
        </x:is>
      </x:c>
      <x:c r="B137" t="inlineStr">
        <x:is>
          <x:t xml:space="preserve">CODO 45 GRD 4 PLG DE DIMENSION ANTIESTATICA ECHEVERIA</x:t>
        </x:is>
      </x:c>
      <x:c r="E137" t="n">
        <x:v>0</x:v>
      </x:c>
    </x:row>
    <x:row r="138">
      <x:c r="A138" t="inlineStr">
        <x:is>
          <x:t xml:space="preserve">ECHFIT001003</x:t>
        </x:is>
      </x:c>
      <x:c r="B138" t="inlineStr">
        <x:is>
          <x:t xml:space="preserve">CODO 45 GRD 2PLG DE DIMENSION ANTIESTATICA ECHEVERIA</x:t>
        </x:is>
      </x:c>
      <x:c r="E138" t="n">
        <x:v>0</x:v>
      </x:c>
    </x:row>
    <x:row r="139">
      <x:c r="A139" t="inlineStr">
        <x:is>
          <x:t xml:space="preserve">ECHFIT001004</x:t>
        </x:is>
      </x:c>
      <x:c r="B139" t="inlineStr">
        <x:is>
          <x:t xml:space="preserve">CODO 45 GRD 3PLG DE DIMENSION ANTIESTATICA ECHEVERRIA</x:t>
        </x:is>
      </x:c>
      <x:c r="E139" t="n">
        <x:v>0</x:v>
      </x:c>
    </x:row>
    <x:row r="140">
      <x:c r="A140" t="inlineStr">
        <x:is>
          <x:t xml:space="preserve">ECHFIT001005</x:t>
        </x:is>
      </x:c>
      <x:c r="B140" t="inlineStr">
        <x:is>
          <x:t xml:space="preserve">CODO 45 GRD 6PLG DE DIMENSIÓN ANTIESTATICA ECHEVERRIA</x:t>
        </x:is>
      </x:c>
      <x:c r="E140" t="n">
        <x:v>0</x:v>
      </x:c>
    </x:row>
    <x:row r="141">
      <x:c r="A141" t="inlineStr">
        <x:is>
          <x:t xml:space="preserve">ECHFIT001006</x:t>
        </x:is>
      </x:c>
      <x:c r="B141" t="inlineStr">
        <x:is>
          <x:t xml:space="preserve">CODO 90 GRD 4PLG DE DIMENSIÓN STAND ECHEVERRIA</x:t>
        </x:is>
      </x:c>
      <x:c r="E141" t="n">
        <x:v>0</x:v>
      </x:c>
    </x:row>
    <x:row r="142">
      <x:c r="A142" t="inlineStr">
        <x:is>
          <x:t xml:space="preserve">ECHFIT001007</x:t>
        </x:is>
      </x:c>
      <x:c r="B142" t="inlineStr">
        <x:is>
          <x:t xml:space="preserve">CODO 90 GRD 6 PLG DE DIMENSIÓN STAND ECHEVERRIA</x:t>
        </x:is>
      </x:c>
      <x:c r="E142" t="n">
        <x:v>0</x:v>
      </x:c>
    </x:row>
    <x:row r="143">
      <x:c r="A143" t="inlineStr">
        <x:is>
          <x:t xml:space="preserve">ECHFIT001008</x:t>
        </x:is>
      </x:c>
      <x:c r="B143" t="inlineStr">
        <x:is>
          <x:t xml:space="preserve">CODO 90 GRD  6PLG DE DIMENSIÓN ANTIESTATICA ECHEVERRIA</x:t>
        </x:is>
      </x:c>
      <x:c r="E143" t="n">
        <x:v>0</x:v>
      </x:c>
    </x:row>
    <x:row r="144">
      <x:c r="A144" t="inlineStr">
        <x:is>
          <x:t xml:space="preserve">ECHFIT001009</x:t>
        </x:is>
      </x:c>
      <x:c r="B144" t="inlineStr">
        <x:is>
          <x:t xml:space="preserve">CODO 90 GRD 10 PLG DE DIMENSIÓN ANTIESTATICA ECHEVERRIA</x:t>
        </x:is>
      </x:c>
      <x:c r="E144" t="n">
        <x:v>0</x:v>
      </x:c>
    </x:row>
    <x:row r="145">
      <x:c r="A145" t="inlineStr">
        <x:is>
          <x:t xml:space="preserve">ECHFIT001010</x:t>
        </x:is>
      </x:c>
      <x:c r="B145" t="inlineStr">
        <x:is>
          <x:t xml:space="preserve">CODO 90 GRD  2PLG DE DIMENSIÓN ANTIESTATICA ECHEVERRIA</x:t>
        </x:is>
      </x:c>
      <x:c r="E145" t="n">
        <x:v>0</x:v>
      </x:c>
    </x:row>
    <x:row r="146">
      <x:c r="A146" t="inlineStr">
        <x:is>
          <x:t xml:space="preserve">ECHFIT001011</x:t>
        </x:is>
      </x:c>
      <x:c r="B146" t="inlineStr">
        <x:is>
          <x:t xml:space="preserve">CODO 90 GRD  3PLG DE DIMENSIÓN ANTIESTATICA ECHEVERRIA</x:t>
        </x:is>
      </x:c>
      <x:c r="E146" t="n">
        <x:v>0</x:v>
      </x:c>
    </x:row>
    <x:row r="147">
      <x:c r="A147" t="inlineStr">
        <x:is>
          <x:t xml:space="preserve">ECHFIT001012</x:t>
        </x:is>
      </x:c>
      <x:c r="B147" t="inlineStr">
        <x:is>
          <x:t xml:space="preserve">CODO 90 GRD  4PLG DE DIMENSIÓN ANTIESTATICA ECHEVERRIA</x:t>
        </x:is>
      </x:c>
      <x:c r="E147" t="n">
        <x:v>0</x:v>
      </x:c>
    </x:row>
    <x:row r="148">
      <x:c r="A148" t="inlineStr">
        <x:is>
          <x:t xml:space="preserve">ECHFIT001013</x:t>
        </x:is>
      </x:c>
      <x:c r="B148" t="inlineStr">
        <x:is>
          <x:t xml:space="preserve">CODO 90 GRD  8PLG DE DIMENSIÓN ANTIESTATICA ECHEVERRIA</x:t>
        </x:is>
      </x:c>
      <x:c r="E148" t="n">
        <x:v>0</x:v>
      </x:c>
    </x:row>
    <x:row r="149">
      <x:c r="A149" t="inlineStr">
        <x:is>
          <x:t xml:space="preserve">ECHFIT001014</x:t>
        </x:is>
      </x:c>
      <x:c r="B149" t="inlineStr">
        <x:is>
          <x:t xml:space="preserve">FLANG CIEGO 2 PLG DIMENSIÓN STAND ECHEVERRIA</x:t>
        </x:is>
      </x:c>
      <x:c r="E149" t="n">
        <x:v>0</x:v>
      </x:c>
    </x:row>
    <x:row r="150">
      <x:c r="A150" t="inlineStr">
        <x:is>
          <x:t xml:space="preserve">ECHFIT001015</x:t>
        </x:is>
      </x:c>
      <x:c r="B150" t="inlineStr">
        <x:is>
          <x:t xml:space="preserve">FLANG CIEGO 4 PLG DIMENSIÓN STAND ECHEVERRIA</x:t>
        </x:is>
      </x:c>
      <x:c r="E150" t="n">
        <x:v>0</x:v>
      </x:c>
    </x:row>
    <x:row r="151">
      <x:c r="A151" t="inlineStr">
        <x:is>
          <x:t xml:space="preserve">ECHFIT001016</x:t>
        </x:is>
      </x:c>
      <x:c r="B151" t="inlineStr">
        <x:is>
          <x:t xml:space="preserve">FLANGE CIEGO 4 PLG ANTIESTATICA ECHEVERRIA</x:t>
        </x:is>
      </x:c>
      <x:c r="E151" t="n">
        <x:v>0</x:v>
      </x:c>
    </x:row>
    <x:row r="152">
      <x:c r="A152" t="inlineStr">
        <x:is>
          <x:t xml:space="preserve">ECHFIT001017</x:t>
        </x:is>
      </x:c>
      <x:c r="B152" t="inlineStr">
        <x:is>
          <x:t xml:space="preserve">FLANG CIEGO 2 PLG DIMENSIÓN ANTIESTATICA ECHEVERRIA</x:t>
        </x:is>
      </x:c>
      <x:c r="E152" t="n">
        <x:v>0</x:v>
      </x:c>
    </x:row>
    <x:row r="153">
      <x:c r="A153" t="inlineStr">
        <x:is>
          <x:t xml:space="preserve">ECHFIT001018</x:t>
        </x:is>
      </x:c>
      <x:c r="B153" t="inlineStr">
        <x:is>
          <x:t xml:space="preserve">FLANG CIEGO 3 PLG DIMENSIÓN ANTIESTATICA ECHEVERRIA</x:t>
        </x:is>
      </x:c>
      <x:c r="E153" t="n">
        <x:v>0</x:v>
      </x:c>
    </x:row>
    <x:row r="154">
      <x:c r="A154" t="inlineStr">
        <x:is>
          <x:t xml:space="preserve">ECHFIT001019</x:t>
        </x:is>
      </x:c>
      <x:c r="B154" t="inlineStr">
        <x:is>
          <x:t xml:space="preserve">FLANG CIEGO 6PLG DIMENSIÓN ANTIESTATICA ECHEVERRIA</x:t>
        </x:is>
      </x:c>
      <x:c r="E154" t="n">
        <x:v>0</x:v>
      </x:c>
    </x:row>
    <x:row r="155">
      <x:c r="A155" t="inlineStr">
        <x:is>
          <x:t xml:space="preserve">ECHFIT001020</x:t>
        </x:is>
      </x:c>
      <x:c r="B155" t="inlineStr">
        <x:is>
          <x:t xml:space="preserve">REDU CONC 4 A 3 PLG DIMENSIÓN  STAND ECHEVERRIA</x:t>
        </x:is>
      </x:c>
      <x:c r="E155" t="n">
        <x:v>0</x:v>
      </x:c>
    </x:row>
    <x:row r="156">
      <x:c r="A156" t="inlineStr">
        <x:is>
          <x:t xml:space="preserve">ECHFIT001021</x:t>
        </x:is>
      </x:c>
      <x:c r="B156" t="inlineStr">
        <x:is>
          <x:t xml:space="preserve">REDU CONC 4 A 3 PLG DIMENSIÓN  ANTIESTATICA  ECHEVERRIA</x:t>
        </x:is>
      </x:c>
      <x:c r="E156" t="n">
        <x:v>0</x:v>
      </x:c>
    </x:row>
    <x:row r="157">
      <x:c r="A157" t="inlineStr">
        <x:is>
          <x:t xml:space="preserve">ECHFIT001022</x:t>
        </x:is>
      </x:c>
      <x:c r="B157" t="inlineStr">
        <x:is>
          <x:t xml:space="preserve">REDU CONC 8 A 3 PLG DIMENSIÓN  ANTIESTATICA  ECHEVERRIA</x:t>
        </x:is>
      </x:c>
      <x:c r="E157" t="n">
        <x:v>0</x:v>
      </x:c>
    </x:row>
    <x:row r="158">
      <x:c r="A158" t="inlineStr">
        <x:is>
          <x:t xml:space="preserve">ECHFIT001023</x:t>
        </x:is>
      </x:c>
      <x:c r="B158" t="inlineStr">
        <x:is>
          <x:t xml:space="preserve">REDU EXCE 10 A 6 PLG DIMENSIÓN  ANTIESTATICA  ECHEVERRIA</x:t>
        </x:is>
      </x:c>
      <x:c r="E158" t="n">
        <x:v>0</x:v>
      </x:c>
    </x:row>
    <x:row r="159">
      <x:c r="A159" t="inlineStr">
        <x:is>
          <x:t xml:space="preserve">ECHFIT001024</x:t>
        </x:is>
      </x:c>
      <x:c r="B159" t="inlineStr">
        <x:is>
          <x:t xml:space="preserve">REDU EXCE 10 A 8 PLG DIMENSIÓN  ANTIESTATICA  ECHEVERRIA</x:t>
        </x:is>
      </x:c>
      <x:c r="E159" t="n">
        <x:v>0</x:v>
      </x:c>
    </x:row>
    <x:row r="160">
      <x:c r="A160" t="inlineStr">
        <x:is>
          <x:t xml:space="preserve">ECHFIT001025</x:t>
        </x:is>
      </x:c>
      <x:c r="B160" t="inlineStr">
        <x:is>
          <x:t xml:space="preserve">REDU EXCE 3 A 2 PLG DIMENSIÓN  ANTIESTATICA  ECHEVERRIA</x:t>
        </x:is>
      </x:c>
      <x:c r="E160" t="n">
        <x:v>0</x:v>
      </x:c>
    </x:row>
    <x:row r="161">
      <x:c r="A161" t="inlineStr">
        <x:is>
          <x:t xml:space="preserve">ECHFIT001026</x:t>
        </x:is>
      </x:c>
      <x:c r="B161" t="inlineStr">
        <x:is>
          <x:t xml:space="preserve">REDU EXCE 6 A 4 PLG DIMENSIÓN  ANTIESTATICA  ECHEVERRIA</x:t>
        </x:is>
      </x:c>
      <x:c r="E161" t="n">
        <x:v>0</x:v>
      </x:c>
    </x:row>
    <x:row r="162">
      <x:c r="A162" t="inlineStr">
        <x:is>
          <x:t xml:space="preserve">ECHFIT001027</x:t>
        </x:is>
      </x:c>
      <x:c r="B162" t="inlineStr">
        <x:is>
          <x:t xml:space="preserve">TEE  DE 4 PLG DIMENSIÓN STAND ECHEVERRIA</x:t>
        </x:is>
      </x:c>
      <x:c r="E162" t="n">
        <x:v>0</x:v>
      </x:c>
    </x:row>
    <x:row r="163">
      <x:c r="A163" t="inlineStr">
        <x:is>
          <x:t xml:space="preserve">ECHFIT001028</x:t>
        </x:is>
      </x:c>
      <x:c r="B163" t="inlineStr">
        <x:is>
          <x:t xml:space="preserve">TEE  DE 6  PLG DIMENSIÓN STAND ECHEVERRIA</x:t>
        </x:is>
      </x:c>
      <x:c r="E163" t="n">
        <x:v>0</x:v>
      </x:c>
    </x:row>
    <x:row r="164">
      <x:c r="A164" t="inlineStr">
        <x:is>
          <x:t xml:space="preserve">ECHFIT001029</x:t>
        </x:is>
      </x:c>
      <x:c r="B164" t="inlineStr">
        <x:is>
          <x:t xml:space="preserve">TEE  DE 10  PLG DIMENSIÓN ANTIESTATICA ECHEVERRIA</x:t>
        </x:is>
      </x:c>
      <x:c r="E164" t="n">
        <x:v>0</x:v>
      </x:c>
    </x:row>
    <x:row r="165">
      <x:c r="A165" t="inlineStr">
        <x:is>
          <x:t xml:space="preserve">ECHFIT001030</x:t>
        </x:is>
      </x:c>
      <x:c r="B165" t="inlineStr">
        <x:is>
          <x:t xml:space="preserve">TEE  DE 2 PLG DIMENSIÓN ANTIESTATICA ECHEVERRIA</x:t>
        </x:is>
      </x:c>
      <x:c r="E165" t="n">
        <x:v>0</x:v>
      </x:c>
    </x:row>
    <x:row r="166">
      <x:c r="A166" t="inlineStr">
        <x:is>
          <x:t xml:space="preserve">ECHFIT001031</x:t>
        </x:is>
      </x:c>
      <x:c r="B166" t="inlineStr">
        <x:is>
          <x:t xml:space="preserve">TEE  DE 4 PLG DIMENSIÓN ANTIESTATICA ECHEVERRIA</x:t>
        </x:is>
      </x:c>
      <x:c r="E166" t="n">
        <x:v>0</x:v>
      </x:c>
    </x:row>
    <x:row r="167">
      <x:c r="A167" t="inlineStr">
        <x:is>
          <x:t xml:space="preserve">ECHFIT001032</x:t>
        </x:is>
      </x:c>
      <x:c r="B167" t="inlineStr">
        <x:is>
          <x:t xml:space="preserve">TEE  DE 6  PLG DIMENSIÓN ANTIESTATICA ECHEVERRIA</x:t>
        </x:is>
      </x:c>
      <x:c r="E167" t="n">
        <x:v>0</x:v>
      </x:c>
    </x:row>
    <x:row r="168">
      <x:c r="A168" t="inlineStr">
        <x:is>
          <x:t xml:space="preserve">ECHFIT001033</x:t>
        </x:is>
      </x:c>
      <x:c r="B168" t="inlineStr">
        <x:is>
          <x:t xml:space="preserve">TEE DE 8 PLG DIMENSIÓN ANTIESTATICA ECHEVERRIA</x:t>
        </x:is>
      </x:c>
      <x:c r="E168" t="n">
        <x:v>0</x:v>
      </x:c>
    </x:row>
    <x:row r="169">
      <x:c r="A169" t="inlineStr">
        <x:is>
          <x:t xml:space="preserve">ECHFIT001034</x:t>
        </x:is>
      </x:c>
      <x:c r="B169" t="inlineStr">
        <x:is>
          <x:t xml:space="preserve">TEE REDU DE 6 A 2 PLG DIMENSIÓN STAND ECHEVERRIA</x:t>
        </x:is>
      </x:c>
      <x:c r="E169" t="n">
        <x:v>0</x:v>
      </x:c>
    </x:row>
    <x:row r="170">
      <x:c r="A170" t="inlineStr">
        <x:is>
          <x:t xml:space="preserve">ECHFIT001035</x:t>
        </x:is>
      </x:c>
      <x:c r="B170" t="inlineStr">
        <x:is>
          <x:t xml:space="preserve">TEE REDU DE 6 A 4 PLG DIMENSIÓN STAND ECHEVERRIA</x:t>
        </x:is>
      </x:c>
      <x:c r="E170" t="n">
        <x:v>0</x:v>
      </x:c>
    </x:row>
    <x:row r="171">
      <x:c r="A171" t="inlineStr">
        <x:is>
          <x:t xml:space="preserve">ECHFIT001036</x:t>
        </x:is>
      </x:c>
      <x:c r="B171" t="inlineStr">
        <x:is>
          <x:t xml:space="preserve">TEE REDU DE 10 A 2 DIMENSION ANTIESTATICA  ECHEVERRIA</x:t>
        </x:is>
      </x:c>
      <x:c r="E171" t="n">
        <x:v>0</x:v>
      </x:c>
    </x:row>
    <x:row r="172">
      <x:c r="A172" t="inlineStr">
        <x:is>
          <x:t xml:space="preserve">ECHFIT001037</x:t>
        </x:is>
      </x:c>
      <x:c r="B172" t="inlineStr">
        <x:is>
          <x:t xml:space="preserve">TEE REDU  6 A 2 PLG C/SALIDA TIPO BOQUILLA STAND ECHEVERRIA</x:t>
        </x:is>
      </x:c>
      <x:c r="E172" t="n">
        <x:v>0</x:v>
      </x:c>
    </x:row>
    <x:row r="173">
      <x:c r="A173" t="inlineStr">
        <x:is>
          <x:t xml:space="preserve">ECHFIT001038</x:t>
        </x:is>
      </x:c>
      <x:c r="B173" t="inlineStr">
        <x:is>
          <x:t xml:space="preserve">TUBERIA DE 2 PLG DIMENSIÓN STAND  ECHEVERRIA</x:t>
        </x:is>
      </x:c>
      <x:c r="E173" t="n">
        <x:v>0</x:v>
      </x:c>
    </x:row>
    <x:row r="174">
      <x:c r="A174" t="inlineStr">
        <x:is>
          <x:t xml:space="preserve">ECHFIT001039</x:t>
        </x:is>
      </x:c>
      <x:c r="B174" t="inlineStr">
        <x:is>
          <x:t xml:space="preserve">TUBERIA DE 4 PLG DIMENSIÓN ANTIESTATICA  ECHEVERRIA</x:t>
        </x:is>
      </x:c>
      <x:c r="E174" t="n">
        <x:v>0</x:v>
      </x:c>
    </x:row>
    <x:row r="175">
      <x:c r="A175" t="inlineStr">
        <x:is>
          <x:t xml:space="preserve">ECHFIT001040</x:t>
        </x:is>
      </x:c>
      <x:c r="B175" t="inlineStr">
        <x:is>
          <x:t xml:space="preserve">TUBERIA DE 4 PLG DIMENSIÓN STAND  ECHEVERRIA</x:t>
        </x:is>
      </x:c>
      <x:c r="E175" t="n">
        <x:v>0</x:v>
      </x:c>
    </x:row>
    <x:row r="176">
      <x:c r="A176" t="inlineStr">
        <x:is>
          <x:t xml:space="preserve">ECHFIT001041</x:t>
        </x:is>
      </x:c>
      <x:c r="B176" t="inlineStr">
        <x:is>
          <x:t xml:space="preserve">TUBERÍA DE 6  PLG DIMENSIÓN STAND  ECHEVERRIA</x:t>
        </x:is>
      </x:c>
      <x:c r="E176" t="n">
        <x:v>0</x:v>
      </x:c>
    </x:row>
    <x:row r="177">
      <x:c r="A177" t="inlineStr">
        <x:is>
          <x:t xml:space="preserve">ECHFIT001042</x:t>
        </x:is>
      </x:c>
      <x:c r="B177" t="inlineStr">
        <x:is>
          <x:t xml:space="preserve">TUBERIA DE 2 PLG DIMENSIÓN ANTIESTATICA  ECHEVERRIA</x:t>
        </x:is>
      </x:c>
      <x:c r="E177" t="n">
        <x:v>0</x:v>
      </x:c>
    </x:row>
    <x:row r="178">
      <x:c r="A178" t="inlineStr">
        <x:is>
          <x:t xml:space="preserve">ECHFIT001043</x:t>
        </x:is>
      </x:c>
      <x:c r="B178" t="inlineStr">
        <x:is>
          <x:t xml:space="preserve">TUBERIA DE 3 PLG DIMENSIÓN ANTIESTATICA  ECHEVERRIA</x:t>
        </x:is>
      </x:c>
      <x:c r="E178" t="n">
        <x:v>0</x:v>
      </x:c>
    </x:row>
    <x:row r="179">
      <x:c r="A179" t="inlineStr">
        <x:is>
          <x:t xml:space="preserve">ECHFIT001044</x:t>
        </x:is>
      </x:c>
      <x:c r="B179" t="inlineStr">
        <x:is>
          <x:t xml:space="preserve">TUBERIA DE 3 PLG DIMENSIÓN STAND  ECHEVERRIA</x:t>
        </x:is>
      </x:c>
      <x:c r="E179" t="n">
        <x:v>0</x:v>
      </x:c>
    </x:row>
    <x:row r="180">
      <x:c r="A180" t="inlineStr">
        <x:is>
          <x:t xml:space="preserve">ECHFIT001045</x:t>
        </x:is>
      </x:c>
      <x:c r="B180" t="inlineStr">
        <x:is>
          <x:t xml:space="preserve">TUBERIA DE 4 PLG DIMENSIÓN ANTIESTATICA  ECHEVERRIA</x:t>
        </x:is>
      </x:c>
      <x:c r="E180" t="n">
        <x:v>132</x:v>
      </x:c>
    </x:row>
    <x:row r="181">
      <x:c r="A181" t="inlineStr">
        <x:is>
          <x:t xml:space="preserve">ECHFIT001046</x:t>
        </x:is>
      </x:c>
      <x:c r="B181" t="inlineStr">
        <x:is>
          <x:t xml:space="preserve">TUBERIA DE 6 PLG DIMENSIÓN ANTIESTATICA  ECHEVERRIA</x:t>
        </x:is>
      </x:c>
      <x:c r="E181" t="n">
        <x:v>0</x:v>
      </x:c>
    </x:row>
    <x:row r="182">
      <x:c r="A182" t="inlineStr">
        <x:is>
          <x:t xml:space="preserve">ECHFIT001047</x:t>
        </x:is>
      </x:c>
      <x:c r="B182" t="inlineStr">
        <x:is>
          <x:t xml:space="preserve">TUBERIA DE 8 PLG DIMENSIÓN ANTIESTATICA  ECHEVERRIA</x:t>
        </x:is>
      </x:c>
      <x:c r="E182" t="n">
        <x:v>0</x:v>
      </x:c>
    </x:row>
    <x:row r="183">
      <x:c r="A183" t="inlineStr">
        <x:is>
          <x:t xml:space="preserve">ECHFIT001048</x:t>
        </x:is>
      </x:c>
      <x:c r="B183" t="inlineStr">
        <x:is>
          <x:t xml:space="preserve">CODO 45 GRD 10PLG DE DIMENSION ANTIESTATICA ECHEVERIA</x:t>
        </x:is>
      </x:c>
      <x:c r="E183" t="n">
        <x:v>0</x:v>
      </x:c>
    </x:row>
    <x:row r="184">
      <x:c r="A184" t="inlineStr">
        <x:is>
          <x:t xml:space="preserve">ECHFIT001049</x:t>
        </x:is>
      </x:c>
      <x:c r="B184" t="inlineStr">
        <x:is>
          <x:t xml:space="preserve">STUB END 10 PLG DE DIMENSIÓN ANTIESTATICO ECHEVERRIA</x:t>
        </x:is>
      </x:c>
      <x:c r="E184" t="n">
        <x:v>0</x:v>
      </x:c>
    </x:row>
    <x:row r="185">
      <x:c r="A185" t="inlineStr">
        <x:is>
          <x:t xml:space="preserve">ECHFIT001050</x:t>
        </x:is>
      </x:c>
      <x:c r="B185" t="inlineStr">
        <x:is>
          <x:t xml:space="preserve">STUB END 2  PLG DE DIMENSIÓN NATURAL  ECHEVERRIA</x:t>
        </x:is>
      </x:c>
      <x:c r="E185" t="n">
        <x:v>0</x:v>
      </x:c>
    </x:row>
    <x:row r="186">
      <x:c r="A186" t="inlineStr">
        <x:is>
          <x:t xml:space="preserve">ECHFIT001051</x:t>
        </x:is>
      </x:c>
      <x:c r="B186" t="inlineStr">
        <x:is>
          <x:t xml:space="preserve">STUB END 2 PLG DE DIMENSIÓN ANTIESTATICO ECHEVERRIA</x:t>
        </x:is>
      </x:c>
      <x:c r="E186" t="n">
        <x:v>0</x:v>
      </x:c>
    </x:row>
    <x:row r="187">
      <x:c r="A187" t="inlineStr">
        <x:is>
          <x:t xml:space="preserve">ECHFIT001052</x:t>
        </x:is>
      </x:c>
      <x:c r="B187" t="inlineStr">
        <x:is>
          <x:t xml:space="preserve">STUB END 4 PLG DE DIMENSIÓN ANTIESTATICO ECHEVERRIA</x:t>
        </x:is>
      </x:c>
      <x:c r="E187" t="n">
        <x:v>0</x:v>
      </x:c>
    </x:row>
    <x:row r="188">
      <x:c r="A188" t="inlineStr">
        <x:is>
          <x:t xml:space="preserve">ECHFIT001053</x:t>
        </x:is>
      </x:c>
      <x:c r="B188" t="inlineStr">
        <x:is>
          <x:t xml:space="preserve">STUB END 6 PLG DE DIMENSIÓN ANTIESTATICO ECHEVERRIA</x:t>
        </x:is>
      </x:c>
      <x:c r="E188" t="n">
        <x:v>0</x:v>
      </x:c>
    </x:row>
    <x:row r="189">
      <x:c r="A189" t="inlineStr">
        <x:is>
          <x:t xml:space="preserve">ECHFIT001054</x:t>
        </x:is>
      </x:c>
      <x:c r="B189" t="inlineStr">
        <x:is>
          <x:t xml:space="preserve">STUB END 4  PLG DE DIMENSIÓN NATURAL  ECHEVERRIA</x:t>
        </x:is>
      </x:c>
      <x:c r="E189" t="n">
        <x:v>0</x:v>
      </x:c>
    </x:row>
    <x:row r="190">
      <x:c r="A190" t="inlineStr">
        <x:is>
          <x:t xml:space="preserve">EMPBUT150001</x:t>
        </x:is>
      </x:c>
      <x:c r="B190" t="inlineStr">
        <x:is>
          <x:t xml:space="preserve">EMPAQUETQDURA BUTILO DN 18 ANSI TIPO RF 1/8 ESP.PPT022BUT018 (4113579)</x:t>
        </x:is>
      </x:c>
      <x:c r="E190" t="n">
        <x:v>0</x:v>
      </x:c>
    </x:row>
    <x:row r="191">
      <x:c r="A191" t="inlineStr">
        <x:is>
          <x:t xml:space="preserve">EMPCOR001001</x:t>
        </x:is>
      </x:c>
      <x:c r="B191" t="inlineStr">
        <x:is>
          <x:t xml:space="preserve">EMPAQUETADURA 254/216 CODIGO WEM2541601841 (VULCO)</x:t>
        </x:is>
      </x:c>
      <x:c r="E191" t="n">
        <x:v>0</x:v>
      </x:c>
    </x:row>
    <x:row r="192">
      <x:c r="A192" t="inlineStr">
        <x:is>
          <x:t xml:space="preserve">EMPDUR150001</x:t>
        </x:is>
      </x:c>
      <x:c r="B192" t="inlineStr">
        <x:is>
          <x:t xml:space="preserve">EMPAQUETADURA DURLON 9000 FF CLASE 150 1/2 PLG</x:t>
        </x:is>
      </x:c>
      <x:c r="E192" t="n">
        <x:v>0</x:v>
      </x:c>
    </x:row>
    <x:row r="193">
      <x:c r="A193" t="inlineStr">
        <x:is>
          <x:t xml:space="preserve">EMPDUR150002</x:t>
        </x:is>
      </x:c>
      <x:c r="B193" t="inlineStr">
        <x:is>
          <x:t xml:space="preserve">EMPAQUETADURA DURLON 9000 FF CLASE 150 3/4 PLG</x:t>
        </x:is>
      </x:c>
      <x:c r="E193" t="n">
        <x:v>0</x:v>
      </x:c>
    </x:row>
    <x:row r="194">
      <x:c r="A194" t="inlineStr">
        <x:is>
          <x:t xml:space="preserve">EMPDUR150003</x:t>
        </x:is>
      </x:c>
      <x:c r="B194" t="inlineStr">
        <x:is>
          <x:t xml:space="preserve">EMPAQUETADURA DURLON 9000 FF CLASE 150 1 PLG</x:t>
        </x:is>
      </x:c>
      <x:c r="E194" t="n">
        <x:v>0</x:v>
      </x:c>
    </x:row>
    <x:row r="195">
      <x:c r="A195" t="inlineStr">
        <x:is>
          <x:t xml:space="preserve">EMPDUR150004</x:t>
        </x:is>
      </x:c>
      <x:c r="B195" t="inlineStr">
        <x:is>
          <x:t xml:space="preserve">EMPAQUETADURA DURLON 9000 1/8 ESP FF CLASE 150 1.1/2 PLG</x:t>
        </x:is>
      </x:c>
      <x:c r="E195" t="n">
        <x:v>4</x:v>
      </x:c>
    </x:row>
    <x:row r="196">
      <x:c r="A196" t="inlineStr">
        <x:is>
          <x:t xml:space="preserve">EMPDUR150005</x:t>
        </x:is>
      </x:c>
      <x:c r="B196" t="inlineStr">
        <x:is>
          <x:t xml:space="preserve">EMPAQUETADURA DURLON 9000 1/8 ESP FF CLASE 150 2 PLG</x:t>
        </x:is>
      </x:c>
      <x:c r="E196" t="n">
        <x:v>45</x:v>
      </x:c>
    </x:row>
    <x:row r="197">
      <x:c r="A197" t="inlineStr">
        <x:is>
          <x:t xml:space="preserve">EMPDUR150006</x:t>
        </x:is>
      </x:c>
      <x:c r="B197" t="inlineStr">
        <x:is>
          <x:t xml:space="preserve">EMPAQUETADURA DURLON 9000 1/8 ESP FF CLASE 150 2 .1/2 PLG</x:t>
        </x:is>
      </x:c>
      <x:c r="E197" t="n">
        <x:v>0</x:v>
      </x:c>
    </x:row>
    <x:row r="198">
      <x:c r="A198" t="inlineStr">
        <x:is>
          <x:t xml:space="preserve">EMPDUR150007</x:t>
        </x:is>
      </x:c>
      <x:c r="B198" t="inlineStr">
        <x:is>
          <x:t xml:space="preserve">EMPAQUETADURA DURLON 9000 1/8 ESP FF CLASE 150 3 PLG</x:t>
        </x:is>
      </x:c>
      <x:c r="E198" t="n">
        <x:v>44</x:v>
      </x:c>
    </x:row>
    <x:row r="199">
      <x:c r="A199" t="inlineStr">
        <x:is>
          <x:t xml:space="preserve">EMPDUR150008</x:t>
        </x:is>
      </x:c>
      <x:c r="B199" t="inlineStr">
        <x:is>
          <x:t xml:space="preserve">EMPAQUETADURA DURLON 9000 1/16 ESP FF CLASE 150 4 PLG</x:t>
        </x:is>
      </x:c>
      <x:c r="E199" t="n">
        <x:v>0</x:v>
      </x:c>
    </x:row>
    <x:row r="200">
      <x:c r="A200" t="inlineStr">
        <x:is>
          <x:t xml:space="preserve">EMPDUR150009</x:t>
        </x:is>
      </x:c>
      <x:c r="B200" t="inlineStr">
        <x:is>
          <x:t xml:space="preserve">EMPAQUETADURA DURLON 9000 1/8 ESP FF CLASE 150 4 PLG</x:t>
        </x:is>
      </x:c>
      <x:c r="E200" t="n">
        <x:v>6</x:v>
      </x:c>
    </x:row>
    <x:row r="201">
      <x:c r="A201" t="inlineStr">
        <x:is>
          <x:t xml:space="preserve">EMPDUR150010</x:t>
        </x:is>
      </x:c>
      <x:c r="B201" t="inlineStr">
        <x:is>
          <x:t xml:space="preserve">EMPAQUETADURA DURLON 7900 1/8 ESP FF CLASE 150 4 PLG</x:t>
        </x:is>
      </x:c>
      <x:c r="E201" t="n">
        <x:v>94</x:v>
      </x:c>
    </x:row>
    <x:row r="202">
      <x:c r="A202" t="inlineStr">
        <x:is>
          <x:t xml:space="preserve">EMPDUR150011</x:t>
        </x:is>
      </x:c>
      <x:c r="B202" t="inlineStr">
        <x:is>
          <x:t xml:space="preserve">EMPAQUETADURA DURLON 7900 1/8 ESP FF CLASE 150 6 PLG</x:t>
        </x:is>
      </x:c>
      <x:c r="E202" t="n">
        <x:v>0</x:v>
      </x:c>
    </x:row>
    <x:row r="203">
      <x:c r="A203" t="inlineStr">
        <x:is>
          <x:t xml:space="preserve">EMPDUR150012</x:t>
        </x:is>
      </x:c>
      <x:c r="B203" t="inlineStr">
        <x:is>
          <x:t xml:space="preserve">EMPAQUETADURA DURLON 9000 1/8 ESP RF CLASE 150 3/4  PLG</x:t>
        </x:is>
      </x:c>
      <x:c r="E203" t="n">
        <x:v>0</x:v>
      </x:c>
    </x:row>
    <x:row r="204">
      <x:c r="A204" t="inlineStr">
        <x:is>
          <x:t xml:space="preserve">EMPDUR150013</x:t>
        </x:is>
      </x:c>
      <x:c r="B204" t="inlineStr">
        <x:is>
          <x:t xml:space="preserve">EMPAQUETADURA DURLON 9000 1/8 ESP RF CLASE 150 1 PLG</x:t>
        </x:is>
      </x:c>
      <x:c r="E204" t="n">
        <x:v>0</x:v>
      </x:c>
    </x:row>
    <x:row r="205">
      <x:c r="A205" t="inlineStr">
        <x:is>
          <x:t xml:space="preserve">EMPDUR150014</x:t>
        </x:is>
      </x:c>
      <x:c r="B205" t="inlineStr">
        <x:is>
          <x:t xml:space="preserve">EMPAQUETADURA DURLON 9000 1/8 ESP RF CLASE 150 1.1/2 PLG</x:t>
        </x:is>
      </x:c>
      <x:c r="E205" t="n">
        <x:v>0</x:v>
      </x:c>
    </x:row>
    <x:row r="206">
      <x:c r="A206" t="inlineStr">
        <x:is>
          <x:t xml:space="preserve">EMPDUR150015</x:t>
        </x:is>
      </x:c>
      <x:c r="B206" t="inlineStr">
        <x:is>
          <x:t xml:space="preserve">EMPAQUETADURA DURLON 9000 1/8 ESP RF CLASE 150 2 PLG</x:t>
        </x:is>
      </x:c>
      <x:c r="E206" t="n">
        <x:v>0</x:v>
      </x:c>
    </x:row>
    <x:row r="207">
      <x:c r="A207" t="inlineStr">
        <x:is>
          <x:t xml:space="preserve">EMPDUR150016</x:t>
        </x:is>
      </x:c>
      <x:c r="B207" t="inlineStr">
        <x:is>
          <x:t xml:space="preserve">EMPAQUETADURA DURLON 9000 1/8 ESPRF CLASE 150 2.1/2 PLG</x:t>
        </x:is>
      </x:c>
      <x:c r="E207" t="n">
        <x:v>0</x:v>
      </x:c>
    </x:row>
    <x:row r="208">
      <x:c r="A208" t="inlineStr">
        <x:is>
          <x:t xml:space="preserve">EMPDUR150017</x:t>
        </x:is>
      </x:c>
      <x:c r="B208" t="inlineStr">
        <x:is>
          <x:t xml:space="preserve">EMPAQUETADURA DURLON 9000 1/8 ESP RF CLASE 150 3 PLG</x:t>
        </x:is>
      </x:c>
      <x:c r="E208" t="n">
        <x:v>0</x:v>
      </x:c>
    </x:row>
    <x:row r="209">
      <x:c r="A209" t="inlineStr">
        <x:is>
          <x:t xml:space="preserve">EMPDUR150018</x:t>
        </x:is>
      </x:c>
      <x:c r="B209" t="inlineStr">
        <x:is>
          <x:t xml:space="preserve">EMPAQUETADURA DURLON 7900 1/8 ESP RF CLASE 150 3 PLG</x:t>
        </x:is>
      </x:c>
      <x:c r="E209" t="n">
        <x:v>0</x:v>
      </x:c>
    </x:row>
    <x:row r="210">
      <x:c r="A210" t="inlineStr">
        <x:is>
          <x:t xml:space="preserve">EMPDUR150019</x:t>
        </x:is>
      </x:c>
      <x:c r="B210" t="inlineStr">
        <x:is>
          <x:t xml:space="preserve">EMPAQUETADURA DURLON 9000 1/8 ESP RF CLASE 150 4 PLG</x:t>
        </x:is>
      </x:c>
      <x:c r="E210" t="n">
        <x:v>0</x:v>
      </x:c>
    </x:row>
    <x:row r="211">
      <x:c r="A211" t="inlineStr">
        <x:is>
          <x:t xml:space="preserve">EMPDUR150020</x:t>
        </x:is>
      </x:c>
      <x:c r="B211" t="inlineStr">
        <x:is>
          <x:t xml:space="preserve">EMPAQUETADURA DURLON 9000 1/8 ESP.CLASE 150 TIPO FF 4 PLG DIAM</x:t>
        </x:is>
      </x:c>
      <x:c r="E211" t="n">
        <x:v>0</x:v>
      </x:c>
    </x:row>
    <x:row r="212">
      <x:c r="A212" t="inlineStr">
        <x:is>
          <x:t xml:space="preserve">EMPDUR150021</x:t>
        </x:is>
      </x:c>
      <x:c r="B212" t="inlineStr">
        <x:is>
          <x:t xml:space="preserve">EMPAQUETADURA DURLON 7900 1/8 ESP CLASE 150 TIPO FF 2 PLG DIAM</x:t>
        </x:is>
      </x:c>
      <x:c r="E212" t="n">
        <x:v>54</x:v>
      </x:c>
    </x:row>
    <x:row r="213">
      <x:c r="A213" t="inlineStr">
        <x:is>
          <x:t xml:space="preserve">EMPDUR150022</x:t>
        </x:is>
      </x:c>
      <x:c r="B213" t="inlineStr">
        <x:is>
          <x:t xml:space="preserve">EMPAQUETADURA DURLON 9000 1/8 ESP.CLASE 150 TIPO FF 10 PLG DIAM</x:t>
        </x:is>
      </x:c>
      <x:c r="E213" t="n">
        <x:v>18</x:v>
      </x:c>
    </x:row>
    <x:row r="214">
      <x:c r="A214" t="inlineStr">
        <x:is>
          <x:t xml:space="preserve">EMPDUR150023</x:t>
        </x:is>
      </x:c>
      <x:c r="B214" t="inlineStr">
        <x:is>
          <x:t xml:space="preserve">EMPAQUETADURA DURLON 9000 1/8 ESP.CLASE 150 TIPO FF 6 PLG DIAM</x:t>
        </x:is>
      </x:c>
      <x:c r="E214" t="n">
        <x:v>21</x:v>
      </x:c>
    </x:row>
    <x:row r="215">
      <x:c r="A215" t="inlineStr">
        <x:is>
          <x:t xml:space="preserve">EMPDUR150024</x:t>
        </x:is>
      </x:c>
      <x:c r="B215" t="inlineStr">
        <x:is>
          <x:t xml:space="preserve">EMPAQUETADURA DURLON 7900 1/8 ESP CLASE 150  TIPO FF 3 PLG</x:t>
        </x:is>
      </x:c>
      <x:c r="E215" t="n">
        <x:v>0</x:v>
      </x:c>
    </x:row>
    <x:row r="216">
      <x:c r="A216" t="inlineStr">
        <x:is>
          <x:t xml:space="preserve">EMPDUR150025</x:t>
        </x:is>
      </x:c>
      <x:c r="B216" t="inlineStr">
        <x:is>
          <x:t xml:space="preserve">EMPAQUETADURA DURLON 9000 1/8 ESP CLASE 150 8 PLG</x:t>
        </x:is>
      </x:c>
      <x:c r="E216" t="n">
        <x:v>0</x:v>
      </x:c>
    </x:row>
    <x:row r="217">
      <x:c r="A217" t="inlineStr">
        <x:is>
          <x:t xml:space="preserve">EMPDUR150026</x:t>
        </x:is>
      </x:c>
      <x:c r="B217" t="inlineStr">
        <x:is>
          <x:t xml:space="preserve">EMPAQUETADURA DURLON 7900 1/8 ESP CLASE 150 8 PLG</x:t>
        </x:is>
      </x:c>
      <x:c r="E217" t="n">
        <x:v>0</x:v>
      </x:c>
    </x:row>
    <x:row r="218">
      <x:c r="A218" t="inlineStr">
        <x:is>
          <x:t xml:space="preserve">EMPDUR150027</x:t>
        </x:is>
      </x:c>
      <x:c r="B218" t="inlineStr">
        <x:is>
          <x:t xml:space="preserve">EMPAQUETADURA TIPO FF CLASE 150 DIAM.10 PLG D-7900 1/8</x:t>
        </x:is>
      </x:c>
      <x:c r="E218" t="n">
        <x:v>12</x:v>
      </x:c>
    </x:row>
    <x:row r="219">
      <x:c r="A219" t="inlineStr">
        <x:is>
          <x:t xml:space="preserve">EMPDUR150028</x:t>
        </x:is>
      </x:c>
      <x:c r="B219" t="inlineStr">
        <x:is>
          <x:t xml:space="preserve">EMPAQUETADURA DURLON 9000 CLASE 150 TP 24 PLG X 1/8 PLG ESP.</x:t>
        </x:is>
      </x:c>
      <x:c r="E219" t="n">
        <x:v>0</x:v>
      </x:c>
    </x:row>
    <x:row r="220">
      <x:c r="A220" t="inlineStr">
        <x:is>
          <x:t xml:space="preserve">EMPDUR150029</x:t>
        </x:is>
      </x:c>
      <x:c r="B220" t="inlineStr">
        <x:is>
          <x:t xml:space="preserve">EMPAQUETADURA BRIDA CLASE 150 FF DE 24 PLG DURLON 9000 1/8 ESP. PN 10423968</x:t>
        </x:is>
      </x:c>
      <x:c r="E220" t="n">
        <x:v>0</x:v>
      </x:c>
    </x:row>
    <x:row r="221">
      <x:c r="A221" t="inlineStr">
        <x:is>
          <x:t xml:space="preserve">EMPDUR150030</x:t>
        </x:is>
      </x:c>
      <x:c r="B221" t="inlineStr">
        <x:is>
          <x:t xml:space="preserve">EMPAQUETADURA DURLON 9000 1/8 PLG ESP. TIPO RF CLASE 150 6 PLG DIAM.</x:t>
        </x:is>
      </x:c>
      <x:c r="E221" t="n">
        <x:v>0</x:v>
      </x:c>
    </x:row>
    <x:row r="222">
      <x:c r="A222" t="inlineStr">
        <x:is>
          <x:t xml:space="preserve">EMPDUR150031</x:t>
        </x:is>
      </x:c>
      <x:c r="B222" t="inlineStr">
        <x:is>
          <x:t xml:space="preserve">EMPAQUETADURA DURLON 9000 1/8 PLG ESP. CLASE 150 TIPO RF 1/2 PLG DIAM.</x:t>
        </x:is>
      </x:c>
      <x:c r="E222" t="n">
        <x:v>25</x:v>
      </x:c>
    </x:row>
    <x:row r="223">
      <x:c r="A223" t="inlineStr">
        <x:is>
          <x:t xml:space="preserve">EMPDUR150032</x:t>
        </x:is>
      </x:c>
      <x:c r="B223" t="inlineStr">
        <x:is>
          <x:t xml:space="preserve">10453239 EMPAQUETADURA DURLON 9000 1/8 PLG ESP.CLASE 150 DE 16 PLG DIAM. 4071628</x:t>
        </x:is>
      </x:c>
      <x:c r="E223" t="n">
        <x:v>20</x:v>
      </x:c>
    </x:row>
    <x:row r="224">
      <x:c r="A224" t="inlineStr">
        <x:is>
          <x:t xml:space="preserve">EMPDUR150033</x:t>
        </x:is>
      </x:c>
      <x:c r="B224" t="inlineStr">
        <x:is>
          <x:t xml:space="preserve">EMPAQUETADURA DURLON 9000 1/8 PLG ESP. CLASE 150 TIPO RF DE 1/2  PLG DIAM. (48X21MM)</x:t>
        </x:is>
      </x:c>
      <x:c r="E224" t="n">
        <x:v>0</x:v>
      </x:c>
    </x:row>
    <x:row r="225">
      <x:c r="A225" t="inlineStr">
        <x:is>
          <x:t xml:space="preserve">EMPDUR150034</x:t>
        </x:is>
      </x:c>
      <x:c r="B225" t="inlineStr">
        <x:is>
          <x:t xml:space="preserve">11134373 EMPAQUETADURA 12 PLG DURLON 9000 1/8 ESP.CLASE 150 ANSI</x:t>
        </x:is>
      </x:c>
      <x:c r="E225" t="n">
        <x:v>0</x:v>
      </x:c>
    </x:row>
    <x:row r="226">
      <x:c r="A226" t="inlineStr">
        <x:is>
          <x:t xml:space="preserve">EMPDUR150035</x:t>
        </x:is>
      </x:c>
      <x:c r="B226" t="inlineStr">
        <x:is>
          <x:t xml:space="preserve">4033578 EMPAQUETADURA DURLON 7900 FF CLASE 150 ANSI 1/8 ESP.DE 18 PLG</x:t>
        </x:is>
      </x:c>
      <x:c r="E226" t="n">
        <x:v>0</x:v>
      </x:c>
    </x:row>
    <x:row r="227">
      <x:c r="A227" t="inlineStr">
        <x:is>
          <x:t xml:space="preserve">EMPDUR150036</x:t>
        </x:is>
      </x:c>
      <x:c r="B227" t="inlineStr">
        <x:is>
          <x:t xml:space="preserve">122502/001 EMPAQUETADURA DURLON 9000 RF NORMA ANSI CLASE 150 E=1/8 DIAM 30 PLG SERIE A</x:t>
        </x:is>
      </x:c>
      <x:c r="E227" t="n">
        <x:v>0</x:v>
      </x:c>
    </x:row>
    <x:row r="228">
      <x:c r="A228" t="inlineStr">
        <x:is>
          <x:t xml:space="preserve">EMPDUR150037</x:t>
        </x:is>
      </x:c>
      <x:c r="B228" t="inlineStr">
        <x:is>
          <x:t xml:space="preserve">122502/002 EMPAQUETADURA DURLON 9000 RF NORMA ANSI CLASE 150 E=1/8 DIAM 30 PLG SERIE B</x:t>
        </x:is>
      </x:c>
      <x:c r="E228" t="n">
        <x:v>0</x:v>
      </x:c>
    </x:row>
    <x:row r="229">
      <x:c r="A229" t="inlineStr">
        <x:is>
          <x:t xml:space="preserve">EMPDUR150038</x:t>
        </x:is>
      </x:c>
      <x:c r="B229" t="inlineStr">
        <x:is>
          <x:t xml:space="preserve">EMPAQUETADURA DURLON 7900 1/8 ESPESOR CLASE 150 ANSI FF DIAMETRO 20 PLG</x:t>
        </x:is>
      </x:c>
      <x:c r="E229" t="n">
        <x:v>0</x:v>
      </x:c>
    </x:row>
    <x:row r="230">
      <x:c r="A230" t="inlineStr">
        <x:is>
          <x:t xml:space="preserve">EMPDUR150039</x:t>
        </x:is>
      </x:c>
      <x:c r="B230" t="inlineStr">
        <x:is>
          <x:t xml:space="preserve">EMPAQUETADURA DURLON 9000 1/8 ESP RF CLASE 150 8 PLG</x:t>
        </x:is>
      </x:c>
      <x:c r="E230" t="n">
        <x:v>0</x:v>
      </x:c>
    </x:row>
    <x:row r="231">
      <x:c r="A231" t="inlineStr">
        <x:is>
          <x:t xml:space="preserve">EMPDUR150040</x:t>
        </x:is>
      </x:c>
      <x:c r="B231" t="inlineStr">
        <x:is>
          <x:t xml:space="preserve">EMPAQUETADURA TAPA CONDENSADOR GATC03FNDB CODIGO 107311 D-8300</x:t>
        </x:is>
      </x:c>
      <x:c r="E231" t="n">
        <x:v>0</x:v>
      </x:c>
    </x:row>
    <x:row r="232">
      <x:c r="A232" t="inlineStr">
        <x:is>
          <x:t xml:space="preserve">EMPDUR150041</x:t>
        </x:is>
      </x:c>
      <x:c r="B232" t="inlineStr">
        <x:is>
          <x:t xml:space="preserve">EMPAQUETADURA DUCTO CONDENSADOR GATC03CNB1 CODIGO 107312 D-8300</x:t>
        </x:is>
      </x:c>
      <x:c r="E232" t="n">
        <x:v>0</x:v>
      </x:c>
    </x:row>
    <x:row r="233">
      <x:c r="A233" t="inlineStr">
        <x:is>
          <x:t xml:space="preserve">EMPDUR150042</x:t>
        </x:is>
      </x:c>
      <x:c r="B233" t="inlineStr">
        <x:is>
          <x:t xml:space="preserve">EMPAQUETADURA S.VALLEY N PARTE GATC03BXAB CODIGO 107313</x:t>
        </x:is>
      </x:c>
      <x:c r="E233" t="n">
        <x:v>0</x:v>
      </x:c>
    </x:row>
    <x:row r="234">
      <x:c r="A234" t="inlineStr">
        <x:is>
          <x:t xml:space="preserve">EMPDUR150043</x:t>
        </x:is>
      </x:c>
      <x:c r="B234" t="inlineStr">
        <x:is>
          <x:t xml:space="preserve">GASKET,FF.FLG DURLON 9000 30 INX</x:t>
        </x:is>
      </x:c>
      <x:c r="E234" t="n">
        <x:v>0</x:v>
      </x:c>
    </x:row>
    <x:row r="235">
      <x:c r="A235" t="inlineStr">
        <x:is>
          <x:t xml:space="preserve">EMPDUR150044</x:t>
        </x:is>
      </x:c>
      <x:c r="B235" t="inlineStr">
        <x:is>
          <x:t xml:space="preserve">EMPAQUETADURA DURLON 7900 1/8 CLASE 150 TIPO RF ANSI 1.1/4 PLG</x:t>
        </x:is>
      </x:c>
      <x:c r="E235" t="n">
        <x:v>0</x:v>
      </x:c>
    </x:row>
    <x:row r="236">
      <x:c r="A236" t="inlineStr">
        <x:is>
          <x:t xml:space="preserve">EMPDUR150045</x:t>
        </x:is>
      </x:c>
      <x:c r="B236" t="inlineStr">
        <x:is>
          <x:t xml:space="preserve">EMPAQUETADURA DURLON 7900 1/8 CLASE 150 TIPO RF ANSI 2  PLG</x:t>
        </x:is>
      </x:c>
      <x:c r="E236" t="n">
        <x:v>0</x:v>
      </x:c>
    </x:row>
    <x:row r="237">
      <x:c r="A237" t="inlineStr">
        <x:is>
          <x:t xml:space="preserve">EMPDUR150046</x:t>
        </x:is>
      </x:c>
      <x:c r="B237" t="inlineStr">
        <x:is>
          <x:t xml:space="preserve">EMPAQUETADURA DURLON 7900 1/8 CLASE 150 TIPO RF ANSI 4  PLG</x:t>
        </x:is>
      </x:c>
      <x:c r="E237" t="n">
        <x:v>0</x:v>
      </x:c>
    </x:row>
    <x:row r="238">
      <x:c r="A238" t="inlineStr">
        <x:is>
          <x:t xml:space="preserve">EMPDUR150047</x:t>
        </x:is>
      </x:c>
      <x:c r="B238" t="inlineStr">
        <x:is>
          <x:t xml:space="preserve">EMPAQUETADURA DURLON 7900 1/8 ESP. RF ANSI CLASE 150 DIAM 8 PLG C/MANGUITO</x:t>
        </x:is>
      </x:c>
      <x:c r="E238" t="n">
        <x:v>0</x:v>
      </x:c>
    </x:row>
    <x:row r="239">
      <x:c r="A239" t="inlineStr">
        <x:is>
          <x:t xml:space="preserve">EMPDUR150048</x:t>
        </x:is>
      </x:c>
      <x:c r="B239" t="inlineStr">
        <x:is>
          <x:t xml:space="preserve">EMPAQUETADURA DURLON 9000 1/8 RF CLASE 150 DE 10 PLG</x:t>
        </x:is>
      </x:c>
      <x:c r="E239" t="n">
        <x:v>0</x:v>
      </x:c>
    </x:row>
    <x:row r="240">
      <x:c r="A240" t="inlineStr">
        <x:is>
          <x:t xml:space="preserve">EMPDUR150049</x:t>
        </x:is>
      </x:c>
      <x:c r="B240" t="inlineStr">
        <x:is>
          <x:t xml:space="preserve">1299386 EMPAQUETADURA;BA-C DONIT,6 PLG X 1/8 ESP FF C/MANGUITO D-8300</x:t>
        </x:is>
      </x:c>
      <x:c r="E240" t="n">
        <x:v>0</x:v>
      </x:c>
    </x:row>
    <x:row r="241">
      <x:c r="A241" t="inlineStr">
        <x:is>
          <x:t xml:space="preserve">EMPDUR150050</x:t>
        </x:is>
      </x:c>
      <x:c r="B241" t="inlineStr">
        <x:is>
          <x:t xml:space="preserve">EMPAQ.D-9000 1/8 CLASE 150 TIPO RF DE 18 PLG</x:t>
        </x:is>
      </x:c>
      <x:c r="E241" t="n">
        <x:v>6</x:v>
      </x:c>
    </x:row>
    <x:row r="242">
      <x:c r="A242" t="inlineStr">
        <x:is>
          <x:t xml:space="preserve">EMPDUR150051</x:t>
        </x:is>
      </x:c>
      <x:c r="B242" t="inlineStr">
        <x:is>
          <x:t xml:space="preserve">EMPAQUETADURA D-7900 1/8 ESP.  TIPO RF CLASE 150 1.1/2 PLG ANSI B16.5</x:t>
        </x:is>
      </x:c>
      <x:c r="E242" t="n">
        <x:v>0</x:v>
      </x:c>
    </x:row>
    <x:row r="243">
      <x:c r="A243" t="inlineStr">
        <x:is>
          <x:t xml:space="preserve">EMPDUR150052</x:t>
        </x:is>
      </x:c>
      <x:c r="B243" t="inlineStr">
        <x:is>
          <x:t xml:space="preserve">EMPAQUETADURA D-9000 1/8 CLASE 150 TIPO RF 12  PLG</x:t>
        </x:is>
      </x:c>
      <x:c r="E243" t="n">
        <x:v>0</x:v>
      </x:c>
    </x:row>
    <x:row r="244">
      <x:c r="A244" t="inlineStr">
        <x:is>
          <x:t xml:space="preserve">EMPDUR150053</x:t>
        </x:is>
      </x:c>
      <x:c r="B244" t="inlineStr">
        <x:is>
          <x:t xml:space="preserve">EMPAQ.ANILLO ESP 3 MM DIA.INT 8.9 CM X DIA EXT 18.9 CM DURLON 8500  4033570</x:t>
        </x:is>
      </x:c>
      <x:c r="E244" t="n">
        <x:v>60</x:v>
      </x:c>
    </x:row>
    <x:row r="245">
      <x:c r="A245" t="inlineStr">
        <x:is>
          <x:t xml:space="preserve">EMPDUR150054</x:t>
        </x:is>
      </x:c>
      <x:c r="B245" t="inlineStr">
        <x:is>
          <x:t xml:space="preserve">4033570 EMPAQUETADURA ANILLO ESP,3 MM DIA.INT. 8.9 CM DIA.EXT 18.9 CM D-8500</x:t>
        </x:is>
      </x:c>
      <x:c r="E245" t="n">
        <x:v>60</x:v>
      </x:c>
    </x:row>
    <x:row r="246">
      <x:c r="A246" t="inlineStr">
        <x:is>
          <x:t xml:space="preserve">EMPDUR300001</x:t>
        </x:is>
      </x:c>
      <x:c r="B246" t="inlineStr">
        <x:is>
          <x:t xml:space="preserve">EMPAQUETADURA DURLON 7900 1/8 ESP FF CLASE 300 3 PLG</x:t>
        </x:is>
      </x:c>
      <x:c r="E246" t="n">
        <x:v>0</x:v>
      </x:c>
    </x:row>
    <x:row r="247">
      <x:c r="A247" t="inlineStr">
        <x:is>
          <x:t xml:space="preserve">EMPDUR300002</x:t>
        </x:is>
      </x:c>
      <x:c r="B247" t="inlineStr">
        <x:is>
          <x:t xml:space="preserve">EMPAQUETADURA DURLON 7900 1/8 ESP FF CLASE 300 4 PLG</x:t>
        </x:is>
      </x:c>
      <x:c r="E247" t="n">
        <x:v>0</x:v>
      </x:c>
    </x:row>
    <x:row r="248">
      <x:c r="A248" t="inlineStr">
        <x:is>
          <x:t xml:space="preserve">EMPDUR300003</x:t>
        </x:is>
      </x:c>
      <x:c r="B248" t="inlineStr">
        <x:is>
          <x:t xml:space="preserve">EMPAQUETADURA DURLON 7900 1/8 ESP FF CLASE 300 6 PLG</x:t>
        </x:is>
      </x:c>
      <x:c r="E248" t="n">
        <x:v>42</x:v>
      </x:c>
    </x:row>
    <x:row r="249">
      <x:c r="A249" t="inlineStr">
        <x:is>
          <x:t xml:space="preserve">EMPDUR300004</x:t>
        </x:is>
      </x:c>
      <x:c r="B249" t="inlineStr">
        <x:is>
          <x:t xml:space="preserve">EMPAQUETADURA DURLON 9000 1/8 ESP FF CLASE 300 8 PLG</x:t>
        </x:is>
      </x:c>
      <x:c r="E249" t="n">
        <x:v>0</x:v>
      </x:c>
    </x:row>
    <x:row r="250">
      <x:c r="A250" t="inlineStr">
        <x:is>
          <x:t xml:space="preserve">EMPDUR300005</x:t>
        </x:is>
      </x:c>
      <x:c r="B250" t="inlineStr">
        <x:is>
          <x:t xml:space="preserve">EMPAQUETADURA DURLON 9000 1/8 ESP FF CLASE 300 12 PLG</x:t>
        </x:is>
      </x:c>
      <x:c r="E250" t="n">
        <x:v>0</x:v>
      </x:c>
    </x:row>
    <x:row r="251">
      <x:c r="A251" t="inlineStr">
        <x:is>
          <x:t xml:space="preserve">EMPDUR300006</x:t>
        </x:is>
      </x:c>
      <x:c r="B251" t="inlineStr">
        <x:is>
          <x:t xml:space="preserve">EMPAQUETADURA DURLON 7900 1/8 ESP FF CLASE 300 18 PLG</x:t>
        </x:is>
      </x:c>
      <x:c r="E251" t="n">
        <x:v>0</x:v>
      </x:c>
    </x:row>
    <x:row r="252">
      <x:c r="A252" t="inlineStr">
        <x:is>
          <x:t xml:space="preserve">EMPDUR300007</x:t>
        </x:is>
      </x:c>
      <x:c r="B252" t="inlineStr">
        <x:is>
          <x:t xml:space="preserve">EMPAQUETADURA DURLON 9000 1/8 ESP RF CLASE 300 2.1/2 PLG</x:t>
        </x:is>
      </x:c>
      <x:c r="E252" t="n">
        <x:v>0</x:v>
      </x:c>
    </x:row>
    <x:row r="253">
      <x:c r="A253" t="inlineStr">
        <x:is>
          <x:t xml:space="preserve">EMPDUR300008</x:t>
        </x:is>
      </x:c>
      <x:c r="B253" t="inlineStr">
        <x:is>
          <x:t xml:space="preserve">EMPAQUETADURA DURLON 9000 1/8 CLASE 300 TIPO FF 4 PLG DIAM.</x:t>
        </x:is>
      </x:c>
      <x:c r="E253" t="n">
        <x:v>0</x:v>
      </x:c>
    </x:row>
    <x:row r="254">
      <x:c r="A254" t="inlineStr">
        <x:is>
          <x:t xml:space="preserve">EMPDUR300009</x:t>
        </x:is>
      </x:c>
      <x:c r="B254" t="inlineStr">
        <x:is>
          <x:t xml:space="preserve">EMPAQUETADURA DURLON 9000 1/8 ESP.CLASE 300 TIPO FF 16 PLG DIAM</x:t>
        </x:is>
      </x:c>
      <x:c r="E254" t="n">
        <x:v>6</x:v>
      </x:c>
    </x:row>
    <x:row r="255">
      <x:c r="A255" t="inlineStr">
        <x:is>
          <x:t xml:space="preserve">EMPDUR300010</x:t>
        </x:is>
      </x:c>
      <x:c r="B255" t="inlineStr">
        <x:is>
          <x:t xml:space="preserve">EMPAQUETADURA DURLON 9000 1/8 PLG ESP.FF CLASE 300 ANSI DE 24 PLG</x:t>
        </x:is>
      </x:c>
      <x:c r="E255" t="n">
        <x:v>0</x:v>
      </x:c>
    </x:row>
    <x:row r="256">
      <x:c r="A256" t="inlineStr">
        <x:is>
          <x:t xml:space="preserve">EMPDUR300011</x:t>
        </x:is>
      </x:c>
      <x:c r="B256" t="inlineStr">
        <x:is>
          <x:t xml:space="preserve">EMPAQUETADURA DURLON 9000 FF CLASE 300 1/8 PLG ESP. DIAM.20 PLG (10410791)</x:t>
        </x:is>
      </x:c>
      <x:c r="E256" t="n">
        <x:v>0</x:v>
      </x:c>
    </x:row>
    <x:row r="257">
      <x:c r="A257" t="inlineStr">
        <x:is>
          <x:t xml:space="preserve">EMPDUR300012</x:t>
        </x:is>
      </x:c>
      <x:c r="B257" t="inlineStr">
        <x:is>
          <x:t xml:space="preserve">EMPAQUETADURA DIAM.10 PLG CLASE 300 TIPO RF C/MANGUITO DURLON 7900 1/8 ESP COD679399</x:t>
        </x:is>
      </x:c>
      <x:c r="E257" t="n">
        <x:v>0</x:v>
      </x:c>
    </x:row>
    <x:row r="258">
      <x:c r="A258" t="inlineStr">
        <x:is>
          <x:t xml:space="preserve">EMPDUR300013</x:t>
        </x:is>
      </x:c>
      <x:c r="B258" t="inlineStr">
        <x:is>
          <x:t xml:space="preserve">EMPAQUETADURA PLATO INFERIOR CHANCADOR DURLON 7900 1/16 COLA MILANO 6 PARTES 11022418</x:t>
        </x:is>
      </x:c>
      <x:c r="E258" t="n">
        <x:v>0</x:v>
      </x:c>
    </x:row>
    <x:row r="259">
      <x:c r="A259" t="inlineStr">
        <x:is>
          <x:t xml:space="preserve">EMPDUR300014</x:t>
        </x:is>
      </x:c>
      <x:c r="B259" t="inlineStr">
        <x:is>
          <x:t xml:space="preserve">EMPAQUE.24 PLG DIA.610 MM ID,914 MM OD CLASE 300 DURLON 9000 1/8 10453216</x:t>
        </x:is>
      </x:c>
      <x:c r="E259" t="n">
        <x:v>0</x:v>
      </x:c>
    </x:row>
    <x:row r="260">
      <x:c r="A260" t="inlineStr">
        <x:is>
          <x:t xml:space="preserve">EMPDUR300015</x:t>
        </x:is>
      </x:c>
      <x:c r="B260" t="inlineStr">
        <x:is>
          <x:t xml:space="preserve">EMPAQUETADURA DURLON 7900  1/8 ESP.CLASE 300 ANSI 16 PLG. (10384142)</x:t>
        </x:is>
      </x:c>
      <x:c r="E260" t="n">
        <x:v>4</x:v>
      </x:c>
    </x:row>
    <x:row r="261">
      <x:c r="A261" t="inlineStr">
        <x:is>
          <x:t xml:space="preserve">EMPDUR300016</x:t>
        </x:is>
      </x:c>
      <x:c r="B261" t="inlineStr">
        <x:is>
          <x:t xml:space="preserve">686030 EMPAQ.ESPEC.DIAM.6 PLG D-7900 1/8 CLASE 300 DIAM.EXT.316 MM DIAM.INT.171 MM CIR.PERN.270 MM P</x:t>
        </x:is>
      </x:c>
      <x:c r="E261" t="n">
        <x:v>0</x:v>
      </x:c>
    </x:row>
    <x:row r="262">
      <x:c r="A262" t="inlineStr">
        <x:is>
          <x:t xml:space="preserve">EMPDUR300017</x:t>
        </x:is>
      </x:c>
      <x:c r="B262" t="inlineStr">
        <x:is>
          <x:t xml:space="preserve">679381 EMPAQUETADURA DIAM. 12 plg CLASE 300 TIPO RF C/MANGUITO DURLON 7900 1/8 ESP.</x:t>
        </x:is>
      </x:c>
      <x:c r="E262" t="n">
        <x:v>0</x:v>
      </x:c>
    </x:row>
    <x:row r="263">
      <x:c r="A263" t="inlineStr">
        <x:is>
          <x:t xml:space="preserve">EMPDUR300018</x:t>
        </x:is>
      </x:c>
      <x:c r="B263" t="inlineStr">
        <x:is>
          <x:t xml:space="preserve">122497/001 EMPAQUETADURA DURLON 9000 RF NORMA ANSI CLASE 300 E=1/8 DIAM 18 PLG</x:t>
        </x:is>
      </x:c>
      <x:c r="E263" t="n">
        <x:v>2</x:v>
      </x:c>
    </x:row>
    <x:row r="264">
      <x:c r="A264" t="inlineStr">
        <x:is>
          <x:t xml:space="preserve">EMPDUR300019</x:t>
        </x:is>
      </x:c>
      <x:c r="B264" t="inlineStr">
        <x:is>
          <x:t xml:space="preserve">122499/001 EMPAQUETADURA DURLON 9000 RF NORMA ANSI CLASE 300 E=1/8 DIAM 16 PLG</x:t>
        </x:is>
      </x:c>
      <x:c r="E264" t="n">
        <x:v>0</x:v>
      </x:c>
    </x:row>
    <x:row r="265">
      <x:c r="A265" t="inlineStr">
        <x:is>
          <x:t xml:space="preserve">EMPDUR300020</x:t>
        </x:is>
      </x:c>
      <x:c r="B265" t="inlineStr">
        <x:is>
          <x:t xml:space="preserve">EMPAQUETADURA DURLON 9000 NORMA ANSI CLASE 300 E= 1/8 DIAM 30 PLG SERIE A</x:t>
        </x:is>
      </x:c>
      <x:c r="E265" t="n">
        <x:v>0</x:v>
      </x:c>
    </x:row>
    <x:row r="266">
      <x:c r="A266" t="inlineStr">
        <x:is>
          <x:t xml:space="preserve">EMPDUR300021</x:t>
        </x:is>
      </x:c>
      <x:c r="B266" t="inlineStr">
        <x:is>
          <x:t xml:space="preserve">EMPAQUETADURA DURLON 9000 NORMA ANSI CLASE 300 E= 1/8 DIAM 30 PLG SERIE B</x:t>
        </x:is>
      </x:c>
      <x:c r="E266" t="n">
        <x:v>0</x:v>
      </x:c>
    </x:row>
    <x:row r="267">
      <x:c r="A267" t="inlineStr">
        <x:is>
          <x:t xml:space="preserve">EMPDUR300022</x:t>
        </x:is>
      </x:c>
      <x:c r="B267" t="inlineStr">
        <x:is>
          <x:t xml:space="preserve">EMPAQUETADURA D-9000 1/8 CLASE 300 DIAMETRO 14 PLG (10453251)</x:t>
        </x:is>
      </x:c>
      <x:c r="E267" t="n">
        <x:v>4</x:v>
      </x:c>
    </x:row>
    <x:row r="268">
      <x:c r="A268" t="inlineStr">
        <x:is>
          <x:t xml:space="preserve">EMPDUR300023</x:t>
        </x:is>
      </x:c>
      <x:c r="B268" t="inlineStr">
        <x:is>
          <x:t xml:space="preserve">EMPAQ.ESPECIAL DURLON 9000 RF CLASE 300 1/8 ESP 2" DIAM EXT 50MM DIAM INT 35 MM</x:t>
        </x:is>
      </x:c>
      <x:c r="E268" t="n">
        <x:v>0</x:v>
      </x:c>
    </x:row>
    <x:row r="269">
      <x:c r="A269" t="inlineStr">
        <x:is>
          <x:t xml:space="preserve">EMPDUR300024</x:t>
        </x:is>
      </x:c>
      <x:c r="B269" t="inlineStr">
        <x:is>
          <x:t xml:space="preserve">EMPAQ.ESPECIAL DURLON 9000 RF CLASE 300 1/8 ESP 2" DIAM EXT 92MM DIAM INT 62 MM</x:t>
        </x:is>
      </x:c>
      <x:c r="E269" t="n">
        <x:v>0</x:v>
      </x:c>
    </x:row>
    <x:row r="270">
      <x:c r="A270" t="inlineStr">
        <x:is>
          <x:t xml:space="preserve">EMPDUR300025</x:t>
        </x:is>
      </x:c>
      <x:c r="B270" t="inlineStr">
        <x:is>
          <x:t xml:space="preserve">EMPAQUETADURA DURLON 7900 CLASE 300 1/8 ESP 8 PLG</x:t>
        </x:is>
      </x:c>
      <x:c r="E270" t="n">
        <x:v>12</x:v>
      </x:c>
    </x:row>
    <x:row r="271">
      <x:c r="A271" t="inlineStr">
        <x:is>
          <x:t xml:space="preserve">EMPDUR300026</x:t>
        </x:is>
      </x:c>
      <x:c r="B271" t="inlineStr">
        <x:is>
          <x:t xml:space="preserve">EMPAQUETADURA FF CLASE 300 ANSI 34 PLG  DURLON 9000 1/8 ESP.</x:t>
        </x:is>
      </x:c>
      <x:c r="E271" t="n">
        <x:v>0</x:v>
      </x:c>
    </x:row>
    <x:row r="272">
      <x:c r="A272" t="inlineStr">
        <x:is>
          <x:t xml:space="preserve">EMPDUR300027</x:t>
        </x:is>
      </x:c>
      <x:c r="B272" t="inlineStr">
        <x:is>
          <x:t xml:space="preserve">10383122 EMPAQUETADURA,CARA LLENA,FLANGE,14IN ID,1/8IN THK,DURLON 7900,CLASE 300,</x:t>
        </x:is>
      </x:c>
      <x:c r="E272" t="n">
        <x:v>0</x:v>
      </x:c>
    </x:row>
    <x:row r="273">
      <x:c r="A273" t="inlineStr">
        <x:is>
          <x:t xml:space="preserve">EMPDUR600001</x:t>
        </x:is>
      </x:c>
      <x:c r="B273" t="inlineStr">
        <x:is>
          <x:t xml:space="preserve">122501/001 EMPAQUETADURA DURLON 9000 RF NORMA ANSI CLASE 600 E=1/8 DIM 30 PLG SERIE A</x:t>
        </x:is>
      </x:c>
      <x:c r="E273" t="n">
        <x:v>0</x:v>
      </x:c>
    </x:row>
    <x:row r="274">
      <x:c r="A274" t="inlineStr">
        <x:is>
          <x:t xml:space="preserve">EMPDUR600002</x:t>
        </x:is>
      </x:c>
      <x:c r="B274" t="inlineStr">
        <x:is>
          <x:t xml:space="preserve">122501/002 EMPAQUETADURA DURLON 9000 RF NORMA ANSI CLASE 600 RF  E=1/8 DIM 30 PLG SERIE B</x:t>
        </x:is>
      </x:c>
      <x:c r="E274" t="n">
        <x:v>0</x:v>
      </x:c>
    </x:row>
    <x:row r="275">
      <x:c r="A275" t="inlineStr">
        <x:is>
          <x:t xml:space="preserve">EMPDUR600003</x:t>
        </x:is>
      </x:c>
      <x:c r="B275" t="inlineStr">
        <x:is>
          <x:t xml:space="preserve">EMPAQUETADURA ESPECIAL D-9000 1/8 RF CLASE 600 2 PLG DIAN EXT 92 MM DIAM INT 42 MM PPT022D90018</x:t>
        </x:is>
      </x:c>
      <x:c r="E275" t="n">
        <x:v>0</x:v>
      </x:c>
    </x:row>
    <x:row r="276">
      <x:c r="A276" t="inlineStr">
        <x:is>
          <x:t xml:space="preserve">EMPDUR600004</x:t>
        </x:is>
      </x:c>
      <x:c r="B276" t="inlineStr">
        <x:is>
          <x:t xml:space="preserve">EMPAQ.ESPECIAL DURLON 9000 RF CLASE 600 1/8 ESP 3" DIAM EXT 127 MM DIAM INT 65 MM PPT022D90019</x:t>
        </x:is>
      </x:c>
      <x:c r="E276" t="n">
        <x:v>0</x:v>
      </x:c>
    </x:row>
    <x:row r="277">
      <x:c r="A277" t="inlineStr">
        <x:is>
          <x:t xml:space="preserve">EMPDUR600005</x:t>
        </x:is>
      </x:c>
      <x:c r="B277" t="inlineStr">
        <x:is>
          <x:t xml:space="preserve">EMPAQ.ESPECIAL DURLON 9000 RF CLASE 600 1/8 ESP 4" DIAM EXT 157 MM DIAM INT 80 MM PPT022D90021</x:t>
        </x:is>
      </x:c>
      <x:c r="E277" t="n">
        <x:v>0</x:v>
      </x:c>
    </x:row>
    <x:row r="278">
      <x:c r="A278" t="inlineStr">
        <x:is>
          <x:t xml:space="preserve">EMPDUR600006</x:t>
        </x:is>
      </x:c>
      <x:c r="B278" t="inlineStr">
        <x:is>
          <x:t xml:space="preserve">EMPAQ.ESPECIAL DURLON 9000 RF CLASE 600 1/8 ESP 8" DIAM EXT 270 MM DIAM INT 200 MMPPT022D90022</x:t>
        </x:is>
      </x:c>
      <x:c r="E278" t="n">
        <x:v>0</x:v>
      </x:c>
    </x:row>
    <x:row r="279">
      <x:c r="A279" t="inlineStr">
        <x:is>
          <x:t xml:space="preserve">EMPDUR600007</x:t>
        </x:is>
      </x:c>
      <x:c r="B279" t="inlineStr">
        <x:is>
          <x:t xml:space="preserve">EMPAQUETADURA ESPECIAL D-9000 1/8 ESP  FF  CLASE 600 24 PLG DIAM EXT 940 MM DIAM INT 490 MM PPT022D9</x:t>
        </x:is>
      </x:c>
      <x:c r="E279" t="n">
        <x:v>0</x:v>
      </x:c>
    </x:row>
    <x:row r="280">
      <x:c r="A280" t="inlineStr">
        <x:is>
          <x:t xml:space="preserve">EMPDUR900001</x:t>
        </x:is>
      </x:c>
      <x:c r="B280" t="inlineStr">
        <x:is>
          <x:t xml:space="preserve">121321415 EMPAQUETADURA DURLON 9000 BLU OD984 X ID930 X E1/8</x:t>
        </x:is>
      </x:c>
      <x:c r="E280" t="n">
        <x:v>0</x:v>
      </x:c>
    </x:row>
    <x:row r="281">
      <x:c r="A281" t="inlineStr">
        <x:is>
          <x:t xml:space="preserve">EMPDUR900002</x:t>
        </x:is>
      </x:c>
      <x:c r="B281" t="inlineStr">
        <x:is>
          <x:t xml:space="preserve">EMPAQ.ESPECIAL DURLON 9000 RF CLASE 900 1/8 ESP 3" DIAM EXT 210 MM DIAM INT 65 MMPPT022D90020</x:t>
        </x:is>
      </x:c>
      <x:c r="E281" t="n">
        <x:v>0</x:v>
      </x:c>
    </x:row>
    <x:row r="282">
      <x:c r="A282" t="inlineStr">
        <x:is>
          <x:t xml:space="preserve">EMPEPD001010</x:t>
        </x:is>
      </x:c>
      <x:c r="B282" t="inlineStr">
        <x:is>
          <x:t xml:space="preserve">EMPAQUETADURA FLANGE CIEGO DN 6 PLG CLASE 150 RF EPDM 3/36 PLS ESP.PPT22EPDMDN6</x:t>
        </x:is>
      </x:c>
      <x:c r="E282" t="n">
        <x:v>0</x:v>
      </x:c>
    </x:row>
    <x:row r="283">
      <x:c r="A283" t="inlineStr">
        <x:is>
          <x:t xml:space="preserve">EMPEPD150001</x:t>
        </x:is>
      </x:c>
      <x:c r="B283" t="inlineStr">
        <x:is>
          <x:t xml:space="preserve">EMPAQUETADURA EPDM DN 4 PLG FF NCL 150 PTTP22EPDM05</x:t>
        </x:is>
      </x:c>
      <x:c r="E283" t="n">
        <x:v>0</x:v>
      </x:c>
    </x:row>
    <x:row r="284">
      <x:c r="A284" t="inlineStr">
        <x:is>
          <x:t xml:space="preserve">EMPEPD150002</x:t>
        </x:is>
      </x:c>
      <x:c r="B284" t="inlineStr">
        <x:is>
          <x:t xml:space="preserve">EMPAQUETADURA EPDM DN 2 ESP ESP 1/16 FF CLASE 150</x:t>
        </x:is>
      </x:c>
      <x:c r="E284" t="n">
        <x:v>0</x:v>
      </x:c>
    </x:row>
    <x:row r="285">
      <x:c r="A285" t="inlineStr">
        <x:is>
          <x:t xml:space="preserve">EMPEPD150003</x:t>
        </x:is>
      </x:c>
      <x:c r="B285" t="inlineStr">
        <x:is>
          <x:t xml:space="preserve">EMPAQUETADURA EPDM 1/8 ESP CLASE 150 DN 3 PLG PTTP22EPDM04</x:t>
        </x:is>
      </x:c>
      <x:c r="E285" t="n">
        <x:v>0</x:v>
      </x:c>
    </x:row>
    <x:row r="286">
      <x:c r="A286" t="inlineStr">
        <x:is>
          <x:t xml:space="preserve">EMPEPD150004</x:t>
        </x:is>
      </x:c>
      <x:c r="B286" t="inlineStr">
        <x:is>
          <x:t xml:space="preserve">EMPAQUETADURA EPDM DN 6 RF CL 150 PPT022EP6401</x:t>
        </x:is>
      </x:c>
      <x:c r="E286" t="n">
        <x:v>0</x:v>
      </x:c>
    </x:row>
    <x:row r="287">
      <x:c r="A287" t="inlineStr">
        <x:is>
          <x:t xml:space="preserve">EMPEPD150005</x:t>
        </x:is>
      </x:c>
      <x:c r="B287" t="inlineStr">
        <x:is>
          <x:t xml:space="preserve">EMPAQUETADURA EPDM DN 2 PLG,CL150 RF ESP 4,7 PTTP22EP4702</x:t>
        </x:is>
      </x:c>
      <x:c r="E287" t="n">
        <x:v>0</x:v>
      </x:c>
    </x:row>
    <x:row r="288">
      <x:c r="A288" t="inlineStr">
        <x:is>
          <x:t xml:space="preserve">EMPEPD150006</x:t>
        </x:is>
      </x:c>
      <x:c r="B288" t="inlineStr">
        <x:is>
          <x:t xml:space="preserve">EMPAQUETADURA EPDM DN 1  ESP. 4,7 TIPO RF PPT022EP4703</x:t>
        </x:is>
      </x:c>
      <x:c r="E288" t="n">
        <x:v>0</x:v>
      </x:c>
    </x:row>
    <x:row r="289">
      <x:c r="A289" t="inlineStr">
        <x:is>
          <x:t xml:space="preserve">EMPEPD150007</x:t>
        </x:is>
      </x:c>
      <x:c r="B289" t="inlineStr">
        <x:is>
          <x:t xml:space="preserve">EMPAQUETADURA FLG CIEGO CLASE 150 DN 1.1/2 PPT022EPDMDN12</x:t>
        </x:is>
      </x:c>
      <x:c r="E289" t="n">
        <x:v>0</x:v>
      </x:c>
    </x:row>
    <x:row r="290">
      <x:c r="A290" t="inlineStr">
        <x:is>
          <x:t xml:space="preserve">EMPEPD150008</x:t>
        </x:is>
      </x:c>
      <x:c r="B290" t="inlineStr">
        <x:is>
          <x:t xml:space="preserve">EMPAQUETADURA DN 56 PLG EPDM ESP 9,7 MM C/MILANO PTT022EPDM56</x:t>
        </x:is>
      </x:c>
      <x:c r="E290" t="n">
        <x:v>0</x:v>
      </x:c>
    </x:row>
    <x:row r="291">
      <x:c r="A291" t="inlineStr">
        <x:is>
          <x:t xml:space="preserve">EMPEPD150009</x:t>
        </x:is>
      </x:c>
      <x:c r="B291" t="inlineStr">
        <x:is>
          <x:t xml:space="preserve">EMPAQUETADURA DN 48 PLG EPDM ESP 9,7 MM C/MILANO PTT022EPDM48</x:t>
        </x:is>
      </x:c>
      <x:c r="E291" t="n">
        <x:v>0</x:v>
      </x:c>
    </x:row>
    <x:row r="292">
      <x:c r="A292" t="inlineStr">
        <x:is>
          <x:t xml:space="preserve">EMPEPD150010</x:t>
        </x:is>
      </x:c>
      <x:c r="B292" t="inlineStr">
        <x:is>
          <x:t xml:space="preserve">4113579 EMPAQUETADURA BUTILO DN 18 RF</x:t>
        </x:is>
      </x:c>
      <x:c r="E292" t="n">
        <x:v>4</x:v>
      </x:c>
    </x:row>
    <x:row r="293">
      <x:c r="A293" t="inlineStr">
        <x:is>
          <x:t xml:space="preserve">EMPEPD150011</x:t>
        </x:is>
      </x:c>
      <x:c r="B293" t="inlineStr">
        <x:is>
          <x:t xml:space="preserve">EMPAQUETADURA EPDM DN 8 CIEGO ESP 4,7 MM (3/16)RF CLASE 150  PPT022EPDMDC8</x:t>
        </x:is>
      </x:c>
      <x:c r="E293" t="n">
        <x:v>0</x:v>
      </x:c>
    </x:row>
    <x:row r="294">
      <x:c r="A294" t="inlineStr">
        <x:is>
          <x:t xml:space="preserve">EMPEPD150012</x:t>
        </x:is>
      </x:c>
      <x:c r="B294" t="inlineStr">
        <x:is>
          <x:t xml:space="preserve">EMPAQUETADURA DN 1.1/2 CLASE 150 TIPO RF 1.1/2 PLG EPDM 1/8 ESP</x:t>
        </x:is>
      </x:c>
      <x:c r="E294" t="n">
        <x:v>0</x:v>
      </x:c>
    </x:row>
    <x:row r="295">
      <x:c r="A295" t="inlineStr">
        <x:is>
          <x:t xml:space="preserve">EMPEPD150013</x:t>
        </x:is>
      </x:c>
      <x:c r="B295" t="inlineStr">
        <x:is>
          <x:t xml:space="preserve">EMPAQUETADURA DN 3 PLG CLASE 150 TIPO RF EPDM 14 MM ESP</x:t>
        </x:is>
      </x:c>
      <x:c r="E295" t="n">
        <x:v>0</x:v>
      </x:c>
    </x:row>
    <x:row r="296">
      <x:c r="A296" t="inlineStr">
        <x:is>
          <x:t xml:space="preserve">EMPEPD150014</x:t>
        </x:is>
      </x:c>
      <x:c r="B296" t="inlineStr">
        <x:is>
          <x:t xml:space="preserve">EMPAQUETADURA DN 1 CLASE 150 TIPO RF  EPDM 1/8 ESP</x:t>
        </x:is>
      </x:c>
      <x:c r="E296" t="n">
        <x:v>0</x:v>
      </x:c>
    </x:row>
    <x:row r="297">
      <x:c r="A297" t="inlineStr">
        <x:is>
          <x:t xml:space="preserve">EMPEPD150015</x:t>
        </x:is>
      </x:c>
      <x:c r="B297" t="inlineStr">
        <x:is>
          <x:t xml:space="preserve">EMPAQUETADURA DN 800 (32 PLG) FF CL 150 EPDM 10 MM  PTT22EP10DN38</x:t>
        </x:is>
      </x:c>
      <x:c r="E297" t="n">
        <x:v>2</x:v>
      </x:c>
    </x:row>
    <x:row r="298">
      <x:c r="A298" t="inlineStr">
        <x:is>
          <x:t xml:space="preserve">EMPEPD150016</x:t>
        </x:is>
      </x:c>
      <x:c r="B298" t="inlineStr">
        <x:is>
          <x:t xml:space="preserve">EMPAQUETADURA EPDM ESP 3,2 MM DN 6 P/FGE CIEGO PTT22EPRF06C</x:t>
        </x:is>
      </x:c>
      <x:c r="E298" t="n">
        <x:v>200</x:v>
      </x:c>
    </x:row>
    <x:row r="299">
      <x:c r="A299" t="inlineStr">
        <x:is>
          <x:t xml:space="preserve">EMPEPD150017</x:t>
        </x:is>
      </x:c>
      <x:c r="B299" t="inlineStr">
        <x:is>
          <x:t xml:space="preserve">EMPAQUETADURA EPDM 3,2 MM DN6 TIPO RF PTT22EPRF06D</x:t>
        </x:is>
      </x:c>
      <x:c r="E299" t="n">
        <x:v>120</x:v>
      </x:c>
    </x:row>
    <x:row r="300">
      <x:c r="A300" t="inlineStr">
        <x:is>
          <x:t xml:space="preserve">EMPEPD150018</x:t>
        </x:is>
      </x:c>
      <x:c r="B300" t="inlineStr">
        <x:is>
          <x:t xml:space="preserve">EMPAQ DN 2000 EPDM EXT.2290 INT.1950 ESP 9.7 MM PPT22EPD10DN2</x:t>
        </x:is>
      </x:c>
      <x:c r="E300" t="n">
        <x:v>1</x:v>
      </x:c>
    </x:row>
    <x:row r="301">
      <x:c r="A301" t="inlineStr">
        <x:is>
          <x:t xml:space="preserve">EMPEPD150019</x:t>
        </x:is>
      </x:c>
      <x:c r="B301" t="inlineStr">
        <x:is>
          <x:t xml:space="preserve">EMPAQ.EPDM DN 12 PLG FF 3/16 ESP. PT22EPDM4DN12</x:t>
        </x:is>
      </x:c>
      <x:c r="E301" t="n">
        <x:v>20</x:v>
      </x:c>
    </x:row>
    <x:row r="302">
      <x:c r="A302" t="inlineStr">
        <x:is>
          <x:t xml:space="preserve">EMPEPD150020</x:t>
        </x:is>
      </x:c>
      <x:c r="B302" t="inlineStr">
        <x:is>
          <x:t xml:space="preserve">EMPAQUETADURA DN 900  (36 PLG) C-150 FF EPDM ESP,9.7 MM PPT22EPDDN900</x:t>
        </x:is>
      </x:c>
      <x:c r="E302" t="n">
        <x:v>10</x:v>
      </x:c>
    </x:row>
    <x:row r="303">
      <x:c r="A303" t="inlineStr">
        <x:is>
          <x:t xml:space="preserve">EMPEPD150021</x:t>
        </x:is>
      </x:c>
      <x:c r="B303" t="inlineStr">
        <x:is>
          <x:t xml:space="preserve">EMPAQUETADURA DN 1000 (40 PLG) C-150 FF EPDM ESP,9.7 MM PPT22EPDDN100</x:t>
        </x:is>
      </x:c>
      <x:c r="E303" t="n">
        <x:v>4</x:v>
      </x:c>
    </x:row>
    <x:row r="304">
      <x:c r="A304" t="inlineStr">
        <x:is>
          <x:t xml:space="preserve">EMPEPD150022</x:t>
        </x:is>
      </x:c>
      <x:c r="B304" t="inlineStr">
        <x:is>
          <x:t xml:space="preserve">EMPAQUETADURA DN 1200 (48 PLG) C-150 FF EPDM ESP,9.7 MM PPT22EPDDN120</x:t>
        </x:is>
      </x:c>
      <x:c r="E304" t="n">
        <x:v>4</x:v>
      </x:c>
    </x:row>
    <x:row r="305">
      <x:c r="A305" t="inlineStr">
        <x:is>
          <x:t xml:space="preserve">EMPEPD150023</x:t>
        </x:is>
      </x:c>
      <x:c r="B305" t="inlineStr">
        <x:is>
          <x:t xml:space="preserve">EMPAQUETADURA DN 1400 (56 PLG) C-150 FF EPDM ESP,9.7 MM PPT22EPDDN140</x:t>
        </x:is>
      </x:c>
      <x:c r="E305" t="n">
        <x:v>6</x:v>
      </x:c>
    </x:row>
    <x:row r="306">
      <x:c r="A306" t="inlineStr">
        <x:is>
          <x:t xml:space="preserve">EMPEPD150024</x:t>
        </x:is>
      </x:c>
      <x:c r="B306" t="inlineStr">
        <x:is>
          <x:t xml:space="preserve">EMPAQUETADURA EPDM DN 16 PLG FF 4,7 MM NORMA ANSI</x:t>
        </x:is>
      </x:c>
      <x:c r="E306" t="n">
        <x:v>30</x:v>
      </x:c>
    </x:row>
    <x:row r="307">
      <x:c r="A307" t="inlineStr">
        <x:is>
          <x:t xml:space="preserve">EMPEPD150025</x:t>
        </x:is>
      </x:c>
      <x:c r="B307" t="inlineStr">
        <x:is>
          <x:t xml:space="preserve">EMPAQUETADURA EPDM DN 18 PLG FF 4,7 MM NORMA ANSI</x:t>
        </x:is>
      </x:c>
      <x:c r="E307" t="n">
        <x:v>30</x:v>
      </x:c>
    </x:row>
    <x:row r="308">
      <x:c r="A308" t="inlineStr">
        <x:is>
          <x:t xml:space="preserve">EMPEPD150026</x:t>
        </x:is>
      </x:c>
      <x:c r="B308" t="inlineStr">
        <x:is>
          <x:t xml:space="preserve">EMPAQUETADURA DN 1100 (44 PLG) CLASE 150 TIPO FF EPDM ESP.9,7 MM PPT22EPDDN110</x:t>
        </x:is>
      </x:c>
      <x:c r="E308" t="n">
        <x:v>1</x:v>
      </x:c>
    </x:row>
    <x:row r="309">
      <x:c r="A309" t="inlineStr">
        <x:is>
          <x:t xml:space="preserve">EMPEPD150027</x:t>
        </x:is>
      </x:c>
      <x:c r="B309" t="inlineStr">
        <x:is>
          <x:t xml:space="preserve">EMPAQUETADURA DIAM 20 PLG EPDM 3/8 CLASE 150 FF</x:t>
        </x:is>
      </x:c>
      <x:c r="E309" t="n">
        <x:v>6</x:v>
      </x:c>
    </x:row>
    <x:row r="310">
      <x:c r="A310" t="inlineStr">
        <x:is>
          <x:t xml:space="preserve">EMPGENPLA001</x:t>
        </x:is>
      </x:c>
      <x:c r="B310" t="inlineStr">
        <x:is>
          <x:t xml:space="preserve">PLANCHA VITON ROLLO 1000MM X 3MM</x:t>
        </x:is>
      </x:c>
      <x:c r="E310" t="n">
        <x:v>0</x:v>
      </x:c>
    </x:row>
    <x:row r="311">
      <x:c r="A311" t="inlineStr">
        <x:is>
          <x:t xml:space="preserve">EMPGENPLA002</x:t>
        </x:is>
      </x:c>
      <x:c r="B311" t="inlineStr">
        <x:is>
          <x:t xml:space="preserve">PLANCHA VITON ROLLO 1000MM X 5MM</x:t>
        </x:is>
      </x:c>
      <x:c r="E311" t="n">
        <x:v>0</x:v>
      </x:c>
    </x:row>
    <x:row r="312">
      <x:c r="A312" t="inlineStr">
        <x:is>
          <x:t xml:space="preserve">EMPGENPLA003</x:t>
        </x:is>
      </x:c>
      <x:c r="B312" t="inlineStr">
        <x:is>
          <x:t xml:space="preserve">PLANCHA VITON ROLLO 1000MM X 6.5MM (1/4)</x:t>
        </x:is>
      </x:c>
      <x:c r="E312" t="n">
        <x:v>6.2</x:v>
      </x:c>
    </x:row>
    <x:row r="313">
      <x:c r="A313" t="inlineStr">
        <x:is>
          <x:t xml:space="preserve">EMPGENPLA004</x:t>
        </x:is>
      </x:c>
      <x:c r="B313" t="inlineStr">
        <x:is>
          <x:t xml:space="preserve">EMPAQUETADURA - JUNTA COMPRIMIDA TEADIT ESTILO NA1002 1/16</x:t>
        </x:is>
      </x:c>
      <x:c r="E313" t="n">
        <x:v>0</x:v>
      </x:c>
    </x:row>
    <x:row r="314">
      <x:c r="A314" t="inlineStr">
        <x:is>
          <x:t xml:space="preserve">EMPGENPLA005</x:t>
        </x:is>
      </x:c>
      <x:c r="B314" t="inlineStr">
        <x:is>
          <x:t xml:space="preserve">PLANCHA VITON ROLLO 1400MM (ANCHO) X 6.5MM (1/4)</x:t>
        </x:is>
      </x:c>
      <x:c r="E314" t="n">
        <x:v>30</x:v>
      </x:c>
    </x:row>
    <x:row r="315">
      <x:c r="A315" t="inlineStr">
        <x:is>
          <x:t xml:space="preserve">EMPGENPLA006</x:t>
        </x:is>
      </x:c>
      <x:c r="B315" t="inlineStr">
        <x:is>
          <x:t xml:space="preserve">PLANCHA VITON 1400MM ANCHO X 1000MM LARGO X 1.5MM ESPESOR</x:t>
        </x:is>
      </x:c>
      <x:c r="E315" t="n">
        <x:v>0</x:v>
      </x:c>
    </x:row>
    <x:row r="316">
      <x:c r="A316" t="inlineStr">
        <x:is>
          <x:t xml:space="preserve">EMPNBR150001</x:t>
        </x:is>
      </x:c>
      <x:c r="B316" t="inlineStr">
        <x:is>
          <x:t xml:space="preserve">KIT DE EMPAQUETADURAS  BUTILO CLASE 150 1 Y 2 PGL TIPOF FF Y RF</x:t>
        </x:is>
      </x:c>
      <x:c r="E316" t="n">
        <x:v>0</x:v>
      </x:c>
    </x:row>
    <x:row r="317">
      <x:c r="A317" t="inlineStr">
        <x:is>
          <x:t xml:space="preserve">EMPNBR150002</x:t>
        </x:is>
      </x:c>
      <x:c r="B317" t="inlineStr">
        <x:is>
          <x:t xml:space="preserve">EMPAQUETADURA BUTILO  ESP.1/8 PLG FF CLASE 150 DN 1/2 PLG</x:t>
        </x:is>
      </x:c>
      <x:c r="E317" t="n">
        <x:v>0</x:v>
      </x:c>
    </x:row>
    <x:row r="318">
      <x:c r="A318" t="inlineStr">
        <x:is>
          <x:t xml:space="preserve">EMPNBR150003</x:t>
        </x:is>
      </x:c>
      <x:c r="B318" t="inlineStr">
        <x:is>
          <x:t xml:space="preserve">EMPAQUETADURA BUTILO  ESP.1/8 PLG FF CLASE 150 DN 1.1/2 PLG</x:t>
        </x:is>
      </x:c>
      <x:c r="E318" t="n">
        <x:v>0</x:v>
      </x:c>
    </x:row>
    <x:row r="319">
      <x:c r="A319" t="inlineStr">
        <x:is>
          <x:t xml:space="preserve">EMPNBR150004</x:t>
        </x:is>
      </x:c>
      <x:c r="B319" t="inlineStr">
        <x:is>
          <x:t xml:space="preserve">EMPAQUETADURA BUTILO  ESP.1/8 PLG FF CLASE 150 DN 2 PLG</x:t>
        </x:is>
      </x:c>
      <x:c r="E319" t="n">
        <x:v>0</x:v>
      </x:c>
    </x:row>
    <x:row r="320">
      <x:c r="A320" t="inlineStr">
        <x:is>
          <x:t xml:space="preserve">EMPNBR150005</x:t>
        </x:is>
      </x:c>
      <x:c r="B320" t="inlineStr">
        <x:is>
          <x:t xml:space="preserve">EMPAQUETADURA BUTILO  ESP.1/8 PLG FF CLASE 150 DN 2.1/2 PLG</x:t>
        </x:is>
      </x:c>
      <x:c r="E320" t="n">
        <x:v>0</x:v>
      </x:c>
    </x:row>
    <x:row r="321">
      <x:c r="A321" t="inlineStr">
        <x:is>
          <x:t xml:space="preserve">EMPNBR150006</x:t>
        </x:is>
      </x:c>
      <x:c r="B321" t="inlineStr">
        <x:is>
          <x:t xml:space="preserve">EMPAQUETADURA BUTILO  ESP.1/8 PLG FF CLASE 150 DN 3 PLG</x:t>
        </x:is>
      </x:c>
      <x:c r="E321" t="n">
        <x:v>0</x:v>
      </x:c>
    </x:row>
    <x:row r="322">
      <x:c r="A322" t="inlineStr">
        <x:is>
          <x:t xml:space="preserve">EMPNBR150007</x:t>
        </x:is>
      </x:c>
      <x:c r="B322" t="inlineStr">
        <x:is>
          <x:t xml:space="preserve">4210507 EMPAQUETADURA BUTILO DN 160X3 MM  PYG1 Y PTG2</x:t>
        </x:is>
      </x:c>
      <x:c r="E322" t="n">
        <x:v>0</x:v>
      </x:c>
    </x:row>
    <x:row r="323">
      <x:c r="A323" t="inlineStr">
        <x:is>
          <x:t xml:space="preserve">EMPNBR150008</x:t>
        </x:is>
      </x:c>
      <x:c r="B323" t="inlineStr">
        <x:is>
          <x:t xml:space="preserve">4210508 EMPAQUETADURA BUTILO DN 160X3 MM 5MPa  PYG1 Y PTG2</x:t>
        </x:is>
      </x:c>
      <x:c r="E323" t="n">
        <x:v>0</x:v>
      </x:c>
    </x:row>
    <x:row r="324">
      <x:c r="A324" t="inlineStr">
        <x:is>
          <x:t xml:space="preserve">EMPNBR150009</x:t>
        </x:is>
      </x:c>
      <x:c r="B324" t="inlineStr">
        <x:is>
          <x:t xml:space="preserve">4210509 EMPAQUETADURA BUTILO DN 125X3 MM 5MPa  PYG1 Y PTG2</x:t>
        </x:is>
      </x:c>
      <x:c r="E324" t="n">
        <x:v>0</x:v>
      </x:c>
    </x:row>
    <x:row r="325">
      <x:c r="A325" t="inlineStr">
        <x:is>
          <x:t xml:space="preserve">EMPNBR150010</x:t>
        </x:is>
      </x:c>
      <x:c r="B325" t="inlineStr">
        <x:is>
          <x:t xml:space="preserve">4210510 EMPAQUETADURA BUTILO DN 110X3 MM 5MPa  PYG1 Y PTG2</x:t>
        </x:is>
      </x:c>
      <x:c r="E325" t="n">
        <x:v>0</x:v>
      </x:c>
    </x:row>
    <x:row r="326">
      <x:c r="A326" t="inlineStr">
        <x:is>
          <x:t xml:space="preserve">EMPNBR150011</x:t>
        </x:is>
      </x:c>
      <x:c r="B326" t="inlineStr">
        <x:is>
          <x:t xml:space="preserve">4210511  EMPAQUETADURA BUTILO DN 250X3 MM 5MPa  PYG1 Y PTG2</x:t>
        </x:is>
      </x:c>
      <x:c r="E326" t="n">
        <x:v>0</x:v>
      </x:c>
    </x:row>
    <x:row r="327">
      <x:c r="A327" t="inlineStr">
        <x:is>
          <x:t xml:space="preserve">EMPNBR150012</x:t>
        </x:is>
      </x:c>
      <x:c r="B327" t="inlineStr">
        <x:is>
          <x:t xml:space="preserve">4210512 EMPAQUETADURA BUTILO DN 315X3 MM 5MPa  PYG1 Y PTG2</x:t>
        </x:is>
      </x:c>
      <x:c r="E327" t="n">
        <x:v>0</x:v>
      </x:c>
    </x:row>
    <x:row r="328">
      <x:c r="A328" t="inlineStr">
        <x:is>
          <x:t xml:space="preserve">EMPNBR150013</x:t>
        </x:is>
      </x:c>
      <x:c r="B328" t="inlineStr">
        <x:is>
          <x:t xml:space="preserve">4210513 EMPAQUETADURA BUTILO DN 400X3 MM 5MPa  PYG1 Y PTG2</x:t>
        </x:is>
      </x:c>
      <x:c r="E328" t="n">
        <x:v>0</x:v>
      </x:c>
    </x:row>
    <x:row r="329">
      <x:c r="A329" t="inlineStr">
        <x:is>
          <x:t xml:space="preserve">EMPNBR150014</x:t>
        </x:is>
      </x:c>
      <x:c r="B329" t="inlineStr">
        <x:is>
          <x:t xml:space="preserve">4210514 EMPAQUETADURA BUTILO DN 4550X3 MM 5MPa  PYG1 Y PTG2</x:t>
        </x:is>
      </x:c>
      <x:c r="E329" t="n">
        <x:v>0</x:v>
      </x:c>
    </x:row>
    <x:row r="330">
      <x:c r="A330" t="inlineStr">
        <x:is>
          <x:t xml:space="preserve">EMPNBR150015</x:t>
        </x:is>
      </x:c>
      <x:c r="B330" t="inlineStr">
        <x:is>
          <x:t xml:space="preserve">4210531 EMPAQUETADURA BUTILO DN 90X3 MM 5MPa  PYG1 Y PTG2</x:t>
        </x:is>
      </x:c>
      <x:c r="E330" t="n">
        <x:v>0</x:v>
      </x:c>
    </x:row>
    <x:row r="331">
      <x:c r="A331" t="inlineStr">
        <x:is>
          <x:t xml:space="preserve">EMPNBR150016</x:t>
        </x:is>
      </x:c>
      <x:c r="B331" t="inlineStr">
        <x:is>
          <x:t xml:space="preserve">4210532 EMPAQUETADURA BUTILO DN 63X3 MM 5MPa  PYG1 Y PTG2</x:t>
        </x:is>
      </x:c>
      <x:c r="E331" t="n">
        <x:v>0</x:v>
      </x:c>
    </x:row>
    <x:row r="332">
      <x:c r="A332" t="inlineStr">
        <x:is>
          <x:t xml:space="preserve">EMPNBR150017</x:t>
        </x:is>
      </x:c>
      <x:c r="B332" t="inlineStr">
        <x:is>
          <x:t xml:space="preserve">4210533 EMPAQUETADURA BUTILO DN 50X3 MM 5MPa  PYG1 Y PTG2</x:t>
        </x:is>
      </x:c>
      <x:c r="E332" t="n">
        <x:v>0</x:v>
      </x:c>
    </x:row>
    <x:row r="333">
      <x:c r="A333" t="inlineStr">
        <x:is>
          <x:t xml:space="preserve">EMPSPI001001</x:t>
        </x:is>
      </x:c>
      <x:c r="B333" t="inlineStr">
        <x:is>
          <x:t xml:space="preserve">EMPAQUETADURA ESPIROMETALICA CLASE 1500 CGI 8 PLG  304</x:t>
        </x:is>
      </x:c>
      <x:c r="E333" t="n">
        <x:v>0</x:v>
      </x:c>
    </x:row>
    <x:row r="334">
      <x:c r="A334" t="inlineStr">
        <x:is>
          <x:t xml:space="preserve">EMPSPI001002</x:t>
        </x:is>
      </x:c>
      <x:c r="B334" t="inlineStr">
        <x:is>
          <x:t xml:space="preserve">EMPAQUETADURA ESPIROMETALICA CG CLASE 150 16 PLG  316/FG</x:t>
        </x:is>
      </x:c>
      <x:c r="E334" t="n">
        <x:v>0</x:v>
      </x:c>
    </x:row>
    <x:row r="335">
      <x:c r="A335" t="inlineStr">
        <x:is>
          <x:t xml:space="preserve">EMPSPI001003</x:t>
        </x:is>
      </x:c>
      <x:c r="B335" t="inlineStr">
        <x:is>
          <x:t xml:space="preserve">EMPAQ ESPIROMETALICA TIPO DR, ANILLO EXI. 304 EMPAQUE GRAFITO CLASE 150 .1/2 PLG (8510050BABA)</x:t>
        </x:is>
      </x:c>
      <x:c r="E335" t="n">
        <x:v>0</x:v>
      </x:c>
    </x:row>
    <x:row r="336">
      <x:c r="A336" t="inlineStr">
        <x:is>
          <x:t xml:space="preserve">EMPSPI001004</x:t>
        </x:is>
      </x:c>
      <x:c r="B336" t="inlineStr">
        <x:is>
          <x:t xml:space="preserve">EMPAQ ESPIROMETALICA TIPO  DR , ANILLO EXI 304 EMPAQUE GRAFITO CLASE 150. 3/4  PLG (8510075BABA)</x:t>
        </x:is>
      </x:c>
      <x:c r="E336" t="n">
        <x:v>0</x:v>
      </x:c>
    </x:row>
    <x:row r="337">
      <x:c r="A337" t="inlineStr">
        <x:is>
          <x:t xml:space="preserve">EMPSPI001005</x:t>
        </x:is>
      </x:c>
      <x:c r="B337" t="inlineStr">
        <x:is>
          <x:t xml:space="preserve">EMPAQ ESPIROMETALICA TIPO  DR , ANILLO EXI 304 EMPAQUE GRAFITO CLASE 150. 1PLG (8510100BABA)</x:t>
        </x:is>
      </x:c>
      <x:c r="E337" t="n">
        <x:v>0</x:v>
      </x:c>
    </x:row>
    <x:row r="338">
      <x:c r="A338" t="inlineStr">
        <x:is>
          <x:t xml:space="preserve">EMPSPI001006</x:t>
        </x:is>
      </x:c>
      <x:c r="B338" t="inlineStr">
        <x:is>
          <x:t xml:space="preserve">EMPAQ ESPIROMETALICA TIPO  DR , ANILLO EXI 304 EMPAQUE GRAFITO CLASE 150. 1 1/4PLG (8510125BABA)</x:t>
        </x:is>
      </x:c>
      <x:c r="E338" t="n">
        <x:v>0</x:v>
      </x:c>
    </x:row>
    <x:row r="339">
      <x:c r="A339" t="inlineStr">
        <x:is>
          <x:t xml:space="preserve">EMPSPI001007</x:t>
        </x:is>
      </x:c>
      <x:c r="B339" t="inlineStr">
        <x:is>
          <x:t xml:space="preserve">EMPAQ ESPIROMETALICA TIPO  DR , ANILLO EXI 304 EMPAQUE GRAFITO CLASE 150. 1 1/2 PLG (8510150BABA)</x:t>
        </x:is>
      </x:c>
      <x:c r="E339" t="n">
        <x:v>0</x:v>
      </x:c>
    </x:row>
    <x:row r="340">
      <x:c r="A340" t="inlineStr">
        <x:is>
          <x:t xml:space="preserve">EMPSPI001008</x:t>
        </x:is>
      </x:c>
      <x:c r="B340" t="inlineStr">
        <x:is>
          <x:t xml:space="preserve">EMPAQ ESPIROMETALICA TIPO  DR , ANILLO EXI 304 EMPAQUE GRAFITO CLASE 150. 2 PLG (8510200BABA))</x:t>
        </x:is>
      </x:c>
      <x:c r="E340" t="n">
        <x:v>0</x:v>
      </x:c>
    </x:row>
    <x:row r="341">
      <x:c r="A341" t="inlineStr">
        <x:is>
          <x:t xml:space="preserve">EMPSPI001009</x:t>
        </x:is>
      </x:c>
      <x:c r="B341" t="inlineStr">
        <x:is>
          <x:t xml:space="preserve">EMPAQ ESPIROMETALICA TIPO  DR , ANILLO EXI 304 EMPAQUE GRAFITO CLASE 150. 2 1/2 PLG (8510250BABA)</x:t>
        </x:is>
      </x:c>
      <x:c r="E341" t="n">
        <x:v>0</x:v>
      </x:c>
    </x:row>
    <x:row r="342">
      <x:c r="A342" t="inlineStr">
        <x:is>
          <x:t xml:space="preserve">EMPSPI001010</x:t>
        </x:is>
      </x:c>
      <x:c r="B342" t="inlineStr">
        <x:is>
          <x:t xml:space="preserve">EMPAQ ESPIROMETALICA TIPO  DR , ANILLO EXI 304 EMPAQUE GRAFITO CLASE 150. 3 PLG (8510300BABA)</x:t>
        </x:is>
      </x:c>
      <x:c r="E342" t="n">
        <x:v>0</x:v>
      </x:c>
    </x:row>
    <x:row r="343">
      <x:c r="A343" t="inlineStr">
        <x:is>
          <x:t xml:space="preserve">EMPSPI001011</x:t>
        </x:is>
      </x:c>
      <x:c r="B343" t="inlineStr">
        <x:is>
          <x:t xml:space="preserve">EMPAQ ESPIROMETALICA TIPO  DR , ANILLO EXI 304 EMPAQUE GRAFITO CLASE 150. 4 PLG (8510400BABA)</x:t>
        </x:is>
      </x:c>
      <x:c r="E343" t="n">
        <x:v>0</x:v>
      </x:c>
    </x:row>
    <x:row r="344">
      <x:c r="A344" t="inlineStr">
        <x:is>
          <x:t xml:space="preserve">EMPSPI001012</x:t>
        </x:is>
      </x:c>
      <x:c r="B344" t="inlineStr">
        <x:is>
          <x:t xml:space="preserve">EMPAQ ESPIROMETALICA TIPO  DR , ANILLO EXI 304 EMPAQUE GRAFITO CLASE 150. 6 PLG (8510600BABA)</x:t>
        </x:is>
      </x:c>
      <x:c r="E344" t="n">
        <x:v>0</x:v>
      </x:c>
    </x:row>
    <x:row r="345">
      <x:c r="A345" t="inlineStr">
        <x:is>
          <x:t xml:space="preserve">EMPSPI001013</x:t>
        </x:is>
      </x:c>
      <x:c r="B345" t="inlineStr">
        <x:is>
          <x:t xml:space="preserve">EMPAQ ESPIROMETALICA TIPO  DR , ANILLO EXI 304 EMPAQUE GRAFITO CLASE 150. 8PLG (8510800BABA)</x:t>
        </x:is>
      </x:c>
      <x:c r="E345" t="n">
        <x:v>0</x:v>
      </x:c>
    </x:row>
    <x:row r="346">
      <x:c r="A346" t="inlineStr">
        <x:is>
          <x:t xml:space="preserve">EMPSPI001014</x:t>
        </x:is>
      </x:c>
      <x:c r="B346" t="inlineStr">
        <x:is>
          <x:t xml:space="preserve">EMPAQ ESPIROMETALICA TIPO  DR , ANILLO EXI 304 EMPAQUE GRAFITO CLASE 150. 10PLG (8511000BABA)</x:t>
        </x:is>
      </x:c>
      <x:c r="E346" t="n">
        <x:v>0</x:v>
      </x:c>
    </x:row>
    <x:row r="347">
      <x:c r="A347" t="inlineStr">
        <x:is>
          <x:t xml:space="preserve">EMPSPI001015</x:t>
        </x:is>
      </x:c>
      <x:c r="B347" t="inlineStr">
        <x:is>
          <x:t xml:space="preserve">EMPAQ ESPIROMETALICA TIPO  DR , ANILLO EXI 304 EMPAQUE GRAFITO CLASE 150.12 PLG (8511200BABA)</x:t>
        </x:is>
      </x:c>
      <x:c r="E347" t="n">
        <x:v>0</x:v>
      </x:c>
    </x:row>
    <x:row r="348">
      <x:c r="A348" t="inlineStr">
        <x:is>
          <x:t xml:space="preserve">EMPSPI001016</x:t>
        </x:is>
      </x:c>
      <x:c r="B348" t="inlineStr">
        <x:is>
          <x:t xml:space="preserve">EMPAQ ESPIROMETALICA TIPO  DR , ANILLO EXI 304 EMPAQUE GRAFITO CLASE 150. 14PLG (851140BABA)</x:t>
        </x:is>
      </x:c>
      <x:c r="E348" t="n">
        <x:v>0</x:v>
      </x:c>
    </x:row>
    <x:row r="349">
      <x:c r="A349" t="inlineStr">
        <x:is>
          <x:t xml:space="preserve">EMPSPI001017</x:t>
        </x:is>
      </x:c>
      <x:c r="B349" t="inlineStr">
        <x:is>
          <x:t xml:space="preserve">EMPAQ ESPIROMETALICA TIPO  DR , ANILLO EXI 304 EMPAQUE GRAFITO CLASE 150. 14 PLG (8511400BABA)</x:t>
        </x:is>
      </x:c>
      <x:c r="E349" t="n">
        <x:v>0</x:v>
      </x:c>
    </x:row>
    <x:row r="350">
      <x:c r="A350" t="inlineStr">
        <x:is>
          <x:t xml:space="preserve">EMPSPI001018</x:t>
        </x:is>
      </x:c>
      <x:c r="B350" t="inlineStr">
        <x:is>
          <x:t xml:space="preserve">EMPAQ ESPIROMETALICA TIPO  DR , ANILLO EXI 304 EMPAQUE GRAFITO CLASE 150. 18PLG (8511800BABA)</x:t>
        </x:is>
      </x:c>
      <x:c r="E350" t="n">
        <x:v>0</x:v>
      </x:c>
    </x:row>
    <x:row r="351">
      <x:c r="A351" t="inlineStr">
        <x:is>
          <x:t xml:space="preserve">EMPSPI001019</x:t>
        </x:is>
      </x:c>
      <x:c r="B351" t="inlineStr">
        <x:is>
          <x:t xml:space="preserve">EMPAQ ESPIROMETALICA TIPO  DR , ANILLO EXI 304 EMPAQUE GRAFITO CLASE 150. 20PLG (8512000BABA)</x:t>
        </x:is>
      </x:c>
      <x:c r="E351" t="n">
        <x:v>0</x:v>
      </x:c>
    </x:row>
    <x:row r="352">
      <x:c r="A352" t="inlineStr">
        <x:is>
          <x:t xml:space="preserve">EMPSPI001020</x:t>
        </x:is>
      </x:c>
      <x:c r="B352" t="inlineStr">
        <x:is>
          <x:t xml:space="preserve">EMPAQ ESPIROMETALICA TIPO  DR , ANILLO EXI 304 EMPAQUE GRAFITO CLASE 150. 24 PLG (8512400BABA)</x:t>
        </x:is>
      </x:c>
      <x:c r="E352" t="n">
        <x:v>0</x:v>
      </x:c>
    </x:row>
    <x:row r="353">
      <x:c r="A353" t="inlineStr">
        <x:is>
          <x:t xml:space="preserve">EMPSPI001021</x:t>
        </x:is>
      </x:c>
      <x:c r="B353" t="inlineStr">
        <x:is>
          <x:t xml:space="preserve">EMPAQ ESPIROMETALICA TIPO DR , ANILLO EXI 304 EMPAQUE GRAFITO CLASE300/400/600 1/2PLG(8510050BJBA)</x:t>
        </x:is>
      </x:c>
      <x:c r="E353" t="n">
        <x:v>0</x:v>
      </x:c>
    </x:row>
    <x:row r="354">
      <x:c r="A354" t="inlineStr">
        <x:is>
          <x:t xml:space="preserve">EMPSPI001022</x:t>
        </x:is>
      </x:c>
      <x:c r="B354" t="inlineStr">
        <x:is>
          <x:t xml:space="preserve">EMPAQ ESPIROMETALICA TIPO  DR , ANILLO EXI 304 EMPAQUE GRAFITO CLASE300/400/600 3/4PLG (B510075BJBA)</x:t>
        </x:is>
      </x:c>
      <x:c r="E354" t="n">
        <x:v>0</x:v>
      </x:c>
    </x:row>
    <x:row r="355">
      <x:c r="A355" t="inlineStr">
        <x:is>
          <x:t xml:space="preserve">EMPSPI001023</x:t>
        </x:is>
      </x:c>
      <x:c r="B355" t="inlineStr">
        <x:is>
          <x:t xml:space="preserve">EMPAQ ESPIROMETALICA TIPO  DR , ANILLO EXI 304 EMPAQUE GRAFITO CLASE 300/400/600 1PLG (8510100BJBA)</x:t>
        </x:is>
      </x:c>
      <x:c r="E355" t="n">
        <x:v>0</x:v>
      </x:c>
    </x:row>
    <x:row r="356">
      <x:c r="A356" t="inlineStr">
        <x:is>
          <x:t xml:space="preserve">EMPSPI001024</x:t>
        </x:is>
      </x:c>
      <x:c r="B356" t="inlineStr">
        <x:is>
          <x:t xml:space="preserve">EMPAQ ESPIROMETALICA TIPO DR , ANILLO EXI 304EMPAQUE GRAFITO CLASE300/400/600 1 1/4PLG (8510125BJBA)</x:t>
        </x:is>
      </x:c>
      <x:c r="E356" t="n">
        <x:v>0</x:v>
      </x:c>
    </x:row>
    <x:row r="357">
      <x:c r="A357" t="inlineStr">
        <x:is>
          <x:t xml:space="preserve">EMPSPI001025</x:t>
        </x:is>
      </x:c>
      <x:c r="B357" t="inlineStr">
        <x:is>
          <x:t xml:space="preserve">EMPAQ ESPIROMETALICA TIPO  DR ,ANILLO EXI 304 EMPAQUE GRAFITO CLASE300/400/600,1 1/4PLG(8510150BJBA)</x:t>
        </x:is>
      </x:c>
      <x:c r="E357" t="n">
        <x:v>0</x:v>
      </x:c>
    </x:row>
    <x:row r="358">
      <x:c r="A358" t="inlineStr">
        <x:is>
          <x:t xml:space="preserve">EMPSPI001026</x:t>
        </x:is>
      </x:c>
      <x:c r="B358" t="inlineStr">
        <x:is>
          <x:t xml:space="preserve">EMPAQ ESPIROMETALICA TIPO  DR , ANILLO EXI 304 EMPAQUE GRAFITO CLASE300/400/600, 2PLG (8510200BJBA)</x:t>
        </x:is>
      </x:c>
      <x:c r="E358" t="n">
        <x:v>0</x:v>
      </x:c>
    </x:row>
    <x:row r="359">
      <x:c r="A359" t="inlineStr">
        <x:is>
          <x:t xml:space="preserve">EMPSPI001027</x:t>
        </x:is>
      </x:c>
      <x:c r="B359" t="inlineStr">
        <x:is>
          <x:t xml:space="preserve">EMPAQ ESPIROMETALICA TIPO DR, ANILLO EXI 304EMPAQUE GRAFITO CLASE300/400/600, 2 1/2PLG (8510250BJBA)</x:t>
        </x:is>
      </x:c>
      <x:c r="E359" t="n">
        <x:v>0</x:v>
      </x:c>
    </x:row>
    <x:row r="360">
      <x:c r="A360" t="inlineStr">
        <x:is>
          <x:t xml:space="preserve">EMPSPI001028</x:t>
        </x:is>
      </x:c>
      <x:c r="B360" t="inlineStr">
        <x:is>
          <x:t xml:space="preserve">EMPAQ ESPIROMETALICA TIPO  DR , ANILLO EXI 304 EMPAQUE GRAFITO CLASE300/400/600, 3PLG (8510300BJBA)</x:t>
        </x:is>
      </x:c>
      <x:c r="E360" t="n">
        <x:v>0</x:v>
      </x:c>
    </x:row>
    <x:row r="361">
      <x:c r="A361" t="inlineStr">
        <x:is>
          <x:t xml:space="preserve">EMPSPI001029</x:t>
        </x:is>
      </x:c>
      <x:c r="B361" t="inlineStr">
        <x:is>
          <x:t xml:space="preserve">EMPAQ ESPIROMETALICA TIPO  DR , ANILLO EXI 304 EMPAQUE GRAFITO CLASE 300, 4PLG (8510400BBBA)</x:t>
        </x:is>
      </x:c>
      <x:c r="E361" t="n">
        <x:v>0</x:v>
      </x:c>
    </x:row>
    <x:row r="362">
      <x:c r="A362" t="inlineStr">
        <x:is>
          <x:t xml:space="preserve">EMPSPI001030</x:t>
        </x:is>
      </x:c>
      <x:c r="B362" t="inlineStr">
        <x:is>
          <x:t xml:space="preserve">EMPAQ ESPIROMETALICA TIPO  DR , ANILLO EXI 304 EMPAQUE GRAFITO CLASE 300 , 6PLG (8510600BBBA)</x:t>
        </x:is>
      </x:c>
      <x:c r="E362" t="n">
        <x:v>0</x:v>
      </x:c>
    </x:row>
    <x:row r="363">
      <x:c r="A363" t="inlineStr">
        <x:is>
          <x:t xml:space="preserve">EMPSPI001031</x:t>
        </x:is>
      </x:c>
      <x:c r="B363" t="inlineStr">
        <x:is>
          <x:t xml:space="preserve">EMPAQ ESPIROMETALICA TIPO  DR , ANILLO EXI 304 EMPAQUE GRAFITO CLASE 300, 8 PLG (8510800BBBA)</x:t>
        </x:is>
      </x:c>
      <x:c r="E363" t="n">
        <x:v>0</x:v>
      </x:c>
    </x:row>
    <x:row r="364">
      <x:c r="A364" t="inlineStr">
        <x:is>
          <x:t xml:space="preserve">EMPSPI001032</x:t>
        </x:is>
      </x:c>
      <x:c r="B364" t="inlineStr">
        <x:is>
          <x:t xml:space="preserve">EMPAQ ESPIROMETALICA TIPO  DR , ANILLO EXI 304 EMPAQUE GRAFITO CLASE 300, 10 PLG  (8511000BBBA)</x:t>
        </x:is>
      </x:c>
      <x:c r="E364" t="n">
        <x:v>0</x:v>
      </x:c>
    </x:row>
    <x:row r="365">
      <x:c r="A365" t="inlineStr">
        <x:is>
          <x:t xml:space="preserve">EMPSPI001033</x:t>
        </x:is>
      </x:c>
      <x:c r="B365" t="inlineStr">
        <x:is>
          <x:t xml:space="preserve">EMPAQ ESPIROMETALICA TIPO  DR , ANILLO EXI 304 EMPAQUE GRAFITO CLASE 300, 12PLG (8511200BBBA)</x:t>
        </x:is>
      </x:c>
      <x:c r="E365" t="n">
        <x:v>0</x:v>
      </x:c>
    </x:row>
    <x:row r="366">
      <x:c r="A366" t="inlineStr">
        <x:is>
          <x:t xml:space="preserve">EMPSPI001034</x:t>
        </x:is>
      </x:c>
      <x:c r="B366" t="inlineStr">
        <x:is>
          <x:t xml:space="preserve">EMPAQ ESPIROMETALICA TIPO  DR , ANILLO EXI 304 EMPAQUE GRAFITO CLASE 300, 14PLG (8511400BBBA)</x:t>
        </x:is>
      </x:c>
      <x:c r="E366" t="n">
        <x:v>0</x:v>
      </x:c>
    </x:row>
    <x:row r="367">
      <x:c r="A367" t="inlineStr">
        <x:is>
          <x:t xml:space="preserve">EMPSPI001035</x:t>
        </x:is>
      </x:c>
      <x:c r="B367" t="inlineStr">
        <x:is>
          <x:t xml:space="preserve">EMPAQ ESPIROMETALICA TIPO  DR , ANILLO EXI 304 EMPAQUE GRAFITO CLASE 300 ,16 PLG (8511600BBBA)</x:t>
        </x:is>
      </x:c>
      <x:c r="E367" t="n">
        <x:v>0</x:v>
      </x:c>
    </x:row>
    <x:row r="368">
      <x:c r="A368" t="inlineStr">
        <x:is>
          <x:t xml:space="preserve">EMPSPI001036</x:t>
        </x:is>
      </x:c>
      <x:c r="B368" t="inlineStr">
        <x:is>
          <x:t xml:space="preserve">EMPAQ ESPIROMETALICA TIPO  DR , ANILLO EXI 304 EMPAQUE GRAFITO CLASE 300,18PLG (8511800BBBA)</x:t>
        </x:is>
      </x:c>
      <x:c r="E368" t="n">
        <x:v>0</x:v>
      </x:c>
    </x:row>
    <x:row r="369">
      <x:c r="A369" t="inlineStr">
        <x:is>
          <x:t xml:space="preserve">EMPSPI001037</x:t>
        </x:is>
      </x:c>
      <x:c r="B369" t="inlineStr">
        <x:is>
          <x:t xml:space="preserve">EMPAQ ESPIROMETALICA TIPO  DR , ANILLO EXI 304 EMPAQUE GRAFITO CLASE 300 ,20PLG (8512000BBBA)</x:t>
        </x:is>
      </x:c>
      <x:c r="E369" t="n">
        <x:v>0</x:v>
      </x:c>
    </x:row>
    <x:row r="370">
      <x:c r="A370" t="inlineStr">
        <x:is>
          <x:t xml:space="preserve">EMPSPI001038</x:t>
        </x:is>
      </x:c>
      <x:c r="B370" t="inlineStr">
        <x:is>
          <x:t xml:space="preserve">EMPAQ ESPIROMETALICA TIPO  DR , ANILLO EXI 304 EMPAQUE GRAFITO CLASE 300, 24PLG (8512400BBBA)</x:t>
        </x:is>
      </x:c>
      <x:c r="E370" t="n">
        <x:v>0</x:v>
      </x:c>
    </x:row>
    <x:row r="371">
      <x:c r="A371" t="inlineStr">
        <x:is>
          <x:t xml:space="preserve">EMPSPI001039</x:t>
        </x:is>
      </x:c>
      <x:c r="B371" t="inlineStr">
        <x:is>
          <x:t xml:space="preserve">EMPAQ ESPIROMETALICA TIPO  DR , ANILLO EXI 316 EMPAQUE GRAFITO CLASE 150. 1/2PLG (8510050BACA)</x:t>
        </x:is>
      </x:c>
      <x:c r="E371" t="n">
        <x:v>0</x:v>
      </x:c>
    </x:row>
    <x:row r="372">
      <x:c r="A372" t="inlineStr">
        <x:is>
          <x:t xml:space="preserve">EMPSPI001040</x:t>
        </x:is>
      </x:c>
      <x:c r="B372" t="inlineStr">
        <x:is>
          <x:t xml:space="preserve">EMPAQ ESPIROMETALICA TIPO  DR , ANILLO EXI 316 EMPAQUE GRAFITO CLASE 150. 3/4 PLG (8510075BACA)</x:t>
        </x:is>
      </x:c>
      <x:c r="E372" t="n">
        <x:v>0</x:v>
      </x:c>
    </x:row>
    <x:row r="373">
      <x:c r="A373" t="inlineStr">
        <x:is>
          <x:t xml:space="preserve">EMPSPI001041</x:t>
        </x:is>
      </x:c>
      <x:c r="B373" t="inlineStr">
        <x:is>
          <x:t xml:space="preserve">EMPAQ ESPIROMETALICA TIPO  DR , ANILLO EXI 316 EMPAQUE GRAFITO CLASE 150. 1 PLG (8510100BACA)</x:t>
        </x:is>
      </x:c>
      <x:c r="E373" t="n">
        <x:v>2</x:v>
      </x:c>
    </x:row>
    <x:row r="374">
      <x:c r="A374" t="inlineStr">
        <x:is>
          <x:t xml:space="preserve">EMPSPI001042</x:t>
        </x:is>
      </x:c>
      <x:c r="B374" t="inlineStr">
        <x:is>
          <x:t xml:space="preserve">EMPAQ ESPIROMETALICA TIPO  DR , ANILLO EXI 316 EMPAQUE GRAFITO CLASE 150. 1/4PLG (8510125BACA)</x:t>
        </x:is>
      </x:c>
      <x:c r="E374" t="n">
        <x:v>0</x:v>
      </x:c>
    </x:row>
    <x:row r="375">
      <x:c r="A375" t="inlineStr">
        <x:is>
          <x:t xml:space="preserve">EMPSPI001043</x:t>
        </x:is>
      </x:c>
      <x:c r="B375" t="inlineStr">
        <x:is>
          <x:t xml:space="preserve">EMPAQ ESPIROMETALICA TIPO  DR , ANILLO EXI 316 EMPAQUE GRAFITO CLASE 150, 1 1/2 PLG (8510150BACA)</x:t>
        </x:is>
      </x:c>
      <x:c r="E375" t="n">
        <x:v>0</x:v>
      </x:c>
    </x:row>
    <x:row r="376">
      <x:c r="A376" t="inlineStr">
        <x:is>
          <x:t xml:space="preserve">EMPSPI001044</x:t>
        </x:is>
      </x:c>
      <x:c r="B376" t="inlineStr">
        <x:is>
          <x:t xml:space="preserve">EMPAQ ESPIROMETALICA TIPO  DR , ANILLO EXI 316 EMPAQUE GRAFITO CLASE 150,2 PLG (8510200BCA)</x:t>
        </x:is>
      </x:c>
      <x:c r="E376" t="n">
        <x:v>16</x:v>
      </x:c>
    </x:row>
    <x:row r="377">
      <x:c r="A377" t="inlineStr">
        <x:is>
          <x:t xml:space="preserve">EMPSPI001045</x:t>
        </x:is>
      </x:c>
      <x:c r="B377" t="inlineStr">
        <x:is>
          <x:t xml:space="preserve">EMPAQ ESPIROMETALICA TIPO  DR , ANILLO EXI 316 EMPAQUE GRAFITO CLASE 150, 2 1/2 PLG (8510250BACA)</x:t>
        </x:is>
      </x:c>
      <x:c r="E377" t="n">
        <x:v>0</x:v>
      </x:c>
    </x:row>
    <x:row r="378">
      <x:c r="A378" t="inlineStr">
        <x:is>
          <x:t xml:space="preserve">EMPSPI001046</x:t>
        </x:is>
      </x:c>
      <x:c r="B378" t="inlineStr">
        <x:is>
          <x:t xml:space="preserve">EMPAQ ESPIROMETALICA TIPO  DR , ANILLO EXI 316 EMPAQUE GRAFITO CLASE 150, 3 PLG (8510300BACA)</x:t>
        </x:is>
      </x:c>
      <x:c r="E378" t="n">
        <x:v>0</x:v>
      </x:c>
    </x:row>
    <x:row r="379">
      <x:c r="A379" t="inlineStr">
        <x:is>
          <x:t xml:space="preserve">EMPSPI001047</x:t>
        </x:is>
      </x:c>
      <x:c r="B379" t="inlineStr">
        <x:is>
          <x:t xml:space="preserve">EMPAQ ESPIROMETALICA TIPO  DR , ANILLO EXI 316 EMPAQUE GRAFITO CLASE 150. 4 PLG (8510400BACA)</x:t>
        </x:is>
      </x:c>
      <x:c r="E379" t="n">
        <x:v>0</x:v>
      </x:c>
    </x:row>
    <x:row r="380">
      <x:c r="A380" t="inlineStr">
        <x:is>
          <x:t xml:space="preserve">EMPSPI001048</x:t>
        </x:is>
      </x:c>
      <x:c r="B380" t="inlineStr">
        <x:is>
          <x:t xml:space="preserve">EMPAQ ESPIROMETALICA TIPO  DR , ANILLO EXI 316 EMPAQUE GRAFITO CLASE 150, 6PLG (8510600BACA)</x:t>
        </x:is>
      </x:c>
      <x:c r="E380" t="n">
        <x:v>0</x:v>
      </x:c>
    </x:row>
    <x:row r="381">
      <x:c r="A381" t="inlineStr">
        <x:is>
          <x:t xml:space="preserve">EMPSPI001049</x:t>
        </x:is>
      </x:c>
      <x:c r="B381" t="inlineStr">
        <x:is>
          <x:t xml:space="preserve">EMPAQ ESPIROMETALICA TIPO  DR , ANILLO EXI 316 EMPAQUE GRAFITO CLASE 150. 8PLG (8510800BACA)</x:t>
        </x:is>
      </x:c>
      <x:c r="E381" t="n">
        <x:v>0</x:v>
      </x:c>
    </x:row>
    <x:row r="382">
      <x:c r="A382" t="inlineStr">
        <x:is>
          <x:t xml:space="preserve">EMPSPI001050</x:t>
        </x:is>
      </x:c>
      <x:c r="B382" t="inlineStr">
        <x:is>
          <x:t xml:space="preserve">EMPAQ ESPIROMETALICA TIPO  DR , ANILLO EXI 316 EMPAQUE GRAFITO CLASE 150. 10PLG (851100BACA)</x:t>
        </x:is>
      </x:c>
      <x:c r="E382" t="n">
        <x:v>0</x:v>
      </x:c>
    </x:row>
    <x:row r="383">
      <x:c r="A383" t="inlineStr">
        <x:is>
          <x:t xml:space="preserve">EMPSPI001051</x:t>
        </x:is>
      </x:c>
      <x:c r="B383" t="inlineStr">
        <x:is>
          <x:t xml:space="preserve">EMPAQ ESPIROMETALICA TIPO  DR , ANILLO EXI 316 EMPAQUE GRAFITO CLASE 150. 12 PLG (8511200BACA)</x:t>
        </x:is>
      </x:c>
      <x:c r="E383" t="n">
        <x:v>0</x:v>
      </x:c>
    </x:row>
    <x:row r="384">
      <x:c r="A384" t="inlineStr">
        <x:is>
          <x:t xml:space="preserve">EMPSPI001052</x:t>
        </x:is>
      </x:c>
      <x:c r="B384" t="inlineStr">
        <x:is>
          <x:t xml:space="preserve">EMPAQ ESPIROMETALICA TIPO  DR , ANILLO EXI 316 EMPAQUE GRAFITO CLASE 150, 16PLG (8511600BACA)</x:t>
        </x:is>
      </x:c>
      <x:c r="E384" t="n">
        <x:v>0</x:v>
      </x:c>
    </x:row>
    <x:row r="385">
      <x:c r="A385" t="inlineStr">
        <x:is>
          <x:t xml:space="preserve">EMPSPI001053</x:t>
        </x:is>
      </x:c>
      <x:c r="B385" t="inlineStr">
        <x:is>
          <x:t xml:space="preserve">EMPAQ ESPIROMETALICA TIPO  DR , ANILLO EXI 316 EMPAQUE GRAFITO CLASE 300/400/600 1/2PLG(8510050BJCA)</x:t>
        </x:is>
      </x:c>
      <x:c r="E385" t="n">
        <x:v>0</x:v>
      </x:c>
    </x:row>
    <x:row r="386">
      <x:c r="A386" t="inlineStr">
        <x:is>
          <x:t xml:space="preserve">EMPSPI001054</x:t>
        </x:is>
      </x:c>
      <x:c r="B386" t="inlineStr">
        <x:is>
          <x:t xml:space="preserve">EMPAQ ESPIROMETALICA TIPO DR , ANILLO EXI 316 EMPAQUE GRAFITO CLASE 300/400/600 3/4PLG (8510075BJCA)</x:t>
        </x:is>
      </x:c>
      <x:c r="E386" t="n">
        <x:v>0</x:v>
      </x:c>
    </x:row>
    <x:row r="387">
      <x:c r="A387" t="inlineStr">
        <x:is>
          <x:t xml:space="preserve">EMPSPI001055</x:t>
        </x:is>
      </x:c>
      <x:c r="B387" t="inlineStr">
        <x:is>
          <x:t xml:space="preserve">EMPAQ ESPIROMETALICA TIPO  DR , ANILLO EXI 316 EMPAQUE GRAFITO CLASE300/400/600 1PLG (8510100BJBA)</x:t>
        </x:is>
      </x:c>
      <x:c r="E387" t="n">
        <x:v>0</x:v>
      </x:c>
    </x:row>
    <x:row r="388">
      <x:c r="A388" t="inlineStr">
        <x:is>
          <x:t xml:space="preserve">EMPSPI001056</x:t>
        </x:is>
      </x:c>
      <x:c r="B388" t="inlineStr">
        <x:is>
          <x:t xml:space="preserve">EMPAQ ESPIROMETALICA TIPO DR ,ANILLO EXI 316EMPAQUE GRAFITO CLASE300/400/600,1 1/4 PLG (8510150BABA)</x:t>
        </x:is>
      </x:c>
      <x:c r="E388" t="n">
        <x:v>0</x:v>
      </x:c>
    </x:row>
    <x:row r="389">
      <x:c r="A389" t="inlineStr">
        <x:is>
          <x:t xml:space="preserve">EMPSPI001057</x:t>
        </x:is>
      </x:c>
      <x:c r="B389" t="inlineStr">
        <x:is>
          <x:t xml:space="preserve">EMPAQ ESPIROMETALICA TIPO DR ,ANILLO EXI 316EMPAQUE GRAFITO CLASE300/400/600 1 1/2 PLG (851050BJBA)</x:t>
        </x:is>
      </x:c>
      <x:c r="E389" t="n">
        <x:v>0</x:v>
      </x:c>
    </x:row>
    <x:row r="390">
      <x:c r="A390" t="inlineStr">
        <x:is>
          <x:t xml:space="preserve">EMPSPI001058</x:t>
        </x:is>
      </x:c>
      <x:c r="B390" t="inlineStr">
        <x:is>
          <x:t xml:space="preserve">EMPAQ ESPIROMETALICA TIPO DR ,ANILLO EXI 316EMPAQUE GRAFITO CLASE300/400/600 2 PLG (8510200BJCA)</x:t>
        </x:is>
      </x:c>
      <x:c r="E390" t="n">
        <x:v>0</x:v>
      </x:c>
    </x:row>
    <x:row r="391">
      <x:c r="A391" t="inlineStr">
        <x:is>
          <x:t xml:space="preserve">EMPSPI001059</x:t>
        </x:is>
      </x:c>
      <x:c r="B391" t="inlineStr">
        <x:is>
          <x:t xml:space="preserve">EMPAQ ESPIROMETALICA TIPO DR,ANILLO EXI 316EMPAQUE GRAFITO CLASE300/400/600 2 1/2(851025BJCA)</x:t>
        </x:is>
      </x:c>
      <x:c r="E391" t="n">
        <x:v>0</x:v>
      </x:c>
    </x:row>
    <x:row r="392">
      <x:c r="A392" t="inlineStr">
        <x:is>
          <x:t xml:space="preserve">EMPSPI001060</x:t>
        </x:is>
      </x:c>
      <x:c r="B392" t="inlineStr">
        <x:is>
          <x:t xml:space="preserve">EMPAQ ESPIROMETALICA TIPO DR , ANILLO EXI 316 EMPAQUE GRAFITO CLASE 300/400/600  3 PLG (8510300BJCA)</x:t>
        </x:is>
      </x:c>
      <x:c r="E392" t="n">
        <x:v>3</x:v>
      </x:c>
    </x:row>
    <x:row r="393">
      <x:c r="A393" t="inlineStr">
        <x:is>
          <x:t xml:space="preserve">EMPSPI001061</x:t>
        </x:is>
      </x:c>
      <x:c r="B393" t="inlineStr">
        <x:is>
          <x:t xml:space="preserve">EMPAQ ESPIROMETALICA TIPO  DR , ANILLO EXI 316 EMPAQUE GRAFITO CLASE 300, 4PLG (8510400BBCA)</x:t>
        </x:is>
      </x:c>
      <x:c r="E393" t="n">
        <x:v>0</x:v>
      </x:c>
    </x:row>
    <x:row r="394">
      <x:c r="A394" t="inlineStr">
        <x:is>
          <x:t xml:space="preserve">EMPSPI001062</x:t>
        </x:is>
      </x:c>
      <x:c r="B394" t="inlineStr">
        <x:is>
          <x:t xml:space="preserve">EMPAQ ESPIROMETALICA TIPO  DR , ANILLO EXI 316 EMPAQUE GRAFITO CLASE 300. 6 PLG (8510600BBCA)</x:t>
        </x:is>
      </x:c>
      <x:c r="E394" t="n">
        <x:v>0</x:v>
      </x:c>
    </x:row>
    <x:row r="395">
      <x:c r="A395" t="inlineStr">
        <x:is>
          <x:t xml:space="preserve">EMPSPI001063</x:t>
        </x:is>
      </x:c>
      <x:c r="B395" t="inlineStr">
        <x:is>
          <x:t xml:space="preserve">EMPAQ ESPIROMETALICA TIPO  DR , ANILLO EXI 316 EMPAQUE GRAFITO CLASE 300,  8 PLG (8510800BBCA)</x:t>
        </x:is>
      </x:c>
      <x:c r="E395" t="n">
        <x:v>0</x:v>
      </x:c>
    </x:row>
    <x:row r="396">
      <x:c r="A396" t="inlineStr">
        <x:is>
          <x:t xml:space="preserve">EMPSPI001064</x:t>
        </x:is>
      </x:c>
      <x:c r="B396" t="inlineStr">
        <x:is>
          <x:t xml:space="preserve">EMPAQ ESPIROMETALICA TIPO  DR , ANILLO EXI 316 EMPAQUE GRAFITO CLASE 300. 10PLG (8511000BBCA)</x:t>
        </x:is>
      </x:c>
      <x:c r="E396" t="n">
        <x:v>0</x:v>
      </x:c>
    </x:row>
    <x:row r="397">
      <x:c r="A397" t="inlineStr">
        <x:is>
          <x:t xml:space="preserve">EMPSPI001065</x:t>
        </x:is>
      </x:c>
      <x:c r="B397" t="inlineStr">
        <x:is>
          <x:t xml:space="preserve">EMPAQ ESPIROMETALICA TIPO  DR , ANILLO EXI 316 EMPAQUE GRAFITO CLASE 300, 12PLG (8511200BBCA)</x:t>
        </x:is>
      </x:c>
      <x:c r="E397" t="n">
        <x:v>0</x:v>
      </x:c>
    </x:row>
    <x:row r="398">
      <x:c r="A398" t="inlineStr">
        <x:is>
          <x:t xml:space="preserve">EMPSPI001066</x:t>
        </x:is>
      </x:c>
      <x:c r="B398" t="inlineStr">
        <x:is>
          <x:t xml:space="preserve">EMPAQ ESPIROMETALICA TIPO  DR , ANILLO EXI 316 EMPAQUE GRAFITO CLASE 300, 16PLG (8511600BBCA)</x:t>
        </x:is>
      </x:c>
      <x:c r="E398" t="n">
        <x:v>0</x:v>
      </x:c>
    </x:row>
    <x:row r="399">
      <x:c r="A399" t="inlineStr">
        <x:is>
          <x:t xml:space="preserve">EMPSPI001067</x:t>
        </x:is>
      </x:c>
      <x:c r="B399" t="inlineStr">
        <x:is>
          <x:t xml:space="preserve">EMPAQ ESPIROMETALICA TIPO DRI ,ANILLO EXT304 EMPAQ GRAFIT,ANILL INT304 CLAS150 1/2PLG (8610050BABBA)</x:t>
        </x:is>
      </x:c>
      <x:c r="E399" t="n">
        <x:v>0</x:v>
      </x:c>
    </x:row>
    <x:row r="400">
      <x:c r="A400" t="inlineStr">
        <x:is>
          <x:t xml:space="preserve">EMPSPI001068</x:t>
        </x:is>
      </x:c>
      <x:c r="B400" t="inlineStr">
        <x:is>
          <x:t xml:space="preserve">EMPAQ ESPIROMETALICA TIPO DRI, ANILL EXT304 EMPAQ GRAFIT, ANILL INT304 CLAS150 3/4PLG (8610075BABB)</x:t>
        </x:is>
      </x:c>
      <x:c r="E400" t="n">
        <x:v>0</x:v>
      </x:c>
    </x:row>
    <x:row r="401">
      <x:c r="A401" t="inlineStr">
        <x:is>
          <x:t xml:space="preserve">EMPSPI001069</x:t>
        </x:is>
      </x:c>
      <x:c r="B401" t="inlineStr">
        <x:is>
          <x:t xml:space="preserve">EMPAQ ESPIROMETALICA TIPO DRI, ANILL EXT304 EMPAQUE GRAFIT, ANILL INT304 CLAS150 1 PLG (8610100BABB)</x:t>
        </x:is>
      </x:c>
      <x:c r="E401" t="n">
        <x:v>0</x:v>
      </x:c>
    </x:row>
    <x:row r="402">
      <x:c r="A402" t="inlineStr">
        <x:is>
          <x:t xml:space="preserve">EMPSPI001070</x:t>
        </x:is>
      </x:c>
      <x:c r="B402" t="inlineStr">
        <x:is>
          <x:t xml:space="preserve">EMPAQ ESPIROMETALICA TIPO DRI,ANILL EXIT304, EMPAQ GRAF, ANILL INT304 CLA150 1 1/4PLG(8610125BABB)</x:t>
        </x:is>
      </x:c>
      <x:c r="E402" t="n">
        <x:v>0</x:v>
      </x:c>
    </x:row>
    <x:row r="403">
      <x:c r="A403" t="inlineStr">
        <x:is>
          <x:t xml:space="preserve">EMPSPI001071</x:t>
        </x:is>
      </x:c>
      <x:c r="B403" t="inlineStr">
        <x:is>
          <x:t xml:space="preserve">EMPAQ ESPIROMETALICA TIPO DRI, ANILL  EXIT304 EMPAQ GRAF, ANILL INT304 CL150 1 1/2PLG(861D150BABB))</x:t>
        </x:is>
      </x:c>
      <x:c r="E403" t="n">
        <x:v>0</x:v>
      </x:c>
    </x:row>
    <x:row r="404">
      <x:c r="A404" t="inlineStr">
        <x:is>
          <x:t xml:space="preserve">EMPSPI001072</x:t>
        </x:is>
      </x:c>
      <x:c r="B404" t="inlineStr">
        <x:is>
          <x:t xml:space="preserve">EMPAQ ESPIROMETALICA TIPO  DRI , ANILL EXIT304 EMPAQ GRAFIT ANILL INT304 CLAS150  2PLG (8610200BABB)</x:t>
        </x:is>
      </x:c>
      <x:c r="E404" t="n">
        <x:v>0</x:v>
      </x:c>
    </x:row>
    <x:row r="405">
      <x:c r="A405" t="inlineStr">
        <x:is>
          <x:t xml:space="preserve">EMPSPI001073</x:t>
        </x:is>
      </x:c>
      <x:c r="B405" t="inlineStr">
        <x:is>
          <x:t xml:space="preserve">EMPAQ ESPIROMETALICA TIPO DRI, ANILL EXIT304 EMPAQ GRAF ANILL INT304 CLAS150 2 1/2PLG (8610250BABB)</x:t>
        </x:is>
      </x:c>
      <x:c r="E405" t="n">
        <x:v>0</x:v>
      </x:c>
    </x:row>
    <x:row r="406">
      <x:c r="A406" t="inlineStr">
        <x:is>
          <x:t xml:space="preserve">EMPSPI001074</x:t>
        </x:is>
      </x:c>
      <x:c r="B406" t="inlineStr">
        <x:is>
          <x:t xml:space="preserve">EMPAQ ESPIROMETALICA TIPO  DRI, ANILL EXT304 EMPAQ GRAF ANILL INT304 CLAS150  3PLG (B610300BABB)</x:t>
        </x:is>
      </x:c>
      <x:c r="E406" t="n">
        <x:v>0</x:v>
      </x:c>
    </x:row>
    <x:row r="407">
      <x:c r="A407" t="inlineStr">
        <x:is>
          <x:t xml:space="preserve">EMPSPI001075</x:t>
        </x:is>
      </x:c>
      <x:c r="B407" t="inlineStr">
        <x:is>
          <x:t xml:space="preserve">EMPAQ ESPIROMETALICA TIPO  DRI , ANILL EXI 304 EMPAQ GRAF ,ANILL INT304 CLAS150 4PLG (8610400BABB)</x:t>
        </x:is>
      </x:c>
      <x:c r="E407" t="n">
        <x:v>0</x:v>
      </x:c>
    </x:row>
    <x:row r="408">
      <x:c r="A408" t="inlineStr">
        <x:is>
          <x:t xml:space="preserve">EMPSPI001076</x:t>
        </x:is>
      </x:c>
      <x:c r="B408" t="inlineStr">
        <x:is>
          <x:t xml:space="preserve">EMPAQ ESPIROMETALICA TIPO  DRI , ANILL EXI304 EMPAQ GRAF,ANILL INT150 ,6PLG (8610600BABB)</x:t>
        </x:is>
      </x:c>
      <x:c r="E408" t="n">
        <x:v>0</x:v>
      </x:c>
    </x:row>
    <x:row r="409">
      <x:c r="A409" t="inlineStr">
        <x:is>
          <x:t xml:space="preserve">EMPSPI001077</x:t>
        </x:is>
      </x:c>
      <x:c r="B409" t="inlineStr">
        <x:is>
          <x:t xml:space="preserve">EMPAQ ESPIROMETALICA TIPO  DRI, ANILL EXI304 EMPAQ GRAF ANILL INT304 CLAS150, 8PLG(8610800BABB)</x:t>
        </x:is>
      </x:c>
      <x:c r="E409" t="n">
        <x:v>0</x:v>
      </x:c>
    </x:row>
    <x:row r="410">
      <x:c r="A410" t="inlineStr">
        <x:is>
          <x:t xml:space="preserve">EMPSPI001078</x:t>
        </x:is>
      </x:c>
      <x:c r="B410" t="inlineStr">
        <x:is>
          <x:t xml:space="preserve">EMPAQ ESPIROMETALICA TIPO  DRI, ANILL EXI304 EMPAQ GRAF ANILL INT304 CLAS150, 10PLG(8611000BABB)</x:t>
        </x:is>
      </x:c>
      <x:c r="E410" t="n">
        <x:v>0</x:v>
      </x:c>
    </x:row>
    <x:row r="411">
      <x:c r="A411" t="inlineStr">
        <x:is>
          <x:t xml:space="preserve">EMPSPI001079</x:t>
        </x:is>
      </x:c>
      <x:c r="B411" t="inlineStr">
        <x:is>
          <x:t xml:space="preserve">EMPAQ ESPIROMETALICA TIPO  DRI, ANILL EXI304 EMPAQ GRAF ANILL INT304 CLAS150, 12PLG(8611200BABB)</x:t>
        </x:is>
      </x:c>
      <x:c r="E411" t="n">
        <x:v>0</x:v>
      </x:c>
    </x:row>
    <x:row r="412">
      <x:c r="A412" t="inlineStr">
        <x:is>
          <x:t xml:space="preserve">EMPSPI001080</x:t>
        </x:is>
      </x:c>
      <x:c r="B412" t="inlineStr">
        <x:is>
          <x:t xml:space="preserve">EMPAQ ESPIROMETALICA TIPO  DRI, ANILL EXI304 EMPAQ GRAF ANILL INT304 CLAS3/4/600,1/2PLG(8610050BJBB)</x:t>
        </x:is>
      </x:c>
      <x:c r="E412" t="n">
        <x:v>0</x:v>
      </x:c>
    </x:row>
    <x:row r="413">
      <x:c r="A413" t="inlineStr">
        <x:is>
          <x:t xml:space="preserve">EMPSPI001081</x:t>
        </x:is>
      </x:c>
      <x:c r="B413" t="inlineStr">
        <x:is>
          <x:t xml:space="preserve">EMPAQ ESPIROMETALICA TIPO DRI, ANILL EXI304 EMPAQ GRAF ANILL INT304 CLAS3/4/600, 3/4PLG(8610075BJBB)</x:t>
        </x:is>
      </x:c>
      <x:c r="E413" t="n">
        <x:v>0</x:v>
      </x:c>
    </x:row>
    <x:row r="414">
      <x:c r="A414" t="inlineStr">
        <x:is>
          <x:t xml:space="preserve">EMPSPI001082</x:t>
        </x:is>
      </x:c>
      <x:c r="B414" t="inlineStr">
        <x:is>
          <x:t xml:space="preserve">EMPAQ ESPIROMETALICA TIPO  DRI, ANILL EXI304 EMPAQ GRAF ANILL INT304 CLAS3/4/600, 1PLG(860100BJBB)</x:t>
        </x:is>
      </x:c>
      <x:c r="E414" t="n">
        <x:v>0</x:v>
      </x:c>
    </x:row>
    <x:row r="415">
      <x:c r="A415" t="inlineStr">
        <x:is>
          <x:t xml:space="preserve">EMPSPI001083</x:t>
        </x:is>
      </x:c>
      <x:c r="B415" t="inlineStr">
        <x:is>
          <x:t xml:space="preserve">EMPAQ ESPIROMETALICA TIPO DRI, ANILL EXI304 EMPAQ GRAF ANILL INT304 CLA3/4/600,1 1/4PLG(8610125BJBB)</x:t>
        </x:is>
      </x:c>
      <x:c r="E415" t="n">
        <x:v>0</x:v>
      </x:c>
    </x:row>
    <x:row r="416">
      <x:c r="A416" t="inlineStr">
        <x:is>
          <x:t xml:space="preserve">EMPSPI001084</x:t>
        </x:is>
      </x:c>
      <x:c r="B416" t="inlineStr">
        <x:is>
          <x:t xml:space="preserve">EMPAQ ESPIROMETALICA TIPO DRI, ANILL EXI304 EMPAQ GRAF ANILL INT304 CLA3/4/600,1 1/4PLG(8610150BJBB)</x:t>
        </x:is>
      </x:c>
      <x:c r="E416" t="n">
        <x:v>0</x:v>
      </x:c>
    </x:row>
    <x:row r="417">
      <x:c r="A417" t="inlineStr">
        <x:is>
          <x:t xml:space="preserve">EMPSPI001085</x:t>
        </x:is>
      </x:c>
      <x:c r="B417" t="inlineStr">
        <x:is>
          <x:t xml:space="preserve">EMPAQ ESPIROMETALICA TIPO  DRI, ANILL EXI304 EMPAQ GRAF ANILL INT304 CLAS3/4/600, 2PLG(8610200BJBB)</x:t>
        </x:is>
      </x:c>
      <x:c r="E417" t="n">
        <x:v>0</x:v>
      </x:c>
    </x:row>
    <x:row r="418">
      <x:c r="A418" t="inlineStr">
        <x:is>
          <x:t xml:space="preserve">EMPSPI001086</x:t>
        </x:is>
      </x:c>
      <x:c r="B418" t="inlineStr">
        <x:is>
          <x:t xml:space="preserve">EMPAQ ESPIROMETALICA TIPO DRI, ANILL EXI304 EMPAQ GRAF ANILL INT304 CLA3/4/600,2 1/2PLG(861025BJBB)</x:t>
        </x:is>
      </x:c>
      <x:c r="E418" t="n">
        <x:v>0</x:v>
      </x:c>
    </x:row>
    <x:row r="419">
      <x:c r="A419" t="inlineStr">
        <x:is>
          <x:t xml:space="preserve">EMPSPI001087</x:t>
        </x:is>
      </x:c>
      <x:c r="B419" t="inlineStr">
        <x:is>
          <x:t xml:space="preserve">EMPAQ ESPIROMETALICA TIPO  DRI, ANILL EXI304 EMPAQ GRAF ANILL INT304 CLA3/4/600, 3PLG(8610300BJBB)</x:t>
        </x:is>
      </x:c>
      <x:c r="E419" t="n">
        <x:v>0</x:v>
      </x:c>
    </x:row>
    <x:row r="420">
      <x:c r="A420" t="inlineStr">
        <x:is>
          <x:t xml:space="preserve">EMPSPI001088</x:t>
        </x:is>
      </x:c>
      <x:c r="B420" t="inlineStr">
        <x:is>
          <x:t xml:space="preserve">EMPAQ ESPIROMETALICA TIPO  DR I, ANILL EXI304 EMPAQ GRAF ANILL INT304 CLAS300, 4PLG(8610400BBBB)</x:t>
        </x:is>
      </x:c>
      <x:c r="E420" t="n">
        <x:v>0</x:v>
      </x:c>
    </x:row>
    <x:row r="421">
      <x:c r="A421" t="inlineStr">
        <x:is>
          <x:t xml:space="preserve">EMPSPI001089</x:t>
        </x:is>
      </x:c>
      <x:c r="B421" t="inlineStr">
        <x:is>
          <x:t xml:space="preserve">EMPAQ ESPIROMETALICA TIPO  DRI, ANILL EXI304 EMPAQ GRAF ANILL INT304 CLAS300, 6PLG(8610600BBBB)</x:t>
        </x:is>
      </x:c>
      <x:c r="E421" t="n">
        <x:v>0</x:v>
      </x:c>
    </x:row>
    <x:row r="422">
      <x:c r="A422" t="inlineStr">
        <x:is>
          <x:t xml:space="preserve">EMPSPI001090</x:t>
        </x:is>
      </x:c>
      <x:c r="B422" t="inlineStr">
        <x:is>
          <x:t xml:space="preserve">EMPAQ ESPIROMETALICA TIPO  DRI, ANILL EXI304 EMPAQ GRAF ANILL INT304 CLAS300, 8PLG(8610800BBBB)</x:t>
        </x:is>
      </x:c>
      <x:c r="E422" t="n">
        <x:v>0</x:v>
      </x:c>
    </x:row>
    <x:row r="423">
      <x:c r="A423" t="inlineStr">
        <x:is>
          <x:t xml:space="preserve">EMPSPI001091</x:t>
        </x:is>
      </x:c>
      <x:c r="B423" t="inlineStr">
        <x:is>
          <x:t xml:space="preserve">EMPAQ ESPIROMETALICA TIPO  DRI, ANILL EXI304 EMPAQ GRAF ANILL INT304 CLAS300, 10PLG(8611000BBBB)</x:t>
        </x:is>
      </x:c>
      <x:c r="E423" t="n">
        <x:v>0</x:v>
      </x:c>
    </x:row>
    <x:row r="424">
      <x:c r="A424" t="inlineStr">
        <x:is>
          <x:t xml:space="preserve">EMPSPI001092</x:t>
        </x:is>
      </x:c>
      <x:c r="B424" t="inlineStr">
        <x:is>
          <x:t xml:space="preserve">EMPAQ ESPIROMETALICA TIPO  DRI, ANILL EXI304 EMPAQ GRAF ANILL INT304 CLAS300, 12PLG(8611200BBBB)</x:t>
        </x:is>
      </x:c>
      <x:c r="E424" t="n">
        <x:v>0</x:v>
      </x:c>
    </x:row>
    <x:row r="425">
      <x:c r="A425" t="inlineStr">
        <x:is>
          <x:t xml:space="preserve">EMPSPI001093</x:t>
        </x:is>
      </x:c>
      <x:c r="B425" t="inlineStr">
        <x:is>
          <x:t xml:space="preserve">EMPAQ ESPIROMETALICA TIPO  DRI, ANILL EXI304 EMPAQ GRAF ANILL INT304 CLAS300, 16PLG(8611600BBBB)</x:t>
        </x:is>
      </x:c>
      <x:c r="E425" t="n">
        <x:v>0</x:v>
      </x:c>
    </x:row>
    <x:row r="426">
      <x:c r="A426" t="inlineStr">
        <x:is>
          <x:t xml:space="preserve">EMPSPI001094</x:t>
        </x:is>
      </x:c>
      <x:c r="B426" t="inlineStr">
        <x:is>
          <x:t xml:space="preserve">EMPAQ ESPIROMETALICA TIPO  DRI, ANILL EXI316 EMPAQ GRAF ANILL INT316 CLAS150, 1/2PLG(8610050BACC)</x:t>
        </x:is>
      </x:c>
      <x:c r="E426" t="n">
        <x:v>0</x:v>
      </x:c>
    </x:row>
    <x:row r="427">
      <x:c r="A427" t="inlineStr">
        <x:is>
          <x:t xml:space="preserve">EMPSPI001095</x:t>
        </x:is>
      </x:c>
      <x:c r="B427" t="inlineStr">
        <x:is>
          <x:t xml:space="preserve">EMPAQ ESPIROMETALICA TIPO  DRI, ANILL EXI316 EMPAQ GRAF ANILL INT316 CLAS150, 3/4PLG(8610075BACC)</x:t>
        </x:is>
      </x:c>
      <x:c r="E427" t="n">
        <x:v>0</x:v>
      </x:c>
    </x:row>
    <x:row r="428">
      <x:c r="A428" t="inlineStr">
        <x:is>
          <x:t xml:space="preserve">EMPSPI001096</x:t>
        </x:is>
      </x:c>
      <x:c r="B428" t="inlineStr">
        <x:is>
          <x:t xml:space="preserve">EMPAQ ESPIROMETALICA TIPO  DRI, ANILL EXI316 EMPAQ GRAF ANILL INT316 CLAS150, 1PLG(8610100BACC)</x:t>
        </x:is>
      </x:c>
      <x:c r="E428" t="n">
        <x:v>0</x:v>
      </x:c>
    </x:row>
    <x:row r="429">
      <x:c r="A429" t="inlineStr">
        <x:is>
          <x:t xml:space="preserve">EMPSPI001097</x:t>
        </x:is>
      </x:c>
      <x:c r="B429" t="inlineStr">
        <x:is>
          <x:t xml:space="preserve">EMPAQ ESPIROMETALICA TIPO  DRI, ANILL EXI316 EMPAQ GRAF ANILL INT316 CLAS150, 1 1/4PLG(8610125BACC)</x:t>
        </x:is>
      </x:c>
      <x:c r="E429" t="n">
        <x:v>0</x:v>
      </x:c>
    </x:row>
    <x:row r="430">
      <x:c r="A430" t="inlineStr">
        <x:is>
          <x:t xml:space="preserve">EMPSPI001098</x:t>
        </x:is>
      </x:c>
      <x:c r="B430" t="inlineStr">
        <x:is>
          <x:t xml:space="preserve">EMPAQ ESPIROMETALICA TIPO  DRI, ANILL EXI316 EMPAQ GRAF ANILL INT316 CLAS150, 1 1/2PLG(8610150BACC)</x:t>
        </x:is>
      </x:c>
      <x:c r="E430" t="n">
        <x:v>0</x:v>
      </x:c>
    </x:row>
    <x:row r="431">
      <x:c r="A431" t="inlineStr">
        <x:is>
          <x:t xml:space="preserve">EMPSPI001099</x:t>
        </x:is>
      </x:c>
      <x:c r="B431" t="inlineStr">
        <x:is>
          <x:t xml:space="preserve">EMPAQ ESPIROMETALICA TIPO  DRI, ANILL EXI316 EMPAQ GRAF ANILL INT316 CLAS150, 2PLG(8610200BACC)</x:t>
        </x:is>
      </x:c>
      <x:c r="E431" t="n">
        <x:v>0</x:v>
      </x:c>
    </x:row>
    <x:row r="432">
      <x:c r="A432" t="inlineStr">
        <x:is>
          <x:t xml:space="preserve">EMPSPI001100</x:t>
        </x:is>
      </x:c>
      <x:c r="B432" t="inlineStr">
        <x:is>
          <x:t xml:space="preserve">EMPAQ ESPIROMETALICA TIPO  DRI, ANILL EXI316 EMPAQ GRAF ANILL INT316 CLAS150, 2 1/2PLG(8610250BACC)</x:t>
        </x:is>
      </x:c>
      <x:c r="E432" t="n">
        <x:v>0</x:v>
      </x:c>
    </x:row>
    <x:row r="433">
      <x:c r="A433" t="inlineStr">
        <x:is>
          <x:t xml:space="preserve">EMPSPI001101</x:t>
        </x:is>
      </x:c>
      <x:c r="B433" t="inlineStr">
        <x:is>
          <x:t xml:space="preserve">EMPAQ ESPIROMETALICA TIPO  DRI, ANILL EXI316 EMPAQ GRAF ANILL INT316 CLAS150, (8610300BACC)</x:t>
        </x:is>
      </x:c>
      <x:c r="E433" t="n">
        <x:v>0</x:v>
      </x:c>
    </x:row>
    <x:row r="434">
      <x:c r="A434" t="inlineStr">
        <x:is>
          <x:t xml:space="preserve">EMPSPI001102</x:t>
        </x:is>
      </x:c>
      <x:c r="B434" t="inlineStr">
        <x:is>
          <x:t xml:space="preserve">EMPAQ ESPIROMETALICA TIPO  DRI, ANILL EXI316 EMPAQ GRAF ANILL INT316 CLAS150, 4PLG(8610400BACC)</x:t>
        </x:is>
      </x:c>
      <x:c r="E434" t="n">
        <x:v>0</x:v>
      </x:c>
    </x:row>
    <x:row r="435">
      <x:c r="A435" t="inlineStr">
        <x:is>
          <x:t xml:space="preserve">EMPSPI001103</x:t>
        </x:is>
      </x:c>
      <x:c r="B435" t="inlineStr">
        <x:is>
          <x:t xml:space="preserve">EMPAQ ESPIROMETALICA TIPO  DRI, ANILL EXI316 EMPAQ GRAF ANILL INT316 CLAS150, 6PLG(8610600BACC)</x:t>
        </x:is>
      </x:c>
      <x:c r="E435" t="n">
        <x:v>0</x:v>
      </x:c>
    </x:row>
    <x:row r="436">
      <x:c r="A436" t="inlineStr">
        <x:is>
          <x:t xml:space="preserve">EMPSPI001104</x:t>
        </x:is>
      </x:c>
      <x:c r="B436" t="inlineStr">
        <x:is>
          <x:t xml:space="preserve">EMPAQ ESPIROMETALICA TIPO  DRI, ANILL EXI316 EMPAQ GRAF ANILL INT316 CLAS150, 8PLG(8610800BACC)</x:t>
        </x:is>
      </x:c>
      <x:c r="E436" t="n">
        <x:v>0</x:v>
      </x:c>
    </x:row>
    <x:row r="437">
      <x:c r="A437" t="inlineStr">
        <x:is>
          <x:t xml:space="preserve">EMPSPI001105</x:t>
        </x:is>
      </x:c>
      <x:c r="B437" t="inlineStr">
        <x:is>
          <x:t xml:space="preserve">EMPAQ ESPIROMETALICA TIPO  DRI, ANILL EXI316 EMPAQ GRAF ANILL INT316 CLAS150, 10PLG(8611000BACC)</x:t>
        </x:is>
      </x:c>
      <x:c r="E437" t="n">
        <x:v>0</x:v>
      </x:c>
    </x:row>
    <x:row r="438">
      <x:c r="A438" t="inlineStr">
        <x:is>
          <x:t xml:space="preserve">EMPSPI001106</x:t>
        </x:is>
      </x:c>
      <x:c r="B438" t="inlineStr">
        <x:is>
          <x:t xml:space="preserve">EMPAQ ESPIROMETALICA TIPO  DRI, ANILL EXI316 EMPAQ GRAF ANILL INT316 CLAS150, 12PLG(8611200BACC)</x:t>
        </x:is>
      </x:c>
      <x:c r="E438" t="n">
        <x:v>0</x:v>
      </x:c>
    </x:row>
    <x:row r="439">
      <x:c r="A439" t="inlineStr">
        <x:is>
          <x:t xml:space="preserve">EMPSPI001107</x:t>
        </x:is>
      </x:c>
      <x:c r="B439" t="inlineStr">
        <x:is>
          <x:t xml:space="preserve">EMPAQ ESPIROMETALICA TIPO  DRI, ANILL EXI316 EMPAQ GRAF ANILL INT316 CLAS150, 16PLG(8611600BACC)</x:t>
        </x:is>
      </x:c>
      <x:c r="E439" t="n">
        <x:v>0</x:v>
      </x:c>
    </x:row>
    <x:row r="440">
      <x:c r="A440" t="inlineStr">
        <x:is>
          <x:t xml:space="preserve">EMPSPI001108</x:t>
        </x:is>
      </x:c>
      <x:c r="B440" t="inlineStr">
        <x:is>
          <x:t xml:space="preserve">EMPAQ ESPIROMETALICA TIPO  DRI, ANILL EXI316 EMPAQ GRAF ANILL INT316 CLA3/4/600, 1/2PLG(8610050BJCC)</x:t>
        </x:is>
      </x:c>
      <x:c r="E440" t="n">
        <x:v>0</x:v>
      </x:c>
    </x:row>
    <x:row r="441">
      <x:c r="A441" t="inlineStr">
        <x:is>
          <x:t xml:space="preserve">EMPSPI001109</x:t>
        </x:is>
      </x:c>
      <x:c r="B441" t="inlineStr">
        <x:is>
          <x:t xml:space="preserve">EMPAQ ESPIROMETALICA TIPO  DRI, ANILL EXI316 EMPAQ GRAF ANILL INT316 CLA3/4/600, 3/4PLG(8610075BJCC)</x:t>
        </x:is>
      </x:c>
      <x:c r="E441" t="n">
        <x:v>0</x:v>
      </x:c>
    </x:row>
    <x:row r="442">
      <x:c r="A442" t="inlineStr">
        <x:is>
          <x:t xml:space="preserve">EMPSPI001110</x:t>
        </x:is>
      </x:c>
      <x:c r="B442" t="inlineStr">
        <x:is>
          <x:t xml:space="preserve">EMPAQ ESPIROMETALICA TIPO  DRI, ANILL EXI316 EMPAQ GRAF ANILL INT316 CLA3/4/600, 1 PLG(8610100BJCC)</x:t>
        </x:is>
      </x:c>
      <x:c r="E442" t="n">
        <x:v>0</x:v>
      </x:c>
    </x:row>
    <x:row r="443">
      <x:c r="A443" t="inlineStr">
        <x:is>
          <x:t xml:space="preserve">EMPSPI001111</x:t>
        </x:is>
      </x:c>
      <x:c r="B443" t="inlineStr">
        <x:is>
          <x:t xml:space="preserve">EMPAQ ESPIROMETALICA TIPO DRI, ANILL EXI316 EMPAQ GRAF ANILL INT316 CLA3/4/600,1 1/4PLG(8610125BJCC)</x:t>
        </x:is>
      </x:c>
      <x:c r="E443" t="n">
        <x:v>0</x:v>
      </x:c>
    </x:row>
    <x:row r="444">
      <x:c r="A444" t="inlineStr">
        <x:is>
          <x:t xml:space="preserve">EMPSPI001112</x:t>
        </x:is>
      </x:c>
      <x:c r="B444" t="inlineStr">
        <x:is>
          <x:t xml:space="preserve">EMPAQ ESPIROMETALICA TIPO DRI, ANILL EXI316 EMPAQ GRAF ANILL INT316 CLA3/4/600,1 1/2PLG(8610150BJCC)</x:t>
        </x:is>
      </x:c>
      <x:c r="E444" t="n">
        <x:v>0</x:v>
      </x:c>
    </x:row>
    <x:row r="445">
      <x:c r="A445" t="inlineStr">
        <x:is>
          <x:t xml:space="preserve">EMPSPI001113</x:t>
        </x:is>
      </x:c>
      <x:c r="B445" t="inlineStr">
        <x:is>
          <x:t xml:space="preserve">EMPAQ ESPIROMETALICA TIPO  DRI, ANILL EXI316 EMPAQ GRAF ANILL INT316 CLA3/4/600, 2PLG(8610200BJCC)</x:t>
        </x:is>
      </x:c>
      <x:c r="E445" t="n">
        <x:v>0</x:v>
      </x:c>
    </x:row>
    <x:row r="446">
      <x:c r="A446" t="inlineStr">
        <x:is>
          <x:t xml:space="preserve">EMPSPI001114</x:t>
        </x:is>
      </x:c>
      <x:c r="B446" t="inlineStr">
        <x:is>
          <x:t xml:space="preserve">EMPAQ ESPIROMETALICA TIPO  DRI, ANILL EXI316 EMPAQ GRAF ANILL INT316 CLA3/4/600, 3PLG(8610300BJCC)</x:t>
        </x:is>
      </x:c>
      <x:c r="E446" t="n">
        <x:v>0</x:v>
      </x:c>
    </x:row>
    <x:row r="447">
      <x:c r="A447" t="inlineStr">
        <x:is>
          <x:t xml:space="preserve">EMPSPI001115</x:t>
        </x:is>
      </x:c>
      <x:c r="B447" t="inlineStr">
        <x:is>
          <x:t xml:space="preserve">EMPAQ ESPIROMETALICA TIPO  DRI, ANILL EXI316 EMPAQ GRAF ANILL INT316 CLAS300, 4PLG(8610400BBCC)</x:t>
        </x:is>
      </x:c>
      <x:c r="E447" t="n">
        <x:v>0</x:v>
      </x:c>
    </x:row>
    <x:row r="448">
      <x:c r="A448" t="inlineStr">
        <x:is>
          <x:t xml:space="preserve">EMPSPI001116</x:t>
        </x:is>
      </x:c>
      <x:c r="B448" t="inlineStr">
        <x:is>
          <x:t xml:space="preserve">EMPAQ ESPIROMETALICA TIPO  DRI, ANILL EXI316 EMPAQ GRAF ANILL INT316 CLAS300, 6PLG(8610600BBCC)</x:t>
        </x:is>
      </x:c>
      <x:c r="E448" t="n">
        <x:v>0</x:v>
      </x:c>
    </x:row>
    <x:row r="449">
      <x:c r="A449" t="inlineStr">
        <x:is>
          <x:t xml:space="preserve">EMPSPI001117</x:t>
        </x:is>
      </x:c>
      <x:c r="B449" t="inlineStr">
        <x:is>
          <x:t xml:space="preserve">EMPAQ ESPIROMETALICA TIPO  DRI, ANILL EXI316 EMPAQ GRAF ANILL INT316 CLAS300, 8PLG(8610800BBCC)</x:t>
        </x:is>
      </x:c>
      <x:c r="E449" t="n">
        <x:v>0</x:v>
      </x:c>
    </x:row>
    <x:row r="450">
      <x:c r="A450" t="inlineStr">
        <x:is>
          <x:t xml:space="preserve">EMPSPI001118</x:t>
        </x:is>
      </x:c>
      <x:c r="B450" t="inlineStr">
        <x:is>
          <x:t xml:space="preserve">EMPAQ ESPIROMETALICA TIPO  DRI, ANILL EXI316 EMPAQ GRAF ANILL INT316 CLAS300, 10PLG(8611000BBCC)</x:t>
        </x:is>
      </x:c>
      <x:c r="E450" t="n">
        <x:v>0</x:v>
      </x:c>
    </x:row>
    <x:row r="451">
      <x:c r="A451" t="inlineStr">
        <x:is>
          <x:t xml:space="preserve">EMPSPI001119</x:t>
        </x:is>
      </x:c>
      <x:c r="B451" t="inlineStr">
        <x:is>
          <x:t xml:space="preserve">EMPAQ ESPIROMETALICA TIPO  DRI, ANILL EXI316 EMPAQ GRAF ANILL INT316 CLAS300, 12PLG(8611200BBCC)</x:t>
        </x:is>
      </x:c>
      <x:c r="E451" t="n">
        <x:v>0</x:v>
      </x:c>
    </x:row>
    <x:row r="452">
      <x:c r="A452" t="inlineStr">
        <x:is>
          <x:t xml:space="preserve">EMPSPI001120</x:t>
        </x:is>
      </x:c>
      <x:c r="B452" t="inlineStr">
        <x:is>
          <x:t xml:space="preserve">EMPAQ ESPIROMETALICA TIPO  DRI, ANILL EXI316 EMPAQ GRAF ANILL INT316 CLAS300, 16PLG(8611600BBCC)</x:t>
        </x:is>
      </x:c>
      <x:c r="E452" t="n">
        <x:v>0</x:v>
      </x:c>
    </x:row>
    <x:row r="453">
      <x:c r="A453" t="inlineStr">
        <x:is>
          <x:t xml:space="preserve">EMPSPI001121</x:t>
        </x:is>
      </x:c>
      <x:c r="B453" t="inlineStr">
        <x:is>
          <x:t xml:space="preserve">EMPAQUETADURA ESPIROMETALICA 2 DR 900/150 # CS/304/FG  8510200BKBA</x:t>
        </x:is>
      </x:c>
      <x:c r="E453" t="n">
        <x:v>0</x:v>
      </x:c>
    </x:row>
    <x:row r="454">
      <x:c r="A454" t="inlineStr">
        <x:is>
          <x:t xml:space="preserve">EMPSPI001122</x:t>
        </x:is>
      </x:c>
      <x:c r="B454" t="inlineStr">
        <x:is>
          <x:t xml:space="preserve">EMPAQUETADURA ESPIROMETALICA 6 PLG CLASE 1500# CS/304/FG/304 8610600BFBB</x:t>
        </x:is>
      </x:c>
      <x:c r="E454" t="n">
        <x:v>100</x:v>
      </x:c>
    </x:row>
    <x:row r="455">
      <x:c r="A455" t="inlineStr">
        <x:is>
          <x:t xml:space="preserve">EMPSPI001123</x:t>
        </x:is>
      </x:c>
      <x:c r="B455" t="inlineStr">
        <x:is>
          <x:t xml:space="preserve">EMPAQUETADURA ESPIROMETALICA 10 PLG CLASE 1500# CS/304/FG/304 8611000BFBB</x:t>
        </x:is>
      </x:c>
      <x:c r="E455" t="n">
        <x:v>0</x:v>
      </x:c>
    </x:row>
    <x:row r="456">
      <x:c r="A456" t="inlineStr">
        <x:is>
          <x:t xml:space="preserve">EMPSPI001124</x:t>
        </x:is>
      </x:c>
      <x:c r="B456" t="inlineStr">
        <x:is>
          <x:t xml:space="preserve">EMPAQUETADURTA ESPIROMETALICA 1 PLG CLASE 1500 CGI ANSI 913M-1 433086</x:t>
        </x:is>
      </x:c>
      <x:c r="E456" t="n">
        <x:v>0</x:v>
      </x:c>
    </x:row>
    <x:row r="457">
      <x:c r="A457" t="inlineStr">
        <x:is>
          <x:t xml:space="preserve">EMPSPI001125</x:t>
        </x:is>
      </x:c>
      <x:c r="B457" t="inlineStr">
        <x:is>
          <x:t xml:space="preserve">EMPAQUETADURA JUNTA METALFLEX TIPO 913 ESPIRALADA CWI 316L/FG ORCS DE 8 PLG CLASE 1500 CODIGO 366831</x:t>
        </x:is>
      </x:c>
      <x:c r="E457" t="n">
        <x:v>0</x:v>
      </x:c>
    </x:row>
    <x:row r="458">
      <x:c r="A458" t="inlineStr">
        <x:is>
          <x:t xml:space="preserve">EMPSPI001126</x:t>
        </x:is>
      </x:c>
      <x:c r="B458" t="inlineStr">
        <x:is>
          <x:t xml:space="preserve">EMPAQ.ESPIROMETALICA TIPO DRI ANSI CLASE 1500 SWG 10 PLG 304/GRF/304 RED. 206 INT. 8610206BFBB0435</x:t>
        </x:is>
      </x:c>
      <x:c r="E458" t="n">
        <x:v>0</x:v>
      </x:c>
    </x:row>
    <x:row r="459">
      <x:c r="A459" t="inlineStr">
        <x:is>
          <x:t xml:space="preserve">EMPSPI001127</x:t>
        </x:is>
      </x:c>
      <x:c r="B459" t="inlineStr">
        <x:is>
          <x:t xml:space="preserve">EMPAQUETADURA ESPIROMETALICA 2 PLG CLASE 1500 RF 304/GRAF 075200</x:t>
        </x:is>
      </x:c>
      <x:c r="E459" t="n">
        <x:v>0</x:v>
      </x:c>
    </x:row>
    <x:row r="460">
      <x:c r="A460" t="inlineStr">
        <x:is>
          <x:t xml:space="preserve">EMPSPI001128</x:t>
        </x:is>
      </x:c>
      <x:c r="B460" t="inlineStr">
        <x:is>
          <x:t xml:space="preserve">EMPAQUETADURA ESPIROMETALICA 8 PLG CLASE 150 RF 304/GRAF 075291</x:t>
        </x:is>
      </x:c>
      <x:c r="E460" t="n">
        <x:v>0</x:v>
      </x:c>
    </x:row>
    <x:row r="461">
      <x:c r="A461" t="inlineStr">
        <x:is>
          <x:t xml:space="preserve">EMPSPI001129</x:t>
        </x:is>
      </x:c>
      <x:c r="B461" t="inlineStr">
        <x:is>
          <x:t xml:space="preserve">750804 EMPAQUETADUTA ESPIROMETALICA 30" , CLASE 600 PARA LINEA TRAMO CLASE # 600 DE ESTACION BOOTER</x:t>
        </x:is>
      </x:c>
      <x:c r="E461" t="n">
        <x:v>0</x:v>
      </x:c>
    </x:row>
    <x:row r="462">
      <x:c r="A462" t="inlineStr">
        <x:is>
          <x:t xml:space="preserve">EMPSPI001130</x:t>
        </x:is>
      </x:c>
      <x:c r="B462" t="inlineStr">
        <x:is>
          <x:t xml:space="preserve">8613000BLCC 30 PLG 150 # SA /CS/316/FG/316L DURLON SWG STYLE DRI (756570)</x:t>
        </x:is>
      </x:c>
      <x:c r="E462" t="n">
        <x:v>0</x:v>
      </x:c>
    </x:row>
    <x:row r="463">
      <x:c r="A463" t="inlineStr">
        <x:is>
          <x:t xml:space="preserve">EMPSPI001131</x:t>
        </x:is>
      </x:c>
      <x:c r="B463" t="inlineStr">
        <x:is>
          <x:t xml:space="preserve">8613000BMCC 30 PLG 150 # SB /CS/316/FG/316L DURLON SWG STYLE DRI (756569)</x:t>
        </x:is>
      </x:c>
      <x:c r="E463" t="n">
        <x:v>0</x:v>
      </x:c>
    </x:row>
    <x:row r="464">
      <x:c r="A464" t="inlineStr">
        <x:is>
          <x:t xml:space="preserve">EMPSPI001132</x:t>
        </x:is>
      </x:c>
      <x:c r="B464" t="inlineStr">
        <x:is>
          <x:t xml:space="preserve">8611800BBCC 18 PLG 300 #  CS/316/FG/316L DURLON SWG STYLE DRI (756571)</x:t>
        </x:is>
      </x:c>
      <x:c r="E464" t="n">
        <x:v>0</x:v>
      </x:c>
    </x:row>
    <x:row r="465">
      <x:c r="A465" t="inlineStr">
        <x:is>
          <x:t xml:space="preserve">EMPSPI001133</x:t>
        </x:is>
      </x:c>
      <x:c r="B465" t="inlineStr">
        <x:is>
          <x:t xml:space="preserve">8613000BNCC 30 PLG 300 # SA / CS/316/FG/316L DURLON SWG STYLE DRI (756572)</x:t>
        </x:is>
      </x:c>
      <x:c r="E465" t="n">
        <x:v>0</x:v>
      </x:c>
    </x:row>
    <x:row r="466">
      <x:c r="A466" t="inlineStr">
        <x:is>
          <x:t xml:space="preserve">EMPSPI001134</x:t>
        </x:is>
      </x:c>
      <x:c r="B466" t="inlineStr">
        <x:is>
          <x:t xml:space="preserve">8613000BPCC 30 PLG 300 # SB / CS/316/FG/316L DURLON SWG STYLE DRI (756573)</x:t>
        </x:is>
      </x:c>
      <x:c r="E466" t="n">
        <x:v>0</x:v>
      </x:c>
    </x:row>
    <x:row r="467">
      <x:c r="A467" t="inlineStr">
        <x:is>
          <x:t xml:space="preserve">EMPSPI001135</x:t>
        </x:is>
      </x:c>
      <x:c r="B467" t="inlineStr">
        <x:is>
          <x:t xml:space="preserve">8613600BLCC 36 PLG 150 # SA / CS/316/FG/316L DURLON SWG STYLE DRI (756574)</x:t>
        </x:is>
      </x:c>
      <x:c r="E467" t="n">
        <x:v>0</x:v>
      </x:c>
    </x:row>
    <x:row r="468">
      <x:c r="A468" t="inlineStr">
        <x:is>
          <x:t xml:space="preserve">EMPSPI001136</x:t>
        </x:is>
      </x:c>
      <x:c r="B468" t="inlineStr">
        <x:is>
          <x:t xml:space="preserve">8613600BMCC 36 PLG 150 # SB / CS/316/FG/316L DURLON SWG STYLE DRI (756575)</x:t>
        </x:is>
      </x:c>
      <x:c r="E468" t="n">
        <x:v>0</x:v>
      </x:c>
    </x:row>
    <x:row r="469">
      <x:c r="A469" t="inlineStr">
        <x:is>
          <x:t xml:space="preserve">EMPSPI001137</x:t>
        </x:is>
      </x:c>
      <x:c r="B469" t="inlineStr">
        <x:is>
          <x:t xml:space="preserve">8611600BBCC 16 PLG 300 #  CS/316/FG/316L DURLON SWG STYLE DRI (756576)</x:t>
        </x:is>
      </x:c>
      <x:c r="E469" t="n">
        <x:v>0</x:v>
      </x:c>
    </x:row>
    <x:row r="470">
      <x:c r="A470" t="inlineStr">
        <x:is>
          <x:t xml:space="preserve">EMPSPI001138</x:t>
        </x:is>
      </x:c>
      <x:c r="B470" t="inlineStr">
        <x:is>
          <x:t xml:space="preserve">8510200BKCA - SWG 2 PLG CLASS 900/1500 DR (CS/316/FG) CARBON STEEL OUTER RING ( 752009</x:t>
        </x:is>
      </x:c>
      <x:c r="E470" t="n">
        <x:v>0</x:v>
      </x:c>
    </x:row>
    <x:row r="471">
      <x:c r="A471" t="inlineStr">
        <x:is>
          <x:t xml:space="preserve">EMPSPI001139</x:t>
        </x:is>
      </x:c>
      <x:c r="B471" t="inlineStr">
        <x:is>
          <x:t xml:space="preserve">8610800BFBB 8 PLG 1500# CS/304/FG/304 DURLON SWG STYLE DRI</x:t>
        </x:is>
      </x:c>
      <x:c r="E471" t="n">
        <x:v>50</x:v>
      </x:c>
    </x:row>
    <x:row r="472">
      <x:c r="A472" t="inlineStr">
        <x:is>
          <x:t xml:space="preserve">EMPSPI001140</x:t>
        </x:is>
      </x:c>
      <x:c r="B472" t="inlineStr">
        <x:is>
          <x:t xml:space="preserve">8610200BGCC 2 PLG 2500# CS/316L/FG/316L DURLON SWG STYLE DRI</x:t>
        </x:is>
      </x:c>
      <x:c r="E472" t="n">
        <x:v>70</x:v>
      </x:c>
    </x:row>
    <x:row r="473">
      <x:c r="A473" t="inlineStr">
        <x:is>
          <x:t xml:space="preserve">EMPSPI001141</x:t>
        </x:is>
      </x:c>
      <x:c r="B473" t="inlineStr">
        <x:is>
          <x:t xml:space="preserve">8610200BKBB 2 PLG 9/1500# CS/304/FG/304 DURLON SWG STYLE DRI</x:t>
        </x:is>
      </x:c>
      <x:c r="E473" t="n">
        <x:v>0</x:v>
      </x:c>
    </x:row>
    <x:row r="474">
      <x:c r="A474" t="inlineStr">
        <x:is>
          <x:t xml:space="preserve">EMPSPI001142</x:t>
        </x:is>
      </x:c>
      <x:c r="B474" t="inlineStr">
        <x:is>
          <x:t xml:space="preserve">8610800BFCC 8 PLG 1500# CS/316L/FG316L DURLON SWG STYLE DRI</x:t>
        </x:is>
      </x:c>
      <x:c r="E474" t="n">
        <x:v>200</x:v>
      </x:c>
    </x:row>
    <x:row r="475">
      <x:c r="A475" t="inlineStr">
        <x:is>
          <x:t xml:space="preserve">EMPSPI001CAJ</x:t>
        </x:is>
      </x:c>
      <x:c r="B475" t="inlineStr">
        <x:is>
          <x:t xml:space="preserve">IMPORTACION DE EMPAQ.ESPIROMETALICAS GLOBAL</x:t>
        </x:is>
      </x:c>
      <x:c r="E475" t="n">
        <x:v>0</x:v>
      </x:c>
    </x:row>
    <x:row r="476">
      <x:c r="A476" t="inlineStr">
        <x:is>
          <x:t xml:space="preserve">EMPTEFEXP001</x:t>
        </x:is>
      </x:c>
      <x:c r="B476" t="inlineStr">
        <x:is>
          <x:t xml:space="preserve">EMPAQUETADURA TEFLON EXPANDIDO 1/8 ESP CLASE 150 FF 2 PLG</x:t>
        </x:is>
      </x:c>
      <x:c r="E476" t="n">
        <x:v>0</x:v>
      </x:c>
    </x:row>
    <x:row r="477">
      <x:c r="A477" t="inlineStr">
        <x:is>
          <x:t xml:space="preserve">EMPTEFEXP002</x:t>
        </x:is>
      </x:c>
      <x:c r="B477" t="inlineStr">
        <x:is>
          <x:t xml:space="preserve">EMPAQUETADURA TIPO RF 4 PLG C/MANGUITO PTFE EXPANDIDO CLASE 150  (664011)</x:t>
        </x:is>
      </x:c>
      <x:c r="E477" t="n">
        <x:v>54</x:v>
      </x:c>
    </x:row>
    <x:row r="478">
      <x:c r="A478" t="inlineStr">
        <x:is>
          <x:t xml:space="preserve">EMPTEFEXP003</x:t>
        </x:is>
      </x:c>
      <x:c r="B478" t="inlineStr">
        <x:is>
          <x:t xml:space="preserve">EMPAQUETADURA TEFLON EXPANDIDO 1/8 TIPO FF CLASE 150 DE 10 PLG  C/MANGUITO 679324</x:t>
        </x:is>
      </x:c>
      <x:c r="E478" t="n">
        <x:v>0</x:v>
      </x:c>
    </x:row>
    <x:row r="479">
      <x:c r="A479" t="inlineStr">
        <x:is>
          <x:t xml:space="preserve">EMPTEFEXP004</x:t>
        </x:is>
      </x:c>
      <x:c r="B479" t="inlineStr">
        <x:is>
          <x:t xml:space="preserve">EMPAQUETADURA TEFLON EXPANDIDO 1/8 TIPO FF CLASE 300 DE 10 PLG  C/MANGUITO 679316</x:t>
        </x:is>
      </x:c>
      <x:c r="E479" t="n">
        <x:v>0</x:v>
      </x:c>
    </x:row>
    <x:row r="480">
      <x:c r="A480" t="inlineStr">
        <x:is>
          <x:t xml:space="preserve">EMPTEFEXP005</x:t>
        </x:is>
      </x:c>
      <x:c r="B480" t="inlineStr">
        <x:is>
          <x:t xml:space="preserve">EMPAQUETADURA TEFLON EXPANDIDO 1/8 TIPO RF CLASE 150 DE 8 PLG  C/MANGUITO 664052</x:t>
        </x:is>
      </x:c>
      <x:c r="E480" t="n">
        <x:v>61</x:v>
      </x:c>
    </x:row>
    <x:row r="481">
      <x:c r="A481" t="inlineStr">
        <x:is>
          <x:t xml:space="preserve">EMPTEFEXP006</x:t>
        </x:is>
      </x:c>
      <x:c r="B481" t="inlineStr">
        <x:is>
          <x:t xml:space="preserve">EMPAQUETADURA TEFLON EXPANDIDO 1/8 TIPO RF CLASE 300 DE 8 PLG  C/MANGUITO 664060</x:t>
        </x:is>
      </x:c>
      <x:c r="E481" t="n">
        <x:v>6</x:v>
      </x:c>
    </x:row>
    <x:row r="482">
      <x:c r="A482" t="inlineStr">
        <x:is>
          <x:t xml:space="preserve">EMPTEFEXP007</x:t>
        </x:is>
      </x:c>
      <x:c r="B482" t="inlineStr">
        <x:is>
          <x:t xml:space="preserve">EMPAQUETADURA TEFLON EXPANDIDO 1/8 TIPO FF CLASE 150 DE 4 PLG  S/MANGUITO 679449</x:t>
        </x:is>
      </x:c>
      <x:c r="E482" t="n">
        <x:v>1</x:v>
      </x:c>
    </x:row>
    <x:row r="483">
      <x:c r="A483" t="inlineStr">
        <x:is>
          <x:t xml:space="preserve">EMPTEFEXP008</x:t>
        </x:is>
      </x:c>
      <x:c r="B483" t="inlineStr">
        <x:is>
          <x:t xml:space="preserve">EMPAQUETADURA TEFLON EXPANDIDO 1/8 TIPO FF CLASE 300 DE 4 PLG  S/MANGUITO 710921</x:t>
        </x:is>
      </x:c>
      <x:c r="E483" t="n">
        <x:v>0</x:v>
      </x:c>
    </x:row>
    <x:row r="484">
      <x:c r="A484" t="inlineStr">
        <x:is>
          <x:t xml:space="preserve">EMPTEFEXP009</x:t>
        </x:is>
      </x:c>
      <x:c r="B484" t="inlineStr">
        <x:is>
          <x:t xml:space="preserve">664029 EMPAQUETADURA TIPO RF 4 PLG C/MANGUITO PTFE EXPANDIDO  1/8 CLASE 300 INVPT043S</x:t>
        </x:is>
      </x:c>
      <x:c r="E484" t="n">
        <x:v>0</x:v>
      </x:c>
    </x:row>
    <x:row r="485">
      <x:c r="A485" t="inlineStr">
        <x:is>
          <x:t xml:space="preserve">EMPTEFEXP010</x:t>
        </x:is>
      </x:c>
      <x:c r="B485" t="inlineStr">
        <x:is>
          <x:t xml:space="preserve">664037 EMPAQUETADURA TIPO RF 6 PLG CLASE 150  C/MANGUITO PTFE-EXP</x:t>
        </x:is>
      </x:c>
      <x:c r="E485" t="n">
        <x:v>0</x:v>
      </x:c>
    </x:row>
    <x:row r="486">
      <x:c r="A486" t="inlineStr">
        <x:is>
          <x:t xml:space="preserve">EMPTEFEXP011</x:t>
        </x:is>
      </x:c>
      <x:c r="B486" t="inlineStr">
        <x:is>
          <x:t xml:space="preserve">679456 EMPAQUETADURA PTFE-EXP 6 PLG CLASE 150 TIPO  FF 1/8 EXPESOR</x:t>
        </x:is>
      </x:c>
      <x:c r="E486" t="n">
        <x:v>0</x:v>
      </x:c>
    </x:row>
    <x:row r="487">
      <x:c r="A487" t="inlineStr">
        <x:is>
          <x:t xml:space="preserve">EMPTEFEXP012</x:t>
        </x:is>
      </x:c>
      <x:c r="B487" t="inlineStr">
        <x:is>
          <x:t xml:space="preserve">EMPAQUETADURA PTFE EXP. DN 1.1/2" FF.CL 150.NORMA ANSI</x:t>
        </x:is>
      </x:c>
      <x:c r="E487" t="n">
        <x:v>0</x:v>
      </x:c>
    </x:row>
    <x:row r="488">
      <x:c r="A488" t="inlineStr">
        <x:is>
          <x:t xml:space="preserve">EMPTEFEXP013</x:t>
        </x:is>
      </x:c>
      <x:c r="B488" t="inlineStr">
        <x:is>
          <x:t xml:space="preserve">EMPAQUETADURA PTFE EXP. DN 3" FF.CL 150.NORMA ANSI</x:t>
        </x:is>
      </x:c>
      <x:c r="E488" t="n">
        <x:v>0</x:v>
      </x:c>
    </x:row>
    <x:row r="489">
      <x:c r="A489" t="inlineStr">
        <x:is>
          <x:t xml:space="preserve">EMPTEFEXP014</x:t>
        </x:is>
      </x:c>
      <x:c r="B489" t="inlineStr">
        <x:is>
          <x:t xml:space="preserve">EMPAQUETADURA PTFE EXP. DN 12" FF.CL 150.NORMA ANSI</x:t>
        </x:is>
      </x:c>
      <x:c r="E489" t="n">
        <x:v>0</x:v>
      </x:c>
    </x:row>
    <x:row r="490">
      <x:c r="A490" t="inlineStr">
        <x:is>
          <x:t xml:space="preserve">EMPTEFEXP015</x:t>
        </x:is>
      </x:c>
      <x:c r="B490" t="inlineStr">
        <x:is>
          <x:t xml:space="preserve">EMPAQUETADURA PTFE EXP. DN 18" FF.CL 150.NORMA ANSI</x:t>
        </x:is>
      </x:c>
      <x:c r="E490" t="n">
        <x:v>0</x:v>
      </x:c>
    </x:row>
    <x:row r="491">
      <x:c r="A491" t="inlineStr">
        <x:is>
          <x:t xml:space="preserve">EMPTEFEXP016</x:t>
        </x:is>
      </x:c>
      <x:c r="B491" t="inlineStr">
        <x:is>
          <x:t xml:space="preserve">EMPAQUETADURA PTFE-EXP ESP.  1/16 DN 2 PLG CLASE 150 FF</x:t>
        </x:is>
      </x:c>
      <x:c r="E491" t="n">
        <x:v>0</x:v>
      </x:c>
    </x:row>
    <x:row r="492">
      <x:c r="A492" t="inlineStr">
        <x:is>
          <x:t xml:space="preserve">EMPTEFEXP017</x:t>
        </x:is>
      </x:c>
      <x:c r="B492" t="inlineStr">
        <x:is>
          <x:t xml:space="preserve">EMPAQUETADURA PTFE-EXP ESP.  1/16 DN 3 PLG CLASE 150 FF</x:t>
        </x:is>
      </x:c>
      <x:c r="E492" t="n">
        <x:v>0</x:v>
      </x:c>
    </x:row>
    <x:row r="493">
      <x:c r="A493" t="inlineStr">
        <x:is>
          <x:t xml:space="preserve">EMPTEFEXP018</x:t>
        </x:is>
      </x:c>
      <x:c r="B493" t="inlineStr">
        <x:is>
          <x:t xml:space="preserve">EMPAQUETADURA PTFE-EXP ESP.  1/16 DN 1  PLG CLASE 150 FF</x:t>
        </x:is>
      </x:c>
      <x:c r="E493" t="n">
        <x:v>0</x:v>
      </x:c>
    </x:row>
    <x:row r="494">
      <x:c r="A494" t="inlineStr">
        <x:is>
          <x:t xml:space="preserve">EMPTEFEXP019</x:t>
        </x:is>
      </x:c>
      <x:c r="B494" t="inlineStr">
        <x:is>
          <x:t xml:space="preserve">EMPAQUETADURA PTFE-EXP ESP.  1/16 DN 10  PLG CLASE 150 FF</x:t>
        </x:is>
      </x:c>
      <x:c r="E494" t="n">
        <x:v>0</x:v>
      </x:c>
    </x:row>
    <x:row r="495">
      <x:c r="A495" t="inlineStr">
        <x:is>
          <x:t xml:space="preserve">EMPTEFEXP020</x:t>
        </x:is>
      </x:c>
      <x:c r="B495" t="inlineStr">
        <x:is>
          <x:t xml:space="preserve">EMPAQUETADURA PTFE EXP DN 5 CLASE  150 ESP 1/8 TIPO FF</x:t>
        </x:is>
      </x:c>
      <x:c r="E495" t="n">
        <x:v>0</x:v>
      </x:c>
    </x:row>
    <x:row r="496">
      <x:c r="A496" t="inlineStr">
        <x:is>
          <x:t xml:space="preserve">EMPTEFEXP021</x:t>
        </x:is>
      </x:c>
      <x:c r="B496" t="inlineStr">
        <x:is>
          <x:t xml:space="preserve">EMPAQUETADURA PARA FLANGE PTFE EXP DN 3 CLASE 150 ESP 1/8 TIPO RF</x:t>
        </x:is>
      </x:c>
      <x:c r="E496" t="n">
        <x:v>0</x:v>
      </x:c>
    </x:row>
    <x:row r="497">
      <x:c r="A497" t="inlineStr">
        <x:is>
          <x:t xml:space="preserve">EMPTEFEXP022</x:t>
        </x:is>
      </x:c>
      <x:c r="B497" t="inlineStr">
        <x:is>
          <x:t xml:space="preserve">EMPAQUETADURA PTFE EXP 1/8 DN 50 NORMA DIN 2576</x:t>
        </x:is>
      </x:c>
      <x:c r="E497" t="n">
        <x:v>0</x:v>
      </x:c>
    </x:row>
    <x:row r="498">
      <x:c r="A498" t="inlineStr">
        <x:is>
          <x:t xml:space="preserve">EMPTEFEXP023</x:t>
        </x:is>
      </x:c>
      <x:c r="B498" t="inlineStr">
        <x:is>
          <x:t xml:space="preserve">EMPAQUETADURA PTFE EXP 1/8 DN 80 NORMA DIN 2576</x:t>
        </x:is>
      </x:c>
      <x:c r="E498" t="n">
        <x:v>0</x:v>
      </x:c>
    </x:row>
    <x:row r="499">
      <x:c r="A499" t="inlineStr">
        <x:is>
          <x:t xml:space="preserve">EMPTEFEXP024</x:t>
        </x:is>
      </x:c>
      <x:c r="B499" t="inlineStr">
        <x:is>
          <x:t xml:space="preserve">EMPAQUETADURA PTFE EXP FF 1/8 DN6 S/PLANO PTT022PTF000</x:t>
        </x:is>
      </x:c>
      <x:c r="E499" t="n">
        <x:v>0</x:v>
      </x:c>
    </x:row>
    <x:row r="500">
      <x:c r="A500" t="inlineStr">
        <x:is>
          <x:t xml:space="preserve">EMPTEFEXP025</x:t>
        </x:is>
      </x:c>
      <x:c r="B500" t="inlineStr">
        <x:is>
          <x:t xml:space="preserve">EMPAQUETADURA PTFE EXP 1/8 FF DN5 S/PLANO PTTP22PTFF02</x:t>
        </x:is>
      </x:c>
      <x:c r="E500" t="n">
        <x:v>0</x:v>
      </x:c>
    </x:row>
    <x:row r="501">
      <x:c r="A501" t="inlineStr">
        <x:is>
          <x:t xml:space="preserve">EMPTEFEXP026</x:t>
        </x:is>
      </x:c>
      <x:c r="B501" t="inlineStr">
        <x:is>
          <x:t xml:space="preserve">EMPAQUETADURA PTFE EXP FF 1/8 DN2 S/PLANO  PTTP22PTFF01</x:t>
        </x:is>
      </x:c>
      <x:c r="E501" t="n">
        <x:v>0</x:v>
      </x:c>
    </x:row>
    <x:row r="502">
      <x:c r="A502" t="inlineStr">
        <x:is>
          <x:t xml:space="preserve">EMPTEFEXP027</x:t>
        </x:is>
      </x:c>
      <x:c r="B502" t="inlineStr">
        <x:is>
          <x:t xml:space="preserve">EMPAQUETADURA PTFE EXP FF 1/8 DN10 S/PLANO  PTTP22PTFF03</x:t>
        </x:is>
      </x:c>
      <x:c r="E502" t="n">
        <x:v>0</x:v>
      </x:c>
    </x:row>
    <x:row r="503">
      <x:c r="A503" t="inlineStr">
        <x:is>
          <x:t xml:space="preserve">EMPTEFEXP028</x:t>
        </x:is>
      </x:c>
      <x:c r="B503" t="inlineStr">
        <x:is>
          <x:t xml:space="preserve">EMPAQUETADURA PTFE EXP FF 1/8 DN4 S/PLANO  PTTP22PTRF00</x:t>
        </x:is>
      </x:c>
      <x:c r="E503" t="n">
        <x:v>0</x:v>
      </x:c>
    </x:row>
    <x:row r="504">
      <x:c r="A504" t="inlineStr">
        <x:is>
          <x:t xml:space="preserve">EMPTEFEXP029</x:t>
        </x:is>
      </x:c>
      <x:c r="B504" t="inlineStr">
        <x:is>
          <x:t xml:space="preserve">EMPAQUETADURA PTFE EXP FF 1/8 DN3 S/PLANO  PTTP22PTFF03</x:t>
        </x:is>
      </x:c>
      <x:c r="E504" t="n">
        <x:v>0</x:v>
      </x:c>
    </x:row>
    <x:row r="505">
      <x:c r="A505" t="inlineStr">
        <x:is>
          <x:t xml:space="preserve">EMPTEFEXP030</x:t>
        </x:is>
      </x:c>
      <x:c r="B505" t="inlineStr">
        <x:is>
          <x:t xml:space="preserve">EMPAQUETADURA PTFE EXP DN 20 TIPO RF CLASE 150</x:t>
        </x:is>
      </x:c>
      <x:c r="E505" t="n">
        <x:v>30</x:v>
      </x:c>
    </x:row>
    <x:row r="506">
      <x:c r="A506" t="inlineStr">
        <x:is>
          <x:t xml:space="preserve">EMPTEFEXP031</x:t>
        </x:is>
      </x:c>
      <x:c r="B506" t="inlineStr">
        <x:is>
          <x:t xml:space="preserve">EMPAQUETADURA PTFE EXP DN 18 RF CLASE 150</x:t>
        </x:is>
      </x:c>
      <x:c r="E506" t="n">
        <x:v>0</x:v>
      </x:c>
    </x:row>
    <x:row r="507">
      <x:c r="A507" t="inlineStr">
        <x:is>
          <x:t xml:space="preserve">EMPTEFEXP032</x:t>
        </x:is>
      </x:c>
      <x:c r="B507" t="inlineStr">
        <x:is>
          <x:t xml:space="preserve">EMPAQUETADURA PTFE-EXP DN8 ESP 3 MM NORMA DIN S/PLANO PPT022PTF005</x:t>
        </x:is>
      </x:c>
      <x:c r="E507" t="n">
        <x:v>0</x:v>
      </x:c>
    </x:row>
    <x:row r="508">
      <x:c r="A508" t="inlineStr">
        <x:is>
          <x:t xml:space="preserve">EMPTEFEXP033</x:t>
        </x:is>
      </x:c>
      <x:c r="B508" t="inlineStr">
        <x:is>
          <x:t xml:space="preserve">EMPAQUETADURA PTFE EXP DN 2 PLG ESP  3 MM FF NORMA ANSI</x:t>
        </x:is>
      </x:c>
      <x:c r="E508" t="n">
        <x:v>250</x:v>
      </x:c>
    </x:row>
    <x:row r="509">
      <x:c r="A509" t="inlineStr">
        <x:is>
          <x:t xml:space="preserve">EMPTRE100001</x:t>
        </x:is>
      </x:c>
      <x:c r="B509" t="inlineStr">
        <x:is>
          <x:t xml:space="preserve">EMPAQUETADURAS TRENZADAS ESTILO 1000 DE 3/4 SECCION</x:t>
        </x:is>
      </x:c>
      <x:c r="E509" t="n">
        <x:v>0</x:v>
      </x:c>
    </x:row>
    <x:row r="510">
      <x:c r="A510" t="inlineStr">
        <x:is>
          <x:t xml:space="preserve">EMPTRE210001</x:t>
        </x:is>
      </x:c>
      <x:c r="B510" t="inlineStr">
        <x:is>
          <x:t xml:space="preserve">EMPAQUETADURAS TRENZADAS ESTILO 2100 DE 1 SECCION</x:t>
        </x:is>
      </x:c>
      <x:c r="E510" t="n">
        <x:v>4</x:v>
      </x:c>
    </x:row>
    <x:row r="511">
      <x:c r="A511" t="inlineStr">
        <x:is>
          <x:t xml:space="preserve">EMPTRE210002</x:t>
        </x:is>
      </x:c>
      <x:c r="B511" t="inlineStr">
        <x:is>
          <x:t xml:space="preserve">EMPAQUETADURAS TRENZADAS ESTILO 2100 DE 3/4 SECCION</x:t>
        </x:is>
      </x:c>
      <x:c r="E511" t="n">
        <x:v>4</x:v>
      </x:c>
    </x:row>
    <x:row r="512">
      <x:c r="A512" t="inlineStr">
        <x:is>
          <x:t xml:space="preserve">EMPTRE210003</x:t>
        </x:is>
      </x:c>
      <x:c r="B512" t="inlineStr">
        <x:is>
          <x:t xml:space="preserve">EMPAQUETADURAS TRENZADAS ESTILO 2100 DE 5/8 SECCION</x:t>
        </x:is>
      </x:c>
      <x:c r="E512" t="n">
        <x:v>0</x:v>
      </x:c>
    </x:row>
    <x:row r="513">
      <x:c r="A513" t="inlineStr">
        <x:is>
          <x:t xml:space="preserve">EMPTRE210004</x:t>
        </x:is>
      </x:c>
      <x:c r="B513" t="inlineStr">
        <x:is>
          <x:t xml:space="preserve">EMPAQUETADURAS TRENZADAS ESTILO 2100 DE 1/2 SECCION</x:t>
        </x:is>
      </x:c>
      <x:c r="E513" t="n">
        <x:v>0</x:v>
      </x:c>
    </x:row>
    <x:row r="514">
      <x:c r="A514" t="inlineStr">
        <x:is>
          <x:t xml:space="preserve">EMPTRE210005</x:t>
        </x:is>
      </x:c>
      <x:c r="B514" t="inlineStr">
        <x:is>
          <x:t xml:space="preserve">EMPAQUETADURA TRENZADA ESTILO 2100 7/16 PLG SECCION</x:t>
        </x:is>
      </x:c>
      <x:c r="E514" t="n">
        <x:v>0</x:v>
      </x:c>
    </x:row>
    <x:row r="515">
      <x:c r="A515" t="inlineStr">
        <x:is>
          <x:t xml:space="preserve">EMPTRE210006</x:t>
        </x:is>
      </x:c>
      <x:c r="B515" t="inlineStr">
        <x:is>
          <x:t xml:space="preserve">EMPAQUETADURAS TRENZADAS ESTILO 2100 DE 3/8 PLG SECCION</x:t>
        </x:is>
      </x:c>
      <x:c r="E515" t="n">
        <x:v>0</x:v>
      </x:c>
    </x:row>
    <x:row r="516">
      <x:c r="A516" t="inlineStr">
        <x:is>
          <x:t xml:space="preserve">EMPTRE400001</x:t>
        </x:is>
      </x:c>
      <x:c r="B516" t="inlineStr">
        <x:is>
          <x:t xml:space="preserve">EMPAQUETADURAS TRENZADAS ESTILO 400 1/4 SECCION</x:t>
        </x:is>
      </x:c>
      <x:c r="E516" t="n">
        <x:v>0</x:v>
      </x:c>
    </x:row>
    <x:row r="517">
      <x:c r="A517" t="inlineStr">
        <x:is>
          <x:t xml:space="preserve">EMPTRE400002</x:t>
        </x:is>
      </x:c>
      <x:c r="B517" t="inlineStr">
        <x:is>
          <x:t xml:space="preserve">EMPAQUETADURAS TRENZADAS ESTILO 400 1/2 SECCION</x:t>
        </x:is>
      </x:c>
      <x:c r="E517" t="n">
        <x:v>0</x:v>
      </x:c>
    </x:row>
    <x:row r="518">
      <x:c r="A518" t="inlineStr">
        <x:is>
          <x:t xml:space="preserve">EMPTRE400003</x:t>
        </x:is>
      </x:c>
      <x:c r="B518" t="inlineStr">
        <x:is>
          <x:t xml:space="preserve">EMPAQUETADURAS TRENZADAS ESTILO 400 5/8 SECCION</x:t>
        </x:is>
      </x:c>
      <x:c r="E518" t="n">
        <x:v>0</x:v>
      </x:c>
    </x:row>
    <x:row r="519">
      <x:c r="A519" t="inlineStr">
        <x:is>
          <x:t xml:space="preserve">EMPTRE430001</x:t>
        </x:is>
      </x:c>
      <x:c r="B519" t="inlineStr">
        <x:is>
          <x:t xml:space="preserve">EMPAQUETADURAS TRENZADAS ESTILO 430 3/8 SECCION</x:t>
        </x:is>
      </x:c>
      <x:c r="E519" t="n">
        <x:v>15</x:v>
      </x:c>
    </x:row>
    <x:row r="520">
      <x:c r="A520" t="inlineStr">
        <x:is>
          <x:t xml:space="preserve">EMPTRE430002</x:t>
        </x:is>
      </x:c>
      <x:c r="B520" t="inlineStr">
        <x:is>
          <x:t xml:space="preserve">EMPAQUETADURAS TRENZADAS ESTILO 430 1/4 SECCION</x:t>
        </x:is>
      </x:c>
      <x:c r="E520" t="n">
        <x:v>3</x:v>
      </x:c>
    </x:row>
    <x:row r="521">
      <x:c r="A521" t="inlineStr">
        <x:is>
          <x:t xml:space="preserve">EMPTRE430003</x:t>
        </x:is>
      </x:c>
      <x:c r="B521" t="inlineStr">
        <x:is>
          <x:t xml:space="preserve">EMPAQUETADURAS TRENZADAS ESTILO 430 DE 5/8 SECCION</x:t>
        </x:is>
      </x:c>
      <x:c r="E521" t="n">
        <x:v>106</x:v>
      </x:c>
    </x:row>
    <x:row r="522">
      <x:c r="A522" t="inlineStr">
        <x:is>
          <x:t xml:space="preserve">EMPTRE430004</x:t>
        </x:is>
      </x:c>
      <x:c r="B522" t="inlineStr">
        <x:is>
          <x:t xml:space="preserve">EMPAQUETADURAS TRENZADAS ESTILO 430 1/2 SECCION</x:t>
        </x:is>
      </x:c>
      <x:c r="E522" t="n">
        <x:v>51</x:v>
      </x:c>
    </x:row>
    <x:row r="523">
      <x:c r="A523" t="inlineStr">
        <x:is>
          <x:t xml:space="preserve">EMPTRE430005</x:t>
        </x:is>
      </x:c>
      <x:c r="B523" t="inlineStr">
        <x:is>
          <x:t xml:space="preserve">EMPAQUETADURAS TRENZADAS ESTILO 430 7/8 SECCION</x:t>
        </x:is>
      </x:c>
      <x:c r="E523" t="n">
        <x:v>0</x:v>
      </x:c>
    </x:row>
    <x:row r="524">
      <x:c r="A524" t="inlineStr">
        <x:is>
          <x:t xml:space="preserve">EMPTRE430006</x:t>
        </x:is>
      </x:c>
      <x:c r="B524" t="inlineStr">
        <x:is>
          <x:t xml:space="preserve">EMPAQUETADURAS TRENZADAS ESTILO 430 3/4 SECCION</x:t>
        </x:is>
      </x:c>
      <x:c r="E524" t="n">
        <x:v>88.90000000000001</x:v>
      </x:c>
    </x:row>
    <x:row r="525">
      <x:c r="A525" t="inlineStr">
        <x:is>
          <x:t xml:space="preserve">EMPTRE430007</x:t>
        </x:is>
      </x:c>
      <x:c r="B525" t="inlineStr">
        <x:is>
          <x:t xml:space="preserve">EMPAQUETADURAS TRENZADAS ESTILO 430  DE 1 SECCION</x:t>
        </x:is>
      </x:c>
      <x:c r="E525" t="n">
        <x:v>0</x:v>
      </x:c>
    </x:row>
    <x:row r="526">
      <x:c r="A526" t="inlineStr">
        <x:is>
          <x:t xml:space="preserve">EMPTRE430008</x:t>
        </x:is>
      </x:c>
      <x:c r="B526" t="inlineStr">
        <x:is>
          <x:t xml:space="preserve">EMPAQUETADURA TRENZADA KEVLON 1 PLG SECCION</x:t>
        </x:is>
      </x:c>
      <x:c r="E526" t="n">
        <x:v>0</x:v>
      </x:c>
    </x:row>
    <x:row r="527">
      <x:c r="A527" t="inlineStr">
        <x:is>
          <x:t xml:space="preserve">EMPTRE430009</x:t>
        </x:is>
      </x:c>
      <x:c r="B527" t="inlineStr">
        <x:is>
          <x:t xml:space="preserve">EMPAQUETADURA TRENZADA KEVLON 5/8 PLG SECCION</x:t>
        </x:is>
      </x:c>
      <x:c r="E527" t="n">
        <x:v>0</x:v>
      </x:c>
    </x:row>
    <x:row r="528">
      <x:c r="A528" t="inlineStr">
        <x:is>
          <x:t xml:space="preserve">EMPTRE430010</x:t>
        </x:is>
      </x:c>
      <x:c r="B528" t="inlineStr">
        <x:is>
          <x:t xml:space="preserve">EMPAQUETADURA TRENZADA KEVLON 3/4 PLG SECCION</x:t>
        </x:is>
      </x:c>
      <x:c r="E528" t="n">
        <x:v>0</x:v>
      </x:c>
    </x:row>
    <x:row r="529">
      <x:c r="A529" t="inlineStr">
        <x:is>
          <x:t xml:space="preserve">EMPTRE430011</x:t>
        </x:is>
      </x:c>
      <x:c r="B529" t="inlineStr">
        <x:is>
          <x:t xml:space="preserve">EMPAQUETADURAS TRENZADAS ESTILO 430 5/16 PLG SECCION CUADRADA</x:t>
        </x:is>
      </x:c>
      <x:c r="E529" t="n">
        <x:v>6</x:v>
      </x:c>
    </x:row>
    <x:row r="530">
      <x:c r="A530" t="inlineStr">
        <x:is>
          <x:t xml:space="preserve">EMPTRE430012</x:t>
        </x:is>
      </x:c>
      <x:c r="B530" t="inlineStr">
        <x:is>
          <x:t xml:space="preserve">EMPAQUETADURA TRENZADA ESTILO KEVLON DE 1 PLG SECCION CUADRADA</x:t>
        </x:is>
      </x:c>
      <x:c r="E530" t="n">
        <x:v>0</x:v>
      </x:c>
    </x:row>
    <x:row r="531">
      <x:c r="A531" t="inlineStr">
        <x:is>
          <x:t xml:space="preserve">EMPTRE430I01</x:t>
        </x:is>
      </x:c>
      <x:c r="B531" t="inlineStr">
        <x:is>
          <x:t xml:space="preserve">EMPAQUETADURA TRENZADA GFO 7/8 (IMPORTADA)</x:t>
        </x:is>
      </x:c>
      <x:c r="E531" t="n">
        <x:v>0</x:v>
      </x:c>
    </x:row>
    <x:row r="532">
      <x:c r="A532" t="inlineStr">
        <x:is>
          <x:t xml:space="preserve">EMPTRE430I02</x:t>
        </x:is>
      </x:c>
      <x:c r="B532" t="inlineStr">
        <x:is>
          <x:t xml:space="preserve">EMPAQUETADURA TRENZADA GFO 3/4 (IMPORTADA)</x:t>
        </x:is>
      </x:c>
      <x:c r="E532" t="n">
        <x:v>0</x:v>
      </x:c>
    </x:row>
    <x:row r="533">
      <x:c r="A533" t="inlineStr">
        <x:is>
          <x:t xml:space="preserve">EMPTRE555001</x:t>
        </x:is>
      </x:c>
      <x:c r="B533" t="inlineStr">
        <x:is>
          <x:t xml:space="preserve">EMPAQUETADURAS TRENZADAS ESTILO 55-55 DE 7/8 SECCION</x:t>
        </x:is>
      </x:c>
      <x:c r="E533" t="n">
        <x:v>50</x:v>
      </x:c>
    </x:row>
    <x:row r="534">
      <x:c r="A534" t="inlineStr">
        <x:is>
          <x:t xml:space="preserve">EMPTRE555002</x:t>
        </x:is>
      </x:c>
      <x:c r="B534" t="inlineStr">
        <x:is>
          <x:t xml:space="preserve">EMPAQUETADURAS TRENZADAS ESTILO 55-55 DE 3/8 SECCION</x:t>
        </x:is>
      </x:c>
      <x:c r="E534" t="n">
        <x:v>8</x:v>
      </x:c>
    </x:row>
    <x:row r="535">
      <x:c r="A535" t="inlineStr">
        <x:is>
          <x:t xml:space="preserve">EMPTRE555003</x:t>
        </x:is>
      </x:c>
      <x:c r="B535" t="inlineStr">
        <x:is>
          <x:t xml:space="preserve">EMPAQUETADURAS TRENZADAS ESTILO 55-55 DE 1/2 SECCION</x:t>
        </x:is>
      </x:c>
      <x:c r="E535" t="n">
        <x:v>32.6</x:v>
      </x:c>
    </x:row>
    <x:row r="536">
      <x:c r="A536" t="inlineStr">
        <x:is>
          <x:t xml:space="preserve">EMPTRE555004</x:t>
        </x:is>
      </x:c>
      <x:c r="B536" t="inlineStr">
        <x:is>
          <x:t xml:space="preserve">EMPAQUETADURAS TRENZADAS ESTILO 55-55 3/4 SECCION</x:t>
        </x:is>
      </x:c>
      <x:c r="E536" t="n">
        <x:v>57.4</x:v>
      </x:c>
    </x:row>
    <x:row r="537">
      <x:c r="A537" t="inlineStr">
        <x:is>
          <x:t xml:space="preserve">EMPTRE555005</x:t>
        </x:is>
      </x:c>
      <x:c r="B537" t="inlineStr">
        <x:is>
          <x:t xml:space="preserve">EMPAQUETADURAS TRENZADAS ESTILO 55-55 5/8 SECCION</x:t>
        </x:is>
      </x:c>
      <x:c r="E537" t="n">
        <x:v>80.59999999999999</x:v>
      </x:c>
    </x:row>
    <x:row r="538">
      <x:c r="A538" t="inlineStr">
        <x:is>
          <x:t xml:space="preserve">EMPTRE555006</x:t>
        </x:is>
      </x:c>
      <x:c r="B538" t="inlineStr">
        <x:is>
          <x:t xml:space="preserve">EMPAQUETADURAS TRENZADAS 55-55 DE 1 SECCION</x:t>
        </x:is>
      </x:c>
      <x:c r="E538" t="n">
        <x:v>462</x:v>
      </x:c>
    </x:row>
    <x:row r="539">
      <x:c r="A539" t="inlineStr">
        <x:is>
          <x:t xml:space="preserve">EMPTRE555007</x:t>
        </x:is>
      </x:c>
      <x:c r="B539" t="inlineStr">
        <x:is>
          <x:t xml:space="preserve">EMPAQUETADURAS TRENZADAS ESTILO 55-55 DE 1.1/8 SECCION</x:t>
        </x:is>
      </x:c>
      <x:c r="E539" t="n">
        <x:v>0</x:v>
      </x:c>
    </x:row>
    <x:row r="540">
      <x:c r="A540" t="inlineStr">
        <x:is>
          <x:t xml:space="preserve">EMPTRE555008</x:t>
        </x:is>
      </x:c>
      <x:c r="B540" t="inlineStr">
        <x:is>
          <x:t xml:space="preserve">EMPAQUETADURA  TRENZADA ESTILO 55-55 3/16 PLG SECCION</x:t>
        </x:is>
      </x:c>
      <x:c r="E540" t="n">
        <x:v>0</x:v>
      </x:c>
    </x:row>
    <x:row r="541">
      <x:c r="A541" t="inlineStr">
        <x:is>
          <x:t xml:space="preserve">EMPTRE555009</x:t>
        </x:is>
      </x:c>
      <x:c r="B541" t="inlineStr">
        <x:is>
          <x:t xml:space="preserve">EMPAQUETADURA TRENZADAS ESTILO 55-55 1/4 PLG SECCION</x:t>
        </x:is>
      </x:c>
      <x:c r="E541" t="n">
        <x:v>1</x:v>
      </x:c>
    </x:row>
    <x:row r="542">
      <x:c r="A542" t="inlineStr">
        <x:is>
          <x:t xml:space="preserve">EMPTRE555010</x:t>
        </x:is>
      </x:c>
      <x:c r="B542" t="inlineStr">
        <x:is>
          <x:t xml:space="preserve">EMPAQUETADURA TRENZADA ESTILO 55-55 DE 1.1/2 SECCIÓN</x:t>
        </x:is>
      </x:c>
      <x:c r="E542" t="n">
        <x:v>0</x:v>
      </x:c>
    </x:row>
    <x:row r="543">
      <x:c r="A543" t="inlineStr">
        <x:is>
          <x:t xml:space="preserve">EMPTREGAR001</x:t>
        </x:is>
      </x:c>
      <x:c r="B543" t="inlineStr">
        <x:is>
          <x:t xml:space="preserve">EMPAQUETADURA TRENZADA GARLOCK ESTILO 5000 9/16 PLG SECCION</x:t>
        </x:is>
      </x:c>
      <x:c r="E543" t="n">
        <x:v>0</x:v>
      </x:c>
    </x:row>
    <x:row r="544">
      <x:c r="A544" t="inlineStr">
        <x:is>
          <x:t xml:space="preserve">EMPTREGAR002</x:t>
        </x:is>
      </x:c>
      <x:c r="B544" t="inlineStr">
        <x:is>
          <x:t xml:space="preserve">EMPAQUETADURA TRENZADA GARLOCK ESTILO 5000 11/16 PLG SECCION</x:t>
        </x:is>
      </x:c>
      <x:c r="E544" t="n">
        <x:v>0</x:v>
      </x:c>
    </x:row>
    <x:row r="545">
      <x:c r="A545" t="inlineStr">
        <x:is>
          <x:t xml:space="preserve">EMPTREGAR003</x:t>
        </x:is>
      </x:c>
      <x:c r="B545" t="inlineStr">
        <x:is>
          <x:t xml:space="preserve">EMPAQUETADURA TRENZADA GARLOCK ESTILO 5000 3/4 PLG SECCION</x:t>
        </x:is>
      </x:c>
      <x:c r="E545" t="n">
        <x:v>0</x:v>
      </x:c>
    </x:row>
    <x:row r="546">
      <x:c r="A546" t="inlineStr">
        <x:is>
          <x:t xml:space="preserve">EMPTREGAR004</x:t>
        </x:is>
      </x:c>
      <x:c r="B546" t="inlineStr">
        <x:is>
          <x:t xml:space="preserve">EMPAQUETADURA TRENZADA GARLOCK ESTILO 5000 5/8 PLG SECCION</x:t>
        </x:is>
      </x:c>
      <x:c r="E546" t="n">
        <x:v>0</x:v>
      </x:c>
    </x:row>
    <x:row r="547">
      <x:c r="A547" t="inlineStr">
        <x:is>
          <x:t xml:space="preserve">EMPTRELIN001</x:t>
        </x:is>
      </x:c>
      <x:c r="B547" t="inlineStr">
        <x:is>
          <x:t xml:space="preserve">EMPAQUETADURA TRENZADA LINOFLON DE 1/2 PLG SECCION</x:t>
        </x:is>
      </x:c>
      <x:c r="E547" t="n">
        <x:v>0</x:v>
      </x:c>
    </x:row>
    <x:row r="548">
      <x:c r="A548" t="inlineStr">
        <x:is>
          <x:t xml:space="preserve">EMPVIT150001</x:t>
        </x:is>
      </x:c>
      <x:c r="B548" t="inlineStr">
        <x:is>
          <x:t xml:space="preserve">EMPAQUETADURA 1/2 PLG TIPO FF CLASE 150 NORMA B16,5 VITON FKM</x:t>
        </x:is>
      </x:c>
      <x:c r="E548" t="n">
        <x:v>0</x:v>
      </x:c>
    </x:row>
    <x:row r="549">
      <x:c r="A549" t="inlineStr">
        <x:is>
          <x:t xml:space="preserve">EMPVIT150002</x:t>
        </x:is>
      </x:c>
      <x:c r="B549" t="inlineStr">
        <x:is>
          <x:t xml:space="preserve">EMPAQUETADURA 1 PLG TIPO FF CLASE 150 NORMA B16,5 VITON FKM</x:t>
        </x:is>
      </x:c>
      <x:c r="E549" t="n">
        <x:v>0</x:v>
      </x:c>
    </x:row>
    <x:row r="550">
      <x:c r="A550" t="inlineStr">
        <x:is>
          <x:t xml:space="preserve">EMPVIT150003</x:t>
        </x:is>
      </x:c>
      <x:c r="B550" t="inlineStr">
        <x:is>
          <x:t xml:space="preserve">EMPAQUETADURA 1.1/2  PLG TIPO FF CLASE 150 NORMA B16,5 VITON FKM</x:t>
        </x:is>
      </x:c>
      <x:c r="E550" t="n">
        <x:v>0</x:v>
      </x:c>
    </x:row>
    <x:row r="551">
      <x:c r="A551" t="inlineStr">
        <x:is>
          <x:t xml:space="preserve">EMPVIT150004</x:t>
        </x:is>
      </x:c>
      <x:c r="B551" t="inlineStr">
        <x:is>
          <x:t xml:space="preserve">EMPAQUETADURA 2 PLG TIPO FF CLASE 150 NORMA B16,5 VITON FKM</x:t>
        </x:is>
      </x:c>
      <x:c r="E551" t="n">
        <x:v>0</x:v>
      </x:c>
    </x:row>
    <x:row r="552">
      <x:c r="A552" t="inlineStr">
        <x:is>
          <x:t xml:space="preserve">EMPVIT150005</x:t>
        </x:is>
      </x:c>
      <x:c r="B552" t="inlineStr">
        <x:is>
          <x:t xml:space="preserve">EMPAQ.VITON 3 MM DN 3 PLG RF CL 15 ANSI  B16,5</x:t>
        </x:is>
      </x:c>
      <x:c r="E552" t="n">
        <x:v>0</x:v>
      </x:c>
    </x:row>
    <x:row r="553">
      <x:c r="A553" t="inlineStr">
        <x:is>
          <x:t xml:space="preserve">EMPVIT150006</x:t>
        </x:is>
      </x:c>
      <x:c r="B553" t="inlineStr">
        <x:is>
          <x:t xml:space="preserve">EMPAQ.VITON 3 MM DN 2.1/2 PLG RF CL 15 ANSI  B16,5</x:t>
        </x:is>
      </x:c>
      <x:c r="E553" t="n">
        <x:v>0</x:v>
      </x:c>
    </x:row>
    <x:row r="554">
      <x:c r="A554" t="inlineStr">
        <x:is>
          <x:t xml:space="preserve">EMPVIT150007</x:t>
        </x:is>
      </x:c>
      <x:c r="B554" t="inlineStr">
        <x:is>
          <x:t xml:space="preserve">EMPAQ.VITON 3 MM DN 2  PLG RF CL 15 ANSI  B16,5</x:t>
        </x:is>
      </x:c>
      <x:c r="E554" t="n">
        <x:v>0</x:v>
      </x:c>
    </x:row>
    <x:row r="555">
      <x:c r="A555" t="inlineStr">
        <x:is>
          <x:t xml:space="preserve">EMPVIT150008</x:t>
        </x:is>
      </x:c>
      <x:c r="B555" t="inlineStr">
        <x:is>
          <x:t xml:space="preserve">EMPAQ.VITON 3 MM DN 1.1/2 PLG RF CL 15 ANSI  B16,5</x:t>
        </x:is>
      </x:c>
      <x:c r="E555" t="n">
        <x:v>100</x:v>
      </x:c>
    </x:row>
    <x:row r="556">
      <x:c r="A556" t="inlineStr">
        <x:is>
          <x:t xml:space="preserve">EMPVIT150009</x:t>
        </x:is>
      </x:c>
      <x:c r="B556" t="inlineStr">
        <x:is>
          <x:t xml:space="preserve">EMPAQ.VITON 3 MM DN 4 PLG RF CL 15 ANSI  B16,5</x:t>
        </x:is>
      </x:c>
      <x:c r="E556" t="n">
        <x:v>0</x:v>
      </x:c>
    </x:row>
    <x:row r="557">
      <x:c r="A557" t="inlineStr">
        <x:is>
          <x:t xml:space="preserve">EPPGENPTA001</x:t>
        </x:is>
      </x:c>
      <x:c r="B557" t="inlineStr">
        <x:is>
          <x:t xml:space="preserve">FILTRO STEELPRO</x:t>
        </x:is>
      </x:c>
      <x:c r="E557" t="n">
        <x:v>0</x:v>
      </x:c>
    </x:row>
    <x:row r="558">
      <x:c r="A558" t="inlineStr">
        <x:is>
          <x:t xml:space="preserve">EPPGENPTA002</x:t>
        </x:is>
      </x:c>
      <x:c r="B558" t="inlineStr">
        <x:is>
          <x:t xml:space="preserve">RESPIRADOR 2 VIAS STEELPRO</x:t>
        </x:is>
      </x:c>
      <x:c r="E558" t="n">
        <x:v>0</x:v>
      </x:c>
    </x:row>
    <x:row r="559">
      <x:c r="A559" t="inlineStr">
        <x:is>
          <x:t xml:space="preserve">EPPGENPTA003</x:t>
        </x:is>
      </x:c>
      <x:c r="B559" t="inlineStr">
        <x:is>
          <x:t xml:space="preserve">GUANTES DE CABRITILLA SIN FORRO T-M  (ESTANDAR)</x:t>
        </x:is>
      </x:c>
      <x:c r="E559" t="n">
        <x:v>1085</x:v>
      </x:c>
    </x:row>
    <x:row r="560">
      <x:c r="A560" t="inlineStr">
        <x:is>
          <x:t xml:space="preserve">EPPGENPTA004</x:t>
        </x:is>
      </x:c>
      <x:c r="B560" t="inlineStr">
        <x:is>
          <x:t xml:space="preserve">LENTES DE SEGURIDAD CLAROS</x:t>
        </x:is>
      </x:c>
      <x:c r="E560" t="n">
        <x:v>165</x:v>
      </x:c>
    </x:row>
    <x:row r="561">
      <x:c r="A561" t="inlineStr">
        <x:is>
          <x:t xml:space="preserve">EPPGENPTA005</x:t>
        </x:is>
      </x:c>
      <x:c r="B561" t="inlineStr">
        <x:is>
          <x:t xml:space="preserve">BUZO DE PAPEL TIPO TIVEK TALLA M</x:t>
        </x:is>
      </x:c>
      <x:c r="E561" t="n">
        <x:v>350</x:v>
      </x:c>
    </x:row>
    <x:row r="562">
      <x:c r="A562" t="inlineStr">
        <x:is>
          <x:t xml:space="preserve">EPPGENPTA006</x:t>
        </x:is>
      </x:c>
      <x:c r="B562" t="inlineStr">
        <x:is>
          <x:t xml:space="preserve">BUZO DE PAPEL TIPO TIVEK TALLA L</x:t>
        </x:is>
      </x:c>
      <x:c r="E562" t="n">
        <x:v>375</x:v>
      </x:c>
    </x:row>
    <x:row r="563">
      <x:c r="A563" t="inlineStr">
        <x:is>
          <x:t xml:space="preserve">EPPGENPTA007</x:t>
        </x:is>
      </x:c>
      <x:c r="B563" t="inlineStr">
        <x:is>
          <x:t xml:space="preserve">BUZO DE PAPEL TIPO TIVEK TALLA XL</x:t>
        </x:is>
      </x:c>
      <x:c r="E563" t="n">
        <x:v>874</x:v>
      </x:c>
    </x:row>
    <x:row r="564">
      <x:c r="A564" t="inlineStr">
        <x:is>
          <x:t xml:space="preserve">EPPGENPTA008</x:t>
        </x:is>
      </x:c>
      <x:c r="B564" t="inlineStr">
        <x:is>
          <x:t xml:space="preserve">BUZO DE PAPEL TIPO TIVEK TALLA XXL</x:t>
        </x:is>
      </x:c>
      <x:c r="E564" t="n">
        <x:v>1328</x:v>
      </x:c>
    </x:row>
    <x:row r="565">
      <x:c r="A565" t="inlineStr">
        <x:is>
          <x:t xml:space="preserve">EPPGENPTA009</x:t>
        </x:is>
      </x:c>
      <x:c r="B565" t="inlineStr">
        <x:is>
          <x:t xml:space="preserve">LENTES DE SEGURIDAD GRIS</x:t>
        </x:is>
      </x:c>
      <x:c r="E565" t="n">
        <x:v>123</x:v>
      </x:c>
    </x:row>
    <x:row r="566">
      <x:c r="A566" t="inlineStr">
        <x:is>
          <x:t xml:space="preserve">EPPGENPTA010</x:t>
        </x:is>
      </x:c>
      <x:c r="B566" t="inlineStr">
        <x:is>
          <x:t xml:space="preserve">SOBRE LENTE CLARO</x:t>
        </x:is>
      </x:c>
      <x:c r="E566" t="n">
        <x:v>38</x:v>
      </x:c>
    </x:row>
    <x:row r="567">
      <x:c r="A567" t="inlineStr">
        <x:is>
          <x:t xml:space="preserve">EPPGENPTA011</x:t>
        </x:is>
      </x:c>
      <x:c r="B567" t="inlineStr">
        <x:is>
          <x:t xml:space="preserve">MASCARILLA DESECHABLE (CAJAS 20 UNIDADES)</x:t>
        </x:is>
      </x:c>
      <x:c r="E567" t="n">
        <x:v>0</x:v>
      </x:c>
    </x:row>
    <x:row r="568">
      <x:c r="A568" t="inlineStr">
        <x:is>
          <x:t xml:space="preserve">EPPGENPTA012</x:t>
        </x:is>
      </x:c>
      <x:c r="B568" t="inlineStr">
        <x:is>
          <x:t xml:space="preserve">RESPIRADOR MEDIO ROSTRO 3M 6200 TALLA - M</x:t>
        </x:is>
      </x:c>
      <x:c r="E568" t="n">
        <x:v>19</x:v>
      </x:c>
    </x:row>
    <x:row r="569">
      <x:c r="A569" t="inlineStr">
        <x:is>
          <x:t xml:space="preserve">EPPGENPTA013</x:t>
        </x:is>
      </x:c>
      <x:c r="B569" t="inlineStr">
        <x:is>
          <x:t xml:space="preserve">FILTRO 3M MIXTO PARA POLVO Y GASES 60923</x:t>
        </x:is>
      </x:c>
      <x:c r="E569" t="n">
        <x:v>246</x:v>
      </x:c>
    </x:row>
    <x:row r="570">
      <x:c r="A570" t="inlineStr">
        <x:is>
          <x:t xml:space="preserve">EPPGENPTA014</x:t>
        </x:is>
      </x:c>
      <x:c r="B570" t="inlineStr">
        <x:is>
          <x:t xml:space="preserve">GUANTES QUIRURGICOS AZULES PURESHIELD  (CAJA DE 50 UNID) XXL</x:t>
        </x:is>
      </x:c>
      <x:c r="E570" t="n">
        <x:v>18</x:v>
      </x:c>
    </x:row>
    <x:row r="571">
      <x:c r="A571" t="inlineStr">
        <x:is>
          <x:t xml:space="preserve">EPPGENPTA015</x:t>
        </x:is>
      </x:c>
      <x:c r="B571" t="inlineStr">
        <x:is>
          <x:t xml:space="preserve">PROTECTORES AUDITIVOS DESECHABLES 3M</x:t>
        </x:is>
      </x:c>
      <x:c r="E571" t="n">
        <x:v>424</x:v>
      </x:c>
    </x:row>
    <x:row r="572">
      <x:c r="A572" t="inlineStr">
        <x:is>
          <x:t xml:space="preserve">EPPGENPTA016</x:t>
        </x:is>
      </x:c>
      <x:c r="B572" t="inlineStr">
        <x:is>
          <x:t xml:space="preserve">RODILLERA POLIESTER</x:t>
        </x:is>
      </x:c>
      <x:c r="E572" t="n">
        <x:v>10</x:v>
      </x:c>
    </x:row>
    <x:row r="573">
      <x:c r="A573" t="inlineStr">
        <x:is>
          <x:t xml:space="preserve">EPPGENPTA017</x:t>
        </x:is>
      </x:c>
      <x:c r="B573" t="inlineStr">
        <x:is>
          <x:t xml:space="preserve">ALCOHOL GEL 1 LT</x:t>
        </x:is>
      </x:c>
      <x:c r="E573" t="n">
        <x:v>2</x:v>
      </x:c>
    </x:row>
    <x:row r="574">
      <x:c r="A574" t="inlineStr">
        <x:is>
          <x:t xml:space="preserve">EPPGENPTA018</x:t>
        </x:is>
      </x:c>
      <x:c r="B574" t="inlineStr">
        <x:is>
          <x:t xml:space="preserve">MU?EQUERA PORTA HERRAMIENTAS</x:t>
        </x:is>
      </x:c>
      <x:c r="E574" t="n">
        <x:v>0</x:v>
      </x:c>
    </x:row>
    <x:row r="575">
      <x:c r="A575" t="inlineStr">
        <x:is>
          <x:t xml:space="preserve">EPPGENPTA019</x:t>
        </x:is>
      </x:c>
      <x:c r="B575" t="inlineStr">
        <x:is>
          <x:t xml:space="preserve">PIJAMA TERMICO POLYESTER TALLA M</x:t>
        </x:is>
      </x:c>
      <x:c r="E575" t="n">
        <x:v>0</x:v>
      </x:c>
    </x:row>
    <x:row r="576">
      <x:c r="A576" t="inlineStr">
        <x:is>
          <x:t xml:space="preserve">EPPGENPTA020</x:t>
        </x:is>
      </x:c>
      <x:c r="B576" t="inlineStr">
        <x:is>
          <x:t xml:space="preserve">PIJAMA TERMICO POLYESTER TALLA L</x:t>
        </x:is>
      </x:c>
      <x:c r="E576" t="n">
        <x:v>0</x:v>
      </x:c>
    </x:row>
    <x:row r="577">
      <x:c r="A577" t="inlineStr">
        <x:is>
          <x:t xml:space="preserve">EPPGENPTA021</x:t>
        </x:is>
      </x:c>
      <x:c r="B577" t="inlineStr">
        <x:is>
          <x:t xml:space="preserve">PIJAMA TERMICO POLYESTER TALLA XL</x:t>
        </x:is>
      </x:c>
      <x:c r="E577" t="n">
        <x:v>0</x:v>
      </x:c>
    </x:row>
    <x:row r="578">
      <x:c r="A578" t="inlineStr">
        <x:is>
          <x:t xml:space="preserve">EPPGENPTA022</x:t>
        </x:is>
      </x:c>
      <x:c r="B578" t="inlineStr">
        <x:is>
          <x:t xml:space="preserve">PIJAMA TERMICO POLYESTER TALLA XXL</x:t>
        </x:is>
      </x:c>
      <x:c r="E578" t="n">
        <x:v>0</x:v>
      </x:c>
    </x:row>
    <x:row r="579">
      <x:c r="A579" t="inlineStr">
        <x:is>
          <x:t xml:space="preserve">EPPGENPTA023</x:t>
        </x:is>
      </x:c>
      <x:c r="B579" t="inlineStr">
        <x:is>
          <x:t xml:space="preserve">PROTECTOR SOLAR 1 KG</x:t>
        </x:is>
      </x:c>
      <x:c r="E579" t="n">
        <x:v>1</x:v>
      </x:c>
    </x:row>
    <x:row r="580">
      <x:c r="A580" t="inlineStr">
        <x:is>
          <x:t xml:space="preserve">EPPGENPTA024</x:t>
        </x:is>
      </x:c>
      <x:c r="B580" t="inlineStr">
        <x:is>
          <x:t xml:space="preserve">GUANTE NINJA TOUCH TALLA 9 (CAJA 100)</x:t>
        </x:is>
      </x:c>
      <x:c r="E580" t="n">
        <x:v>0</x:v>
      </x:c>
    </x:row>
    <x:row r="581">
      <x:c r="A581" t="inlineStr">
        <x:is>
          <x:t xml:space="preserve">EPPGENPTA025</x:t>
        </x:is>
      </x:c>
      <x:c r="B581" t="inlineStr">
        <x:is>
          <x:t xml:space="preserve">BOTA PVC C/PTA COLOR N 39</x:t>
        </x:is>
      </x:c>
      <x:c r="E581" t="n">
        <x:v>0</x:v>
      </x:c>
    </x:row>
    <x:row r="582">
      <x:c r="A582" t="inlineStr">
        <x:is>
          <x:t xml:space="preserve">EPPGENPTA026</x:t>
        </x:is>
      </x:c>
      <x:c r="B582" t="inlineStr">
        <x:is>
          <x:t xml:space="preserve">BOTA PVC C/PTA COLOR N 40</x:t>
        </x:is>
      </x:c>
      <x:c r="E582" t="n">
        <x:v>0</x:v>
      </x:c>
    </x:row>
    <x:row r="583">
      <x:c r="A583" t="inlineStr">
        <x:is>
          <x:t xml:space="preserve">EPPGENPTA027</x:t>
        </x:is>
      </x:c>
      <x:c r="B583" t="inlineStr">
        <x:is>
          <x:t xml:space="preserve">BOTA PVC C/PTA COLOR N 41</x:t>
        </x:is>
      </x:c>
      <x:c r="E583" t="n">
        <x:v>0</x:v>
      </x:c>
    </x:row>
    <x:row r="584">
      <x:c r="A584" t="inlineStr">
        <x:is>
          <x:t xml:space="preserve">EPPGENPTA028</x:t>
        </x:is>
      </x:c>
      <x:c r="B584" t="inlineStr">
        <x:is>
          <x:t xml:space="preserve">BOTA PVC C/PTA COLOR N 42</x:t>
        </x:is>
      </x:c>
      <x:c r="E584" t="n">
        <x:v>0</x:v>
      </x:c>
    </x:row>
    <x:row r="585">
      <x:c r="A585" t="inlineStr">
        <x:is>
          <x:t xml:space="preserve">EPPGENPTA029</x:t>
        </x:is>
      </x:c>
      <x:c r="B585" t="inlineStr">
        <x:is>
          <x:t xml:space="preserve">BOTA PVC C/PTA COLOR N 43</x:t>
        </x:is>
      </x:c>
      <x:c r="E585" t="n">
        <x:v>0</x:v>
      </x:c>
    </x:row>
    <x:row r="586">
      <x:c r="A586" t="inlineStr">
        <x:is>
          <x:t xml:space="preserve">EPPGENPTA030</x:t>
        </x:is>
      </x:c>
      <x:c r="B586" t="inlineStr">
        <x:is>
          <x:t xml:space="preserve">BOTA PVC C/PTA COLOR N 44</x:t>
        </x:is>
      </x:c>
      <x:c r="E586" t="n">
        <x:v>0</x:v>
      </x:c>
    </x:row>
    <x:row r="587">
      <x:c r="A587" t="inlineStr">
        <x:is>
          <x:t xml:space="preserve">EPPGENPTA031</x:t>
        </x:is>
      </x:c>
      <x:c r="B587" t="inlineStr">
        <x:is>
          <x:t xml:space="preserve">BOTA PVC C/PTA COLOR N 45</x:t>
        </x:is>
      </x:c>
      <x:c r="E587" t="n">
        <x:v>0</x:v>
      </x:c>
    </x:row>
    <x:row r="588">
      <x:c r="A588" t="inlineStr">
        <x:is>
          <x:t xml:space="preserve">EPPGENPTA032</x:t>
        </x:is>
      </x:c>
      <x:c r="B588" t="inlineStr">
        <x:is>
          <x:t xml:space="preserve">TAPON OIDO STEELPRO DESECHABLE CON CORDON</x:t>
        </x:is>
      </x:c>
      <x:c r="E588" t="n">
        <x:v>0</x:v>
      </x:c>
    </x:row>
    <x:row r="589">
      <x:c r="A589" t="inlineStr">
        <x:is>
          <x:t xml:space="preserve">EPPGENPTA033</x:t>
        </x:is>
      </x:c>
      <x:c r="B589" t="inlineStr">
        <x:is>
          <x:t xml:space="preserve">TAPON OIDO 3M</x:t>
        </x:is>
      </x:c>
      <x:c r="E589" t="n">
        <x:v>106</x:v>
      </x:c>
    </x:row>
    <x:row r="590">
      <x:c r="A590" t="inlineStr">
        <x:is>
          <x:t xml:space="preserve">EPPGENPTA034</x:t>
        </x:is>
      </x:c>
      <x:c r="B590" t="inlineStr">
        <x:is>
          <x:t xml:space="preserve">COLETO DE CUERO SOLDADOR</x:t>
        </x:is>
      </x:c>
      <x:c r="E590" t="n">
        <x:v>0</x:v>
      </x:c>
    </x:row>
    <x:row r="591">
      <x:c r="A591" t="inlineStr">
        <x:is>
          <x:t xml:space="preserve">EPPGENPTA035</x:t>
        </x:is>
      </x:c>
      <x:c r="B591" t="inlineStr">
        <x:is>
          <x:t xml:space="preserve">MASCARA FULL FACE 3M TALLA M</x:t>
        </x:is>
      </x:c>
      <x:c r="E591" t="n">
        <x:v>1</x:v>
      </x:c>
    </x:row>
    <x:row r="592">
      <x:c r="A592" t="inlineStr">
        <x:is>
          <x:t xml:space="preserve">EPPGENPTA036</x:t>
        </x:is>
      </x:c>
      <x:c r="B592" t="inlineStr">
        <x:is>
          <x:t xml:space="preserve">MASCARA FULL FACE 3M TALLA L</x:t>
        </x:is>
      </x:c>
      <x:c r="E592" t="n">
        <x:v>0</x:v>
      </x:c>
    </x:row>
    <x:row r="593">
      <x:c r="A593" t="inlineStr">
        <x:is>
          <x:t xml:space="preserve">EPPGENPTA037</x:t>
        </x:is>
      </x:c>
      <x:c r="B593" t="inlineStr">
        <x:is>
          <x:t xml:space="preserve">LAMINAS PROTECTORAS PARA FULL FACE 3M CJ 25 UN</x:t>
        </x:is>
      </x:c>
      <x:c r="E593" t="n">
        <x:v>0</x:v>
      </x:c>
    </x:row>
    <x:row r="594">
      <x:c r="A594" t="inlineStr">
        <x:is>
          <x:t xml:space="preserve">EPPGENPTA038</x:t>
        </x:is>
      </x:c>
      <x:c r="B594" t="inlineStr">
        <x:is>
          <x:t xml:space="preserve">ARNES DE SEGURIDAD 4 ARGOLLAS CHILESIN TALLA L</x:t>
        </x:is>
      </x:c>
      <x:c r="E594" t="n">
        <x:v>0</x:v>
      </x:c>
    </x:row>
    <x:row r="595">
      <x:c r="A595" t="inlineStr">
        <x:is>
          <x:t xml:space="preserve">EPPGENPTA039</x:t>
        </x:is>
      </x:c>
      <x:c r="B595" t="inlineStr">
        <x:is>
          <x:t xml:space="preserve">ARNES DE SEGURIDAD 4 ARGOLLAS CHILESIN TALLA XL</x:t>
        </x:is>
      </x:c>
      <x:c r="E595" t="n">
        <x:v>0</x:v>
      </x:c>
    </x:row>
    <x:row r="596">
      <x:c r="A596" t="inlineStr">
        <x:is>
          <x:t xml:space="preserve">EPPGENPTA040</x:t>
        </x:is>
      </x:c>
      <x:c r="B596" t="inlineStr">
        <x:is>
          <x:t xml:space="preserve">ARNES DE SEGURIDAD 3 ARGOLLAS CHILESIN TALLA L</x:t>
        </x:is>
      </x:c>
      <x:c r="E596" t="n">
        <x:v>20</x:v>
      </x:c>
    </x:row>
    <x:row r="597">
      <x:c r="A597" t="inlineStr">
        <x:is>
          <x:t xml:space="preserve">EPPGENPTA041</x:t>
        </x:is>
      </x:c>
      <x:c r="B597" t="inlineStr">
        <x:is>
          <x:t xml:space="preserve">ARNES DE SEGURIDAD 3 ARGOLLAS CHILESIN TALLA XL</x:t>
        </x:is>
      </x:c>
      <x:c r="E597" t="n">
        <x:v>0</x:v>
      </x:c>
    </x:row>
    <x:row r="598">
      <x:c r="A598" t="inlineStr">
        <x:is>
          <x:t xml:space="preserve">EPPGENPTA042</x:t>
        </x:is>
      </x:c>
      <x:c r="B598" t="inlineStr">
        <x:is>
          <x:t xml:space="preserve">COLA DE ARNES TIPO MOSQUETERO</x:t>
        </x:is>
      </x:c>
      <x:c r="E598" t="n">
        <x:v>20</x:v>
      </x:c>
    </x:row>
    <x:row r="599">
      <x:c r="A599" t="inlineStr">
        <x:is>
          <x:t xml:space="preserve">EPPGENPTA043</x:t>
        </x:is>
      </x:c>
      <x:c r="B599" t="inlineStr">
        <x:is>
          <x:t xml:space="preserve">CUERDA DE VIDA METRO</x:t>
        </x:is>
      </x:c>
      <x:c r="E599" t="n">
        <x:v>0</x:v>
      </x:c>
    </x:row>
    <x:row r="600">
      <x:c r="A600" t="inlineStr">
        <x:is>
          <x:t xml:space="preserve">EPPGENPTA044</x:t>
        </x:is>
      </x:c>
      <x:c r="B600" t="inlineStr">
        <x:is>
          <x:t xml:space="preserve">CINTA ANTITRAUMA PARA ARNES</x:t>
        </x:is>
      </x:c>
      <x:c r="E600" t="n">
        <x:v>0</x:v>
      </x:c>
    </x:row>
    <x:row r="601">
      <x:c r="A601" t="inlineStr">
        <x:is>
          <x:t xml:space="preserve">EPPGENPTA045</x:t>
        </x:is>
      </x:c>
      <x:c r="B601" t="inlineStr">
        <x:is>
          <x:t xml:space="preserve">PROTECTOR AUDITIVO PARA CASCO</x:t>
        </x:is>
      </x:c>
      <x:c r="E601" t="n">
        <x:v>0</x:v>
      </x:c>
    </x:row>
    <x:row r="602">
      <x:c r="A602" t="inlineStr">
        <x:is>
          <x:t xml:space="preserve">EPPGENPTA046</x:t>
        </x:is>
      </x:c>
      <x:c r="B602" t="inlineStr">
        <x:is>
          <x:t xml:space="preserve">PROTECTOR AUDITIVO TIPO CINTILLO</x:t>
        </x:is>
      </x:c>
      <x:c r="E602" t="n">
        <x:v>0</x:v>
      </x:c>
    </x:row>
    <x:row r="603">
      <x:c r="A603" t="inlineStr">
        <x:is>
          <x:t xml:space="preserve">EPPGENPTA047</x:t>
        </x:is>
      </x:c>
      <x:c r="B603" t="inlineStr">
        <x:is>
          <x:t xml:space="preserve">BLISTER BALSAMO LABIAL</x:t>
        </x:is>
      </x:c>
      <x:c r="E603" t="n">
        <x:v>0</x:v>
      </x:c>
    </x:row>
    <x:row r="604">
      <x:c r="A604" t="inlineStr">
        <x:is>
          <x:t xml:space="preserve">EPPGENPTA048</x:t>
        </x:is>
      </x:c>
      <x:c r="B604" t="inlineStr">
        <x:is>
          <x:t xml:space="preserve">BOTA DE AGUA PUNTA DE ACERO N 37</x:t>
        </x:is>
      </x:c>
      <x:c r="E604" t="n">
        <x:v>0</x:v>
      </x:c>
    </x:row>
    <x:row r="605">
      <x:c r="A605" t="inlineStr">
        <x:is>
          <x:t xml:space="preserve">EPPGENPTA049</x:t>
        </x:is>
      </x:c>
      <x:c r="B605" t="inlineStr">
        <x:is>
          <x:t xml:space="preserve">BOTA DE AGUA PUNTA DE ACERO N 38</x:t>
        </x:is>
      </x:c>
      <x:c r="E605" t="n">
        <x:v>0</x:v>
      </x:c>
    </x:row>
    <x:row r="606">
      <x:c r="A606" t="inlineStr">
        <x:is>
          <x:t xml:space="preserve">EPPGENPTA050</x:t>
        </x:is>
      </x:c>
      <x:c r="B606" t="inlineStr">
        <x:is>
          <x:t xml:space="preserve">BOTA DE AGUA PUNTA DE ACERO N 39</x:t>
        </x:is>
      </x:c>
      <x:c r="E606" t="n">
        <x:v>0</x:v>
      </x:c>
    </x:row>
    <x:row r="607">
      <x:c r="A607" t="inlineStr">
        <x:is>
          <x:t xml:space="preserve">EPPGENPTA051</x:t>
        </x:is>
      </x:c>
      <x:c r="B607" t="inlineStr">
        <x:is>
          <x:t xml:space="preserve">BOTA DE AGUA PUNTA DE ACERO N 40</x:t>
        </x:is>
      </x:c>
      <x:c r="E607" t="n">
        <x:v>0</x:v>
      </x:c>
    </x:row>
    <x:row r="608">
      <x:c r="A608" t="inlineStr">
        <x:is>
          <x:t xml:space="preserve">EPPGENPTA052</x:t>
        </x:is>
      </x:c>
      <x:c r="B608" t="inlineStr">
        <x:is>
          <x:t xml:space="preserve">BOTA DE AGUA PUNTA DE ACERO N 41</x:t>
        </x:is>
      </x:c>
      <x:c r="E608" t="n">
        <x:v>0</x:v>
      </x:c>
    </x:row>
    <x:row r="609">
      <x:c r="A609" t="inlineStr">
        <x:is>
          <x:t xml:space="preserve">EPPGENPTA053</x:t>
        </x:is>
      </x:c>
      <x:c r="B609" t="inlineStr">
        <x:is>
          <x:t xml:space="preserve">BOTA DE AGUA PUNTA DE ACERO N 42</x:t>
        </x:is>
      </x:c>
      <x:c r="E609" t="n">
        <x:v>0</x:v>
      </x:c>
    </x:row>
    <x:row r="610">
      <x:c r="A610" t="inlineStr">
        <x:is>
          <x:t xml:space="preserve">EPPGENPTA054</x:t>
        </x:is>
      </x:c>
      <x:c r="B610" t="inlineStr">
        <x:is>
          <x:t xml:space="preserve">BOTA DE AGUA PUNTA DE ACERO N 43</x:t>
        </x:is>
      </x:c>
      <x:c r="E610" t="n">
        <x:v>0</x:v>
      </x:c>
    </x:row>
    <x:row r="611">
      <x:c r="A611" t="inlineStr">
        <x:is>
          <x:t xml:space="preserve">EPPGENPTA055</x:t>
        </x:is>
      </x:c>
      <x:c r="B611" t="inlineStr">
        <x:is>
          <x:t xml:space="preserve">BOTA DE AGUA PUNTA DE ACERO N 44</x:t>
        </x:is>
      </x:c>
      <x:c r="E611" t="n">
        <x:v>0</x:v>
      </x:c>
    </x:row>
    <x:row r="612">
      <x:c r="A612" t="inlineStr">
        <x:is>
          <x:t xml:space="preserve">EPPGENPTA056</x:t>
        </x:is>
      </x:c>
      <x:c r="B612" t="inlineStr">
        <x:is>
          <x:t xml:space="preserve">BOTA DE AGUA PUNTA DE ACERO N 45</x:t>
        </x:is>
      </x:c>
      <x:c r="E612" t="n">
        <x:v>0</x:v>
      </x:c>
    </x:row>
    <x:row r="613">
      <x:c r="A613" t="inlineStr">
        <x:is>
          <x:t xml:space="preserve">EPPGENPTA057</x:t>
        </x:is>
      </x:c>
      <x:c r="B613" t="inlineStr">
        <x:is>
          <x:t xml:space="preserve">BOTIN DE SEGURIDAD PUNTA DE ACERO ANTICLAVO N36</x:t>
        </x:is>
      </x:c>
      <x:c r="E613" t="n">
        <x:v>0</x:v>
      </x:c>
    </x:row>
    <x:row r="614">
      <x:c r="A614" t="inlineStr">
        <x:is>
          <x:t xml:space="preserve">EPPGENPTA058</x:t>
        </x:is>
      </x:c>
      <x:c r="B614" t="inlineStr">
        <x:is>
          <x:t xml:space="preserve">BOTIN DE SEGURIDAD PUNTA DE ACERO ANTICLAVO N 37</x:t>
        </x:is>
      </x:c>
      <x:c r="E614" t="n">
        <x:v>0</x:v>
      </x:c>
    </x:row>
    <x:row r="615">
      <x:c r="A615" t="inlineStr">
        <x:is>
          <x:t xml:space="preserve">EPPGENPTA059</x:t>
        </x:is>
      </x:c>
      <x:c r="B615" t="inlineStr">
        <x:is>
          <x:t xml:space="preserve">BOTIN DE SEGURIDAD PUNTA DE ACERO / ANTICLAVO N 38</x:t>
        </x:is>
      </x:c>
      <x:c r="E615" t="n">
        <x:v>0</x:v>
      </x:c>
    </x:row>
    <x:row r="616">
      <x:c r="A616" t="inlineStr">
        <x:is>
          <x:t xml:space="preserve">EPPGENPTA060</x:t>
        </x:is>
      </x:c>
      <x:c r="B616" t="inlineStr">
        <x:is>
          <x:t xml:space="preserve">BOTIN DE SEGURIDAD PUNTA DE ACERO / ANTICLAVO N 39</x:t>
        </x:is>
      </x:c>
      <x:c r="E616" t="n">
        <x:v>0</x:v>
      </x:c>
    </x:row>
    <x:row r="617">
      <x:c r="A617" t="inlineStr">
        <x:is>
          <x:t xml:space="preserve">EPPGENPTA061</x:t>
        </x:is>
      </x:c>
      <x:c r="B617" t="inlineStr">
        <x:is>
          <x:t xml:space="preserve">BOTIN DE SEGURIDAD PUNTA DE ACERO / ANTICLAVO N 40</x:t>
        </x:is>
      </x:c>
      <x:c r="E617" t="n">
        <x:v>0</x:v>
      </x:c>
    </x:row>
    <x:row r="618">
      <x:c r="A618" t="inlineStr">
        <x:is>
          <x:t xml:space="preserve">EPPGENPTA062</x:t>
        </x:is>
      </x:c>
      <x:c r="B618" t="inlineStr">
        <x:is>
          <x:t xml:space="preserve">BOTIN DE SEGURIDAD PUNTA DE ACERO / ANTICLAVO N 41</x:t>
        </x:is>
      </x:c>
      <x:c r="E618" t="n">
        <x:v>0</x:v>
      </x:c>
    </x:row>
    <x:row r="619">
      <x:c r="A619" t="inlineStr">
        <x:is>
          <x:t xml:space="preserve">EPPGENPTA063</x:t>
        </x:is>
      </x:c>
      <x:c r="B619" t="inlineStr">
        <x:is>
          <x:t xml:space="preserve">BOTIN DE SEGURIDAD PUNTA DE ACERO / ANTICLAVO N 42</x:t>
        </x:is>
      </x:c>
      <x:c r="E619" t="n">
        <x:v>0</x:v>
      </x:c>
    </x:row>
    <x:row r="620">
      <x:c r="A620" t="inlineStr">
        <x:is>
          <x:t xml:space="preserve">EPPGENPTA064</x:t>
        </x:is>
      </x:c>
      <x:c r="B620" t="inlineStr">
        <x:is>
          <x:t xml:space="preserve">BOTIN DE SEGURIDAD PUNTA DE ACERO / ANTICLAVO N 43</x:t>
        </x:is>
      </x:c>
      <x:c r="E620" t="n">
        <x:v>0</x:v>
      </x:c>
    </x:row>
    <x:row r="621">
      <x:c r="A621" t="inlineStr">
        <x:is>
          <x:t xml:space="preserve">EPPGENPTA065</x:t>
        </x:is>
      </x:c>
      <x:c r="B621" t="inlineStr">
        <x:is>
          <x:t xml:space="preserve">BOTIN DE SEGURIDAD PUNTA DE ACERO / ANTICLAVO N 44</x:t>
        </x:is>
      </x:c>
      <x:c r="E621" t="n">
        <x:v>0</x:v>
      </x:c>
    </x:row>
    <x:row r="622">
      <x:c r="A622" t="inlineStr">
        <x:is>
          <x:t xml:space="preserve">EPPGENPTA066</x:t>
        </x:is>
      </x:c>
      <x:c r="B622" t="inlineStr">
        <x:is>
          <x:t xml:space="preserve">BOTIN DE SEGURIDAD PUNTA DE ACERO / ANTICLAVO N 45</x:t>
        </x:is>
      </x:c>
      <x:c r="E622" t="n">
        <x:v>0</x:v>
      </x:c>
    </x:row>
    <x:row r="623">
      <x:c r="A623" t="inlineStr">
        <x:is>
          <x:t xml:space="preserve">EPPGENPTA067</x:t>
        </x:is>
      </x:c>
      <x:c r="B623" t="inlineStr">
        <x:is>
          <x:t xml:space="preserve">BOTIQUIN PRIMEROS AUXILIOS 25 PERSONAS</x:t>
        </x:is>
      </x:c>
      <x:c r="E623" t="n">
        <x:v>0</x:v>
      </x:c>
    </x:row>
    <x:row r="624">
      <x:c r="A624" t="inlineStr">
        <x:is>
          <x:t xml:space="preserve">EPPGENPTA068</x:t>
        </x:is>
      </x:c>
      <x:c r="B624" t="inlineStr">
        <x:is>
          <x:t xml:space="preserve">BOTIQUIN PRIMEROS AUXILIOS 10 PERSONAS</x:t>
        </x:is>
      </x:c>
      <x:c r="E624" t="n">
        <x:v>0</x:v>
      </x:c>
    </x:row>
    <x:row r="625">
      <x:c r="A625" t="inlineStr">
        <x:is>
          <x:t xml:space="preserve">EPPGENPTA069</x:t>
        </x:is>
      </x:c>
      <x:c r="B625" t="inlineStr">
        <x:is>
          <x:t xml:space="preserve">BUZO ANTIACIDO CON REFLECTANTE TALLA M</x:t>
        </x:is>
      </x:c>
      <x:c r="E625" t="n">
        <x:v>54</x:v>
      </x:c>
    </x:row>
    <x:row r="626">
      <x:c r="A626" t="inlineStr">
        <x:is>
          <x:t xml:space="preserve">EPPGENPTA070</x:t>
        </x:is>
      </x:c>
      <x:c r="B626" t="inlineStr">
        <x:is>
          <x:t xml:space="preserve">BUZO ANTIACIDO CON REFLECTANTE TALLA L</x:t>
        </x:is>
      </x:c>
      <x:c r="E626" t="n">
        <x:v>57</x:v>
      </x:c>
    </x:row>
    <x:row r="627">
      <x:c r="A627" t="inlineStr">
        <x:is>
          <x:t xml:space="preserve">EPPGENPTA071</x:t>
        </x:is>
      </x:c>
      <x:c r="B627" t="inlineStr">
        <x:is>
          <x:t xml:space="preserve">BUZO ANTIACIDO CON REFLECTANTE TALLA XL</x:t>
        </x:is>
      </x:c>
      <x:c r="E627" t="n">
        <x:v>16</x:v>
      </x:c>
    </x:row>
    <x:row r="628">
      <x:c r="A628" t="inlineStr">
        <x:is>
          <x:t xml:space="preserve">EPPGENPTA072</x:t>
        </x:is>
      </x:c>
      <x:c r="B628" t="inlineStr">
        <x:is>
          <x:t xml:space="preserve">BUZO ANTIACIDO CON REFLECTANTE TALLA XXL</x:t>
        </x:is>
      </x:c>
      <x:c r="E628" t="n">
        <x:v>97</x:v>
      </x:c>
    </x:row>
    <x:row r="629">
      <x:c r="A629" t="inlineStr">
        <x:is>
          <x:t xml:space="preserve">EPPGENPTA073</x:t>
        </x:is>
      </x:c>
      <x:c r="B629" t="inlineStr">
        <x:is>
          <x:t xml:space="preserve">BUZO CHEMAX TALLA M</x:t>
        </x:is>
      </x:c>
      <x:c r="E629" t="n">
        <x:v>6</x:v>
      </x:c>
    </x:row>
    <x:row r="630">
      <x:c r="A630" t="inlineStr">
        <x:is>
          <x:t xml:space="preserve">EPPGENPTA074</x:t>
        </x:is>
      </x:c>
      <x:c r="B630" t="inlineStr">
        <x:is>
          <x:t xml:space="preserve">BUZO CHEMAX TALLA L</x:t>
        </x:is>
      </x:c>
      <x:c r="E630" t="n">
        <x:v>41</x:v>
      </x:c>
    </x:row>
    <x:row r="631">
      <x:c r="A631" t="inlineStr">
        <x:is>
          <x:t xml:space="preserve">EPPGENPTA075</x:t>
        </x:is>
      </x:c>
      <x:c r="B631" t="inlineStr">
        <x:is>
          <x:t xml:space="preserve">BUZO CHEMAX TALLA XL</x:t>
        </x:is>
      </x:c>
      <x:c r="E631" t="n">
        <x:v>2</x:v>
      </x:c>
    </x:row>
    <x:row r="632">
      <x:c r="A632" t="inlineStr">
        <x:is>
          <x:t xml:space="preserve">EPPGENPTA076</x:t>
        </x:is>
      </x:c>
      <x:c r="B632" t="inlineStr">
        <x:is>
          <x:t xml:space="preserve">BUZO CHEMAX TALLA XXL</x:t>
        </x:is>
      </x:c>
      <x:c r="E632" t="n">
        <x:v>0</x:v>
      </x:c>
    </x:row>
    <x:row r="633">
      <x:c r="A633" t="inlineStr">
        <x:is>
          <x:t xml:space="preserve">EPPGENPTA077</x:t>
        </x:is>
      </x:c>
      <x:c r="B633" t="inlineStr">
        <x:is>
          <x:t xml:space="preserve">BUZO OVEROL TIPO PILOTO TALLA M</x:t>
        </x:is>
      </x:c>
      <x:c r="E633" t="n">
        <x:v>0</x:v>
      </x:c>
    </x:row>
    <x:row r="634">
      <x:c r="A634" t="inlineStr">
        <x:is>
          <x:t xml:space="preserve">EPPGENPTA078</x:t>
        </x:is>
      </x:c>
      <x:c r="B634" t="inlineStr">
        <x:is>
          <x:t xml:space="preserve">BUZO OVEROL TIPO PILOTO TALLA L</x:t>
        </x:is>
      </x:c>
      <x:c r="E634" t="n">
        <x:v>0</x:v>
      </x:c>
    </x:row>
    <x:row r="635">
      <x:c r="A635" t="inlineStr">
        <x:is>
          <x:t xml:space="preserve">EPPGENPTA079</x:t>
        </x:is>
      </x:c>
      <x:c r="B635" t="inlineStr">
        <x:is>
          <x:t xml:space="preserve">BUZO OVEROL TIPO PILOTO TALLA XL</x:t>
        </x:is>
      </x:c>
      <x:c r="E635" t="n">
        <x:v>0</x:v>
      </x:c>
    </x:row>
    <x:row r="636">
      <x:c r="A636" t="inlineStr">
        <x:is>
          <x:t xml:space="preserve">EPPGENPTA080</x:t>
        </x:is>
      </x:c>
      <x:c r="B636" t="inlineStr">
        <x:is>
          <x:t xml:space="preserve">BUZO OVEROL TIPO PILOTO TALLA XXL</x:t>
        </x:is>
      </x:c>
      <x:c r="E636" t="n">
        <x:v>0</x:v>
      </x:c>
    </x:row>
    <x:row r="637">
      <x:c r="A637" t="inlineStr">
        <x:is>
          <x:t xml:space="preserve">EPPGENPTA081</x:t>
        </x:is>
      </x:c>
      <x:c r="B637" t="inlineStr">
        <x:is>
          <x:t xml:space="preserve">BARBOQUEJO PARA CASCO</x:t>
        </x:is>
      </x:c>
      <x:c r="E637" t="n">
        <x:v>0</x:v>
      </x:c>
    </x:row>
    <x:row r="638">
      <x:c r="A638" t="inlineStr">
        <x:is>
          <x:t xml:space="preserve">EPPGENPTA082</x:t>
        </x:is>
      </x:c>
      <x:c r="B638" t="inlineStr">
        <x:is>
          <x:t xml:space="preserve">PORTA CARETA FACIAL PARA CASCO (CINTILLO)</x:t>
        </x:is>
      </x:c>
      <x:c r="E638" t="n">
        <x:v>15</x:v>
      </x:c>
    </x:row>
    <x:row r="639">
      <x:c r="A639" t="inlineStr">
        <x:is>
          <x:t xml:space="preserve">EPPGENPTA083</x:t>
        </x:is>
      </x:c>
      <x:c r="B639" t="inlineStr">
        <x:is>
          <x:t xml:space="preserve">CARETA FACIAL PARA CASCO</x:t>
        </x:is>
      </x:c>
      <x:c r="E639" t="n">
        <x:v>0</x:v>
      </x:c>
    </x:row>
    <x:row r="640">
      <x:c r="A640" t="inlineStr">
        <x:is>
          <x:t xml:space="preserve">EPPGENPTA084</x:t>
        </x:is>
      </x:c>
      <x:c r="B640" t="inlineStr">
        <x:is>
          <x:t xml:space="preserve">LINTERNA PARA CASCO</x:t>
        </x:is>
      </x:c>
      <x:c r="E640" t="n">
        <x:v>18</x:v>
      </x:c>
    </x:row>
    <x:row r="641">
      <x:c r="A641" t="inlineStr">
        <x:is>
          <x:t xml:space="preserve">EPPGENPTA085</x:t>
        </x:is>
      </x:c>
      <x:c r="B641" t="inlineStr">
        <x:is>
          <x:t xml:space="preserve">CASCO MSA V-GARD POLIE COLOR AZUL</x:t>
        </x:is>
      </x:c>
      <x:c r="E641" t="n">
        <x:v>0</x:v>
      </x:c>
    </x:row>
    <x:row r="642">
      <x:c r="A642" t="inlineStr">
        <x:is>
          <x:t xml:space="preserve">EPPGENPTA086</x:t>
        </x:is>
      </x:c>
      <x:c r="B642" t="inlineStr">
        <x:is>
          <x:t xml:space="preserve">CASCO MSA V-GARD POLIE COLOR AMARILLO</x:t>
        </x:is>
      </x:c>
      <x:c r="E642" t="n">
        <x:v>0</x:v>
      </x:c>
    </x:row>
    <x:row r="643">
      <x:c r="A643" t="inlineStr">
        <x:is>
          <x:t xml:space="preserve">EPPGENPTA087</x:t>
        </x:is>
      </x:c>
      <x:c r="B643" t="inlineStr">
        <x:is>
          <x:t xml:space="preserve">CASCO MSA V-GARD POLIE COLOR ROJO</x:t>
        </x:is>
      </x:c>
      <x:c r="E643" t="n">
        <x:v>0</x:v>
      </x:c>
    </x:row>
    <x:row r="644">
      <x:c r="A644" t="inlineStr">
        <x:is>
          <x:t xml:space="preserve">EPPGENPTA088</x:t>
        </x:is>
      </x:c>
      <x:c r="B644" t="inlineStr">
        <x:is>
          <x:t xml:space="preserve">CASCO MSA V-GARD POLIE COLOR BLANCO</x:t>
        </x:is>
      </x:c>
      <x:c r="E644" t="n">
        <x:v>0</x:v>
      </x:c>
    </x:row>
    <x:row r="645">
      <x:c r="A645" t="inlineStr">
        <x:is>
          <x:t xml:space="preserve">EPPGENPTA089</x:t>
        </x:is>
      </x:c>
      <x:c r="B645" t="inlineStr">
        <x:is>
          <x:t xml:space="preserve">CHALECO GEOLOGO NARANJA TALLA L</x:t>
        </x:is>
      </x:c>
      <x:c r="E645" t="n">
        <x:v>9</x:v>
      </x:c>
    </x:row>
    <x:row r="646">
      <x:c r="A646" t="inlineStr">
        <x:is>
          <x:t xml:space="preserve">EPPGENPTA090</x:t>
        </x:is>
      </x:c>
      <x:c r="B646" t="inlineStr">
        <x:is>
          <x:t xml:space="preserve">CHALECO GEOLOGO NARANJA TALLA XL</x:t>
        </x:is>
      </x:c>
      <x:c r="E646" t="n">
        <x:v>57</x:v>
      </x:c>
    </x:row>
    <x:row r="647">
      <x:c r="A647" t="inlineStr">
        <x:is>
          <x:t xml:space="preserve">EPPGENPTA091</x:t>
        </x:is>
      </x:c>
      <x:c r="B647" t="inlineStr">
        <x:is>
          <x:t xml:space="preserve">CHALECO GEOLOGO NARANJA TALLA XXL</x:t>
        </x:is>
      </x:c>
      <x:c r="E647" t="n">
        <x:v>38</x:v>
      </x:c>
    </x:row>
    <x:row r="648">
      <x:c r="A648" t="inlineStr">
        <x:is>
          <x:t xml:space="preserve">EPPGENPTA092</x:t>
        </x:is>
      </x:c>
      <x:c r="B648" t="inlineStr">
        <x:is>
          <x:t xml:space="preserve">CHALECO REFLECTANTE NARANJA TALLA L</x:t>
        </x:is>
      </x:c>
      <x:c r="E648" t="n">
        <x:v>0</x:v>
      </x:c>
    </x:row>
    <x:row r="649">
      <x:c r="A649" t="inlineStr">
        <x:is>
          <x:t xml:space="preserve">EPPGENPTA093</x:t>
        </x:is>
      </x:c>
      <x:c r="B649" t="inlineStr">
        <x:is>
          <x:t xml:space="preserve">CHALECO REFLECTANTE NARANJA TALLA XL</x:t>
        </x:is>
      </x:c>
      <x:c r="E649" t="n">
        <x:v>0</x:v>
      </x:c>
    </x:row>
    <x:row r="650">
      <x:c r="A650" t="inlineStr">
        <x:is>
          <x:t xml:space="preserve">EPPGENPTA094</x:t>
        </x:is>
      </x:c>
      <x:c r="B650" t="inlineStr">
        <x:is>
          <x:t xml:space="preserve">CHALECO REFLECTANTE NARANJA TALLA XXL</x:t>
        </x:is>
      </x:c>
      <x:c r="E650" t="n">
        <x:v>0</x:v>
      </x:c>
    </x:row>
    <x:row r="651">
      <x:c r="A651" t="inlineStr">
        <x:is>
          <x:t xml:space="preserve">EPPGENPTA095</x:t>
        </x:is>
      </x:c>
      <x:c r="B651" t="inlineStr">
        <x:is>
          <x:t xml:space="preserve">EXTINTOR DE INCENDIOS 6KG</x:t>
        </x:is>
      </x:c>
      <x:c r="E651" t="n">
        <x:v>0</x:v>
      </x:c>
    </x:row>
    <x:row r="652">
      <x:c r="A652" t="inlineStr">
        <x:is>
          <x:t xml:space="preserve">EPPGENPTA096</x:t>
        </x:is>
      </x:c>
      <x:c r="B652" t="inlineStr">
        <x:is>
          <x:t xml:space="preserve">EXTINTOR DE INCENDIOS 10KG</x:t>
        </x:is>
      </x:c>
      <x:c r="E652" t="n">
        <x:v>5</x:v>
      </x:c>
    </x:row>
    <x:row r="653">
      <x:c r="A653" t="inlineStr">
        <x:is>
          <x:t xml:space="preserve">EPPGENPTA097</x:t>
        </x:is>
      </x:c>
      <x:c r="B653" t="inlineStr">
        <x:is>
          <x:t xml:space="preserve">GUANTE NITRILO TALLA 8</x:t>
        </x:is>
      </x:c>
      <x:c r="E653" t="n">
        <x:v>200</x:v>
      </x:c>
    </x:row>
    <x:row r="654">
      <x:c r="A654" t="inlineStr">
        <x:is>
          <x:t xml:space="preserve">EPPGENPTA098</x:t>
        </x:is>
      </x:c>
      <x:c r="B654" t="inlineStr">
        <x:is>
          <x:t xml:space="preserve">GUANTE NITRILO TALLA 9</x:t>
        </x:is>
      </x:c>
      <x:c r="E654" t="n">
        <x:v>400</x:v>
      </x:c>
    </x:row>
    <x:row r="655">
      <x:c r="A655" t="inlineStr">
        <x:is>
          <x:t xml:space="preserve">EPPGENPTA099</x:t>
        </x:is>
      </x:c>
      <x:c r="B655" t="inlineStr">
        <x:is>
          <x:t xml:space="preserve">GUANTE NITRILO TALLA 10</x:t>
        </x:is>
      </x:c>
      <x:c r="E655" t="n">
        <x:v>30</x:v>
      </x:c>
    </x:row>
    <x:row r="656">
      <x:c r="A656" t="inlineStr">
        <x:is>
          <x:t xml:space="preserve">EPPGENPTA100</x:t>
        </x:is>
      </x:c>
      <x:c r="B656" t="inlineStr">
        <x:is>
          <x:t xml:space="preserve">PAÑO WYPALL INDUSTRIAL REGULAR ROLL</x:t>
        </x:is>
      </x:c>
      <x:c r="E656" t="n">
        <x:v>0</x:v>
      </x:c>
    </x:row>
    <x:row r="657">
      <x:c r="A657" t="inlineStr">
        <x:is>
          <x:t xml:space="preserve">EPPGENPTA101</x:t>
        </x:is>
      </x:c>
      <x:c r="B657" t="inlineStr">
        <x:is>
          <x:t xml:space="preserve">PIJAMA DE ALGODÓN 2 PIEZAS BLANCO TALLA M</x:t>
        </x:is>
      </x:c>
      <x:c r="E657" t="n">
        <x:v>0</x:v>
      </x:c>
    </x:row>
    <x:row r="658">
      <x:c r="A658" t="inlineStr">
        <x:is>
          <x:t xml:space="preserve">EPPGENPTA102</x:t>
        </x:is>
      </x:c>
      <x:c r="B658" t="inlineStr">
        <x:is>
          <x:t xml:space="preserve">PIJAMA DE ALGODÓN 2 PIEZAS BLANCO TALLA L</x:t>
        </x:is>
      </x:c>
      <x:c r="E658" t="n">
        <x:v>0</x:v>
      </x:c>
    </x:row>
    <x:row r="659">
      <x:c r="A659" t="inlineStr">
        <x:is>
          <x:t xml:space="preserve">EPPGENPTA103</x:t>
        </x:is>
      </x:c>
      <x:c r="B659" t="inlineStr">
        <x:is>
          <x:t xml:space="preserve">PIJAMA DE ALGODÓN 2 PIEZAS BLANCO TALLA XL</x:t>
        </x:is>
      </x:c>
      <x:c r="E659" t="n">
        <x:v>0</x:v>
      </x:c>
    </x:row>
    <x:row r="660">
      <x:c r="A660" t="inlineStr">
        <x:is>
          <x:t xml:space="preserve">EPPGENPTA104</x:t>
        </x:is>
      </x:c>
      <x:c r="B660" t="inlineStr">
        <x:is>
          <x:t xml:space="preserve">PIJAMA DE ALGODÓN 2 PIEZAS BLANCO TALLA XXL</x:t>
        </x:is>
      </x:c>
      <x:c r="E660" t="n">
        <x:v>0</x:v>
      </x:c>
    </x:row>
    <x:row r="661">
      <x:c r="A661" t="inlineStr">
        <x:is>
          <x:t xml:space="preserve">EPPGENPTA105</x:t>
        </x:is>
      </x:c>
      <x:c r="B661" t="inlineStr">
        <x:is>
          <x:t xml:space="preserve">CANDADO DE BLOQUEO COLOR ROJO</x:t>
        </x:is>
      </x:c>
      <x:c r="E661" t="n">
        <x:v>15</x:v>
      </x:c>
    </x:row>
    <x:row r="662">
      <x:c r="A662" t="inlineStr">
        <x:is>
          <x:t xml:space="preserve">EPPGENPTA106</x:t>
        </x:is>
      </x:c>
      <x:c r="B662" t="inlineStr">
        <x:is>
          <x:t xml:space="preserve">CANDADO DE BLOQUEO COLOR AZUL</x:t>
        </x:is>
      </x:c>
      <x:c r="E662" t="n">
        <x:v>20</x:v>
      </x:c>
    </x:row>
    <x:row r="663">
      <x:c r="A663" t="inlineStr">
        <x:is>
          <x:t xml:space="preserve">EPPGENPTA107</x:t>
        </x:is>
      </x:c>
      <x:c r="B663" t="inlineStr">
        <x:is>
          <x:t xml:space="preserve">PINZAS DE BLOQUEO COLOR ROJO</x:t>
        </x:is>
      </x:c>
      <x:c r="E663" t="n">
        <x:v>0</x:v>
      </x:c>
    </x:row>
    <x:row r="664">
      <x:c r="A664" t="inlineStr">
        <x:is>
          <x:t xml:space="preserve">EPPGENPTA108</x:t>
        </x:is>
      </x:c>
      <x:c r="B664" t="inlineStr">
        <x:is>
          <x:t xml:space="preserve">PINZAS DE BLOQUEO COLOR AZUL</x:t>
        </x:is>
      </x:c>
      <x:c r="E664" t="n">
        <x:v>0</x:v>
      </x:c>
    </x:row>
    <x:row r="665">
      <x:c r="A665" t="inlineStr">
        <x:is>
          <x:t xml:space="preserve">EPPGENPTA109</x:t>
        </x:is>
      </x:c>
      <x:c r="B665" t="inlineStr">
        <x:is>
          <x:t xml:space="preserve">CAJA DE BLOQUEO</x:t>
        </x:is>
      </x:c>
      <x:c r="E665" t="n">
        <x:v>0</x:v>
      </x:c>
    </x:row>
    <x:row r="666">
      <x:c r="A666" t="inlineStr">
        <x:is>
          <x:t xml:space="preserve">EPPGENPTA110</x:t>
        </x:is>
      </x:c>
      <x:c r="B666" t="inlineStr">
        <x:is>
          <x:t xml:space="preserve">MASCARA SOLDADOR VISOR ALZABLE</x:t>
        </x:is>
      </x:c>
      <x:c r="E666" t="n">
        <x:v>0</x:v>
      </x:c>
    </x:row>
    <x:row r="667">
      <x:c r="A667" t="inlineStr">
        <x:is>
          <x:t xml:space="preserve">EPPGENPTA111</x:t>
        </x:is>
      </x:c>
      <x:c r="B667" t="inlineStr">
        <x:is>
          <x:t xml:space="preserve">MASCARA SOLDADOR FOTOSENSIBLE</x:t>
        </x:is>
      </x:c>
      <x:c r="E667" t="n">
        <x:v>0</x:v>
      </x:c>
    </x:row>
    <x:row r="668">
      <x:c r="A668" t="inlineStr">
        <x:is>
          <x:t xml:space="preserve">EPPGENPTA112</x:t>
        </x:is>
      </x:c>
      <x:c r="B668" t="inlineStr">
        <x:is>
          <x:t xml:space="preserve">VIDRIO PARA MASCARA DE SOLDAR TRANSPARENTE</x:t>
        </x:is>
      </x:c>
      <x:c r="E668" t="n">
        <x:v>0</x:v>
      </x:c>
    </x:row>
    <x:row r="669">
      <x:c r="A669" t="inlineStr">
        <x:is>
          <x:t xml:space="preserve">EPPGENPTA113</x:t>
        </x:is>
      </x:c>
      <x:c r="B669" t="inlineStr">
        <x:is>
          <x:t xml:space="preserve">VIDRIO PARA MASCARA DE SOLDAR NEGRO</x:t>
        </x:is>
      </x:c>
      <x:c r="E669" t="n">
        <x:v>0</x:v>
      </x:c>
    </x:row>
    <x:row r="670">
      <x:c r="A670" t="inlineStr">
        <x:is>
          <x:t xml:space="preserve">EPPGENPTA114</x:t>
        </x:is>
      </x:c>
      <x:c r="B670" t="inlineStr">
        <x:is>
          <x:t xml:space="preserve">GORRO DE CUERO PARA SOLDADOR</x:t>
        </x:is>
      </x:c>
      <x:c r="E670" t="n">
        <x:v>15</x:v>
      </x:c>
    </x:row>
    <x:row r="671">
      <x:c r="A671" t="inlineStr">
        <x:is>
          <x:t xml:space="preserve">EPPGENPTA115</x:t>
        </x:is>
      </x:c>
      <x:c r="B671" t="inlineStr">
        <x:is>
          <x:t xml:space="preserve">POLAINA DE CUERO PARA SOLDADOR</x:t>
        </x:is>
      </x:c>
      <x:c r="E671" t="n">
        <x:v>15</x:v>
      </x:c>
    </x:row>
    <x:row r="672">
      <x:c r="A672" t="inlineStr">
        <x:is>
          <x:t xml:space="preserve">EPPGENPTA116</x:t>
        </x:is>
      </x:c>
      <x:c r="B672" t="inlineStr">
        <x:is>
          <x:t xml:space="preserve">PANTALON DE CUERO PARA SOLDADOR XL</x:t>
        </x:is>
      </x:c>
      <x:c r="E672" t="n">
        <x:v>15</x:v>
      </x:c>
    </x:row>
    <x:row r="673">
      <x:c r="A673" t="inlineStr">
        <x:is>
          <x:t xml:space="preserve">EPPGENPTA117</x:t>
        </x:is>
      </x:c>
      <x:c r="B673" t="inlineStr">
        <x:is>
          <x:t xml:space="preserve">CHAQUETA DE CUERO PARA SOLDADOR XL</x:t>
        </x:is>
      </x:c>
      <x:c r="E673" t="n">
        <x:v>15</x:v>
      </x:c>
    </x:row>
    <x:row r="674">
      <x:c r="A674" t="inlineStr">
        <x:is>
          <x:t xml:space="preserve">EPPGENPTA118</x:t>
        </x:is>
      </x:c>
      <x:c r="B674" t="inlineStr">
        <x:is>
          <x:t xml:space="preserve">GUANTE DE CUERO SOLDADOR</x:t>
        </x:is>
      </x:c>
      <x:c r="E674" t="n">
        <x:v>3</x:v>
      </x:c>
    </x:row>
    <x:row r="675">
      <x:c r="A675" t="inlineStr">
        <x:is>
          <x:t xml:space="preserve">EPPGENPTA119</x:t>
        </x:is>
      </x:c>
      <x:c r="B675" t="inlineStr">
        <x:is>
          <x:t xml:space="preserve">LEGIONARIO CUBRENUCAS COLOR NARANJA</x:t>
        </x:is>
      </x:c>
      <x:c r="E675" t="n">
        <x:v>35</x:v>
      </x:c>
    </x:row>
    <x:row r="676">
      <x:c r="A676" t="inlineStr">
        <x:is>
          <x:t xml:space="preserve">EPPGENPTA120</x:t>
        </x:is>
      </x:c>
      <x:c r="B676" t="inlineStr">
        <x:is>
          <x:t xml:space="preserve">LAVA OJOS PORTATIL STEELPRO</x:t>
        </x:is>
      </x:c>
      <x:c r="E676" t="n">
        <x:v>0</x:v>
      </x:c>
    </x:row>
    <x:row r="677">
      <x:c r="A677" t="inlineStr">
        <x:is>
          <x:t xml:space="preserve">EPPGENPTA121</x:t>
        </x:is>
      </x:c>
      <x:c r="B677" t="inlineStr">
        <x:is>
          <x:t xml:space="preserve">CASCO GENERICO COLOR AZUL</x:t>
        </x:is>
      </x:c>
      <x:c r="E677" t="n">
        <x:v>42</x:v>
      </x:c>
    </x:row>
    <x:row r="678">
      <x:c r="A678" t="inlineStr">
        <x:is>
          <x:t xml:space="preserve">EPPGENPTA122</x:t>
        </x:is>
      </x:c>
      <x:c r="B678" t="inlineStr">
        <x:is>
          <x:t xml:space="preserve">CASCO GENERICO COLOR AMARILLO</x:t>
        </x:is>
      </x:c>
      <x:c r="E678" t="n">
        <x:v>0</x:v>
      </x:c>
    </x:row>
    <x:row r="679">
      <x:c r="A679" t="inlineStr">
        <x:is>
          <x:t xml:space="preserve">EPPGENPTA123</x:t>
        </x:is>
      </x:c>
      <x:c r="B679" t="inlineStr">
        <x:is>
          <x:t xml:space="preserve">CASCO GENERICO COLOR ROJO</x:t>
        </x:is>
      </x:c>
      <x:c r="E679" t="n">
        <x:v>0</x:v>
      </x:c>
    </x:row>
    <x:row r="680">
      <x:c r="A680" t="inlineStr">
        <x:is>
          <x:t xml:space="preserve">EPPGENPTA124</x:t>
        </x:is>
      </x:c>
      <x:c r="B680" t="inlineStr">
        <x:is>
          <x:t xml:space="preserve">CASCO GENERICO COLOR BLANCO</x:t>
        </x:is>
      </x:c>
      <x:c r="E680" t="n">
        <x:v>0</x:v>
      </x:c>
    </x:row>
    <x:row r="681">
      <x:c r="A681" t="inlineStr">
        <x:is>
          <x:t xml:space="preserve">EPPGENPTA125</x:t>
        </x:is>
      </x:c>
      <x:c r="B681" t="inlineStr">
        <x:is>
          <x:t xml:space="preserve">LENTE STEELPRO SPY-FLEX ANTIFOG IN/OUT</x:t>
        </x:is>
      </x:c>
      <x:c r="E681" t="n">
        <x:v>0</x:v>
      </x:c>
    </x:row>
    <x:row r="682">
      <x:c r="A682" t="inlineStr">
        <x:is>
          <x:t xml:space="preserve">EPPGENPTA126</x:t>
        </x:is>
      </x:c>
      <x:c r="B682" t="inlineStr">
        <x:is>
          <x:t xml:space="preserve">LENTE SPY CLARO U.S. EAGLE</x:t>
        </x:is>
      </x:c>
      <x:c r="E682" t="n">
        <x:v>0</x:v>
      </x:c>
    </x:row>
    <x:row r="683">
      <x:c r="A683" t="inlineStr">
        <x:is>
          <x:t xml:space="preserve">EPPGENPTA127</x:t>
        </x:is>
      </x:c>
      <x:c r="B683" t="inlineStr">
        <x:is>
          <x:t xml:space="preserve">PAÑO DE LIMPIEZA X KG</x:t>
        </x:is>
      </x:c>
      <x:c r="E683" t="n">
        <x:v>302</x:v>
      </x:c>
    </x:row>
    <x:row r="684">
      <x:c r="A684" t="inlineStr">
        <x:is>
          <x:t xml:space="preserve">EPPGENPTA128</x:t>
        </x:is>
      </x:c>
      <x:c r="B684" t="inlineStr">
        <x:is>
          <x:t xml:space="preserve">ALCOHOL ISOPROPILICO</x:t>
        </x:is>
      </x:c>
      <x:c r="E684" t="n">
        <x:v>45</x:v>
      </x:c>
    </x:row>
    <x:row r="685">
      <x:c r="A685" t="inlineStr">
        <x:is>
          <x:t xml:space="preserve">EPPGENPTA129</x:t>
        </x:is>
      </x:c>
      <x:c r="B685" t="inlineStr">
        <x:is>
          <x:t xml:space="preserve">HOMBRERAS</x:t>
        </x:is>
      </x:c>
      <x:c r="E685" t="n">
        <x:v>0</x:v>
      </x:c>
    </x:row>
    <x:row r="686">
      <x:c r="A686" t="inlineStr">
        <x:is>
          <x:t xml:space="preserve">EPPGENPTA130</x:t>
        </x:is>
      </x:c>
      <x:c r="B686" t="inlineStr">
        <x:is>
          <x:t xml:space="preserve">GUANTE NITRILO TALLA 7</x:t>
        </x:is>
      </x:c>
      <x:c r="E686" t="n">
        <x:v>0</x:v>
      </x:c>
    </x:row>
    <x:row r="687">
      <x:c r="A687" t="inlineStr">
        <x:is>
          <x:t xml:space="preserve">EPPGENPTA131</x:t>
        </x:is>
      </x:c>
      <x:c r="B687" t="inlineStr">
        <x:is>
          <x:t xml:space="preserve">LENTE SPY ULTRATECH GRIS C/CORDON</x:t>
        </x:is>
      </x:c>
      <x:c r="E687" t="n">
        <x:v>0</x:v>
      </x:c>
    </x:row>
    <x:row r="688">
      <x:c r="A688" t="inlineStr">
        <x:is>
          <x:t xml:space="preserve">EPPGENPTA132</x:t>
        </x:is>
      </x:c>
      <x:c r="B688" t="inlineStr">
        <x:is>
          <x:t xml:space="preserve">LENTE SPY ULTRATECH CLARO C/CORDON</x:t>
        </x:is>
      </x:c>
      <x:c r="E688" t="n">
        <x:v>0</x:v>
      </x:c>
    </x:row>
    <x:row r="689">
      <x:c r="A689" t="inlineStr">
        <x:is>
          <x:t xml:space="preserve">EPPGENPTA133</x:t>
        </x:is>
      </x:c>
      <x:c r="B689" t="inlineStr">
        <x:is>
          <x:t xml:space="preserve">CAPUCHA FULL FACE BLS 5700C (ANTIACIDA)</x:t>
        </x:is>
      </x:c>
      <x:c r="E689" t="n">
        <x:v>23</x:v>
      </x:c>
    </x:row>
    <x:row r="690">
      <x:c r="A690" t="inlineStr">
        <x:is>
          <x:t xml:space="preserve">EPPGENPTA134</x:t>
        </x:is>
      </x:c>
      <x:c r="B690" t="inlineStr">
        <x:is>
          <x:t xml:space="preserve">TAPON DE OIDOS REUSABLES (CAJA 100 PARES)</x:t>
        </x:is>
      </x:c>
      <x:c r="E690" t="n">
        <x:v>0</x:v>
      </x:c>
    </x:row>
    <x:row r="691">
      <x:c r="A691" t="inlineStr">
        <x:is>
          <x:t xml:space="preserve">EPPGENPTA135</x:t>
        </x:is>
      </x:c>
      <x:c r="B691" t="inlineStr">
        <x:is>
          <x:t xml:space="preserve">RESPIRADOR ROSTRO COMPLETO 3M 6800 TALLA - M</x:t>
        </x:is>
      </x:c>
      <x:c r="E691" t="n">
        <x:v>0</x:v>
      </x:c>
    </x:row>
    <x:row r="692">
      <x:c r="A692" t="inlineStr">
        <x:is>
          <x:t xml:space="preserve">EPPGENPTA136</x:t>
        </x:is>
      </x:c>
      <x:c r="B692" t="inlineStr">
        <x:is>
          <x:t xml:space="preserve">GUANTE ANTICORTE (MULTIPROTEC)</x:t>
        </x:is>
      </x:c>
      <x:c r="E692" t="n">
        <x:v>0</x:v>
      </x:c>
    </x:row>
    <x:row r="693">
      <x:c r="A693" t="inlineStr">
        <x:is>
          <x:t xml:space="preserve">EPPGENPTA137</x:t>
        </x:is>
      </x:c>
      <x:c r="B693" t="inlineStr">
        <x:is>
          <x:t xml:space="preserve">GUANTES NITRILO QUIRURGICOS AZULES T/M  (CAJA 100 UNID)</x:t>
        </x:is>
      </x:c>
      <x:c r="E693" t="n">
        <x:v>0</x:v>
      </x:c>
    </x:row>
    <x:row r="694">
      <x:c r="A694" t="inlineStr">
        <x:is>
          <x:t xml:space="preserve">EPPGENPTA138</x:t>
        </x:is>
      </x:c>
      <x:c r="B694" t="inlineStr">
        <x:is>
          <x:t xml:space="preserve">REPUESTO CARETA FACIAL (VISOR 8X16 CLARO)</x:t>
        </x:is>
      </x:c>
      <x:c r="E694" t="n">
        <x:v>16</x:v>
      </x:c>
    </x:row>
    <x:row r="695">
      <x:c r="A695" t="inlineStr">
        <x:is>
          <x:t xml:space="preserve">EPPGENPTA139</x:t>
        </x:is>
      </x:c>
      <x:c r="B695" t="inlineStr">
        <x:is>
          <x:t xml:space="preserve">CASCO MASPROT MPC 221 C/ARNES AZUL</x:t>
        </x:is>
      </x:c>
      <x:c r="E695" t="n">
        <x:v>0</x:v>
      </x:c>
    </x:row>
    <x:row r="696">
      <x:c r="A696" t="inlineStr">
        <x:is>
          <x:t xml:space="preserve">EPPGENPTA140</x:t>
        </x:is>
      </x:c>
      <x:c r="B696" t="inlineStr">
        <x:is>
          <x:t xml:space="preserve">CASCO MASPROT MPC 221 C/ARNES AMARILLO</x:t>
        </x:is>
      </x:c>
      <x:c r="E696" t="n">
        <x:v>0</x:v>
      </x:c>
    </x:row>
    <x:row r="697">
      <x:c r="A697" t="inlineStr">
        <x:is>
          <x:t xml:space="preserve">EPPGENPTA141</x:t>
        </x:is>
      </x:c>
      <x:c r="B697" t="inlineStr">
        <x:is>
          <x:t xml:space="preserve">CASCO MASPROT MPC 221 C/ARNES ROJO</x:t>
        </x:is>
      </x:c>
      <x:c r="E697" t="n">
        <x:v>0</x:v>
      </x:c>
    </x:row>
    <x:row r="698">
      <x:c r="A698" t="inlineStr">
        <x:is>
          <x:t xml:space="preserve">EPPGENPTA142</x:t>
        </x:is>
      </x:c>
      <x:c r="B698" t="inlineStr">
        <x:is>
          <x:t xml:space="preserve">CASCO MASPROT MPC 221 C/ARNES BLANCO</x:t>
        </x:is>
      </x:c>
      <x:c r="E698" t="n">
        <x:v>0</x:v>
      </x:c>
    </x:row>
    <x:row r="699">
      <x:c r="A699" t="inlineStr">
        <x:is>
          <x:t xml:space="preserve">EPPGENPTA143</x:t>
        </x:is>
      </x:c>
      <x:c r="B699" t="inlineStr">
        <x:is>
          <x:t xml:space="preserve">SUSPENCION MASPROT MPC 221 PLASTICO CASCO</x:t>
        </x:is>
      </x:c>
      <x:c r="E699" t="n">
        <x:v>0</x:v>
      </x:c>
    </x:row>
    <x:row r="700">
      <x:c r="A700" t="inlineStr">
        <x:is>
          <x:t xml:space="preserve">EPPGENPTA144</x:t>
        </x:is>
      </x:c>
      <x:c r="B700" t="inlineStr">
        <x:is>
          <x:t xml:space="preserve">CHALECO GEOLOGO NARANJA TALLA M</x:t>
        </x:is>
      </x:c>
      <x:c r="E700" t="n">
        <x:v>18</x:v>
      </x:c>
    </x:row>
    <x:row r="701">
      <x:c r="A701" t="inlineStr">
        <x:is>
          <x:t xml:space="preserve">EPPGENPTA145</x:t>
        </x:is>
      </x:c>
      <x:c r="B701" t="inlineStr">
        <x:is>
          <x:t xml:space="preserve">CHALECO REFLECTANTE NARANJA TALLA M</x:t>
        </x:is>
      </x:c>
      <x:c r="E701" t="n">
        <x:v>0</x:v>
      </x:c>
    </x:row>
    <x:row r="702">
      <x:c r="A702" t="inlineStr">
        <x:is>
          <x:t xml:space="preserve">EPPGENPTA146</x:t>
        </x:is>
      </x:c>
      <x:c r="B702" t="inlineStr">
        <x:is>
          <x:t xml:space="preserve">COIPA TAPA BOCA NARANJA C/REFLECTANTE</x:t>
        </x:is>
      </x:c>
      <x:c r="E702" t="n">
        <x:v>0</x:v>
      </x:c>
    </x:row>
    <x:row r="703">
      <x:c r="A703" t="inlineStr">
        <x:is>
          <x:t xml:space="preserve">EPPGENPTA147</x:t>
        </x:is>
      </x:c>
      <x:c r="B703" t="inlineStr">
        <x:is>
          <x:t xml:space="preserve">DERMABLOCK</x:t>
        </x:is>
      </x:c>
      <x:c r="E703" t="n">
        <x:v>0</x:v>
      </x:c>
    </x:row>
    <x:row r="704">
      <x:c r="A704" t="inlineStr">
        <x:is>
          <x:t xml:space="preserve">EPPGENPTA148</x:t>
        </x:is>
      </x:c>
      <x:c r="B704" t="inlineStr">
        <x:is>
          <x:t xml:space="preserve">PINZA METALICA LOCK OUT 1 1/2</x:t>
        </x:is>
      </x:c>
      <x:c r="E704" t="n">
        <x:v>0</x:v>
      </x:c>
    </x:row>
    <x:row r="705">
      <x:c r="A705" t="inlineStr">
        <x:is>
          <x:t xml:space="preserve">EPPGENPTA149</x:t>
        </x:is>
      </x:c>
      <x:c r="B705" t="inlineStr">
        <x:is>
          <x:t xml:space="preserve">RESPIRADOR ROSTRO COMPLETO 3M 6900 TALLA - L</x:t>
        </x:is>
      </x:c>
      <x:c r="E705" t="n">
        <x:v>8</x:v>
      </x:c>
    </x:row>
    <x:row r="706">
      <x:c r="A706" t="inlineStr">
        <x:is>
          <x:t xml:space="preserve">EPPGENPTA150</x:t>
        </x:is>
      </x:c>
      <x:c r="B706" t="inlineStr">
        <x:is>
          <x:t xml:space="preserve">BUZO MICROMAX NS BLANCO T/M</x:t>
        </x:is>
      </x:c>
      <x:c r="E706" t="n">
        <x:v>0</x:v>
      </x:c>
    </x:row>
    <x:row r="707">
      <x:c r="A707" t="inlineStr">
        <x:is>
          <x:t xml:space="preserve">EPPGENPTA151</x:t>
        </x:is>
      </x:c>
      <x:c r="B707" t="inlineStr">
        <x:is>
          <x:t xml:space="preserve">BUZO MICROMAX NS BLANCO T/L</x:t>
        </x:is>
      </x:c>
      <x:c r="E707" t="n">
        <x:v>0</x:v>
      </x:c>
    </x:row>
    <x:row r="708">
      <x:c r="A708" t="inlineStr">
        <x:is>
          <x:t xml:space="preserve">EPPGENPTA152</x:t>
        </x:is>
      </x:c>
      <x:c r="B708" t="inlineStr">
        <x:is>
          <x:t xml:space="preserve">BUZO MICROMAX NS BLANCO T/XL</x:t>
        </x:is>
      </x:c>
      <x:c r="E708" t="n">
        <x:v>0</x:v>
      </x:c>
    </x:row>
    <x:row r="709">
      <x:c r="A709" t="inlineStr">
        <x:is>
          <x:t xml:space="preserve">EPPGENPTA153</x:t>
        </x:is>
      </x:c>
      <x:c r="B709" t="inlineStr">
        <x:is>
          <x:t xml:space="preserve">BUZO MICROMAX NS BLANCO T/XXL</x:t>
        </x:is>
      </x:c>
      <x:c r="E709" t="n">
        <x:v>0</x:v>
      </x:c>
    </x:row>
    <x:row r="710">
      <x:c r="A710" t="inlineStr">
        <x:is>
          <x:t xml:space="preserve">EPPGENPTA154</x:t>
        </x:is>
      </x:c>
      <x:c r="B710" t="inlineStr">
        <x:is>
          <x:t xml:space="preserve">PROTECTOR DE MENTON RECTRACIL</x:t>
        </x:is>
      </x:c>
      <x:c r="E710" t="n">
        <x:v>0</x:v>
      </x:c>
    </x:row>
    <x:row r="711">
      <x:c r="A711" t="inlineStr">
        <x:is>
          <x:t xml:space="preserve">EPPGENPTA155</x:t>
        </x:is>
      </x:c>
      <x:c r="B711" t="inlineStr">
        <x:is>
          <x:t xml:space="preserve">MASCARILLA 3M PARA POLVO (CAJA 20UN)</x:t>
        </x:is>
      </x:c>
      <x:c r="E711" t="n">
        <x:v>0</x:v>
      </x:c>
    </x:row>
    <x:row r="712">
      <x:c r="A712" t="inlineStr">
        <x:is>
          <x:t xml:space="preserve">EPPGENPTA156</x:t>
        </x:is>
      </x:c>
      <x:c r="B712" t="inlineStr">
        <x:is>
          <x:t xml:space="preserve">GUANTE ANTIDESLIZANTE MULTIFLEX</x:t>
        </x:is>
      </x:c>
      <x:c r="E712" t="n">
        <x:v>17</x:v>
      </x:c>
    </x:row>
    <x:row r="713">
      <x:c r="A713" t="inlineStr">
        <x:is>
          <x:t xml:space="preserve">EPPGENPTA157</x:t>
        </x:is>
      </x:c>
      <x:c r="B713" t="inlineStr">
        <x:is>
          <x:t xml:space="preserve">GUANTE MALLA DE ACERO METÁLICO GREENWAY TALLA L</x:t>
        </x:is>
      </x:c>
      <x:c r="E713" t="n">
        <x:v>0</x:v>
      </x:c>
    </x:row>
    <x:row r="714">
      <x:c r="A714" t="inlineStr">
        <x:is>
          <x:t xml:space="preserve">EPPGENPTA158</x:t>
        </x:is>
      </x:c>
      <x:c r="B714" t="inlineStr">
        <x:is>
          <x:t xml:space="preserve">CHALECO GEOLOGO AV G3 + LOGO INVENIO T/M</x:t>
        </x:is>
      </x:c>
      <x:c r="E714" t="n">
        <x:v>0</x:v>
      </x:c>
    </x:row>
    <x:row r="715">
      <x:c r="A715" t="inlineStr">
        <x:is>
          <x:t xml:space="preserve">EPPGENPTA159</x:t>
        </x:is>
      </x:c>
      <x:c r="B715" t="inlineStr">
        <x:is>
          <x:t xml:space="preserve">CHALECO GEOLOGO AV G3 + LOGO INVENIO T/L</x:t>
        </x:is>
      </x:c>
      <x:c r="E715" t="n">
        <x:v>0</x:v>
      </x:c>
    </x:row>
    <x:row r="716">
      <x:c r="A716" t="inlineStr">
        <x:is>
          <x:t xml:space="preserve">EPPGENPTA160</x:t>
        </x:is>
      </x:c>
      <x:c r="B716" t="inlineStr">
        <x:is>
          <x:t xml:space="preserve">CHALECO GEOLOGO AV G3 + LOGO INVENIO T/XL</x:t>
        </x:is>
      </x:c>
      <x:c r="E716" t="n">
        <x:v>0</x:v>
      </x:c>
    </x:row>
    <x:row r="717">
      <x:c r="A717" t="inlineStr">
        <x:is>
          <x:t xml:space="preserve">EPPGENPTA161</x:t>
        </x:is>
      </x:c>
      <x:c r="B717" t="inlineStr">
        <x:is>
          <x:t xml:space="preserve">CHALECO GEOLOGO AV G3 + LOGO INVENIO T/XXL</x:t>
        </x:is>
      </x:c>
      <x:c r="E717" t="n">
        <x:v>0</x:v>
      </x:c>
    </x:row>
    <x:row r="718">
      <x:c r="A718" t="inlineStr">
        <x:is>
          <x:t xml:space="preserve">EPPGENPTA162</x:t>
        </x:is>
      </x:c>
      <x:c r="B718" t="inlineStr">
        <x:is>
          <x:t xml:space="preserve">RESPIRADOR MEDIO ROSTRO 3M 6300 TALLA - L</x:t>
        </x:is>
      </x:c>
      <x:c r="E718" t="n">
        <x:v>64</x:v>
      </x:c>
    </x:row>
    <x:row r="719">
      <x:c r="A719" t="inlineStr">
        <x:is>
          <x:t xml:space="preserve">EPPGENPTA163</x:t>
        </x:is>
      </x:c>
      <x:c r="B719" t="inlineStr">
        <x:is>
          <x:t xml:space="preserve">GUANTE NINJA HERCULES TALLA 9</x:t>
        </x:is>
      </x:c>
      <x:c r="E719" t="n">
        <x:v>0</x:v>
      </x:c>
    </x:row>
    <x:row r="720">
      <x:c r="A720" t="inlineStr">
        <x:is>
          <x:t xml:space="preserve">EPPGENPTA164</x:t>
        </x:is>
      </x:c>
      <x:c r="B720" t="inlineStr">
        <x:is>
          <x:t xml:space="preserve">GUANTE NINJA HERCULES TALLA 10</x:t>
        </x:is>
      </x:c>
      <x:c r="E720" t="n">
        <x:v>0</x:v>
      </x:c>
    </x:row>
    <x:row r="721">
      <x:c r="A721" t="inlineStr">
        <x:is>
          <x:t xml:space="preserve">EPPGENPTA165</x:t>
        </x:is>
      </x:c>
      <x:c r="B721" t="inlineStr">
        <x:is>
          <x:t xml:space="preserve">OVEROL RESISTELA VERDE C/CTA REFL. T/M</x:t>
        </x:is>
      </x:c>
      <x:c r="E721" t="n">
        <x:v>0</x:v>
      </x:c>
    </x:row>
    <x:row r="722">
      <x:c r="A722" t="inlineStr">
        <x:is>
          <x:t xml:space="preserve">EPPGENPTA166</x:t>
        </x:is>
      </x:c>
      <x:c r="B722" t="inlineStr">
        <x:is>
          <x:t xml:space="preserve">OVEROL RESISTELA VERDE C/CTA REFL. T/L</x:t>
        </x:is>
      </x:c>
      <x:c r="E722" t="n">
        <x:v>0</x:v>
      </x:c>
    </x:row>
    <x:row r="723">
      <x:c r="A723" t="inlineStr">
        <x:is>
          <x:t xml:space="preserve">EPPGENPTA167</x:t>
        </x:is>
      </x:c>
      <x:c r="B723" t="inlineStr">
        <x:is>
          <x:t xml:space="preserve">OVEROL RESISTELA VERDE C/CTA REFL. T/XL</x:t>
        </x:is>
      </x:c>
      <x:c r="E723" t="n">
        <x:v>0</x:v>
      </x:c>
    </x:row>
    <x:row r="724">
      <x:c r="A724" t="inlineStr">
        <x:is>
          <x:t xml:space="preserve">EPPGENPTA168</x:t>
        </x:is>
      </x:c>
      <x:c r="B724" t="inlineStr">
        <x:is>
          <x:t xml:space="preserve">OVEROL RESISTELA VERDE C/CTA REFL. T/XXL</x:t>
        </x:is>
      </x:c>
      <x:c r="E724" t="n">
        <x:v>0</x:v>
      </x:c>
    </x:row>
    <x:row r="725">
      <x:c r="A725" t="inlineStr">
        <x:is>
          <x:t xml:space="preserve">EPPGENPTA169</x:t>
        </x:is>
      </x:c>
      <x:c r="B725" t="inlineStr">
        <x:is>
          <x:t xml:space="preserve">ADAPTADOR SEMI ALUMINIO P/CASCO</x:t>
        </x:is>
      </x:c>
      <x:c r="E725" t="n">
        <x:v>0</x:v>
      </x:c>
    </x:row>
    <x:row r="726">
      <x:c r="A726" t="inlineStr">
        <x:is>
          <x:t xml:space="preserve">EPPGENPTA170</x:t>
        </x:is>
      </x:c>
      <x:c r="B726" t="inlineStr">
        <x:is>
          <x:t xml:space="preserve">LENTE STEELPRO SPY-FLEX PLUS ANTIFOG CLARO</x:t>
        </x:is>
      </x:c>
      <x:c r="E726" t="n">
        <x:v>0</x:v>
      </x:c>
    </x:row>
    <x:row r="727">
      <x:c r="A727" t="inlineStr">
        <x:is>
          <x:t xml:space="preserve">EPPGENPTA171</x:t>
        </x:is>
      </x:c>
      <x:c r="B727" t="inlineStr">
        <x:is>
          <x:t xml:space="preserve">FILTRO 3M 7093 C P100 Y HF (PAR)</x:t>
        </x:is>
      </x:c>
      <x:c r="E727" t="n">
        <x:v>40</x:v>
      </x:c>
    </x:row>
    <x:row r="728">
      <x:c r="A728" t="inlineStr">
        <x:is>
          <x:t xml:space="preserve">EPPGENPTA172</x:t>
        </x:is>
      </x:c>
      <x:c r="B728" t="inlineStr">
        <x:is>
          <x:t xml:space="preserve">PROTECTOR 6885 DESECHABLE DE VISOR RESP. ROSTRO COMPLETO SERIE 6000</x:t>
        </x:is>
      </x:c>
      <x:c r="E728" t="n">
        <x:v>0</x:v>
      </x:c>
    </x:row>
    <x:row r="729">
      <x:c r="A729" t="inlineStr">
        <x:is>
          <x:t xml:space="preserve">EPPGENPTA173</x:t>
        </x:is>
      </x:c>
      <x:c r="B729" t="inlineStr">
        <x:is>
          <x:t xml:space="preserve">LENTE MSA DUAL FIT CLARO N/P</x:t>
        </x:is>
      </x:c>
      <x:c r="E729" t="n">
        <x:v>0</x:v>
      </x:c>
    </x:row>
    <x:row r="730">
      <x:c r="A730" t="inlineStr">
        <x:is>
          <x:t xml:space="preserve">EPPGENPTA174</x:t>
        </x:is>
      </x:c>
      <x:c r="B730" t="inlineStr">
        <x:is>
          <x:t xml:space="preserve">LENTE MSA DUAL FIT COLOR GRIS N/P</x:t>
        </x:is>
      </x:c>
      <x:c r="E730" t="n">
        <x:v>0</x:v>
      </x:c>
    </x:row>
    <x:row r="731">
      <x:c r="A731" t="inlineStr">
        <x:is>
          <x:t xml:space="preserve">EPPGENPTA175</x:t>
        </x:is>
      </x:c>
      <x:c r="B731" t="inlineStr">
        <x:is>
          <x:t xml:space="preserve">CAJA DE BLOQUEO 503 RED DEPARTAMENTAL MASTER LOCK NINGUNO</x:t>
        </x:is>
      </x:c>
      <x:c r="E731" t="n">
        <x:v>0</x:v>
      </x:c>
    </x:row>
    <x:row r="732">
      <x:c r="A732" t="inlineStr">
        <x:is>
          <x:t xml:space="preserve">EPPGENPTA176</x:t>
        </x:is>
      </x:c>
      <x:c r="B732" t="inlineStr">
        <x:is>
          <x:t xml:space="preserve">RESPIRADOR AIR COMPLETO FFS990M T/M</x:t>
        </x:is>
      </x:c>
      <x:c r="E732" t="n">
        <x:v>3</x:v>
      </x:c>
    </x:row>
    <x:row r="733">
      <x:c r="A733" t="inlineStr">
        <x:is>
          <x:t xml:space="preserve">EPPGENPTA177</x:t>
        </x:is>
      </x:c>
      <x:c r="B733" t="inlineStr">
        <x:is>
          <x:t xml:space="preserve">LAMINA PROTECTORA PARA FULL FACE AIR FFS600</x:t>
        </x:is>
      </x:c>
      <x:c r="E733" t="n">
        <x:v>0</x:v>
      </x:c>
    </x:row>
    <x:row r="734">
      <x:c r="A734" t="inlineStr">
        <x:is>
          <x:t xml:space="preserve">EPPGENPTA178</x:t>
        </x:is>
      </x:c>
      <x:c r="B734" t="inlineStr">
        <x:is>
          <x:t xml:space="preserve">JABON MECANICO ABRASIVO SAFEPRO 1 LITRO C/DISPENSADOR</x:t>
        </x:is>
      </x:c>
      <x:c r="E734" t="n">
        <x:v>0</x:v>
      </x:c>
    </x:row>
    <x:row r="735">
      <x:c r="A735" t="inlineStr">
        <x:is>
          <x:t xml:space="preserve">EPPGENPTA179</x:t>
        </x:is>
      </x:c>
      <x:c r="B735" t="inlineStr">
        <x:is>
          <x:t xml:space="preserve">CANDADO DE BLOQUEO COLOR NARANJO</x:t>
        </x:is>
      </x:c>
      <x:c r="E735" t="n">
        <x:v>0</x:v>
      </x:c>
    </x:row>
    <x:row r="736">
      <x:c r="A736" t="inlineStr">
        <x:is>
          <x:t xml:space="preserve">EPPGENPTA180</x:t>
        </x:is>
      </x:c>
      <x:c r="B736" t="inlineStr">
        <x:is>
          <x:t xml:space="preserve">RESPIRADOR AIR COMPLETO FFS990 L T/L</x:t>
        </x:is>
      </x:c>
      <x:c r="E736" t="n">
        <x:v>42</x:v>
      </x:c>
    </x:row>
    <x:row r="737">
      <x:c r="A737" t="inlineStr">
        <x:is>
          <x:t xml:space="preserve">EPPGENPTA181</x:t>
        </x:is>
      </x:c>
      <x:c r="B737" t="inlineStr">
        <x:is>
          <x:t xml:space="preserve">JOCKEY LEGIONARIO</x:t>
        </x:is>
      </x:c>
      <x:c r="E737" t="n">
        <x:v>0</x:v>
      </x:c>
    </x:row>
    <x:row r="738">
      <x:c r="A738" t="inlineStr">
        <x:is>
          <x:t xml:space="preserve">EPPGENPTA182</x:t>
        </x:is>
      </x:c>
      <x:c r="B738" t="inlineStr">
        <x:is>
          <x:t xml:space="preserve">REPUESTO VISOR TRANSPARENTE AIR FFS600</x:t>
        </x:is>
      </x:c>
      <x:c r="E738" t="n">
        <x:v>25</x:v>
      </x:c>
    </x:row>
    <x:row r="739">
      <x:c r="A739" t="inlineStr">
        <x:is>
          <x:t xml:space="preserve">EPPGENPTA183</x:t>
        </x:is>
      </x:c>
      <x:c r="B739" t="inlineStr">
        <x:is>
          <x:t xml:space="preserve">LENTE SPY GRIS U.S. EAGLE</x:t>
        </x:is>
      </x:c>
      <x:c r="E739" t="n">
        <x:v>0</x:v>
      </x:c>
    </x:row>
    <x:row r="740">
      <x:c r="A740" t="inlineStr">
        <x:is>
          <x:t xml:space="preserve">EPPGENPTA184</x:t>
        </x:is>
      </x:c>
      <x:c r="B740" t="inlineStr">
        <x:is>
          <x:t xml:space="preserve">FILTRO ELIPSE PARA PARTICULAS P100/P3 (PAR) CJA 10UN</x:t>
        </x:is>
      </x:c>
      <x:c r="E740" t="n">
        <x:v>0</x:v>
      </x:c>
    </x:row>
    <x:row r="741">
      <x:c r="A741" t="inlineStr">
        <x:is>
          <x:t xml:space="preserve">EPPGENPTA185</x:t>
        </x:is>
      </x:c>
      <x:c r="B741" t="inlineStr">
        <x:is>
          <x:t xml:space="preserve">RESPIRADOR ELIPSE PARA PARTICULAS P3/P100 TALLA S/M</x:t>
        </x:is>
      </x:c>
      <x:c r="E741" t="n">
        <x:v>0</x:v>
      </x:c>
    </x:row>
    <x:row r="742">
      <x:c r="A742" t="inlineStr">
        <x:is>
          <x:t xml:space="preserve">EPPGENPTA186</x:t>
        </x:is>
      </x:c>
      <x:c r="B742" t="inlineStr">
        <x:is>
          <x:t xml:space="preserve">RESPIRADOR ELIPSE PARA PARTICULAS P3/P100 TALLA M/L</x:t>
        </x:is>
      </x:c>
      <x:c r="E742" t="n">
        <x:v>0</x:v>
      </x:c>
    </x:row>
    <x:row r="743">
      <x:c r="A743" t="inlineStr">
        <x:is>
          <x:t xml:space="preserve">EPPGENPTA187</x:t>
        </x:is>
      </x:c>
      <x:c r="B743" t="inlineStr">
        <x:is>
          <x:t xml:space="preserve">LENTE 3M VIRTUA SELLADO GRAY</x:t>
        </x:is>
      </x:c>
      <x:c r="E743" t="n">
        <x:v>0</x:v>
      </x:c>
    </x:row>
    <x:row r="744">
      <x:c r="A744" t="inlineStr">
        <x:is>
          <x:t xml:space="preserve">EPPGENPTA188</x:t>
        </x:is>
      </x:c>
      <x:c r="B744" t="inlineStr">
        <x:is>
          <x:t xml:space="preserve">OVEROL FYRBAN 7 OZ HRC2 8,9 CAL/CM2 (ARCOB5ANR)NARANJO-AZUL T/M</x:t>
        </x:is>
      </x:c>
      <x:c r="E744" t="n">
        <x:v>0</x:v>
      </x:c>
    </x:row>
    <x:row r="745">
      <x:c r="A745" t="inlineStr">
        <x:is>
          <x:t xml:space="preserve">EPPGENPTA189</x:t>
        </x:is>
      </x:c>
      <x:c r="B745" t="inlineStr">
        <x:is>
          <x:t xml:space="preserve">OVEROL FYRBAN 7 OZ HRC2 8,9 CAL/CM2 (ARCOB5ANR)NARANJO-AZUL T/L</x:t>
        </x:is>
      </x:c>
      <x:c r="E745" t="n">
        <x:v>0</x:v>
      </x:c>
    </x:row>
    <x:row r="746">
      <x:c r="A746" t="inlineStr">
        <x:is>
          <x:t xml:space="preserve">EPPGENPTA190</x:t>
        </x:is>
      </x:c>
      <x:c r="B746" t="inlineStr">
        <x:is>
          <x:t xml:space="preserve">OVEROL FYRBAN 7 OZ HRC2 8,9 CAL/CM2 (ARCOB5ANR)NARANJO-AZUL T/XL</x:t>
        </x:is>
      </x:c>
      <x:c r="E746" t="n">
        <x:v>0</x:v>
      </x:c>
    </x:row>
    <x:row r="747">
      <x:c r="A747" t="inlineStr">
        <x:is>
          <x:t xml:space="preserve">EPPGENPTA191</x:t>
        </x:is>
      </x:c>
      <x:c r="B747" t="inlineStr">
        <x:is>
          <x:t xml:space="preserve">OVEROL FYRBAN 7 OZ HRC2 8,9 CAL/CM2 (ARCOB5ANR)NARANJO-AZUL T/XXL</x:t>
        </x:is>
      </x:c>
      <x:c r="E747" t="n">
        <x:v>0</x:v>
      </x:c>
    </x:row>
    <x:row r="748">
      <x:c r="A748" t="inlineStr">
        <x:is>
          <x:t xml:space="preserve">EPPGENPTA192</x:t>
        </x:is>
      </x:c>
      <x:c r="B748" t="inlineStr">
        <x:is>
          <x:t xml:space="preserve">FILTRO AIR MIXTO PARA POLVOS Y GASES 6923</x:t>
        </x:is>
      </x:c>
      <x:c r="E748" t="n">
        <x:v>1</x:v>
      </x:c>
    </x:row>
    <x:row r="749">
      <x:c r="A749" t="inlineStr">
        <x:is>
          <x:t xml:space="preserve">EPPGENPTA193</x:t>
        </x:is>
      </x:c>
      <x:c r="B749" t="inlineStr">
        <x:is>
          <x:t xml:space="preserve">RESPIRADOR AIR 690 T/L</x:t>
        </x:is>
      </x:c>
      <x:c r="E749" t="n">
        <x:v>0</x:v>
      </x:c>
    </x:row>
    <x:row r="750">
      <x:c r="A750" t="inlineStr">
        <x:is>
          <x:t xml:space="preserve">EPPGENPTA194</x:t>
        </x:is>
      </x:c>
      <x:c r="B750" t="inlineStr">
        <x:is>
          <x:t xml:space="preserve">LAMINA PROTECTORA AIR 685</x:t>
        </x:is>
      </x:c>
      <x:c r="E750" t="n">
        <x:v>0</x:v>
      </x:c>
    </x:row>
    <x:row r="751">
      <x:c r="A751" t="inlineStr">
        <x:is>
          <x:t xml:space="preserve">EPPGENPTA195</x:t>
        </x:is>
      </x:c>
      <x:c r="B751" t="inlineStr">
        <x:is>
          <x:t xml:space="preserve">BUZO CHEMMAX III TALLA M</x:t>
        </x:is>
      </x:c>
      <x:c r="E751" t="n">
        <x:v>15</x:v>
      </x:c>
    </x:row>
    <x:row r="752">
      <x:c r="A752" t="inlineStr">
        <x:is>
          <x:t xml:space="preserve">EPPGENPTA196</x:t>
        </x:is>
      </x:c>
      <x:c r="B752" t="inlineStr">
        <x:is>
          <x:t xml:space="preserve">BUZO CHEMMAX III TALLA L</x:t>
        </x:is>
      </x:c>
      <x:c r="E752" t="n">
        <x:v>15</x:v>
      </x:c>
    </x:row>
    <x:row r="753">
      <x:c r="A753" t="inlineStr">
        <x:is>
          <x:t xml:space="preserve">EPPGENPTA197</x:t>
        </x:is>
      </x:c>
      <x:c r="B753" t="inlineStr">
        <x:is>
          <x:t xml:space="preserve">BUZO CHEMMAX III TALLA XL</x:t>
        </x:is>
      </x:c>
      <x:c r="E753" t="n">
        <x:v>0</x:v>
      </x:c>
    </x:row>
    <x:row r="754">
      <x:c r="A754" t="inlineStr">
        <x:is>
          <x:t xml:space="preserve">EPPGENPTA198</x:t>
        </x:is>
      </x:c>
      <x:c r="B754" t="inlineStr">
        <x:is>
          <x:t xml:space="preserve">BUZO CHEMMAX III TALLA XXL</x:t>
        </x:is>
      </x:c>
      <x:c r="E754" t="n">
        <x:v>0</x:v>
      </x:c>
    </x:row>
    <x:row r="755">
      <x:c r="A755" t="inlineStr">
        <x:is>
          <x:t xml:space="preserve">EPPGENPTA199</x:t>
        </x:is>
      </x:c>
      <x:c r="B755" t="inlineStr">
        <x:is>
          <x:t xml:space="preserve">PANTALON CUERO SOLADOR IMPORTADO T/L</x:t>
        </x:is>
      </x:c>
      <x:c r="E755" t="n">
        <x:v>0</x:v>
      </x:c>
    </x:row>
    <x:row r="756">
      <x:c r="A756" t="inlineStr">
        <x:is>
          <x:t xml:space="preserve">EPPGENPTA200</x:t>
        </x:is>
      </x:c>
      <x:c r="B756" t="inlineStr">
        <x:is>
          <x:t xml:space="preserve">CHAQUETA CUERO SOLDADOR IMPORTADA T/L</x:t>
        </x:is>
      </x:c>
      <x:c r="E756" t="n">
        <x:v>0</x:v>
      </x:c>
    </x:row>
    <x:row r="757">
      <x:c r="A757" t="inlineStr">
        <x:is>
          <x:t xml:space="preserve">EPPGENPTA201</x:t>
        </x:is>
      </x:c>
      <x:c r="B757" t="inlineStr">
        <x:is>
          <x:t xml:space="preserve">BOTIN NAZCA ROBLE NU-308 CAFE N°39</x:t>
        </x:is>
      </x:c>
      <x:c r="E757" t="n">
        <x:v>0</x:v>
      </x:c>
    </x:row>
    <x:row r="758">
      <x:c r="A758" t="inlineStr">
        <x:is>
          <x:t xml:space="preserve">EPPGENPTA202</x:t>
        </x:is>
      </x:c>
      <x:c r="B758" t="inlineStr">
        <x:is>
          <x:t xml:space="preserve">BOTIN NAZCA ROBLE NU-308 CAFE N°40</x:t>
        </x:is>
      </x:c>
      <x:c r="E758" t="n">
        <x:v>0</x:v>
      </x:c>
    </x:row>
    <x:row r="759">
      <x:c r="A759" t="inlineStr">
        <x:is>
          <x:t xml:space="preserve">EPPGENPTA203</x:t>
        </x:is>
      </x:c>
      <x:c r="B759" t="inlineStr">
        <x:is>
          <x:t xml:space="preserve">BOTIN NAZCA ROBLE NU-308 CAFE N°41</x:t>
        </x:is>
      </x:c>
      <x:c r="E759" t="n">
        <x:v>0</x:v>
      </x:c>
    </x:row>
    <x:row r="760">
      <x:c r="A760" t="inlineStr">
        <x:is>
          <x:t xml:space="preserve">EPPGENPTA204</x:t>
        </x:is>
      </x:c>
      <x:c r="B760" t="inlineStr">
        <x:is>
          <x:t xml:space="preserve">BOTIN NAZCA ROBLE NU-308 CAFE N°42</x:t>
        </x:is>
      </x:c>
      <x:c r="E760" t="n">
        <x:v>0</x:v>
      </x:c>
    </x:row>
    <x:row r="761">
      <x:c r="A761" t="inlineStr">
        <x:is>
          <x:t xml:space="preserve">EPPGENPTA205</x:t>
        </x:is>
      </x:c>
      <x:c r="B761" t="inlineStr">
        <x:is>
          <x:t xml:space="preserve">BOTIN NAZCA ROBLE NU-308 CAFE N°43</x:t>
        </x:is>
      </x:c>
      <x:c r="E761" t="n">
        <x:v>0</x:v>
      </x:c>
    </x:row>
    <x:row r="762">
      <x:c r="A762" t="inlineStr">
        <x:is>
          <x:t xml:space="preserve">EPPGENPTA206</x:t>
        </x:is>
      </x:c>
      <x:c r="B762" t="inlineStr">
        <x:is>
          <x:t xml:space="preserve">BOTIN NAZCA ROBLE NU-308 CAFE N°44</x:t>
        </x:is>
      </x:c>
      <x:c r="E762" t="n">
        <x:v>0</x:v>
      </x:c>
    </x:row>
    <x:row r="763">
      <x:c r="A763" t="inlineStr">
        <x:is>
          <x:t xml:space="preserve">EPPGENPTA207</x:t>
        </x:is>
      </x:c>
      <x:c r="B763" t="inlineStr">
        <x:is>
          <x:t xml:space="preserve">BOTIN NAZCA ROBLE NU-308 CAFE N°45</x:t>
        </x:is>
      </x:c>
      <x:c r="E763" t="n">
        <x:v>0</x:v>
      </x:c>
    </x:row>
    <x:row r="764">
      <x:c r="A764" t="inlineStr">
        <x:is>
          <x:t xml:space="preserve">EPPGENPTA208</x:t>
        </x:is>
      </x:c>
      <x:c r="B764" t="inlineStr">
        <x:is>
          <x:t xml:space="preserve">BOTA PVC GASOL AMARILLA 802-8086 P/A N° 39</x:t>
        </x:is>
      </x:c>
      <x:c r="E764" t="n">
        <x:v>0</x:v>
      </x:c>
    </x:row>
    <x:row r="765">
      <x:c r="A765" t="inlineStr">
        <x:is>
          <x:t xml:space="preserve">EPPGENPTA209</x:t>
        </x:is>
      </x:c>
      <x:c r="B765" t="inlineStr">
        <x:is>
          <x:t xml:space="preserve">BOTA PVC GASOL AMARILLA 802-8086 P/A N° 40</x:t>
        </x:is>
      </x:c>
      <x:c r="E765" t="n">
        <x:v>1</x:v>
      </x:c>
    </x:row>
    <x:row r="766">
      <x:c r="A766" t="inlineStr">
        <x:is>
          <x:t xml:space="preserve">EPPGENPTA210</x:t>
        </x:is>
      </x:c>
      <x:c r="B766" t="inlineStr">
        <x:is>
          <x:t xml:space="preserve">BOTA PVC GASOL AMARILLA 802-8086 P/A N° 41</x:t>
        </x:is>
      </x:c>
      <x:c r="E766" t="n">
        <x:v>6</x:v>
      </x:c>
    </x:row>
    <x:row r="767">
      <x:c r="A767" t="inlineStr">
        <x:is>
          <x:t xml:space="preserve">EPPGENPTA211</x:t>
        </x:is>
      </x:c>
      <x:c r="B767" t="inlineStr">
        <x:is>
          <x:t xml:space="preserve">BOTA PVC GASOL AMARILLA 802-8086 P/A N° 42</x:t>
        </x:is>
      </x:c>
      <x:c r="E767" t="n">
        <x:v>0</x:v>
      </x:c>
    </x:row>
    <x:row r="768">
      <x:c r="A768" t="inlineStr">
        <x:is>
          <x:t xml:space="preserve">EPPGENPTA212</x:t>
        </x:is>
      </x:c>
      <x:c r="B768" t="inlineStr">
        <x:is>
          <x:t xml:space="preserve">BOTA PVC GASOL AMARILLA 802-8086 P/A N° 43</x:t>
        </x:is>
      </x:c>
      <x:c r="E768" t="n">
        <x:v>0</x:v>
      </x:c>
    </x:row>
    <x:row r="769">
      <x:c r="A769" t="inlineStr">
        <x:is>
          <x:t xml:space="preserve">EPPGENPTA213</x:t>
        </x:is>
      </x:c>
      <x:c r="B769" t="inlineStr">
        <x:is>
          <x:t xml:space="preserve">BOTA PVC GASOL AMARILLA 802-8086 P/A N° 44</x:t>
        </x:is>
      </x:c>
      <x:c r="E769" t="n">
        <x:v>0</x:v>
      </x:c>
    </x:row>
    <x:row r="770">
      <x:c r="A770" t="inlineStr">
        <x:is>
          <x:t xml:space="preserve">EPPGENPTA214</x:t>
        </x:is>
      </x:c>
      <x:c r="B770" t="inlineStr">
        <x:is>
          <x:t xml:space="preserve">BOTA PVC GASOL AMARILLA 802-8086 P/A N° 45</x:t>
        </x:is>
      </x:c>
      <x:c r="E770" t="n">
        <x:v>0</x:v>
      </x:c>
    </x:row>
    <x:row r="771">
      <x:c r="A771" t="inlineStr">
        <x:is>
          <x:t xml:space="preserve">EPPGENPTA215</x:t>
        </x:is>
      </x:c>
      <x:c r="B771" t="inlineStr">
        <x:is>
          <x:t xml:space="preserve">OVEROL RESISTELA VERDE C/CTA REFL. T/S</x:t>
        </x:is>
      </x:c>
      <x:c r="E771" t="n">
        <x:v>0</x:v>
      </x:c>
    </x:row>
    <x:row r="772">
      <x:c r="A772" t="inlineStr">
        <x:is>
          <x:t xml:space="preserve">EPPGENPTA216</x:t>
        </x:is>
      </x:c>
      <x:c r="B772" t="inlineStr">
        <x:is>
          <x:t xml:space="preserve">GUANTE FORCE MASTER-PLUS ANTIVIBRACION L 9160 T/9</x:t>
        </x:is>
      </x:c>
      <x:c r="E772" t="n">
        <x:v>0</x:v>
      </x:c>
    </x:row>
    <x:row r="773">
      <x:c r="A773" t="inlineStr">
        <x:is>
          <x:t xml:space="preserve">EPPGENPTA217</x:t>
        </x:is>
      </x:c>
      <x:c r="B773" t="inlineStr">
        <x:is>
          <x:t xml:space="preserve">BUZO DESECHABLE ECX BLANCO T - M</x:t>
        </x:is>
      </x:c>
      <x:c r="E773" t="n">
        <x:v>0</x:v>
      </x:c>
    </x:row>
    <x:row r="774">
      <x:c r="A774" t="inlineStr">
        <x:is>
          <x:t xml:space="preserve">EPPGENPTA218</x:t>
        </x:is>
      </x:c>
      <x:c r="B774" t="inlineStr">
        <x:is>
          <x:t xml:space="preserve">BUZO DESECHABLE ECX BLANCO T - L</x:t>
        </x:is>
      </x:c>
      <x:c r="E774" t="n">
        <x:v>0</x:v>
      </x:c>
    </x:row>
    <x:row r="775">
      <x:c r="A775" t="inlineStr">
        <x:is>
          <x:t xml:space="preserve">EPPGENPTA219</x:t>
        </x:is>
      </x:c>
      <x:c r="B775" t="inlineStr">
        <x:is>
          <x:t xml:space="preserve">BUZO DESECHABLE ECX BLANCO T - XL</x:t>
        </x:is>
      </x:c>
      <x:c r="E775" t="n">
        <x:v>0</x:v>
      </x:c>
    </x:row>
    <x:row r="776">
      <x:c r="A776" t="inlineStr">
        <x:is>
          <x:t xml:space="preserve">EPPGENPTA220</x:t>
        </x:is>
      </x:c>
      <x:c r="B776" t="inlineStr">
        <x:is>
          <x:t xml:space="preserve">BUZO DESECHABLE ECX BLANCO T - XXL</x:t>
        </x:is>
      </x:c>
      <x:c r="E776" t="n">
        <x:v>0</x:v>
      </x:c>
    </x:row>
    <x:row r="777">
      <x:c r="A777" t="inlineStr">
        <x:is>
          <x:t xml:space="preserve">EPPGENPTA221</x:t>
        </x:is>
      </x:c>
      <x:c r="B777" t="inlineStr">
        <x:is>
          <x:t xml:space="preserve">BANDANA HEADWEAR HW NEGRO/GRIS</x:t>
        </x:is>
      </x:c>
      <x:c r="E777" t="n">
        <x:v>0</x:v>
      </x:c>
    </x:row>
    <x:row r="778">
      <x:c r="A778" t="inlineStr">
        <x:is>
          <x:t xml:space="preserve">EPPGENPTA222</x:t>
        </x:is>
      </x:c>
      <x:c r="B778" t="inlineStr">
        <x:is>
          <x:t xml:space="preserve">BOTIN NAZCA COLONO NC-695 CAFE N° 39</x:t>
        </x:is>
      </x:c>
      <x:c r="E778" t="n">
        <x:v>0</x:v>
      </x:c>
    </x:row>
    <x:row r="779">
      <x:c r="A779" t="inlineStr">
        <x:is>
          <x:t xml:space="preserve">EPPGENPTA223</x:t>
        </x:is>
      </x:c>
      <x:c r="B779" t="inlineStr">
        <x:is>
          <x:t xml:space="preserve">BOTIN NAZCA COLONO NC-695 CAFE N° 40</x:t>
        </x:is>
      </x:c>
      <x:c r="E779" t="n">
        <x:v>0</x:v>
      </x:c>
    </x:row>
    <x:row r="780">
      <x:c r="A780" t="inlineStr">
        <x:is>
          <x:t xml:space="preserve">EPPGENPTA224</x:t>
        </x:is>
      </x:c>
      <x:c r="B780" t="inlineStr">
        <x:is>
          <x:t xml:space="preserve">BOTIN NAZCA COLONO NC-695 CAFE N° 41</x:t>
        </x:is>
      </x:c>
      <x:c r="E780" t="n">
        <x:v>0</x:v>
      </x:c>
    </x:row>
    <x:row r="781">
      <x:c r="A781" t="inlineStr">
        <x:is>
          <x:t xml:space="preserve">EPPGENPTA225</x:t>
        </x:is>
      </x:c>
      <x:c r="B781" t="inlineStr">
        <x:is>
          <x:t xml:space="preserve">BOTIN NAZCA COLONO NC-695 CAFE N° 42</x:t>
        </x:is>
      </x:c>
      <x:c r="E781" t="n">
        <x:v>0</x:v>
      </x:c>
    </x:row>
    <x:row r="782">
      <x:c r="A782" t="inlineStr">
        <x:is>
          <x:t xml:space="preserve">EPPGENPTA226</x:t>
        </x:is>
      </x:c>
      <x:c r="B782" t="inlineStr">
        <x:is>
          <x:t xml:space="preserve">BOTIN NAZCA COLONO NC-695 CAFE N° 43</x:t>
        </x:is>
      </x:c>
      <x:c r="E782" t="n">
        <x:v>0</x:v>
      </x:c>
    </x:row>
    <x:row r="783">
      <x:c r="A783" t="inlineStr">
        <x:is>
          <x:t xml:space="preserve">EPPGENPTA227</x:t>
        </x:is>
      </x:c>
      <x:c r="B783" t="inlineStr">
        <x:is>
          <x:t xml:space="preserve">BOTIN NAZCA COLONO NC-695 CAFE N° 44</x:t>
        </x:is>
      </x:c>
      <x:c r="E783" t="n">
        <x:v>0</x:v>
      </x:c>
    </x:row>
    <x:row r="784">
      <x:c r="A784" t="inlineStr">
        <x:is>
          <x:t xml:space="preserve">EPPGENPTA228</x:t>
        </x:is>
      </x:c>
      <x:c r="B784" t="inlineStr">
        <x:is>
          <x:t xml:space="preserve">BOTIN NAZCA COLONO NC-695 CAFE N° 45</x:t>
        </x:is>
      </x:c>
      <x:c r="E784" t="n">
        <x:v>0</x:v>
      </x:c>
    </x:row>
    <x:row r="785">
      <x:c r="A785" t="inlineStr">
        <x:is>
          <x:t xml:space="preserve">EPPGENPTA229</x:t>
        </x:is>
      </x:c>
      <x:c r="B785" t="inlineStr">
        <x:is>
          <x:t xml:space="preserve">ANTEOJO OVER-G MIAMI DESIGN ANTIEMPAÑO GRIS MSA 1302-AFS (OVERGLASS)</x:t>
        </x:is>
      </x:c>
      <x:c r="E785" t="n">
        <x:v>0</x:v>
      </x:c>
    </x:row>
    <x:row r="786">
      <x:c r="A786" t="inlineStr">
        <x:is>
          <x:t xml:space="preserve">EPPGENPTA230</x:t>
        </x:is>
      </x:c>
      <x:c r="B786" t="inlineStr">
        <x:is>
          <x:t xml:space="preserve">ANTEOJO OVER-G MIAMI DESIGN ANTIEMPAÑO CLARO MSA 1302-AFC (OVERGLASS)</x:t>
        </x:is>
      </x:c>
      <x:c r="E786" t="n">
        <x:v>0</x:v>
      </x:c>
    </x:row>
    <x:row r="787">
      <x:c r="A787" t="inlineStr">
        <x:is>
          <x:t xml:space="preserve">EPPGENPTA231</x:t>
        </x:is>
      </x:c>
      <x:c r="B787" t="inlineStr">
        <x:is>
          <x:t xml:space="preserve">BOTIN PROFLEX 100 AISLANTE ELECTRICO PU N° 39</x:t>
        </x:is>
      </x:c>
      <x:c r="E787" t="n">
        <x:v>0</x:v>
      </x:c>
    </x:row>
    <x:row r="788">
      <x:c r="A788" t="inlineStr">
        <x:is>
          <x:t xml:space="preserve">EPPGENPTA232</x:t>
        </x:is>
      </x:c>
      <x:c r="B788" t="inlineStr">
        <x:is>
          <x:t xml:space="preserve">BOTIN PROFLEX 100 AISLANTE ELECTRICO PU N° 40</x:t>
        </x:is>
      </x:c>
      <x:c r="E788" t="n">
        <x:v>0</x:v>
      </x:c>
    </x:row>
    <x:row r="789">
      <x:c r="A789" t="inlineStr">
        <x:is>
          <x:t xml:space="preserve">EPPGENPTA233</x:t>
        </x:is>
      </x:c>
      <x:c r="B789" t="inlineStr">
        <x:is>
          <x:t xml:space="preserve">BOTIN PROFLEX 100 AISLANTE ELECTRICO PU N° 41</x:t>
        </x:is>
      </x:c>
      <x:c r="E789" t="n">
        <x:v>0</x:v>
      </x:c>
    </x:row>
    <x:row r="790">
      <x:c r="A790" t="inlineStr">
        <x:is>
          <x:t xml:space="preserve">EPPGENPTA234</x:t>
        </x:is>
      </x:c>
      <x:c r="B790" t="inlineStr">
        <x:is>
          <x:t xml:space="preserve">BOTIN PROFLEX 100 AISLANTE ELECTRICO PU N° 42</x:t>
        </x:is>
      </x:c>
      <x:c r="E790" t="n">
        <x:v>0</x:v>
      </x:c>
    </x:row>
    <x:row r="791">
      <x:c r="A791" t="inlineStr">
        <x:is>
          <x:t xml:space="preserve">EPPGENPTA235</x:t>
        </x:is>
      </x:c>
      <x:c r="B791" t="inlineStr">
        <x:is>
          <x:t xml:space="preserve">BOTIN PROFLEX 100 AISLANTE ELECTRICO PU N° 43</x:t>
        </x:is>
      </x:c>
      <x:c r="E791" t="n">
        <x:v>0</x:v>
      </x:c>
    </x:row>
    <x:row r="792">
      <x:c r="A792" t="inlineStr">
        <x:is>
          <x:t xml:space="preserve">EPPGENPTA236</x:t>
        </x:is>
      </x:c>
      <x:c r="B792" t="inlineStr">
        <x:is>
          <x:t xml:space="preserve">BOTIN PROFLEX 100 AISLANTE ELECTRICO PU N° 44</x:t>
        </x:is>
      </x:c>
      <x:c r="E792" t="n">
        <x:v>0</x:v>
      </x:c>
    </x:row>
    <x:row r="793">
      <x:c r="A793" t="inlineStr">
        <x:is>
          <x:t xml:space="preserve">EPPGENPTA237</x:t>
        </x:is>
      </x:c>
      <x:c r="B793" t="inlineStr">
        <x:is>
          <x:t xml:space="preserve">BOTIN PROFLEX 100 AISLANTE ELECTRICO PU N° 45</x:t>
        </x:is>
      </x:c>
      <x:c r="E793" t="n">
        <x:v>0</x:v>
      </x:c>
    </x:row>
    <x:row r="794">
      <x:c r="A794" t="inlineStr">
        <x:is>
          <x:t xml:space="preserve">EPPGENPTA238</x:t>
        </x:is>
      </x:c>
      <x:c r="B794" t="inlineStr">
        <x:is>
          <x:t xml:space="preserve">BOTIN NITRO 750 NOBUCK N° 39</x:t>
        </x:is>
      </x:c>
      <x:c r="E794" t="n">
        <x:v>0</x:v>
      </x:c>
    </x:row>
    <x:row r="795">
      <x:c r="A795" t="inlineStr">
        <x:is>
          <x:t xml:space="preserve">EPPGENPTA239</x:t>
        </x:is>
      </x:c>
      <x:c r="B795" t="inlineStr">
        <x:is>
          <x:t xml:space="preserve">BOTIN NITRO 750 NOBUCK N° 40</x:t>
        </x:is>
      </x:c>
      <x:c r="E795" t="n">
        <x:v>0</x:v>
      </x:c>
    </x:row>
    <x:row r="796">
      <x:c r="A796" t="inlineStr">
        <x:is>
          <x:t xml:space="preserve">EPPGENPTA240</x:t>
        </x:is>
      </x:c>
      <x:c r="B796" t="inlineStr">
        <x:is>
          <x:t xml:space="preserve">BOTIN NITRO 750 NOBUCK N° 41</x:t>
        </x:is>
      </x:c>
      <x:c r="E796" t="n">
        <x:v>0</x:v>
      </x:c>
    </x:row>
    <x:row r="797">
      <x:c r="A797" t="inlineStr">
        <x:is>
          <x:t xml:space="preserve">EPPGENPTA241</x:t>
        </x:is>
      </x:c>
      <x:c r="B797" t="inlineStr">
        <x:is>
          <x:t xml:space="preserve">BOTIN NITRO 750 NOBUCK N° 42</x:t>
        </x:is>
      </x:c>
      <x:c r="E797" t="n">
        <x:v>0</x:v>
      </x:c>
    </x:row>
    <x:row r="798">
      <x:c r="A798" t="inlineStr">
        <x:is>
          <x:t xml:space="preserve">EPPGENPTA242</x:t>
        </x:is>
      </x:c>
      <x:c r="B798" t="inlineStr">
        <x:is>
          <x:t xml:space="preserve">BOTIN NITRO 750 NOBUCK N° 43</x:t>
        </x:is>
      </x:c>
      <x:c r="E798" t="n">
        <x:v>0</x:v>
      </x:c>
    </x:row>
    <x:row r="799">
      <x:c r="A799" t="inlineStr">
        <x:is>
          <x:t xml:space="preserve">EPPGENPTA243</x:t>
        </x:is>
      </x:c>
      <x:c r="B799" t="inlineStr">
        <x:is>
          <x:t xml:space="preserve">BOTIN NITRO 750 NOBUCK N° 44</x:t>
        </x:is>
      </x:c>
      <x:c r="E799" t="n">
        <x:v>0</x:v>
      </x:c>
    </x:row>
    <x:row r="800">
      <x:c r="A800" t="inlineStr">
        <x:is>
          <x:t xml:space="preserve">EPPGENPTA244</x:t>
        </x:is>
      </x:c>
      <x:c r="B800" t="inlineStr">
        <x:is>
          <x:t xml:space="preserve">BOTIN NITRO 750 NOBUCK N° 45</x:t>
        </x:is>
      </x:c>
      <x:c r="E800" t="n">
        <x:v>0</x:v>
      </x:c>
    </x:row>
    <x:row r="801">
      <x:c r="A801" t="inlineStr">
        <x:is>
          <x:t xml:space="preserve">EPPGENPTA245</x:t>
        </x:is>
      </x:c>
      <x:c r="B801" t="inlineStr">
        <x:is>
          <x:t xml:space="preserve">BOTIN V-FLEX V17 CUERO NOBUCK N° 39</x:t>
        </x:is>
      </x:c>
      <x:c r="E801" t="n">
        <x:v>0</x:v>
      </x:c>
    </x:row>
    <x:row r="802">
      <x:c r="A802" t="inlineStr">
        <x:is>
          <x:t xml:space="preserve">EPPGENPTA246</x:t>
        </x:is>
      </x:c>
      <x:c r="B802" t="inlineStr">
        <x:is>
          <x:t xml:space="preserve">BOTIN V-FLEX V17 CUERO NOBUCK N° 40</x:t>
        </x:is>
      </x:c>
      <x:c r="E802" t="n">
        <x:v>0</x:v>
      </x:c>
    </x:row>
    <x:row r="803">
      <x:c r="A803" t="inlineStr">
        <x:is>
          <x:t xml:space="preserve">EPPGENPTA247</x:t>
        </x:is>
      </x:c>
      <x:c r="B803" t="inlineStr">
        <x:is>
          <x:t xml:space="preserve">BOTIN V-FLEX V17 CUERO NOBUCK N° 41</x:t>
        </x:is>
      </x:c>
      <x:c r="E803" t="n">
        <x:v>0</x:v>
      </x:c>
    </x:row>
    <x:row r="804">
      <x:c r="A804" t="inlineStr">
        <x:is>
          <x:t xml:space="preserve">EPPGENPTA248</x:t>
        </x:is>
      </x:c>
      <x:c r="B804" t="inlineStr">
        <x:is>
          <x:t xml:space="preserve">BOTIN V-FLEX V17 CUERO NOBUCK N° 42</x:t>
        </x:is>
      </x:c>
      <x:c r="E804" t="n">
        <x:v>0</x:v>
      </x:c>
    </x:row>
    <x:row r="805">
      <x:c r="A805" t="inlineStr">
        <x:is>
          <x:t xml:space="preserve">EPPGENPTA249</x:t>
        </x:is>
      </x:c>
      <x:c r="B805" t="inlineStr">
        <x:is>
          <x:t xml:space="preserve">BOTIN V-FLEX V17 CUERO NOBUCK N° 43</x:t>
        </x:is>
      </x:c>
      <x:c r="E805" t="n">
        <x:v>0</x:v>
      </x:c>
    </x:row>
    <x:row r="806">
      <x:c r="A806" t="inlineStr">
        <x:is>
          <x:t xml:space="preserve">EPPGENPTA250</x:t>
        </x:is>
      </x:c>
      <x:c r="B806" t="inlineStr">
        <x:is>
          <x:t xml:space="preserve">BOTIN V-FLEX V17 CUERO NOBUCK N° 44</x:t>
        </x:is>
      </x:c>
      <x:c r="E806" t="n">
        <x:v>0</x:v>
      </x:c>
    </x:row>
    <x:row r="807">
      <x:c r="A807" t="inlineStr">
        <x:is>
          <x:t xml:space="preserve">EPPGENPTA251</x:t>
        </x:is>
      </x:c>
      <x:c r="B807" t="inlineStr">
        <x:is>
          <x:t xml:space="preserve">BOTIN V-FLEX V17 CUERO NOBUCK N° 45</x:t>
        </x:is>
      </x:c>
      <x:c r="E807" t="n">
        <x:v>0</x:v>
      </x:c>
    </x:row>
    <x:row r="808">
      <x:c r="A808" t="inlineStr">
        <x:is>
          <x:t xml:space="preserve">EPPGENPTA252</x:t>
        </x:is>
      </x:c>
      <x:c r="B808" t="inlineStr">
        <x:is>
          <x:t xml:space="preserve">MUÑEQUERA PORTA HERRAMIENTA MAX 2.3KG</x:t>
        </x:is>
      </x:c>
      <x:c r="E808" t="n">
        <x:v>0</x:v>
      </x:c>
    </x:row>
    <x:row r="809">
      <x:c r="A809" t="inlineStr">
        <x:is>
          <x:t xml:space="preserve">EPPGENPTA253</x:t>
        </x:is>
      </x:c>
      <x:c r="B809" t="inlineStr">
        <x:is>
          <x:t xml:space="preserve">SOBREANTEOJO MIAMI DESIGN OVER-G ANTIEMPAÑANTE CLARO</x:t>
        </x:is>
      </x:c>
      <x:c r="E809" t="n">
        <x:v>0</x:v>
      </x:c>
    </x:row>
    <x:row r="810">
      <x:c r="A810" t="inlineStr">
        <x:is>
          <x:t xml:space="preserve">EPPGENPTA254</x:t>
        </x:is>
      </x:c>
      <x:c r="B810" t="inlineStr">
        <x:is>
          <x:t xml:space="preserve">SOBREANTEOJO MIAMI DESIGN OVER-G ANTIEMPAÑANTE GRIS</x:t>
        </x:is>
      </x:c>
      <x:c r="E810" t="n">
        <x:v>0</x:v>
      </x:c>
    </x:row>
    <x:row r="811">
      <x:c r="A811" t="inlineStr">
        <x:is>
          <x:t xml:space="preserve">EPPGENPTA255</x:t>
        </x:is>
      </x:c>
      <x:c r="B811" t="inlineStr">
        <x:is>
          <x:t xml:space="preserve">RESPIRADOR AIR 603 TPR T/L</x:t>
        </x:is>
      </x:c>
      <x:c r="E811" t="n">
        <x:v>0</x:v>
      </x:c>
    </x:row>
    <x:row r="812">
      <x:c r="A812" t="inlineStr">
        <x:is>
          <x:t xml:space="preserve">EPPGENPTA256</x:t>
        </x:is>
      </x:c>
      <x:c r="B812" t="inlineStr">
        <x:is>
          <x:t xml:space="preserve">BOTIN NAZCA ROBLE NU-308 CAFE N°46</x:t>
        </x:is>
      </x:c>
      <x:c r="E812" t="n">
        <x:v>0</x:v>
      </x:c>
    </x:row>
    <x:row r="813">
      <x:c r="A813" t="inlineStr">
        <x:is>
          <x:t xml:space="preserve">EPPGENPTA257</x:t>
        </x:is>
      </x:c>
      <x:c r="B813" t="inlineStr">
        <x:is>
          <x:t xml:space="preserve">AMORTIGUADOR DE IMPACTO AMR0S-01D ARG MOSQUETERO CHILESIN</x:t>
        </x:is>
      </x:c>
      <x:c r="E813" t="n">
        <x:v>17</x:v>
      </x:c>
    </x:row>
    <x:row r="814">
      <x:c r="A814" t="inlineStr">
        <x:is>
          <x:t xml:space="preserve">EPPGENPTA258</x:t>
        </x:is>
      </x:c>
      <x:c r="B814" t="inlineStr">
        <x:is>
          <x:t xml:space="preserve">BUZO POPLIN PIL AZUL T/M</x:t>
        </x:is>
      </x:c>
      <x:c r="E814" t="n">
        <x:v>0</x:v>
      </x:c>
    </x:row>
    <x:row r="815">
      <x:c r="A815" t="inlineStr">
        <x:is>
          <x:t xml:space="preserve">EPPGENPTA259</x:t>
        </x:is>
      </x:c>
      <x:c r="B815" t="inlineStr">
        <x:is>
          <x:t xml:space="preserve">BUZO POPLIN PIL AZUL T/L</x:t>
        </x:is>
      </x:c>
      <x:c r="E815" t="n">
        <x:v>0</x:v>
      </x:c>
    </x:row>
    <x:row r="816">
      <x:c r="A816" t="inlineStr">
        <x:is>
          <x:t xml:space="preserve">EPPGENPTA260</x:t>
        </x:is>
      </x:c>
      <x:c r="B816" t="inlineStr">
        <x:is>
          <x:t xml:space="preserve">BUZO POPLIN PIL AZUL T/XL</x:t>
        </x:is>
      </x:c>
      <x:c r="E816" t="n">
        <x:v>0</x:v>
      </x:c>
    </x:row>
    <x:row r="817">
      <x:c r="A817" t="inlineStr">
        <x:is>
          <x:t xml:space="preserve">EPPGENPTA261</x:t>
        </x:is>
      </x:c>
      <x:c r="B817" t="inlineStr">
        <x:is>
          <x:t xml:space="preserve">BUZO POPLIN PIL AZUL T/XXL</x:t>
        </x:is>
      </x:c>
      <x:c r="E817" t="n">
        <x:v>0</x:v>
      </x:c>
    </x:row>
    <x:row r="818">
      <x:c r="A818" t="inlineStr">
        <x:is>
          <x:t xml:space="preserve">EPPGENPTA262</x:t>
        </x:is>
      </x:c>
      <x:c r="B818" t="inlineStr">
        <x:is>
          <x:t xml:space="preserve">RESPIRADOR AIR FFS6680 SILICONA</x:t>
        </x:is>
      </x:c>
      <x:c r="E818" t="n">
        <x:v>0</x:v>
      </x:c>
    </x:row>
    <x:row r="819">
      <x:c r="A819" t="inlineStr">
        <x:is>
          <x:t xml:space="preserve">EPPGENPTA263</x:t>
        </x:is>
      </x:c>
      <x:c r="B819" t="inlineStr">
        <x:is>
          <x:t xml:space="preserve">PORTAHERRAMIENTA 9 COMP. POCA-9</x:t>
        </x:is>
      </x:c>
      <x:c r="E819" t="n">
        <x:v>0</x:v>
      </x:c>
    </x:row>
    <x:row r="820">
      <x:c r="A820" t="inlineStr">
        <x:is>
          <x:t xml:space="preserve">EPPGENPTA264</x:t>
        </x:is>
      </x:c>
      <x:c r="B820" t="inlineStr">
        <x:is>
          <x:t xml:space="preserve">AMORTIGUADOR DE CAIDA CORTO PRINCE</x:t>
        </x:is>
      </x:c>
      <x:c r="E820" t="n">
        <x:v>0</x:v>
      </x:c>
    </x:row>
    <x:row r="821">
      <x:c r="A821" t="inlineStr">
        <x:is>
          <x:t xml:space="preserve">EPPGENPTA265</x:t>
        </x:is>
      </x:c>
      <x:c r="B821" t="inlineStr">
        <x:is>
          <x:t xml:space="preserve">ARNES DE 3 ARGOLLAS FERSAF T M/L</x:t>
        </x:is>
      </x:c>
      <x:c r="E821" t="n">
        <x:v>0</x:v>
      </x:c>
    </x:row>
    <x:row r="822">
      <x:c r="A822" t="inlineStr">
        <x:is>
          <x:t xml:space="preserve">EPPGENPTA266</x:t>
        </x:is>
      </x:c>
      <x:c r="B822" t="inlineStr">
        <x:is>
          <x:t xml:space="preserve">SOBRE LENTE OSCURO</x:t>
        </x:is>
      </x:c>
      <x:c r="E822" t="n">
        <x:v>1</x:v>
      </x:c>
    </x:row>
    <x:row r="823">
      <x:c r="A823" t="inlineStr">
        <x:is>
          <x:t xml:space="preserve">EPPGENPTA267</x:t>
        </x:is>
      </x:c>
      <x:c r="B823" t="inlineStr">
        <x:is>
          <x:t xml:space="preserve">FULL FACE MASPROT M2100</x:t>
        </x:is>
      </x:c>
      <x:c r="E823" t="n">
        <x:v>0</x:v>
      </x:c>
    </x:row>
    <x:row r="824">
      <x:c r="A824" t="inlineStr">
        <x:is>
          <x:t xml:space="preserve">EPPGENPTA268</x:t>
        </x:is>
      </x:c>
      <x:c r="B824" t="inlineStr">
        <x:is>
          <x:t xml:space="preserve">FILTRO MGV/MHE-500 GASES, VAPORES Y PARTICULAS</x:t>
        </x:is>
      </x:c>
      <x:c r="E824" t="n">
        <x:v>0</x:v>
      </x:c>
    </x:row>
    <x:row r="825">
      <x:c r="A825" t="inlineStr">
        <x:is>
          <x:t xml:space="preserve">EPPGENPTA269</x:t>
        </x:is>
      </x:c>
      <x:c r="B825" t="inlineStr">
        <x:is>
          <x:t xml:space="preserve">FILTRO AIR F600 VGP3 A1E1 P3 R</x:t>
        </x:is>
      </x:c>
      <x:c r="E825" t="n">
        <x:v>0</x:v>
      </x:c>
    </x:row>
    <x:row r="826">
      <x:c r="A826" t="inlineStr">
        <x:is>
          <x:t xml:space="preserve">EPPGENPTA270</x:t>
        </x:is>
      </x:c>
      <x:c r="B826" t="inlineStr">
        <x:is>
          <x:t xml:space="preserve">MASCARILLA KN95</x:t>
        </x:is>
      </x:c>
      <x:c r="E826" t="n">
        <x:v>9</x:v>
      </x:c>
    </x:row>
    <x:row r="827">
      <x:c r="A827" t="inlineStr">
        <x:is>
          <x:t xml:space="preserve">EPPGENPTA271</x:t>
        </x:is>
      </x:c>
      <x:c r="B827" t="inlineStr">
        <x:is>
          <x:t xml:space="preserve">GUANTE EXAMINACION ACTIVEX NITRILO BLANCO (CAJA 100 UN) T-XL</x:t>
        </x:is>
      </x:c>
      <x:c r="E827" t="n">
        <x:v>0</x:v>
      </x:c>
    </x:row>
    <x:row r="828">
      <x:c r="A828" t="inlineStr">
        <x:is>
          <x:t xml:space="preserve">EPPGENPTA272</x:t>
        </x:is>
      </x:c>
      <x:c r="B828" t="inlineStr">
        <x:is>
          <x:t xml:space="preserve">RESPIRADOR AIR SILICONA S950L T-L</x:t>
        </x:is>
      </x:c>
      <x:c r="E828" t="n">
        <x:v>0</x:v>
      </x:c>
    </x:row>
    <x:row r="829">
      <x:c r="A829" t="inlineStr">
        <x:is>
          <x:t xml:space="preserve">EPPGENPTA273</x:t>
        </x:is>
      </x:c>
      <x:c r="B829" t="inlineStr">
        <x:is>
          <x:t xml:space="preserve">GUANTE ACTIVEX NYLON NITRILO RUGOSO T-L</x:t>
        </x:is>
      </x:c>
      <x:c r="E829" t="n">
        <x:v>0</x:v>
      </x:c>
    </x:row>
    <x:row r="830">
      <x:c r="A830" t="inlineStr">
        <x:is>
          <x:t xml:space="preserve">EPPGENPTA274</x:t>
        </x:is>
      </x:c>
      <x:c r="B830" t="inlineStr">
        <x:is>
          <x:t xml:space="preserve">FILTRO AIR F600MP3 (Ex 6926), ABEK1-P3, MULTIGAS Y PARTICULAS</x:t>
        </x:is>
      </x:c>
      <x:c r="E830" t="n">
        <x:v>0</x:v>
      </x:c>
    </x:row>
    <x:row r="831">
      <x:c r="A831" t="inlineStr">
        <x:is>
          <x:t xml:space="preserve">EPPGENPTA275</x:t>
        </x:is>
      </x:c>
      <x:c r="B831" t="inlineStr">
        <x:is>
          <x:t xml:space="preserve">Lente Activex FX III sellado Claro</x:t>
        </x:is>
      </x:c>
      <x:c r="E831" t="n">
        <x:v>0</x:v>
      </x:c>
    </x:row>
    <x:row r="832">
      <x:c r="A832" t="inlineStr">
        <x:is>
          <x:t xml:space="preserve">EPPGENPTA276</x:t>
        </x:is>
      </x:c>
      <x:c r="B832" t="inlineStr">
        <x:is>
          <x:t xml:space="preserve">Lente Activex FX III sellado Gris</x:t>
        </x:is>
      </x:c>
      <x:c r="E832" t="n">
        <x:v>0</x:v>
      </x:c>
    </x:row>
    <x:row r="833">
      <x:c r="A833" t="inlineStr">
        <x:is>
          <x:t xml:space="preserve">EPPGENPTA277</x:t>
        </x:is>
      </x:c>
      <x:c r="B833" t="inlineStr">
        <x:is>
          <x:t xml:space="preserve">BUZO POPLIN PIL GRIS T/S</x:t>
        </x:is>
      </x:c>
      <x:c r="E833" t="n">
        <x:v>0</x:v>
      </x:c>
    </x:row>
    <x:row r="834">
      <x:c r="A834" t="inlineStr">
        <x:is>
          <x:t xml:space="preserve">EPPGENPTA278</x:t>
        </x:is>
      </x:c>
      <x:c r="B834" t="inlineStr">
        <x:is>
          <x:t xml:space="preserve">BUZO POPLIN PIL GRIS T/M</x:t>
        </x:is>
      </x:c>
      <x:c r="E834" t="n">
        <x:v>0</x:v>
      </x:c>
    </x:row>
    <x:row r="835">
      <x:c r="A835" t="inlineStr">
        <x:is>
          <x:t xml:space="preserve">EPPGENPTA279</x:t>
        </x:is>
      </x:c>
      <x:c r="B835" t="inlineStr">
        <x:is>
          <x:t xml:space="preserve">BUZO POPLIN PIL GRIS T/L</x:t>
        </x:is>
      </x:c>
      <x:c r="E835" t="n">
        <x:v>0</x:v>
      </x:c>
    </x:row>
    <x:row r="836">
      <x:c r="A836" t="inlineStr">
        <x:is>
          <x:t xml:space="preserve">EPPGENPTA280</x:t>
        </x:is>
      </x:c>
      <x:c r="B836" t="inlineStr">
        <x:is>
          <x:t xml:space="preserve">BUZO POPLIN PIL GRIS T/XL</x:t>
        </x:is>
      </x:c>
      <x:c r="E836" t="n">
        <x:v>0</x:v>
      </x:c>
    </x:row>
    <x:row r="837">
      <x:c r="A837" t="inlineStr">
        <x:is>
          <x:t xml:space="preserve">EPPGENPTA281</x:t>
        </x:is>
      </x:c>
      <x:c r="B837" t="inlineStr">
        <x:is>
          <x:t xml:space="preserve">BUZO POPLIN PIL GRIS T/XXL</x:t>
        </x:is>
      </x:c>
      <x:c r="E837" t="n">
        <x:v>0</x:v>
      </x:c>
    </x:row>
    <x:row r="838">
      <x:c r="A838" t="inlineStr">
        <x:is>
          <x:t xml:space="preserve">EPPGENPTA282</x:t>
        </x:is>
      </x:c>
      <x:c r="B838" t="inlineStr">
        <x:is>
          <x:t xml:space="preserve">RESPIRADOR (EX-AIR S603) M/ROSTRO TPR AIR S900L T/M</x:t>
        </x:is>
      </x:c>
      <x:c r="E838" t="n">
        <x:v>0</x:v>
      </x:c>
    </x:row>
    <x:row r="839">
      <x:c r="A839" t="inlineStr">
        <x:is>
          <x:t xml:space="preserve">EPPGENPTA283</x:t>
        </x:is>
      </x:c>
      <x:c r="B839" t="inlineStr">
        <x:is>
          <x:t xml:space="preserve">RESPIRADOR (EX-AIR S603) M/ROSTRO TPR AIR S900L T/L</x:t>
        </x:is>
      </x:c>
      <x:c r="E839" t="n">
        <x:v>0</x:v>
      </x:c>
    </x:row>
    <x:row r="840">
      <x:c r="A840" t="inlineStr">
        <x:is>
          <x:t xml:space="preserve">EPPGENPTA284</x:t>
        </x:is>
      </x:c>
      <x:c r="B840" t="inlineStr">
        <x:is>
          <x:t xml:space="preserve">LENTE OSCURO SELLADO GENERICO</x:t>
        </x:is>
      </x:c>
      <x:c r="E840" t="n">
        <x:v>0</x:v>
      </x:c>
    </x:row>
    <x:row r="841">
      <x:c r="A841" t="inlineStr">
        <x:is>
          <x:t xml:space="preserve">EPPGENPTA285</x:t>
        </x:is>
      </x:c>
      <x:c r="B841" t="inlineStr">
        <x:is>
          <x:t xml:space="preserve">BUZO ANTIACIDO CON REFLECTANTE TALLA S</x:t>
        </x:is>
      </x:c>
      <x:c r="E841" t="n">
        <x:v>0</x:v>
      </x:c>
    </x:row>
    <x:row r="842">
      <x:c r="A842" t="inlineStr">
        <x:is>
          <x:t xml:space="preserve">EPPGENPTA286</x:t>
        </x:is>
      </x:c>
      <x:c r="B842" t="inlineStr">
        <x:is>
          <x:t xml:space="preserve">ZAPATO GENERICO TERRENO TALLA 38</x:t>
        </x:is>
      </x:c>
      <x:c r="E842" t="n">
        <x:v>0</x:v>
      </x:c>
    </x:row>
    <x:row r="843">
      <x:c r="A843" t="inlineStr">
        <x:is>
          <x:t xml:space="preserve">EPPGENPTA287</x:t>
        </x:is>
      </x:c>
      <x:c r="B843" t="inlineStr">
        <x:is>
          <x:t xml:space="preserve">ZAPATO GENERICO TERRENO TALLA 39</x:t>
        </x:is>
      </x:c>
      <x:c r="E843" t="n">
        <x:v>1</x:v>
      </x:c>
    </x:row>
    <x:row r="844">
      <x:c r="A844" t="inlineStr">
        <x:is>
          <x:t xml:space="preserve">EPPGENPTA288</x:t>
        </x:is>
      </x:c>
      <x:c r="B844" t="inlineStr">
        <x:is>
          <x:t xml:space="preserve">ZAPATO GENERICO TERRENO TALLA 40</x:t>
        </x:is>
      </x:c>
      <x:c r="E844" t="n">
        <x:v>2</x:v>
      </x:c>
    </x:row>
    <x:row r="845">
      <x:c r="A845" t="inlineStr">
        <x:is>
          <x:t xml:space="preserve">EPPGENPTA289</x:t>
        </x:is>
      </x:c>
      <x:c r="B845" t="inlineStr">
        <x:is>
          <x:t xml:space="preserve">ZAPATO GENERICO TERRENO TALLA 41</x:t>
        </x:is>
      </x:c>
      <x:c r="E845" t="n">
        <x:v>4</x:v>
      </x:c>
    </x:row>
    <x:row r="846">
      <x:c r="A846" t="inlineStr">
        <x:is>
          <x:t xml:space="preserve">EPPGENPTA290</x:t>
        </x:is>
      </x:c>
      <x:c r="B846" t="inlineStr">
        <x:is>
          <x:t xml:space="preserve">ZAPATO GENERICO TERRENO TALLA 42</x:t>
        </x:is>
      </x:c>
      <x:c r="E846" t="n">
        <x:v>22</x:v>
      </x:c>
    </x:row>
    <x:row r="847">
      <x:c r="A847" t="inlineStr">
        <x:is>
          <x:t xml:space="preserve">EPPGENPTA291</x:t>
        </x:is>
      </x:c>
      <x:c r="B847" t="inlineStr">
        <x:is>
          <x:t xml:space="preserve">ZAPATO GENERICO TERRENO TALLA 43</x:t>
        </x:is>
      </x:c>
      <x:c r="E847" t="n">
        <x:v>1</x:v>
      </x:c>
    </x:row>
    <x:row r="848">
      <x:c r="A848" t="inlineStr">
        <x:is>
          <x:t xml:space="preserve">EPPGENPTA292</x:t>
        </x:is>
      </x:c>
      <x:c r="B848" t="inlineStr">
        <x:is>
          <x:t xml:space="preserve">ZAPATO GENERICO TERRENO TALLA 44</x:t>
        </x:is>
      </x:c>
      <x:c r="E848" t="n">
        <x:v>2</x:v>
      </x:c>
    </x:row>
    <x:row r="849">
      <x:c r="A849" t="inlineStr">
        <x:is>
          <x:t xml:space="preserve">EPPGENPTA293</x:t>
        </x:is>
      </x:c>
      <x:c r="B849" t="inlineStr">
        <x:is>
          <x:t xml:space="preserve">ZAPATO GENERICO TERRENO TALLA 45</x:t>
        </x:is>
      </x:c>
      <x:c r="E849" t="n">
        <x:v>0</x:v>
      </x:c>
    </x:row>
    <x:row r="850">
      <x:c r="A850" t="inlineStr">
        <x:is>
          <x:t xml:space="preserve">EPPGENPTA294</x:t>
        </x:is>
      </x:c>
      <x:c r="B850" t="inlineStr">
        <x:is>
          <x:t xml:space="preserve">RESPIRADOR MEDIO ROSTRO MARCA AIR 2 VIAS TALLA L</x:t>
        </x:is>
      </x:c>
      <x:c r="E850" t="n">
        <x:v>0</x:v>
      </x:c>
    </x:row>
    <x:row r="851">
      <x:c r="A851" t="inlineStr">
        <x:is>
          <x:t xml:space="preserve">EPPGENPTA295</x:t>
        </x:is>
      </x:c>
      <x:c r="B851" t="inlineStr">
        <x:is>
          <x:t xml:space="preserve">LENTE CLARO SELLADO GENERICO</x:t>
        </x:is>
      </x:c>
      <x:c r="E851" t="n">
        <x:v>0</x:v>
      </x:c>
    </x:row>
    <x:row r="852">
      <x:c r="A852" t="inlineStr">
        <x:is>
          <x:t xml:space="preserve">EPPGENPTA296</x:t>
        </x:is>
      </x:c>
      <x:c r="B852" t="inlineStr">
        <x:is>
          <x:t xml:space="preserve">CONO DE SEÑALIZACION DE 36 PULGADAS</x:t>
        </x:is>
      </x:c>
      <x:c r="E852" t="n">
        <x:v>20</x:v>
      </x:c>
    </x:row>
    <x:row r="853">
      <x:c r="A853" t="inlineStr">
        <x:is>
          <x:t xml:space="preserve">EPPGENPTA297</x:t>
        </x:is>
      </x:c>
      <x:c r="B853" t="inlineStr">
        <x:is>
          <x:t xml:space="preserve">GUANTES QUIRURGICOS AZULES PURESHIELD  (CAJA DE 50 UNID) XL</x:t>
        </x:is>
      </x:c>
      <x:c r="E853" t="n">
        <x:v>0</x:v>
      </x:c>
    </x:row>
    <x:row r="854">
      <x:c r="A854" t="inlineStr">
        <x:is>
          <x:t xml:space="preserve">EPPGENPTA298</x:t>
        </x:is>
      </x:c>
      <x:c r="B854" t="inlineStr">
        <x:is>
          <x:t xml:space="preserve">GUANTES QUIRURGICOS AZULES PURESHIELD  (CAJA DE 50 UNID) L</x:t>
        </x:is>
      </x:c>
      <x:c r="E854" t="n">
        <x:v>0</x:v>
      </x:c>
    </x:row>
    <x:row r="855">
      <x:c r="A855" t="inlineStr">
        <x:is>
          <x:t xml:space="preserve">EPPGENPTA299</x:t>
        </x:is>
      </x:c>
      <x:c r="B855" t="inlineStr">
        <x:is>
          <x:t xml:space="preserve">GUANTES QUIRURGICOS AZULES PURESHIELD  (CAJA DE 50 UNID) M</x:t>
        </x:is>
      </x:c>
      <x:c r="E855" t="n">
        <x:v>0</x:v>
      </x:c>
    </x:row>
    <x:row r="856">
      <x:c r="A856" t="inlineStr">
        <x:is>
          <x:t xml:space="preserve">EPPGENPTA300</x:t>
        </x:is>
      </x:c>
      <x:c r="B856" t="inlineStr">
        <x:is>
          <x:t xml:space="preserve">GUANTES QUIRURGICOS AZULES PURESHIELD  (CAJA DE 50 UNID) S</x:t>
        </x:is>
      </x:c>
      <x:c r="E856" t="n">
        <x:v>0</x:v>
      </x:c>
    </x:row>
    <x:row r="857">
      <x:c r="A857" t="inlineStr">
        <x:is>
          <x:t xml:space="preserve">EPPGENPTA301</x:t>
        </x:is>
      </x:c>
      <x:c r="B857" t="inlineStr">
        <x:is>
          <x:t xml:space="preserve">RESPIRADOR MEDIO ROSTRO MARCA AIR 3 VIAS TALLA L</x:t>
        </x:is>
      </x:c>
      <x:c r="E857" t="n">
        <x:v>0</x:v>
      </x:c>
    </x:row>
    <x:row r="858">
      <x:c r="A858" t="inlineStr">
        <x:is>
          <x:t xml:space="preserve">EPPGENPTA302</x:t>
        </x:is>
      </x:c>
      <x:c r="B858" t="inlineStr">
        <x:is>
          <x:t xml:space="preserve">RESPIRADOR FULL FACE SMALL ZICE FULL FACE PIECE 4 EA/CS TALLA S</x:t>
        </x:is>
      </x:c>
      <x:c r="E858" t="n">
        <x:v>0</x:v>
      </x:c>
    </x:row>
    <x:row r="859">
      <x:c r="A859" t="inlineStr">
        <x:is>
          <x:t xml:space="preserve">EPPGENPTA303</x:t>
        </x:is>
      </x:c>
      <x:c r="B859" t="inlineStr">
        <x:is>
          <x:t xml:space="preserve">RESPIRADOR FULL FACE MEDIUM ZICE FULL FACE PIECE 4 EA/CS TALLA M</x:t>
        </x:is>
      </x:c>
      <x:c r="E859" t="n">
        <x:v>2</x:v>
      </x:c>
    </x:row>
    <x:row r="860">
      <x:c r="A860" t="inlineStr">
        <x:is>
          <x:t xml:space="preserve">EPPGENPTA304</x:t>
        </x:is>
      </x:c>
      <x:c r="B860" t="inlineStr">
        <x:is>
          <x:t xml:space="preserve">RESPIRADOR FULL FACE LARGE SICE FULL FACE PIECE 4 EA/CS TALLA L</x:t>
        </x:is>
      </x:c>
      <x:c r="E860" t="n">
        <x:v>7</x:v>
      </x:c>
    </x:row>
    <x:row r="861">
      <x:c r="A861" t="inlineStr">
        <x:is>
          <x:t xml:space="preserve">EPPGENPTA305</x:t>
        </x:is>
      </x:c>
      <x:c r="B861" t="inlineStr">
        <x:is>
          <x:t xml:space="preserve">OVEROL ACTIVEX CX-1 BLANCO</x:t>
        </x:is>
      </x:c>
      <x:c r="E861" t="n">
        <x:v>0</x:v>
      </x:c>
    </x:row>
    <x:row r="862">
      <x:c r="A862" t="inlineStr">
        <x:is>
          <x:t xml:space="preserve">EPPGENPTA306</x:t>
        </x:is>
      </x:c>
      <x:c r="B862" t="inlineStr">
        <x:is>
          <x:t xml:space="preserve">OVEROL DESECHABLE ECX</x:t>
        </x:is>
      </x:c>
      <x:c r="E862" t="n">
        <x:v>0</x:v>
      </x:c>
    </x:row>
    <x:row r="863">
      <x:c r="A863" t="inlineStr">
        <x:is>
          <x:t xml:space="preserve">EPPGENPTA307</x:t>
        </x:is>
      </x:c>
      <x:c r="B863" t="inlineStr">
        <x:is>
          <x:t xml:space="preserve">BOLSA MOCHILA AZUL LOGO INVENIO</x:t>
        </x:is>
      </x:c>
      <x:c r="E863" t="n">
        <x:v>29</x:v>
      </x:c>
    </x:row>
    <x:row r="864">
      <x:c r="A864" t="inlineStr">
        <x:is>
          <x:t xml:space="preserve">EPPGENPTA308</x:t>
        </x:is>
      </x:c>
      <x:c r="B864" t="inlineStr">
        <x:is>
          <x:t xml:space="preserve">ARNES TIPO H 4 ARGOLLAS</x:t>
        </x:is>
      </x:c>
      <x:c r="E864" t="n">
        <x:v>7</x:v>
      </x:c>
    </x:row>
    <x:row r="865">
      <x:c r="A865" t="inlineStr">
        <x:is>
          <x:t xml:space="preserve">EPPGENPTA309</x:t>
        </x:is>
      </x:c>
      <x:c r="B865" t="inlineStr">
        <x:is>
          <x:t xml:space="preserve">CABO DE VIDA  ACERO CON MOSQUETON</x:t>
        </x:is>
      </x:c>
      <x:c r="E865" t="n">
        <x:v>0</x:v>
      </x:c>
    </x:row>
    <x:row r="866">
      <x:c r="A866" t="inlineStr">
        <x:is>
          <x:t xml:space="preserve">EPPGENPTA310</x:t>
        </x:is>
      </x:c>
      <x:c r="B866" t="inlineStr">
        <x:is>
          <x:t xml:space="preserve">Boquillas Alcotest DA-8000 ( Bolsa 100 unid )</x:t>
        </x:is>
      </x:c>
      <x:c r="E866" t="n">
        <x:v>0</x:v>
      </x:c>
    </x:row>
    <x:row r="867">
      <x:c r="A867" t="inlineStr">
        <x:is>
          <x:t xml:space="preserve">EPPGENPTA311</x:t>
        </x:is>
      </x:c>
      <x:c r="B867" t="inlineStr">
        <x:is>
          <x:t xml:space="preserve">ANPHOTEROL PERSONAL 100ML</x:t>
        </x:is>
      </x:c>
      <x:c r="E867" t="n">
        <x:v>0</x:v>
      </x:c>
    </x:row>
    <x:row r="868">
      <x:c r="A868" t="inlineStr">
        <x:is>
          <x:t xml:space="preserve">EPPGENPTA312</x:t>
        </x:is>
      </x:c>
      <x:c r="B868" t="inlineStr">
        <x:is>
          <x:t xml:space="preserve">FILTRO BLS 226 ABE103R GAS VAP ORG INORG</x:t>
        </x:is>
      </x:c>
      <x:c r="E868" t="n">
        <x:v>2</x:v>
      </x:c>
    </x:row>
    <x:row r="869">
      <x:c r="A869" t="inlineStr">
        <x:is>
          <x:t xml:space="preserve">EPPGENPTA313</x:t>
        </x:is>
      </x:c>
      <x:c r="B869" t="inlineStr">
        <x:is>
          <x:t xml:space="preserve">GUANTES DE CABRITILLA SIN FORRO T-L</x:t>
        </x:is>
      </x:c>
      <x:c r="E869" t="n">
        <x:v>12</x:v>
      </x:c>
    </x:row>
    <x:row r="870">
      <x:c r="A870" t="inlineStr">
        <x:is>
          <x:t xml:space="preserve">EPPGENPTA314</x:t>
        </x:is>
      </x:c>
      <x:c r="B870" t="inlineStr">
        <x:is>
          <x:t xml:space="preserve">ARNES DE SEGURIDAD (PARACAIDISTA) 3 ARGOLLAS TALLA XXL</x:t>
        </x:is>
      </x:c>
      <x:c r="E870" t="n">
        <x:v>0</x:v>
      </x:c>
    </x:row>
    <x:row r="871">
      <x:c r="A871" t="inlineStr">
        <x:is>
          <x:t xml:space="preserve">EPPGENPTA315</x:t>
        </x:is>
      </x:c>
      <x:c r="B871" t="inlineStr">
        <x:is>
          <x:t xml:space="preserve">BOTIN BUNKER TORONTO N°39</x:t>
        </x:is>
      </x:c>
      <x:c r="E871" t="n">
        <x:v>0</x:v>
      </x:c>
    </x:row>
    <x:row r="872">
      <x:c r="A872" t="inlineStr">
        <x:is>
          <x:t xml:space="preserve">EPPGENPTA316</x:t>
        </x:is>
      </x:c>
      <x:c r="B872" t="inlineStr">
        <x:is>
          <x:t xml:space="preserve">BOTIN BUNKER TORONTO N°40</x:t>
        </x:is>
      </x:c>
      <x:c r="E872" t="n">
        <x:v>0</x:v>
      </x:c>
    </x:row>
    <x:row r="873">
      <x:c r="A873" t="inlineStr">
        <x:is>
          <x:t xml:space="preserve">EPPGENPTA317</x:t>
        </x:is>
      </x:c>
      <x:c r="B873" t="inlineStr">
        <x:is>
          <x:t xml:space="preserve">BOTIN BUNKER TORONTO N°41</x:t>
        </x:is>
      </x:c>
      <x:c r="E873" t="n">
        <x:v>0</x:v>
      </x:c>
    </x:row>
    <x:row r="874">
      <x:c r="A874" t="inlineStr">
        <x:is>
          <x:t xml:space="preserve">EPPGENPTA318</x:t>
        </x:is>
      </x:c>
      <x:c r="B874" t="inlineStr">
        <x:is>
          <x:t xml:space="preserve">BOTIN BUNKER TORONTO N°42</x:t>
        </x:is>
      </x:c>
      <x:c r="E874" t="n">
        <x:v>0</x:v>
      </x:c>
    </x:row>
    <x:row r="875">
      <x:c r="A875" t="inlineStr">
        <x:is>
          <x:t xml:space="preserve">EPPGENPTA319</x:t>
        </x:is>
      </x:c>
      <x:c r="B875" t="inlineStr">
        <x:is>
          <x:t xml:space="preserve">BOTIN BUNKER TORONTO N°43</x:t>
        </x:is>
      </x:c>
      <x:c r="E875" t="n">
        <x:v>0</x:v>
      </x:c>
    </x:row>
    <x:row r="876">
      <x:c r="A876" t="inlineStr">
        <x:is>
          <x:t xml:space="preserve">EPPGENPTA320</x:t>
        </x:is>
      </x:c>
      <x:c r="B876" t="inlineStr">
        <x:is>
          <x:t xml:space="preserve">BOTIN BUNKER TORONTO N°44</x:t>
        </x:is>
      </x:c>
      <x:c r="E876" t="n">
        <x:v>0</x:v>
      </x:c>
    </x:row>
    <x:row r="877">
      <x:c r="A877" t="inlineStr">
        <x:is>
          <x:t xml:space="preserve">EPPGENPTA321</x:t>
        </x:is>
      </x:c>
      <x:c r="B877" t="inlineStr">
        <x:is>
          <x:t xml:space="preserve">BOTIN BUNKER TORONTO N°45</x:t>
        </x:is>
      </x:c>
      <x:c r="E877" t="n">
        <x:v>0</x:v>
      </x:c>
    </x:row>
    <x:row r="878">
      <x:c r="A878" t="inlineStr">
        <x:is>
          <x:t xml:space="preserve">EPPGENPTA322</x:t>
        </x:is>
      </x:c>
      <x:c r="B878" t="inlineStr">
        <x:is>
          <x:t xml:space="preserve">GUANTE CUT 5 ANTIIMPACTO TALLA M</x:t>
        </x:is>
      </x:c>
      <x:c r="E878" t="n">
        <x:v>0</x:v>
      </x:c>
    </x:row>
    <x:row r="879">
      <x:c r="A879" t="inlineStr">
        <x:is>
          <x:t xml:space="preserve">EPPGENPTA323</x:t>
        </x:is>
      </x:c>
      <x:c r="B879" t="inlineStr">
        <x:is>
          <x:t xml:space="preserve">GUANTE CUT 5 ANTIIMPACTO TALLA L</x:t>
        </x:is>
      </x:c>
      <x:c r="E879" t="n">
        <x:v>0</x:v>
      </x:c>
    </x:row>
    <x:row r="880">
      <x:c r="A880" t="inlineStr">
        <x:is>
          <x:t xml:space="preserve">EPPGENPTA324</x:t>
        </x:is>
      </x:c>
      <x:c r="B880" t="inlineStr">
        <x:is>
          <x:t xml:space="preserve">GUANTE CUT 5 ANTIIMPACTO TALLA XL</x:t>
        </x:is>
      </x:c>
      <x:c r="E880" t="n">
        <x:v>0</x:v>
      </x:c>
    </x:row>
    <x:row r="881">
      <x:c r="A881" t="inlineStr">
        <x:is>
          <x:t xml:space="preserve">EPPGENPTA325</x:t>
        </x:is>
      </x:c>
      <x:c r="B881" t="inlineStr">
        <x:is>
          <x:t xml:space="preserve">GUANTE CUT 5 ANTIIMPACTO TALLA XXL</x:t>
        </x:is>
      </x:c>
      <x:c r="E881" t="n">
        <x:v>0</x:v>
      </x:c>
    </x:row>
    <x:row r="882">
      <x:c r="A882" t="inlineStr">
        <x:is>
          <x:t xml:space="preserve">EPPGENPTA326</x:t>
        </x:is>
      </x:c>
      <x:c r="B882" t="inlineStr">
        <x:is>
          <x:t xml:space="preserve">GUANTE NITRILO QUIR. AZUL BUNKER T/L (CAJA 100 UN)</x:t>
        </x:is>
      </x:c>
      <x:c r="E882" t="n">
        <x:v>0</x:v>
      </x:c>
    </x:row>
    <x:row r="883">
      <x:c r="A883" t="inlineStr">
        <x:is>
          <x:t xml:space="preserve">EPPGENPTA327</x:t>
        </x:is>
      </x:c>
      <x:c r="B883" t="inlineStr">
        <x:is>
          <x:t xml:space="preserve">GUANTE NITRILO QUIR. AZUL BUNKER T/M (CAJA 100 UN)</x:t>
        </x:is>
      </x:c>
      <x:c r="E883" t="n">
        <x:v>1</x:v>
      </x:c>
    </x:row>
    <x:row r="884">
      <x:c r="A884" t="inlineStr">
        <x:is>
          <x:t xml:space="preserve">EPPGENPTA328</x:t>
        </x:is>
      </x:c>
      <x:c r="B884" t="inlineStr">
        <x:is>
          <x:t xml:space="preserve">GUANTE NITRILO QUIR. AZUL BUNKER T/XL (CAJA 100 UN)</x:t>
        </x:is>
      </x:c>
      <x:c r="E884" t="n">
        <x:v>0</x:v>
      </x:c>
    </x:row>
    <x:row r="885">
      <x:c r="A885" t="inlineStr">
        <x:is>
          <x:t xml:space="preserve">EPPGENPTA329</x:t>
        </x:is>
      </x:c>
      <x:c r="B885" t="inlineStr">
        <x:is>
          <x:t xml:space="preserve">GUANTE NITRILO QUIR. AZUL BUNKER T/XXL (CAJA 100 UN)</x:t>
        </x:is>
      </x:c>
      <x:c r="E885" t="n">
        <x:v>0</x:v>
      </x:c>
    </x:row>
    <x:row r="886">
      <x:c r="A886" t="inlineStr">
        <x:is>
          <x:t xml:space="preserve">EPPGENPTA330</x:t>
        </x:is>
      </x:c>
      <x:c r="B886" t="inlineStr">
        <x:is>
          <x:t xml:space="preserve">GUANTE NITRILO VERDE T/S</x:t>
        </x:is>
      </x:c>
      <x:c r="E886" t="n">
        <x:v>0</x:v>
      </x:c>
    </x:row>
    <x:row r="887">
      <x:c r="A887" t="inlineStr">
        <x:is>
          <x:t xml:space="preserve">EPPGENPTA331</x:t>
        </x:is>
      </x:c>
      <x:c r="B887" t="inlineStr">
        <x:is>
          <x:t xml:space="preserve">GUANTE NITRILO VERDE T/L</x:t>
        </x:is>
      </x:c>
      <x:c r="E887" t="n">
        <x:v>0</x:v>
      </x:c>
    </x:row>
    <x:row r="888">
      <x:c r="A888" t="inlineStr">
        <x:is>
          <x:t xml:space="preserve">EPPGENPTA332</x:t>
        </x:is>
      </x:c>
      <x:c r="B888" t="inlineStr">
        <x:is>
          <x:t xml:space="preserve">GUANTE NITRILO VERDE T/M</x:t>
        </x:is>
      </x:c>
      <x:c r="E888" t="n">
        <x:v>0</x:v>
      </x:c>
    </x:row>
    <x:row r="889">
      <x:c r="A889" t="inlineStr">
        <x:is>
          <x:t xml:space="preserve">EPPGENPTA333</x:t>
        </x:is>
      </x:c>
      <x:c r="B889" t="inlineStr">
        <x:is>
          <x:t xml:space="preserve">GUANTE NITRILO VERDE T/XL</x:t>
        </x:is>
      </x:c>
      <x:c r="E889" t="n">
        <x:v>0</x:v>
      </x:c>
    </x:row>
    <x:row r="890">
      <x:c r="A890" t="inlineStr">
        <x:is>
          <x:t xml:space="preserve">EPPGENPTA334</x:t>
        </x:is>
      </x:c>
      <x:c r="B890" t="inlineStr">
        <x:is>
          <x:t xml:space="preserve">GUANTE NITRILO VERDE T/XXL</x:t>
        </x:is>
      </x:c>
      <x:c r="E890" t="n">
        <x:v>0</x:v>
      </x:c>
    </x:row>
    <x:row r="891">
      <x:c r="A891" t="inlineStr">
        <x:is>
          <x:t xml:space="preserve">EPPGENPTA335</x:t>
        </x:is>
      </x:c>
      <x:c r="B891" t="inlineStr">
        <x:is>
          <x:t xml:space="preserve">BARRA CONECTORA DE CONOS FLEXIBLE</x:t>
        </x:is>
      </x:c>
      <x:c r="E891" t="n">
        <x:v>0</x:v>
      </x:c>
    </x:row>
    <x:row r="892">
      <x:c r="A892" t="inlineStr">
        <x:is>
          <x:t xml:space="preserve">EPPGENPTA336</x:t>
        </x:is>
      </x:c>
      <x:c r="B892" t="inlineStr">
        <x:is>
          <x:t xml:space="preserve">TAPON AUDITIVO REUTILIZABLE CON CORDON, CAJA 100 UN</x:t>
        </x:is>
      </x:c>
      <x:c r="E892" t="n">
        <x:v>0</x:v>
      </x:c>
    </x:row>
    <x:row r="893">
      <x:c r="A893" t="inlineStr">
        <x:is>
          <x:t xml:space="preserve">EPPGENPTA337</x:t>
        </x:is>
      </x:c>
      <x:c r="B893" t="inlineStr">
        <x:is>
          <x:t xml:space="preserve">CLIP PORTA GUANTES</x:t>
        </x:is>
      </x:c>
      <x:c r="E893" t="n">
        <x:v>0</x:v>
      </x:c>
    </x:row>
    <x:row r="894">
      <x:c r="A894" t="inlineStr">
        <x:is>
          <x:t xml:space="preserve">EPPGENPTA338</x:t>
        </x:is>
      </x:c>
      <x:c r="B894" t="inlineStr">
        <x:is>
          <x:t xml:space="preserve">GUANTES PROCEDIMIENTO LATEX /TALLA L</x:t>
        </x:is>
      </x:c>
      <x:c r="E894" t="n">
        <x:v>4</x:v>
      </x:c>
    </x:row>
    <x:row r="895">
      <x:c r="A895" t="inlineStr">
        <x:is>
          <x:t xml:space="preserve">EPPGENPTA339</x:t>
        </x:is>
      </x:c>
      <x:c r="B895" t="inlineStr">
        <x:is>
          <x:t xml:space="preserve">GUANTES PROCEDIMIENTO LATEX /TALLA M</x:t>
        </x:is>
      </x:c>
      <x:c r="E895" t="n">
        <x:v>0</x:v>
      </x:c>
    </x:row>
    <x:row r="896">
      <x:c r="A896" t="inlineStr">
        <x:is>
          <x:t xml:space="preserve">EPPGENPTA340</x:t>
        </x:is>
      </x:c>
      <x:c r="B896" t="inlineStr">
        <x:is>
          <x:t xml:space="preserve">GUANTES PROCEDIMIENTO LATEX /TALLA XL</x:t>
        </x:is>
      </x:c>
      <x:c r="E896" t="n">
        <x:v>0</x:v>
      </x:c>
    </x:row>
    <x:row r="897">
      <x:c r="A897" t="inlineStr">
        <x:is>
          <x:t xml:space="preserve">EPPGENPTA341</x:t>
        </x:is>
      </x:c>
      <x:c r="B897" t="inlineStr">
        <x:is>
          <x:t xml:space="preserve">Filtro Activex ATX VO/GA3500 Vapores Organicos y Gases Acidos A1E1P3 R (PAR)</x:t>
        </x:is>
      </x:c>
      <x:c r="E897" t="n">
        <x:v>1</x:v>
      </x:c>
    </x:row>
    <x:row r="898">
      <x:c r="A898" t="inlineStr">
        <x:is>
          <x:t xml:space="preserve">EPPGENPTA342</x:t>
        </x:is>
      </x:c>
      <x:c r="B898" t="inlineStr">
        <x:is>
          <x:t xml:space="preserve">ARNES PARACAIDISTA 3 ARGOLLAS TALLA-M-L (REF: 41102101)</x:t>
        </x:is>
      </x:c>
      <x:c r="E898" t="n">
        <x:v>0</x:v>
      </x:c>
    </x:row>
    <x:row r="899">
      <x:c r="A899" t="inlineStr">
        <x:is>
          <x:t xml:space="preserve">EPPGENPTA343</x:t>
        </x:is>
      </x:c>
      <x:c r="B899" t="inlineStr">
        <x:is>
          <x:t xml:space="preserve">AMORTIGUADOR FLOYD STEELWIRE 41402036</x:t>
        </x:is>
      </x:c>
      <x:c r="E899" t="n">
        <x:v>0</x:v>
      </x:c>
    </x:row>
    <x:row r="900">
      <x:c r="A900" t="inlineStr">
        <x:is>
          <x:t xml:space="preserve">EPPGENPTA344</x:t>
        </x:is>
      </x:c>
      <x:c r="B900" t="inlineStr">
        <x:is>
          <x:t xml:space="preserve">GUANTES NITRILO ALTA RESISTENCIA 8.0 TEXTURA T-M. CJ 50UDN, VERDE</x:t>
        </x:is>
      </x:c>
      <x:c r="E900" t="n">
        <x:v>0</x:v>
      </x:c>
    </x:row>
    <x:row r="901">
      <x:c r="A901" t="inlineStr">
        <x:is>
          <x:t xml:space="preserve">EPPGENPTA345</x:t>
        </x:is>
      </x:c>
      <x:c r="B901" t="inlineStr">
        <x:is>
          <x:t xml:space="preserve">GUANTES NITRILO ALTA RESISTENCIA 8.0 TEXTURA T-L. CJ 50UDN, VERDE</x:t>
        </x:is>
      </x:c>
      <x:c r="E901" t="n">
        <x:v>0</x:v>
      </x:c>
    </x:row>
    <x:row r="902">
      <x:c r="A902" t="inlineStr">
        <x:is>
          <x:t xml:space="preserve">EPPGENPTA346</x:t>
        </x:is>
      </x:c>
      <x:c r="B902" t="inlineStr">
        <x:is>
          <x:t xml:space="preserve">GUANTES  NITRILO TOP SAFEALT.RES.TXL 50 UNIDADES  X CAJAVERDE</x:t>
        </x:is>
      </x:c>
      <x:c r="E902" t="n">
        <x:v>30</x:v>
      </x:c>
    </x:row>
    <x:row r="903">
      <x:c r="A903" t="inlineStr">
        <x:is>
          <x:t xml:space="preserve">EPPGENPTA347</x:t>
        </x:is>
      </x:c>
      <x:c r="B903" t="inlineStr">
        <x:is>
          <x:t xml:space="preserve">GUANTES  NITRILO TOP SAFEALT.RES.TL 50 UNIDADES  X CAJAVERDE</x:t>
        </x:is>
      </x:c>
      <x:c r="E903" t="n">
        <x:v>40</x:v>
      </x:c>
    </x:row>
    <x:row r="904">
      <x:c r="A904" t="inlineStr">
        <x:is>
          <x:t xml:space="preserve">EPPGENPTA400</x:t>
        </x:is>
      </x:c>
      <x:c r="B904" t="inlineStr">
        <x:is>
          <x:t xml:space="preserve">BUZO DE PAPEL TIPO TIVEK (KUPFER: BUZO GETPRO DESE BLCO LINE 1130 T-M)</x:t>
        </x:is>
      </x:c>
      <x:c r="E904" t="n">
        <x:v>0</x:v>
      </x:c>
    </x:row>
    <x:row r="905">
      <x:c r="A905" t="inlineStr">
        <x:is>
          <x:t xml:space="preserve">EPPGENPTA401</x:t>
        </x:is>
      </x:c>
      <x:c r="B905" t="inlineStr">
        <x:is>
          <x:t xml:space="preserve">BUZO DE PAPEL TIPO TIVEK (KUPFER: BUZO GETPRO DESE BLCO LINE 1130 T-L)</x:t>
        </x:is>
      </x:c>
      <x:c r="E905" t="n">
        <x:v>0</x:v>
      </x:c>
    </x:row>
    <x:row r="906">
      <x:c r="A906" t="inlineStr">
        <x:is>
          <x:t xml:space="preserve">EPPGENPTA402</x:t>
        </x:is>
      </x:c>
      <x:c r="B906" t="inlineStr">
        <x:is>
          <x:t xml:space="preserve">BUZO DE PAPEL TIPO TIVEK (KUPFER: BUZO GETPRO DESE BLCO LINE 1130 T-XL)</x:t>
        </x:is>
      </x:c>
      <x:c r="E906" t="n">
        <x:v>0</x:v>
      </x:c>
    </x:row>
    <x:row r="907">
      <x:c r="A907" t="inlineStr">
        <x:is>
          <x:t xml:space="preserve">EPPGENPTA403</x:t>
        </x:is>
      </x:c>
      <x:c r="B907" t="inlineStr">
        <x:is>
          <x:t xml:space="preserve">BUZO DE PAPEL TIPO TIVEK (KUPFER: BUZO GETPRO DESE BLCO LINE 1130 T-XXL)</x:t>
        </x:is>
      </x:c>
      <x:c r="E907" t="n">
        <x:v>10</x:v>
      </x:c>
    </x:row>
    <x:row r="908">
      <x:c r="A908" t="inlineStr">
        <x:is>
          <x:t xml:space="preserve">EPPGENPTA404</x:t>
        </x:is>
      </x:c>
      <x:c r="B908" t="inlineStr">
        <x:is>
          <x:t xml:space="preserve">BUZO DE PAPEL TIPO TIVEK (AZENPRO: BUZO DE PAPEL T-M)</x:t>
        </x:is>
      </x:c>
      <x:c r="E908" t="n">
        <x:v>0</x:v>
      </x:c>
    </x:row>
    <x:row r="909">
      <x:c r="A909" t="inlineStr">
        <x:is>
          <x:t xml:space="preserve">EPPGENPTA405</x:t>
        </x:is>
      </x:c>
      <x:c r="B909" t="inlineStr">
        <x:is>
          <x:t xml:space="preserve">BUZO DE PAPEL TIPO TIVEK (AZENPRO: BUZO DE PAPEL T-L)</x:t>
        </x:is>
      </x:c>
      <x:c r="E909" t="n">
        <x:v>0</x:v>
      </x:c>
    </x:row>
    <x:row r="910">
      <x:c r="A910" t="inlineStr">
        <x:is>
          <x:t xml:space="preserve">EPPGENPTA406</x:t>
        </x:is>
      </x:c>
      <x:c r="B910" t="inlineStr">
        <x:is>
          <x:t xml:space="preserve">BUZO DE PAPEL TIPO TIVEK (AZENPRO: BUZO DE PAPEL T-XL)</x:t>
        </x:is>
      </x:c>
      <x:c r="E910" t="n">
        <x:v>0</x:v>
      </x:c>
    </x:row>
    <x:row r="911">
      <x:c r="A911" t="inlineStr">
        <x:is>
          <x:t xml:space="preserve">EPPGENPTA407</x:t>
        </x:is>
      </x:c>
      <x:c r="B911" t="inlineStr">
        <x:is>
          <x:t xml:space="preserve">BUZO DE PAPEL TIPO TIVEK (AZENPRO: BUZO DE PAPEL T-XXL)</x:t>
        </x:is>
      </x:c>
      <x:c r="E911" t="n">
        <x:v>0</x:v>
      </x:c>
    </x:row>
    <x:row r="912">
      <x:c r="A912" t="inlineStr">
        <x:is>
          <x:t xml:space="preserve">EPPGENPTA408</x:t>
        </x:is>
      </x:c>
      <x:c r="B912" t="inlineStr">
        <x:is>
          <x:t xml:space="preserve">BUZO DE PAPEL TIPO TIVEK (KS: BUZO TIPO TYVEK BUNKER T-M)</x:t>
        </x:is>
      </x:c>
      <x:c r="E912" t="n">
        <x:v>0</x:v>
      </x:c>
    </x:row>
    <x:row r="913">
      <x:c r="A913" t="inlineStr">
        <x:is>
          <x:t xml:space="preserve">EPPGENPTA409</x:t>
        </x:is>
      </x:c>
      <x:c r="B913" t="inlineStr">
        <x:is>
          <x:t xml:space="preserve">BUZO DE PAPEL TIPO TIVEK (KS: BUZO TIPO TYVEK BUNKER T-L)</x:t>
        </x:is>
      </x:c>
      <x:c r="E913" t="n">
        <x:v>0</x:v>
      </x:c>
    </x:row>
    <x:row r="914">
      <x:c r="A914" t="inlineStr">
        <x:is>
          <x:t xml:space="preserve">EPPGENPTA410</x:t>
        </x:is>
      </x:c>
      <x:c r="B914" t="inlineStr">
        <x:is>
          <x:t xml:space="preserve">BUZO DE PAPEL TIPO TIVEK (KS: BUZO TIPO TYVEK BUNKER T-XL)</x:t>
        </x:is>
      </x:c>
      <x:c r="E914" t="n">
        <x:v>0</x:v>
      </x:c>
    </x:row>
    <x:row r="915">
      <x:c r="A915" t="inlineStr">
        <x:is>
          <x:t xml:space="preserve">EPPGENPTA411</x:t>
        </x:is>
      </x:c>
      <x:c r="B915" t="inlineStr">
        <x:is>
          <x:t xml:space="preserve">BUZO DE PAPEL TIPO TIVEK (KS: BUZO TIPO TYVEK BUNKER T-XXL)</x:t>
        </x:is>
      </x:c>
      <x:c r="E915" t="n">
        <x:v>0</x:v>
      </x:c>
    </x:row>
    <x:row r="916">
      <x:c r="A916" t="inlineStr">
        <x:is>
          <x:t xml:space="preserve">EPPGENPTA412</x:t>
        </x:is>
      </x:c>
      <x:c r="B916" t="inlineStr">
        <x:is>
          <x:t xml:space="preserve">BUZO DE PAPEL TIPO TIVEK (TRECK: BUZO OVEROL ACTIVEX CX-1 BLANCO T-M)</x:t>
        </x:is>
      </x:c>
      <x:c r="E916" t="n">
        <x:v>0</x:v>
      </x:c>
    </x:row>
    <x:row r="917">
      <x:c r="A917" t="inlineStr">
        <x:is>
          <x:t xml:space="preserve">EPPGENPTA413</x:t>
        </x:is>
      </x:c>
      <x:c r="B917" t="inlineStr">
        <x:is>
          <x:t xml:space="preserve">BUZO DE PAPEL TIPO TIVEK (TRECK: BUZO OVEROL ACTIVEX CX-1 BLANCO T-L)</x:t>
        </x:is>
      </x:c>
      <x:c r="E917" t="n">
        <x:v>0</x:v>
      </x:c>
    </x:row>
    <x:row r="918">
      <x:c r="A918" t="inlineStr">
        <x:is>
          <x:t xml:space="preserve">EPPGENPTA414</x:t>
        </x:is>
      </x:c>
      <x:c r="B918" t="inlineStr">
        <x:is>
          <x:t xml:space="preserve">BUZO DE PAPEL TIPO TIVEK (TRECK: BUZO OVEROL ACTIVEX CX-1 BLANCO T-XL)</x:t>
        </x:is>
      </x:c>
      <x:c r="E918" t="n">
        <x:v>0</x:v>
      </x:c>
    </x:row>
    <x:row r="919">
      <x:c r="A919" t="inlineStr">
        <x:is>
          <x:t xml:space="preserve">EPPGENPTA415</x:t>
        </x:is>
      </x:c>
      <x:c r="B919" t="inlineStr">
        <x:is>
          <x:t xml:space="preserve">BUZO DE PAPEL TIPO TIVEK (TRECK: BUZO OVEROL ACTIVEX CX-1 BLANCO T-XXL)</x:t>
        </x:is>
      </x:c>
      <x:c r="E919" t="n">
        <x:v>0</x:v>
      </x:c>
    </x:row>
    <x:row r="920">
      <x:c r="A920" t="inlineStr">
        <x:is>
          <x:t xml:space="preserve">EPPGENPTA416</x:t>
        </x:is>
      </x:c>
      <x:c r="B920" t="inlineStr">
        <x:is>
          <x:t xml:space="preserve">BUZO DE PAPEL TIPO TIVEK (APRO: BUZO COVERALL-G BLANCO T-M)</x:t>
        </x:is>
      </x:c>
      <x:c r="E920" t="n">
        <x:v>0</x:v>
      </x:c>
    </x:row>
    <x:row r="921">
      <x:c r="A921" t="inlineStr">
        <x:is>
          <x:t xml:space="preserve">EPPGENPTA417</x:t>
        </x:is>
      </x:c>
      <x:c r="B921" t="inlineStr">
        <x:is>
          <x:t xml:space="preserve">BUZO DE PAPEL TIPO TIVEK (APRO: BUZO COVERALL-G BLANCO T-L)</x:t>
        </x:is>
      </x:c>
      <x:c r="E921" t="n">
        <x:v>0</x:v>
      </x:c>
    </x:row>
    <x:row r="922">
      <x:c r="A922" t="inlineStr">
        <x:is>
          <x:t xml:space="preserve">EPPGENPTA418</x:t>
        </x:is>
      </x:c>
      <x:c r="B922" t="inlineStr">
        <x:is>
          <x:t xml:space="preserve">BUZO DE PAPEL TIPO TIVEK (APRO: BUZO COVERALL-G BLANCO T-XL)</x:t>
        </x:is>
      </x:c>
      <x:c r="E922" t="n">
        <x:v>0</x:v>
      </x:c>
    </x:row>
    <x:row r="923">
      <x:c r="A923" t="inlineStr">
        <x:is>
          <x:t xml:space="preserve">EPPGENPTA419</x:t>
        </x:is>
      </x:c>
      <x:c r="B923" t="inlineStr">
        <x:is>
          <x:t xml:space="preserve">BUZO DE PAPEL TIPO TIVEK (APRO: BUZO COVERALL-G BLANCO T-XXL)</x:t>
        </x:is>
      </x:c>
      <x:c r="E923" t="n">
        <x:v>0</x:v>
      </x:c>
    </x:row>
    <x:row r="924">
      <x:c r="A924" t="inlineStr">
        <x:is>
          <x:t xml:space="preserve">EST1608.....</x:t>
        </x:is>
      </x:c>
      <x:c r="B924" t="inlineStr">
        <x:is>
          <x:t xml:space="preserve">TANQUE PULPA DE DESCARGA DECANTER TREN A DIAM 3500*4000 EN FRP CON RESINA EPOXI VINILESTER STD</x:t>
        </x:is>
      </x:c>
      <x:c r="E924" t="n">
        <x:v>0</x:v>
      </x:c>
    </x:row>
    <x:row r="925">
      <x:c r="A925" t="inlineStr">
        <x:is>
          <x:t xml:space="preserve">EST16080000.</x:t>
        </x:is>
      </x:c>
      <x:c r="B925" t="inlineStr">
        <x:is>
          <x:t xml:space="preserve">TANQUE PULPA DE DESCARGA DECANTER TREN A DIAM 3500*4000 EN FRP CON RESINA EPOXI VINILESTER STD</x:t>
        </x:is>
      </x:c>
      <x:c r="E925" t="n">
        <x:v>0</x:v>
      </x:c>
    </x:row>
    <x:row r="926">
      <x:c r="A926" t="inlineStr">
        <x:is>
          <x:t xml:space="preserve">FACFLA001001</x:t>
        </x:is>
      </x:c>
      <x:c r="B926" t="inlineStr">
        <x:is>
          <x:t xml:space="preserve">FLANGE DE ACERO 316L DN 100</x:t>
        </x:is>
      </x:c>
      <x:c r="E926" t="n">
        <x:v>0</x:v>
      </x:c>
    </x:row>
    <x:row r="927">
      <x:c r="A927" t="inlineStr">
        <x:is>
          <x:t xml:space="preserve">FACFLA001002</x:t>
        </x:is>
      </x:c>
      <x:c r="B927" t="inlineStr">
        <x:is>
          <x:t xml:space="preserve">FLANGE DE ACERO 316L DN 150</x:t>
        </x:is>
      </x:c>
      <x:c r="E927" t="n">
        <x:v>0</x:v>
      </x:c>
    </x:row>
    <x:row r="928">
      <x:c r="A928" t="inlineStr">
        <x:is>
          <x:t xml:space="preserve">FACFLA001003</x:t>
        </x:is>
      </x:c>
      <x:c r="B928" t="inlineStr">
        <x:is>
          <x:t xml:space="preserve">FLANGE DE ACERO 316L DN 250</x:t>
        </x:is>
      </x:c>
      <x:c r="E928" t="n">
        <x:v>0</x:v>
      </x:c>
    </x:row>
    <x:row r="929">
      <x:c r="A929" t="inlineStr">
        <x:is>
          <x:t xml:space="preserve">FACFLA001004</x:t>
        </x:is>
      </x:c>
      <x:c r="B929" t="inlineStr">
        <x:is>
          <x:t xml:space="preserve">FLANGE ACERO INOXIDABLE 18 PLG ANSI B16,5 CLASE 150</x:t>
        </x:is>
      </x:c>
      <x:c r="E929" t="n">
        <x:v>0</x:v>
      </x:c>
    </x:row>
    <x:row r="930">
      <x:c r="A930" t="inlineStr">
        <x:is>
          <x:t xml:space="preserve">FBP001001001</x:t>
        </x:is>
      </x:c>
      <x:c r="B930" t="inlineStr">
        <x:is>
          <x:t xml:space="preserve">SPRAY IMPRIMACION PARA PLASTICOS Y METALES</x:t>
        </x:is>
      </x:c>
      <x:c r="E930" t="n">
        <x:v>0</x:v>
      </x:c>
    </x:row>
    <x:row r="931">
      <x:c r="A931" t="inlineStr">
        <x:is>
          <x:t xml:space="preserve">FIBTELJSH012</x:t>
        </x:is>
      </x:c>
      <x:c r="B931" t="inlineStr">
        <x:is>
          <x:t xml:space="preserve">ROVING FV 2200 E6</x:t>
        </x:is>
      </x:c>
      <x:c r="E931" t="n">
        <x:v>0</x:v>
      </x:c>
    </x:row>
    <x:row r="932">
      <x:c r="A932" t="inlineStr">
        <x:is>
          <x:t xml:space="preserve">FIBTELPLA002</x:t>
        </x:is>
      </x:c>
      <x:c r="B932" t="inlineStr">
        <x:is>
          <x:t xml:space="preserve">FIBRA DE VIDRIO MAT 450 PLASTIQUIMICA</x:t>
        </x:is>
      </x:c>
      <x:c r="E932" t="n">
        <x:v>55</x:v>
      </x:c>
    </x:row>
    <x:row r="933">
      <x:c r="A933" t="inlineStr">
        <x:is>
          <x:t xml:space="preserve">FIBTELPLA010</x:t>
        </x:is>
      </x:c>
      <x:c r="B933" t="inlineStr">
        <x:is>
          <x:t xml:space="preserve">VELO VIDRIO C 30g/m2 PLASTIQUIMICA</x:t>
        </x:is>
      </x:c>
      <x:c r="E933" t="n">
        <x:v>0</x:v>
      </x:c>
    </x:row>
    <x:row r="934">
      <x:c r="A934" t="inlineStr">
        <x:is>
          <x:t xml:space="preserve">FIBVELCAR001</x:t>
        </x:is>
      </x:c>
      <x:c r="B934" t="inlineStr">
        <x:is>
          <x:t xml:space="preserve">VELO DE CARBONO (62GRS / M2)</x:t>
        </x:is>
      </x:c>
      <x:c r="E934" t="n">
        <x:v>0</x:v>
      </x:c>
    </x:row>
    <x:row r="935">
      <x:c r="A935" t="inlineStr">
        <x:is>
          <x:t xml:space="preserve">FRPCAN001001</x:t>
        </x:is>
      </x:c>
      <x:c r="B935" t="inlineStr">
        <x:is>
          <x:t xml:space="preserve">CAÑERIA FRP DN600 X 6000  ARAUCO</x:t>
        </x:is>
      </x:c>
      <x:c r="E935" t="n">
        <x:v>0</x:v>
      </x:c>
    </x:row>
    <x:row r="936">
      <x:c r="A936" t="inlineStr">
        <x:is>
          <x:t xml:space="preserve">FRPCAN001002</x:t>
        </x:is>
      </x:c>
      <x:c r="B936" t="inlineStr">
        <x:is>
          <x:t xml:space="preserve">CAÑERIA FRP DN700 X 6000  ARAUCO</x:t>
        </x:is>
      </x:c>
      <x:c r="E936" t="n">
        <x:v>0</x:v>
      </x:c>
    </x:row>
    <x:row r="937">
      <x:c r="A937" t="inlineStr">
        <x:is>
          <x:t xml:space="preserve">HILLENSAN925</x:t>
        </x:is>
      </x:c>
      <x:c r="B937" t="inlineStr">
        <x:is>
          <x:t xml:space="preserve">HILADO LENZING SANDWICH 925</x:t>
        </x:is>
      </x:c>
      <x:c r="E937" t="n">
        <x:v>0</x:v>
      </x:c>
    </x:row>
    <x:row r="938">
      <x:c r="A938" t="inlineStr">
        <x:is>
          <x:t xml:space="preserve">HILLENTFE723</x:t>
        </x:is>
      </x:c>
      <x:c r="B938" t="inlineStr">
        <x:is>
          <x:t xml:space="preserve">HILADO LENZING PTFE 723</x:t>
        </x:is>
      </x:c>
      <x:c r="E938" t="n">
        <x:v>0</x:v>
      </x:c>
    </x:row>
    <x:row r="939">
      <x:c r="A939" t="inlineStr">
        <x:is>
          <x:t xml:space="preserve">HILTEJTWA103</x:t>
        </x:is>
      </x:c>
      <x:c r="B939" t="inlineStr">
        <x:is>
          <x:t xml:space="preserve">HILADO KEVLAR TWARON 1030</x:t>
        </x:is>
      </x:c>
      <x:c r="E939" t="n">
        <x:v>0</x:v>
      </x:c>
    </x:row>
    <x:row r="940">
      <x:c r="A940" t="inlineStr">
        <x:is>
          <x:t xml:space="preserve">ING001001001</x:t>
        </x:is>
      </x:c>
      <x:c r="B940" t="inlineStr">
        <x:is>
          <x:t xml:space="preserve">POS 80 CANT 0,2 CLP  3.770.000 WE 5008720680 DOCUMENTACION TECNICA</x:t>
        </x:is>
      </x:c>
      <x:c r="E940" t="n">
        <x:v>0</x:v>
      </x:c>
    </x:row>
    <x:row r="941">
      <x:c r="A941" t="inlineStr">
        <x:is>
          <x:t xml:space="preserve">LONPAQ001001</x:t>
        </x:is>
      </x:c>
      <x:c r="B941" t="inlineStr">
        <x:is>
          <x:t xml:space="preserve">PLANCHA DE TEFLON EXPANDIDO 1/8 X60 X60</x:t>
        </x:is>
      </x:c>
      <x:c r="E941" t="n">
        <x:v>37</x:v>
      </x:c>
    </x:row>
    <x:row r="942">
      <x:c r="A942" t="inlineStr">
        <x:is>
          <x:t xml:space="preserve">LONPAQ001002</x:t>
        </x:is>
      </x:c>
      <x:c r="B942" t="inlineStr">
        <x:is>
          <x:t xml:space="preserve">CINTA TEFLON TEFLON EXPANDIDO 5/8 X 15!</x:t>
        </x:is>
      </x:c>
      <x:c r="E942" t="n">
        <x:v>0</x:v>
      </x:c>
    </x:row>
    <x:row r="943">
      <x:c r="A943" t="inlineStr">
        <x:is>
          <x:t xml:space="preserve">LONPAQ001003</x:t>
        </x:is>
      </x:c>
      <x:c r="B943" t="inlineStr">
        <x:is>
          <x:t xml:space="preserve">CINTA TEFLON EXPANDIDO 1/2 PLG X 15 FT</x:t>
        </x:is>
      </x:c>
      <x:c r="E943" t="n">
        <x:v>8</x:v>
      </x:c>
    </x:row>
    <x:row r="944">
      <x:c r="A944" t="inlineStr">
        <x:is>
          <x:t xml:space="preserve">LONPAQ001004</x:t>
        </x:is>
      </x:c>
      <x:c r="B944" t="inlineStr">
        <x:is>
          <x:t xml:space="preserve">CINTA TEFLON EXPANDIDO 3/8 PLG X 30 FT</x:t>
        </x:is>
      </x:c>
      <x:c r="E944" t="n">
        <x:v>0</x:v>
      </x:c>
    </x:row>
    <x:row r="945">
      <x:c r="A945" t="inlineStr">
        <x:is>
          <x:t xml:space="preserve">LONPAQ001005</x:t>
        </x:is>
      </x:c>
      <x:c r="B945" t="inlineStr">
        <x:is>
          <x:t xml:space="preserve">CINTA TEFLON EXPANDIDO 3/16 PLG X 30 FT</x:t>
        </x:is>
      </x:c>
      <x:c r="E945" t="n">
        <x:v>0</x:v>
      </x:c>
    </x:row>
    <x:row r="946">
      <x:c r="A946" t="inlineStr">
        <x:is>
          <x:t xml:space="preserve">LONPAQ001006</x:t>
        </x:is>
      </x:c>
      <x:c r="B946" t="inlineStr">
        <x:is>
          <x:t xml:space="preserve">CINTA TEFLON EXPANDIDO 1 PLG X 15 FT</x:t>
        </x:is>
      </x:c>
      <x:c r="E946" t="n">
        <x:v>0</x:v>
      </x:c>
    </x:row>
    <x:row r="947">
      <x:c r="A947" t="inlineStr">
        <x:is>
          <x:t xml:space="preserve">LONPAQ001007</x:t>
        </x:is>
      </x:c>
      <x:c r="B947" t="inlineStr">
        <x:is>
          <x:t xml:space="preserve">CINTA TEFLON EXPANDIDO JOINT SEALANT 3/4 PLG X 15 FT</x:t>
        </x:is>
      </x:c>
      <x:c r="E947" t="n">
        <x:v>0</x:v>
      </x:c>
    </x:row>
    <x:row r="948">
      <x:c r="A948" t="inlineStr">
        <x:is>
          <x:t xml:space="preserve">LONPAQ001008</x:t>
        </x:is>
      </x:c>
      <x:c r="B948" t="inlineStr">
        <x:is>
          <x:t xml:space="preserve">CINTA TEFLON EXPANDIDO 3/4  X 30 PIES</x:t>
        </x:is>
      </x:c>
      <x:c r="E948" t="n">
        <x:v>0</x:v>
      </x:c>
    </x:row>
    <x:row r="949">
      <x:c r="A949" t="inlineStr">
        <x:is>
          <x:t xml:space="preserve">LONPAQ001009</x:t>
        </x:is>
      </x:c>
      <x:c r="B949" t="inlineStr">
        <x:is>
          <x:t xml:space="preserve">CINTA TEFLON EXPANDIDO 5/8 X 30 FT</x:t>
        </x:is>
      </x:c>
      <x:c r="E949" t="n">
        <x:v>0</x:v>
      </x:c>
    </x:row>
    <x:row r="950">
      <x:c r="A950" t="inlineStr">
        <x:is>
          <x:t xml:space="preserve">LONPAQ001010</x:t>
        </x:is>
      </x:c>
      <x:c r="B950" t="inlineStr">
        <x:is>
          <x:t xml:space="preserve">PLANCHA TEFLON EXPANDIDO 1/16 X 60 X 60 IN</x:t>
        </x:is>
      </x:c>
      <x:c r="E950" t="n">
        <x:v>0</x:v>
      </x:c>
    </x:row>
    <x:row r="951">
      <x:c r="A951" t="inlineStr">
        <x:is>
          <x:t xml:space="preserve">LONPAQ001011</x:t>
        </x:is>
      </x:c>
      <x:c r="B951" t="inlineStr">
        <x:is>
          <x:t xml:space="preserve">PLANCHA TEFLON EXPANDIDO 1/4 X 60 X 60 IN</x:t>
        </x:is>
      </x:c>
      <x:c r="E951" t="n">
        <x:v>0</x:v>
      </x:c>
    </x:row>
    <x:row r="952">
      <x:c r="A952" t="inlineStr">
        <x:is>
          <x:t xml:space="preserve">LONPAQ001012</x:t>
        </x:is>
      </x:c>
      <x:c r="B952" t="inlineStr">
        <x:is>
          <x:t xml:space="preserve">CINTA TEFLON EXPANDIDO 1/4  PLG X 15 FT</x:t>
        </x:is>
      </x:c>
      <x:c r="E952" t="n">
        <x:v>0</x:v>
      </x:c>
    </x:row>
    <x:row r="953">
      <x:c r="A953" t="inlineStr">
        <x:is>
          <x:t xml:space="preserve">LONPAQ001999</x:t>
        </x:is>
      </x:c>
      <x:c r="B953" t="inlineStr">
        <x:is>
          <x:t xml:space="preserve">TEFLON EXPANDIDO 1/8 PLG DESPUNTES</x:t>
        </x:is>
      </x:c>
      <x:c r="E953" t="n">
        <x:v>0</x:v>
      </x:c>
    </x:row>
    <x:row r="954">
      <x:c r="A954" t="inlineStr">
        <x:is>
          <x:t xml:space="preserve">MANIMPPES001</x:t>
        </x:is>
      </x:c>
      <x:c r="B954" t="inlineStr">
        <x:is>
          <x:t xml:space="preserve">MANGUEROTE PESQUERO SUCCION Y DESCARGA D.356 MM X 5 MTS LG C2W5A30B508</x:t>
        </x:is>
      </x:c>
      <x:c r="E954" t="n">
        <x:v>0</x:v>
      </x:c>
    </x:row>
    <x:row r="955">
      <x:c r="A955" t="inlineStr">
        <x:is>
          <x:t xml:space="preserve">MANIMPPES002</x:t>
        </x:is>
      </x:c>
      <x:c r="B955" t="inlineStr">
        <x:is>
          <x:t xml:space="preserve">MANGUEROTE PESQUERO SUCCION Y DESCARGA D.356 MM X 10 MTS LG C2W5A30B508</x:t>
        </x:is>
      </x:c>
      <x:c r="E955" t="n">
        <x:v>0</x:v>
      </x:c>
    </x:row>
    <x:row r="956">
      <x:c r="A956" t="inlineStr">
        <x:is>
          <x:t xml:space="preserve">MANIMPPES003</x:t>
        </x:is>
      </x:c>
      <x:c r="B956" t="inlineStr">
        <x:is>
          <x:t xml:space="preserve">MANGUEROTE PESQUERO SUCCION Y DESCARGA D.356 MM X 5 MTS LG C2W5A30B508</x:t>
        </x:is>
      </x:c>
      <x:c r="E956" t="n">
        <x:v>0</x:v>
      </x:c>
    </x:row>
    <x:row r="957">
      <x:c r="A957" t="inlineStr">
        <x:is>
          <x:t xml:space="preserve">MANIMPPES004</x:t>
        </x:is>
      </x:c>
      <x:c r="B957" t="inlineStr">
        <x:is>
          <x:t xml:space="preserve">MANGUEROTE PESQUERO SUCCION Y DESCARGA D.356 MM X 10 MTS LG C2W5A30B508</x:t>
        </x:is>
      </x:c>
      <x:c r="E957" t="n">
        <x:v>0</x:v>
      </x:c>
    </x:row>
    <x:row r="958">
      <x:c r="A958" t="inlineStr">
        <x:is>
          <x:t xml:space="preserve">MTPPLA001001</x:t>
        </x:is>
      </x:c>
      <x:c r="B958" t="inlineStr">
        <x:is>
          <x:t xml:space="preserve">BARRA POLIAMIDA (NYLON) NATURAL DIAM 100MM X 1 MT LGO</x:t>
        </x:is>
      </x:c>
      <x:c r="E958" t="n">
        <x:v>0</x:v>
      </x:c>
    </x:row>
    <x:row r="959">
      <x:c r="A959" t="inlineStr">
        <x:is>
          <x:t xml:space="preserve">MTPQUIADT001</x:t>
        </x:is>
      </x:c>
      <x:c r="B959" t="inlineStr">
        <x:is>
          <x:t xml:space="preserve">AGENTE TIXOTROPICO VINILESTER (10 KG)</x:t>
        </x:is>
      </x:c>
      <x:c r="E959" t="n">
        <x:v>0</x:v>
      </x:c>
    </x:row>
    <x:row r="960">
      <x:c r="A960" t="inlineStr">
        <x:is>
          <x:t xml:space="preserve">MTPQUIADT002</x:t>
        </x:is>
      </x:c>
      <x:c r="B960" t="inlineStr">
        <x:is>
          <x:t xml:space="preserve">DIOXIDO TITANIO (25 KG)</x:t>
        </x:is>
      </x:c>
      <x:c r="E960" t="n">
        <x:v>158.975</x:v>
      </x:c>
    </x:row>
    <x:row r="961">
      <x:c r="A961" t="inlineStr">
        <x:is>
          <x:t xml:space="preserve">MTPQUIADT003</x:t>
        </x:is>
      </x:c>
      <x:c r="B961" t="inlineStr">
        <x:is>
          <x:t xml:space="preserve">DILUYENTE POLIESTER</x:t>
        </x:is>
      </x:c>
      <x:c r="E961" t="n">
        <x:v>4630.9</x:v>
      </x:c>
    </x:row>
    <x:row r="962">
      <x:c r="A962" t="inlineStr">
        <x:is>
          <x:t xml:space="preserve">MTPQUIADT004</x:t>
        </x:is>
      </x:c>
      <x:c r="B962" t="inlineStr">
        <x:is>
          <x:t xml:space="preserve">CERA DESMOLDANTE</x:t>
        </x:is>
      </x:c>
      <x:c r="E962" t="n">
        <x:v>243.55</x:v>
      </x:c>
    </x:row>
    <x:row r="963">
      <x:c r="A963" t="inlineStr">
        <x:is>
          <x:t xml:space="preserve">MTPQUIADT005</x:t>
        </x:is>
      </x:c>
      <x:c r="B963" t="inlineStr">
        <x:is>
          <x:t xml:space="preserve">BYK-500 ELIMINADOR DE BURBUJAS</x:t>
        </x:is>
      </x:c>
      <x:c r="E963" t="n">
        <x:v>302.504</x:v>
      </x:c>
    </x:row>
    <x:row r="964">
      <x:c r="A964" t="inlineStr">
        <x:is>
          <x:t xml:space="preserve">MTPQUIADT006</x:t>
        </x:is>
      </x:c>
      <x:c r="B964" t="inlineStr">
        <x:is>
          <x:t xml:space="preserve">ADITIVO FILTRO UV</x:t>
        </x:is>
      </x:c>
      <x:c r="E964" t="n">
        <x:v>40</x:v>
      </x:c>
    </x:row>
    <x:row r="965">
      <x:c r="A965" t="inlineStr">
        <x:is>
          <x:t xml:space="preserve">MTPQUIADT007</x:t>
        </x:is>
      </x:c>
      <x:c r="B965" t="inlineStr">
        <x:is>
          <x:t xml:space="preserve">PEROXIDO BUTANOX LPT (CATALIZADOR)</x:t>
        </x:is>
      </x:c>
      <x:c r="E965" t="n">
        <x:v>67</x:v>
      </x:c>
    </x:row>
    <x:row r="966">
      <x:c r="A966" t="inlineStr">
        <x:is>
          <x:t xml:space="preserve">MTPQUIADT008</x:t>
        </x:is>
      </x:c>
      <x:c r="B966" t="inlineStr">
        <x:is>
          <x:t xml:space="preserve">COBALTO ACELERANTE 6%</x:t>
        </x:is>
      </x:c>
      <x:c r="E966" t="n">
        <x:v>108.659</x:v>
      </x:c>
    </x:row>
    <x:row r="967">
      <x:c r="A967" t="inlineStr">
        <x:is>
          <x:t xml:space="preserve">MTPQUIADT009</x:t>
        </x:is>
      </x:c>
      <x:c r="B967" t="inlineStr">
        <x:is>
          <x:t xml:space="preserve">ACELERANTE DMA 20%</x:t>
        </x:is>
      </x:c>
      <x:c r="E967" t="n">
        <x:v>10.766</x:v>
      </x:c>
    </x:row>
    <x:row r="968">
      <x:c r="A968" t="inlineStr">
        <x:is>
          <x:t xml:space="preserve">MTPQUIADT010</x:t>
        </x:is>
      </x:c>
      <x:c r="B968" t="inlineStr">
        <x:is>
          <x:t xml:space="preserve">DESMOLDANTE PVA LIQUIDO</x:t>
        </x:is>
      </x:c>
      <x:c r="E968" t="n">
        <x:v>3</x:v>
      </x:c>
    </x:row>
    <x:row r="969">
      <x:c r="A969" t="inlineStr">
        <x:is>
          <x:t xml:space="preserve">MTPQUIADT011</x:t>
        </x:is>
      </x:c>
      <x:c r="B969" t="inlineStr">
        <x:is>
          <x:t xml:space="preserve">BYK-750 ECOLOGICO</x:t>
        </x:is>
      </x:c>
      <x:c r="E969" t="n">
        <x:v>0</x:v>
      </x:c>
    </x:row>
    <x:row r="970">
      <x:c r="A970" t="inlineStr">
        <x:is>
          <x:t xml:space="preserve">MTPQUIADT012</x:t>
        </x:is>
      </x:c>
      <x:c r="B970" t="inlineStr">
        <x:is>
          <x:t xml:space="preserve">MONOMERO ESTIRENO</x:t>
        </x:is>
      </x:c>
      <x:c r="E970" t="n">
        <x:v>68</x:v>
      </x:c>
    </x:row>
    <x:row r="971">
      <x:c r="A971" t="inlineStr">
        <x:is>
          <x:t xml:space="preserve">MTPQUIADT013</x:t>
        </x:is>
      </x:c>
      <x:c r="B971" t="inlineStr">
        <x:is>
          <x:t xml:space="preserve">ACETONA</x:t>
        </x:is>
      </x:c>
      <x:c r="E971" t="n">
        <x:v>61</x:v>
      </x:c>
    </x:row>
    <x:row r="972">
      <x:c r="A972" t="inlineStr">
        <x:is>
          <x:t xml:space="preserve">MTPQUIADT014</x:t>
        </x:is>
      </x:c>
      <x:c r="B972" t="inlineStr">
        <x:is>
          <x:t xml:space="preserve">ACOHOL ISOPROPILICO</x:t>
        </x:is>
      </x:c>
      <x:c r="E972" t="n">
        <x:v>0</x:v>
      </x:c>
    </x:row>
    <x:row r="973">
      <x:c r="A973" t="inlineStr">
        <x:is>
          <x:t xml:space="preserve">MTPQUIADT015</x:t>
        </x:is>
      </x:c>
      <x:c r="B973" t="inlineStr">
        <x:is>
          <x:t xml:space="preserve">PIGMENTO PASTA COLOR VERDE</x:t>
        </x:is>
      </x:c>
      <x:c r="E973" t="n">
        <x:v>0.006</x:v>
      </x:c>
    </x:row>
    <x:row r="974">
      <x:c r="A974" t="inlineStr">
        <x:is>
          <x:t xml:space="preserve">MTPQUIADT016</x:t>
        </x:is>
      </x:c>
      <x:c r="B974" t="inlineStr">
        <x:is>
          <x:t xml:space="preserve">PIGMENTO PASTA COLOR ROJO</x:t>
        </x:is>
      </x:c>
      <x:c r="E974" t="n">
        <x:v>1</x:v>
      </x:c>
    </x:row>
    <x:row r="975">
      <x:c r="A975" t="inlineStr">
        <x:is>
          <x:t xml:space="preserve">MTPQUIADT017</x:t>
        </x:is>
      </x:c>
      <x:c r="B975" t="inlineStr">
        <x:is>
          <x:t xml:space="preserve">PIGMENTO PASTA COLOR AMARILLO</x:t>
        </x:is>
      </x:c>
      <x:c r="E975" t="n">
        <x:v>0.01</x:v>
      </x:c>
    </x:row>
    <x:row r="976">
      <x:c r="A976" t="inlineStr">
        <x:is>
          <x:t xml:space="preserve">MTPQUIADT018</x:t>
        </x:is>
      </x:c>
      <x:c r="B976" t="inlineStr">
        <x:is>
          <x:t xml:space="preserve">PIGMENTO PASTA COLOR NEGRO</x:t>
        </x:is>
      </x:c>
      <x:c r="E976" t="n">
        <x:v>0.5669999999999999</x:v>
      </x:c>
    </x:row>
    <x:row r="977">
      <x:c r="A977" t="inlineStr">
        <x:is>
          <x:t xml:space="preserve">MTPQUIADT019</x:t>
        </x:is>
      </x:c>
      <x:c r="B977" t="inlineStr">
        <x:is>
          <x:t xml:space="preserve">PIGMENTO PASTA COLOR AZUL</x:t>
        </x:is>
      </x:c>
      <x:c r="E977" t="n">
        <x:v>0</x:v>
      </x:c>
    </x:row>
    <x:row r="978">
      <x:c r="A978" t="inlineStr">
        <x:is>
          <x:t xml:space="preserve">MTPQUIADT020</x:t>
        </x:is>
      </x:c>
      <x:c r="B978" t="inlineStr">
        <x:is>
          <x:t xml:space="preserve">GRASA CONSISTENTE</x:t>
        </x:is>
      </x:c>
      <x:c r="E978" t="n">
        <x:v>0</x:v>
      </x:c>
    </x:row>
    <x:row r="979">
      <x:c r="A979" t="inlineStr">
        <x:is>
          <x:t xml:space="preserve">MTPQUIADT021</x:t>
        </x:is>
      </x:c>
      <x:c r="B979" t="inlineStr">
        <x:is>
          <x:t xml:space="preserve">FIBRA DE VIDRIO TELA WR 600</x:t>
        </x:is>
      </x:c>
      <x:c r="E979" t="n">
        <x:v>0</x:v>
      </x:c>
    </x:row>
    <x:row r="980">
      <x:c r="A980" t="inlineStr">
        <x:is>
          <x:t xml:space="preserve">MTPQUIADT022</x:t>
        </x:is>
      </x:c>
      <x:c r="B980" t="inlineStr">
        <x:is>
          <x:t xml:space="preserve">AGENTE SUPERFICIE S</x:t>
        </x:is>
      </x:c>
      <x:c r="E980" t="n">
        <x:v>82.40000000000001</x:v>
      </x:c>
    </x:row>
    <x:row r="981">
      <x:c r="A981" t="inlineStr">
        <x:is>
          <x:t xml:space="preserve">MTPQUIADT023</x:t>
        </x:is>
      </x:c>
      <x:c r="B981" t="inlineStr">
        <x:is>
          <x:t xml:space="preserve">POLVO CARBONO / NEGRO DE HUMO</x:t>
        </x:is>
      </x:c>
      <x:c r="E981" t="n">
        <x:v>11.5</x:v>
      </x:c>
    </x:row>
    <x:row r="982">
      <x:c r="A982" t="inlineStr">
        <x:is>
          <x:t xml:space="preserve">MTPQUIADT024</x:t>
        </x:is>
      </x:c>
      <x:c r="B982" t="inlineStr">
        <x:is>
          <x:t xml:space="preserve">TALCO EXP SACO</x:t>
        </x:is>
      </x:c>
      <x:c r="E982" t="n">
        <x:v>1100</x:v>
      </x:c>
    </x:row>
    <x:row r="983">
      <x:c r="A983" t="inlineStr">
        <x:is>
          <x:t xml:space="preserve">MTPQUIADT025</x:t>
        </x:is>
      </x:c>
      <x:c r="B983" t="inlineStr">
        <x:is>
          <x:t xml:space="preserve">POLIURETANO A (POLIOL) KG</x:t>
        </x:is>
      </x:c>
      <x:c r="E983" t="n">
        <x:v>0</x:v>
      </x:c>
    </x:row>
    <x:row r="984">
      <x:c r="A984" t="inlineStr">
        <x:is>
          <x:t xml:space="preserve">MTPQUIADT026</x:t>
        </x:is>
      </x:c>
      <x:c r="B984" t="inlineStr">
        <x:is>
          <x:t xml:space="preserve">POLIURETANO B (ISOCIANATO-MDI) KG</x:t>
        </x:is>
      </x:c>
      <x:c r="E984" t="n">
        <x:v>0</x:v>
      </x:c>
    </x:row>
    <x:row r="985">
      <x:c r="A985" t="inlineStr">
        <x:is>
          <x:t xml:space="preserve">MTPQUIADT027</x:t>
        </x:is>
      </x:c>
      <x:c r="B985" t="inlineStr">
        <x:is>
          <x:t xml:space="preserve">CARBONATO DE CALCIO</x:t>
        </x:is>
      </x:c>
      <x:c r="E985" t="n">
        <x:v>0</x:v>
      </x:c>
    </x:row>
    <x:row r="986">
      <x:c r="A986" t="inlineStr">
        <x:is>
          <x:t xml:space="preserve">MTPQUIADT029</x:t>
        </x:is>
      </x:c>
      <x:c r="B986" t="inlineStr">
        <x:is>
          <x:t xml:space="preserve">CABOSIL TS-720</x:t>
        </x:is>
      </x:c>
      <x:c r="E986" t="n">
        <x:v>30</x:v>
      </x:c>
    </x:row>
    <x:row r="987">
      <x:c r="A987" t="inlineStr">
        <x:is>
          <x:t xml:space="preserve">MTPQUIADT030</x:t>
        </x:is>
      </x:c>
      <x:c r="B987" t="inlineStr">
        <x:is>
          <x:t xml:space="preserve">AGENTE SUPERFICIE AL 10%</x:t>
        </x:is>
      </x:c>
      <x:c r="E987" t="n">
        <x:v>4.5</x:v>
      </x:c>
    </x:row>
    <x:row r="988">
      <x:c r="A988" t="inlineStr">
        <x:is>
          <x:t xml:space="preserve">MTPQUIADT031</x:t>
        </x:is>
      </x:c>
      <x:c r="B988" t="inlineStr">
        <x:is>
          <x:t xml:space="preserve">GRAFITO EN POLVO</x:t>
        </x:is>
      </x:c>
      <x:c r="E988" t="n">
        <x:v>0</x:v>
      </x:c>
    </x:row>
    <x:row r="989">
      <x:c r="A989" t="inlineStr">
        <x:is>
          <x:t xml:space="preserve">MTPQUIADT032</x:t>
        </x:is>
      </x:c>
      <x:c r="B989" t="inlineStr">
        <x:is>
          <x:t xml:space="preserve">ROLLO DE FIBRA DE CARBONO</x:t>
        </x:is>
      </x:c>
      <x:c r="E989" t="n">
        <x:v>0</x:v>
      </x:c>
    </x:row>
    <x:row r="990">
      <x:c r="A990" t="inlineStr">
        <x:is>
          <x:t xml:space="preserve">MTPQUIADT033</x:t>
        </x:is>
      </x:c>
      <x:c r="B990" t="inlineStr">
        <x:is>
          <x:t xml:space="preserve">FIBRA DE VIDRIO MAT 300</x:t>
        </x:is>
      </x:c>
      <x:c r="E990" t="n">
        <x:v>0</x:v>
      </x:c>
    </x:row>
    <x:row r="991">
      <x:c r="A991" t="inlineStr">
        <x:is>
          <x:t xml:space="preserve">MTPQUIADT034</x:t>
        </x:is>
      </x:c>
      <x:c r="B991" t="inlineStr">
        <x:is>
          <x:t xml:space="preserve">COREMAT DE 10 MM</x:t>
        </x:is>
      </x:c>
      <x:c r="E991" t="n">
        <x:v>0</x:v>
      </x:c>
    </x:row>
    <x:row r="992">
      <x:c r="A992" t="inlineStr">
        <x:is>
          <x:t xml:space="preserve">MTPQUIADT035</x:t>
        </x:is>
      </x:c>
      <x:c r="B992" t="inlineStr">
        <x:is>
          <x:t xml:space="preserve">FIBRA DE VIDRIO MAT 450</x:t>
        </x:is>
      </x:c>
      <x:c r="E992" t="n">
        <x:v>0</x:v>
      </x:c>
    </x:row>
    <x:row r="993">
      <x:c r="A993" t="inlineStr">
        <x:is>
          <x:t xml:space="preserve">MTPQUIADT036</x:t>
        </x:is>
      </x:c>
      <x:c r="B993" t="inlineStr">
        <x:is>
          <x:t xml:space="preserve">VELO VIDRIO C 30g/m2</x:t>
        </x:is>
      </x:c>
      <x:c r="E993" t="n">
        <x:v>0</x:v>
      </x:c>
    </x:row>
    <x:row r="994">
      <x:c r="A994" t="inlineStr">
        <x:is>
          <x:t xml:space="preserve">MTPQUIADT037</x:t>
        </x:is>
      </x:c>
      <x:c r="B994" t="inlineStr">
        <x:is>
          <x:t xml:space="preserve">AILCOTE (ACELERANTE)</x:t>
        </x:is>
      </x:c>
      <x:c r="E994" t="n">
        <x:v>0</x:v>
      </x:c>
    </x:row>
    <x:row r="995">
      <x:c r="A995" t="inlineStr">
        <x:is>
          <x:t xml:space="preserve">MTPQUIADT038</x:t>
        </x:is>
      </x:c>
      <x:c r="B995" t="inlineStr">
        <x:is>
          <x:t xml:space="preserve">VELO NEXUS</x:t>
        </x:is>
      </x:c>
      <x:c r="E995" t="n">
        <x:v>0</x:v>
      </x:c>
    </x:row>
    <x:row r="996">
      <x:c r="A996" t="inlineStr">
        <x:is>
          <x:t xml:space="preserve">MTPQUIADT039</x:t>
        </x:is>
      </x:c>
      <x:c r="B996" t="inlineStr">
        <x:is>
          <x:t xml:space="preserve">FIBRA DE VIDRIO TELA WR 800</x:t>
        </x:is>
      </x:c>
      <x:c r="E996" t="n">
        <x:v>0</x:v>
      </x:c>
    </x:row>
    <x:row r="997">
      <x:c r="A997" t="inlineStr">
        <x:is>
          <x:t xml:space="preserve">MTPQUIADT040</x:t>
        </x:is>
      </x:c>
      <x:c r="B997" t="inlineStr">
        <x:is>
          <x:t xml:space="preserve">VELO NEXUS CARBONO IMPORTADO</x:t>
        </x:is>
      </x:c>
      <x:c r="E997" t="n">
        <x:v>0</x:v>
      </x:c>
    </x:row>
    <x:row r="998">
      <x:c r="A998" t="inlineStr">
        <x:is>
          <x:t xml:space="preserve">MTPQUIADT041</x:t>
        </x:is>
      </x:c>
      <x:c r="B998" t="inlineStr">
        <x:is>
          <x:t xml:space="preserve">HILADO ROVING 2200 TEC</x:t>
        </x:is>
      </x:c>
      <x:c r="E998" t="n">
        <x:v>47862</x:v>
      </x:c>
    </x:row>
    <x:row r="999">
      <x:c r="A999" t="inlineStr">
        <x:is>
          <x:t xml:space="preserve">MTPQUIADT042</x:t>
        </x:is>
      </x:c>
      <x:c r="B999" t="inlineStr">
        <x:is>
          <x:t xml:space="preserve">POLVO S-1 SACOS DE 50 LBS</x:t>
        </x:is>
      </x:c>
      <x:c r="E999" t="n">
        <x:v>10.3</x:v>
      </x:c>
    </x:row>
    <x:row r="1000">
      <x:c r="A1000" t="inlineStr">
        <x:is>
          <x:t xml:space="preserve">MTPQUIADT043</x:t>
        </x:is>
      </x:c>
      <x:c r="B1000" t="inlineStr">
        <x:is>
          <x:t xml:space="preserve">POLIURETANO PARTE A</x:t>
        </x:is>
      </x:c>
      <x:c r="E1000" t="n">
        <x:v>0</x:v>
      </x:c>
    </x:row>
    <x:row r="1001">
      <x:c r="A1001" t="inlineStr">
        <x:is>
          <x:t xml:space="preserve">MTPQUIADT044</x:t>
        </x:is>
      </x:c>
      <x:c r="B1001" t="inlineStr">
        <x:is>
          <x:t xml:space="preserve">POLIURETANO PARTE B</x:t>
        </x:is>
      </x:c>
      <x:c r="E1001" t="n">
        <x:v>0</x:v>
      </x:c>
    </x:row>
    <x:row r="1002">
      <x:c r="A1002" t="inlineStr">
        <x:is>
          <x:t xml:space="preserve">MTPQUIADT045</x:t>
        </x:is>
      </x:c>
      <x:c r="B1002" t="inlineStr">
        <x:is>
          <x:t xml:space="preserve">COMBO GLAS TELA 800 GRS/MT2 + MAT 225 GRS/MT2</x:t>
        </x:is>
      </x:c>
      <x:c r="E1002" t="n">
        <x:v>4783.1</x:v>
      </x:c>
    </x:row>
    <x:row r="1003">
      <x:c r="A1003" t="inlineStr">
        <x:is>
          <x:t xml:space="preserve">MTPQUIADT046</x:t>
        </x:is>
      </x:c>
      <x:c r="B1003" t="inlineStr">
        <x:is>
          <x:t xml:space="preserve">ROLLO DE CORE SBC 8 MM ESP.</x:t>
        </x:is>
      </x:c>
      <x:c r="E1003" t="n">
        <x:v>0</x:v>
      </x:c>
    </x:row>
    <x:row r="1004">
      <x:c r="A1004" t="inlineStr">
        <x:is>
          <x:t xml:space="preserve">MTPQUIADT047</x:t>
        </x:is>
      </x:c>
      <x:c r="B1004" t="inlineStr">
        <x:is>
          <x:t xml:space="preserve">FIBRA DE VIDRIO MAT 800</x:t>
        </x:is>
      </x:c>
      <x:c r="E1004" t="n">
        <x:v>0</x:v>
      </x:c>
    </x:row>
    <x:row r="1005">
      <x:c r="A1005" t="inlineStr">
        <x:is>
          <x:t xml:space="preserve">MTPQUIADT048</x:t>
        </x:is>
      </x:c>
      <x:c r="B1005" t="inlineStr">
        <x:is>
          <x:t xml:space="preserve">MYLAR S 50um 1.476mm 15210</x:t>
        </x:is>
      </x:c>
      <x:c r="E1005" t="n">
        <x:v>0</x:v>
      </x:c>
    </x:row>
    <x:row r="1006">
      <x:c r="A1006" t="inlineStr">
        <x:is>
          <x:t xml:space="preserve">MTPQUIADT049</x:t>
        </x:is>
      </x:c>
      <x:c r="B1006" t="inlineStr">
        <x:is>
          <x:t xml:space="preserve">PEROXIDO PARA VINILESTER</x:t>
        </x:is>
      </x:c>
      <x:c r="E1006" t="n">
        <x:v>0</x:v>
      </x:c>
    </x:row>
    <x:row r="1007">
      <x:c r="A1007" t="inlineStr">
        <x:is>
          <x:t xml:space="preserve">MTPQUIADT050</x:t>
        </x:is>
      </x:c>
      <x:c r="B1007" t="inlineStr">
        <x:is>
          <x:t xml:space="preserve">HILADO ASSEMBLE ROVING 2400 TEX</x:t>
        </x:is>
      </x:c>
      <x:c r="E1007" t="n">
        <x:v>0</x:v>
      </x:c>
    </x:row>
    <x:row r="1008">
      <x:c r="A1008" t="inlineStr">
        <x:is>
          <x:t xml:space="preserve">MTPQUIADT051</x:t>
        </x:is>
      </x:c>
      <x:c r="B1008" t="inlineStr">
        <x:is>
          <x:t xml:space="preserve">MASILLA MAGICA TRADICIONAL</x:t>
        </x:is>
      </x:c>
      <x:c r="E1008" t="n">
        <x:v>0</x:v>
      </x:c>
    </x:row>
    <x:row r="1009">
      <x:c r="A1009" t="inlineStr">
        <x:is>
          <x:t xml:space="preserve">MTPQUIADT052</x:t>
        </x:is>
      </x:c>
      <x:c r="B1009" t="inlineStr">
        <x:is>
          <x:t xml:space="preserve">PEROXIDO BENZOILO BLANCO</x:t>
        </x:is>
      </x:c>
      <x:c r="E1009" t="n">
        <x:v>43</x:v>
      </x:c>
    </x:row>
    <x:row r="1010">
      <x:c r="A1010" t="inlineStr">
        <x:is>
          <x:t xml:space="preserve">MTPQUIADT053</x:t>
        </x:is>
      </x:c>
      <x:c r="B1010" t="inlineStr">
        <x:is>
          <x:t xml:space="preserve">ACELERANTE DMA 100%</x:t>
        </x:is>
      </x:c>
      <x:c r="E1010" t="n">
        <x:v>9</x:v>
      </x:c>
    </x:row>
    <x:row r="1011">
      <x:c r="A1011" t="inlineStr">
        <x:is>
          <x:t xml:space="preserve">MTPQUIADT054</x:t>
        </x:is>
      </x:c>
      <x:c r="B1011" t="inlineStr">
        <x:is>
          <x:t xml:space="preserve">ADITIVO ANTI UV TINUVIN</x:t>
        </x:is>
      </x:c>
      <x:c r="E1011" t="n">
        <x:v>3.8154</x:v>
      </x:c>
    </x:row>
    <x:row r="1012">
      <x:c r="A1012" t="inlineStr">
        <x:is>
          <x:t xml:space="preserve">MTPQUIADT055</x:t>
        </x:is>
      </x:c>
      <x:c r="B1012" t="inlineStr">
        <x:is>
          <x:t xml:space="preserve">PEROXIDO BRASNOX HD (K-12)</x:t>
        </x:is>
      </x:c>
      <x:c r="E1012" t="n">
        <x:v>0</x:v>
      </x:c>
    </x:row>
    <x:row r="1013">
      <x:c r="A1013" t="inlineStr">
        <x:is>
          <x:t xml:space="preserve">MTPQUIADT056</x:t>
        </x:is>
      </x:c>
      <x:c r="B1013" t="inlineStr">
        <x:is>
          <x:t xml:space="preserve">FIBRA DE VIDRIO TELA 600</x:t>
        </x:is>
      </x:c>
      <x:c r="E1013" t="n">
        <x:v>0</x:v>
      </x:c>
    </x:row>
    <x:row r="1014">
      <x:c r="A1014" t="inlineStr">
        <x:is>
          <x:t xml:space="preserve">MTPQUIADT057</x:t>
        </x:is>
      </x:c>
      <x:c r="B1014" t="inlineStr">
        <x:is>
          <x:t xml:space="preserve">PEROXIDO BUTANOX L-50</x:t>
        </x:is>
      </x:c>
      <x:c r="E1014" t="n">
        <x:v>0</x:v>
      </x:c>
    </x:row>
    <x:row r="1015">
      <x:c r="A1015" t="inlineStr">
        <x:is>
          <x:t xml:space="preserve">MTPQUIADT058</x:t>
        </x:is>
      </x:c>
      <x:c r="B1015" t="inlineStr">
        <x:is>
          <x:t xml:space="preserve">HIDROQUINONA</x:t>
        </x:is>
      </x:c>
      <x:c r="E1015" t="n">
        <x:v>0</x:v>
      </x:c>
    </x:row>
    <x:row r="1016">
      <x:c r="A1016" t="inlineStr">
        <x:is>
          <x:t xml:space="preserve">MTPQUIADT059</x:t>
        </x:is>
      </x:c>
      <x:c r="B1016" t="inlineStr">
        <x:is>
          <x:t xml:space="preserve">POLYESTER CELULAR DESBURBUJADOR CLOTH DENSITY 50GR/MT2 200 MM ANCHO</x:t>
        </x:is>
      </x:c>
      <x:c r="E1016" t="n">
        <x:v>0</x:v>
      </x:c>
    </x:row>
    <x:row r="1017">
      <x:c r="A1017" t="inlineStr">
        <x:is>
          <x:t xml:space="preserve">MTPQUIADT060</x:t>
        </x:is>
      </x:c>
      <x:c r="B1017" t="inlineStr">
        <x:is>
          <x:t xml:space="preserve">VELO C SURFACE DENSITY 30 GR/MT2 200 MM ANCHO (FW VERTICAL)</x:t>
        </x:is>
      </x:c>
      <x:c r="E1017" t="n">
        <x:v>0</x:v>
      </x:c>
    </x:row>
    <x:row r="1018">
      <x:c r="A1018" t="inlineStr">
        <x:is>
          <x:t xml:space="preserve">MTPQUIADT061</x:t>
        </x:is>
      </x:c>
      <x:c r="B1018" t="inlineStr">
        <x:is>
          <x:t xml:space="preserve">MYLAR FILM 36 MICRON ANCHO 200 MM</x:t>
        </x:is>
      </x:c>
      <x:c r="E1018" t="n">
        <x:v>94</x:v>
      </x:c>
    </x:row>
    <x:row r="1019">
      <x:c r="A1019" t="inlineStr">
        <x:is>
          <x:t xml:space="preserve">MTPQUIADT062</x:t>
        </x:is>
      </x:c>
      <x:c r="B1019" t="inlineStr">
        <x:is>
          <x:t xml:space="preserve">ESCAMAS DE VIDRIO</x:t>
        </x:is>
      </x:c>
      <x:c r="E1019" t="n">
        <x:v>0</x:v>
      </x:c>
    </x:row>
    <x:row r="1020">
      <x:c r="A1020" t="inlineStr">
        <x:is>
          <x:t xml:space="preserve">MTPQUIADT063</x:t>
        </x:is>
      </x:c>
      <x:c r="B1020" t="inlineStr">
        <x:is>
          <x:t xml:space="preserve">PEROXIDO BRASNOX ROJO DM50 E DR</x:t>
        </x:is>
      </x:c>
      <x:c r="E1020" t="n">
        <x:v>0</x:v>
      </x:c>
    </x:row>
    <x:row r="1021">
      <x:c r="A1021" t="inlineStr">
        <x:is>
          <x:t xml:space="preserve">MTPQUIADT064</x:t>
        </x:is>
      </x:c>
      <x:c r="B1021" t="inlineStr">
        <x:is>
          <x:t xml:space="preserve">BYK A 515 DESAIRANTE</x:t>
        </x:is>
      </x:c>
      <x:c r="E1021" t="n">
        <x:v>0</x:v>
      </x:c>
    </x:row>
    <x:row r="1022">
      <x:c r="A1022" t="inlineStr">
        <x:is>
          <x:t xml:space="preserve">MTPQUIADT065</x:t>
        </x:is>
      </x:c>
      <x:c r="B1022" t="inlineStr">
        <x:is>
          <x:t xml:space="preserve">PIGMENTO PASTA COLOR VERDE</x:t>
        </x:is>
      </x:c>
      <x:c r="E1022" t="n">
        <x:v>0</x:v>
      </x:c>
    </x:row>
    <x:row r="1023">
      <x:c r="A1023" t="inlineStr">
        <x:is>
          <x:t xml:space="preserve">MTPQUIADT066</x:t>
        </x:is>
      </x:c>
      <x:c r="B1023" t="inlineStr">
        <x:is>
          <x:t xml:space="preserve">VELO C SUPERFICIE TIPO C DENSIDAD 30GR/MT2 1000 MM ANCHO</x:t>
        </x:is>
      </x:c>
      <x:c r="E1023" t="n">
        <x:v>31.35</x:v>
      </x:c>
    </x:row>
    <x:row r="1024">
      <x:c r="A1024" t="inlineStr">
        <x:is>
          <x:t xml:space="preserve">MTPQUIADT067</x:t>
        </x:is>
      </x:c>
      <x:c r="B1024" t="inlineStr">
        <x:is>
          <x:t xml:space="preserve">TELA UNIDIRECCIONAL FIBRA DE VIDRIO DENSIDAD 525GR/MT2 ANCHO 300 MM</x:t>
        </x:is>
      </x:c>
      <x:c r="E1024" t="n">
        <x:v>4241.75</x:v>
      </x:c>
    </x:row>
    <x:row r="1025">
      <x:c r="A1025" t="inlineStr">
        <x:is>
          <x:t xml:space="preserve">MTPQUIADT068</x:t>
        </x:is>
      </x:c>
      <x:c r="B1025" t="inlineStr">
        <x:is>
          <x:t xml:space="preserve">FIBRA DE VIDRIO MAT 450GR/MT2 E6CRMC450-1400-P20  JUSHI</x:t>
        </x:is>
      </x:c>
      <x:c r="E1025" t="n">
        <x:v>7558.41</x:v>
      </x:c>
    </x:row>
    <x:row r="1026">
      <x:c r="A1026" t="inlineStr">
        <x:is>
          <x:t xml:space="preserve">MTPQUIADT069</x:t>
        </x:is>
      </x:c>
      <x:c r="B1026" t="inlineStr">
        <x:is>
          <x:t xml:space="preserve">AGENTE TIXOTROPICO HL-200</x:t>
        </x:is>
      </x:c>
      <x:c r="E1026" t="n">
        <x:v>0</x:v>
      </x:c>
    </x:row>
    <x:row r="1027">
      <x:c r="A1027" t="inlineStr">
        <x:is>
          <x:t xml:space="preserve">MTPQUIADT070</x:t>
        </x:is>
      </x:c>
      <x:c r="B1027" t="inlineStr">
        <x:is>
          <x:t xml:space="preserve">PASTA AEROSIL</x:t>
        </x:is>
      </x:c>
      <x:c r="E1027" t="n">
        <x:v>60</x:v>
      </x:c>
    </x:row>
    <x:row r="1028">
      <x:c r="A1028" t="inlineStr">
        <x:is>
          <x:t xml:space="preserve">MTPQUIADT071</x:t>
        </x:is>
      </x:c>
      <x:c r="B1028" t="inlineStr">
        <x:is>
          <x:t xml:space="preserve">PEROXIDO BRASNOX DM50</x:t>
        </x:is>
      </x:c>
      <x:c r="E1028" t="n">
        <x:v>0</x:v>
      </x:c>
    </x:row>
    <x:row r="1029">
      <x:c r="A1029" t="inlineStr">
        <x:is>
          <x:t xml:space="preserve">MTPQUIADT073</x:t>
        </x:is>
      </x:c>
      <x:c r="B1029" t="inlineStr">
        <x:is>
          <x:t xml:space="preserve">AGENTE TIXOTROPICO HJSIL R-110</x:t>
        </x:is>
      </x:c>
      <x:c r="E1029" t="n">
        <x:v>104.9075</x:v>
      </x:c>
    </x:row>
    <x:row r="1030">
      <x:c r="A1030" t="inlineStr">
        <x:is>
          <x:t xml:space="preserve">MTPQUIADT074</x:t>
        </x:is>
      </x:c>
      <x:c r="B1030" t="inlineStr">
        <x:is>
          <x:t xml:space="preserve">PEROXIDO PEROXICOL 80 (PARA POLIESTER)</x:t>
        </x:is>
      </x:c>
      <x:c r="E1030" t="n">
        <x:v>0</x:v>
      </x:c>
    </x:row>
    <x:row r="1031">
      <x:c r="A1031" t="inlineStr">
        <x:is>
          <x:t xml:space="preserve">MTPQUIADT075</x:t>
        </x:is>
      </x:c>
      <x:c r="B1031" t="inlineStr">
        <x:is>
          <x:t xml:space="preserve">LAMINA DE PLOMO 6 MM PPEE</x:t>
        </x:is>
      </x:c>
      <x:c r="E1031" t="n">
        <x:v>0</x:v>
      </x:c>
    </x:row>
    <x:row r="1032">
      <x:c r="A1032" t="inlineStr">
        <x:is>
          <x:t xml:space="preserve">MTPQUIADT076</x:t>
        </x:is>
      </x:c>
      <x:c r="B1032" t="inlineStr">
        <x:is>
          <x:t xml:space="preserve">TRIOXIDO DE ANTIMONIO</x:t>
        </x:is>
      </x:c>
      <x:c r="E1032" t="n">
        <x:v>0</x:v>
      </x:c>
    </x:row>
    <x:row r="1033">
      <x:c r="A1033" t="inlineStr">
        <x:is>
          <x:t xml:space="preserve">MTPQUIADT077</x:t>
        </x:is>
      </x:c>
      <x:c r="B1033" t="inlineStr">
        <x:is>
          <x:t xml:space="preserve">TRIOXIDO DE ANTIMONIO</x:t>
        </x:is>
      </x:c>
      <x:c r="E1033" t="n">
        <x:v>0</x:v>
      </x:c>
    </x:row>
    <x:row r="1034">
      <x:c r="A1034" t="inlineStr">
        <x:is>
          <x:t xml:space="preserve">MTPQUIADT078</x:t>
        </x:is>
      </x:c>
      <x:c r="B1034" t="inlineStr">
        <x:is>
          <x:t xml:space="preserve">SOLDADURA PLOMO PPEE</x:t>
        </x:is>
      </x:c>
      <x:c r="E1034" t="n">
        <x:v>0</x:v>
      </x:c>
    </x:row>
    <x:row r="1035">
      <x:c r="A1035" t="inlineStr">
        <x:is>
          <x:t xml:space="preserve">MTPQUIADT079</x:t>
        </x:is>
      </x:c>
      <x:c r="B1035" t="inlineStr">
        <x:is>
          <x:t xml:space="preserve">PEROXIDO BRASNOX DM60 POLINOX</x:t>
        </x:is>
      </x:c>
      <x:c r="E1035" t="n">
        <x:v>0</x:v>
      </x:c>
    </x:row>
    <x:row r="1036">
      <x:c r="A1036" t="inlineStr">
        <x:is>
          <x:t xml:space="preserve">MTPQUIADT080</x:t>
        </x:is>
      </x:c>
      <x:c r="B1036" t="inlineStr">
        <x:is>
          <x:t xml:space="preserve">PEROXIDO M50 PARA RESINA POLIESTER</x:t>
        </x:is>
      </x:c>
      <x:c r="E1036" t="n">
        <x:v>0</x:v>
      </x:c>
    </x:row>
    <x:row r="1037">
      <x:c r="A1037" t="inlineStr">
        <x:is>
          <x:t xml:space="preserve">MTPQUIADT081</x:t>
        </x:is>
      </x:c>
      <x:c r="B1037" t="inlineStr">
        <x:is>
          <x:t xml:space="preserve">POLVO S-1  SACO DE 20 KG BASF  SIMTECH (CEILCOTE)</x:t>
        </x:is>
      </x:c>
      <x:c r="E1037" t="n">
        <x:v>0</x:v>
      </x:c>
    </x:row>
    <x:row r="1038">
      <x:c r="A1038" t="inlineStr">
        <x:is>
          <x:t xml:space="preserve">MTPQUIADT082</x:t>
        </x:is>
      </x:c>
      <x:c r="B1038" t="inlineStr">
        <x:is>
          <x:t xml:space="preserve">VELO NEXUS POLYESTER VEIL TE4030 X 1060 MM</x:t>
        </x:is>
      </x:c>
      <x:c r="E1038" t="n">
        <x:v>0</x:v>
      </x:c>
    </x:row>
    <x:row r="1039">
      <x:c r="A1039" t="inlineStr">
        <x:is>
          <x:t xml:space="preserve">MTPQUIADT083</x:t>
        </x:is>
      </x:c>
      <x:c r="B1039" t="inlineStr">
        <x:is>
          <x:t xml:space="preserve">POLYESTER FILM 20MICRON X 500 MM  (IMPORTADO)</x:t>
        </x:is>
      </x:c>
      <x:c r="E1039" t="n">
        <x:v>0</x:v>
      </x:c>
    </x:row>
    <x:row r="1040">
      <x:c r="A1040" t="inlineStr">
        <x:is>
          <x:t xml:space="preserve">MTPQUIADT085</x:t>
        </x:is>
      </x:c>
      <x:c r="B1040" t="inlineStr">
        <x:is>
          <x:t xml:space="preserve">PERFIL TUBULAR EN FRP POLIESTER 63X3 MM COLOR GRIS</x:t>
        </x:is>
      </x:c>
      <x:c r="E1040" t="n">
        <x:v>0</x:v>
      </x:c>
    </x:row>
    <x:row r="1041">
      <x:c r="A1041" t="inlineStr">
        <x:is>
          <x:t xml:space="preserve">MTPQUIADT086</x:t>
        </x:is>
      </x:c>
      <x:c r="B1041" t="inlineStr">
        <x:is>
          <x:t xml:space="preserve">AGREGADO MIX 80 (SACO 30 KILOS) (S-1)</x:t>
        </x:is>
      </x:c>
      <x:c r="E1041" t="n">
        <x:v>0</x:v>
      </x:c>
    </x:row>
    <x:row r="1042">
      <x:c r="A1042" t="inlineStr">
        <x:is>
          <x:t xml:space="preserve">MTPQUIADT087</x:t>
        </x:is>
      </x:c>
      <x:c r="B1042" t="inlineStr">
        <x:is>
          <x:t xml:space="preserve">ADVANCE GREASE MULTI EP 2  TAMBOR</x:t>
        </x:is>
      </x:c>
      <x:c r="E1042" t="n">
        <x:v>0</x:v>
      </x:c>
    </x:row>
    <x:row r="1043">
      <x:c r="A1043" t="inlineStr">
        <x:is>
          <x:t xml:space="preserve">MTPQUIADT088</x:t>
        </x:is>
      </x:c>
      <x:c r="B1043" t="inlineStr">
        <x:is>
          <x:t xml:space="preserve">Peróxido Peroxicol 80</x:t>
        </x:is>
      </x:c>
      <x:c r="E1043" t="n">
        <x:v>0</x:v>
      </x:c>
    </x:row>
    <x:row r="1044">
      <x:c r="A1044" t="inlineStr">
        <x:is>
          <x:t xml:space="preserve">MTPQUIADT089</x:t>
        </x:is>
      </x:c>
      <x:c r="B1044" t="inlineStr">
        <x:is>
          <x:t xml:space="preserve">VELO FIBRA DE CARBONO CFM-015</x:t>
        </x:is>
      </x:c>
      <x:c r="E1044" t="n">
        <x:v>0</x:v>
      </x:c>
    </x:row>
    <x:row r="1045">
      <x:c r="A1045" t="inlineStr">
        <x:is>
          <x:t xml:space="preserve">MTPQUIADT090</x:t>
        </x:is>
      </x:c>
      <x:c r="B1045" t="inlineStr">
        <x:is>
          <x:t xml:space="preserve">PEROXIDO AKPEROX A50 20KG 3H1 PARA RESINA POLIESTER</x:t>
        </x:is>
      </x:c>
      <x:c r="E1045" t="n">
        <x:v>13.5</x:v>
      </x:c>
    </x:row>
    <x:row r="1046">
      <x:c r="A1046" t="inlineStr">
        <x:is>
          <x:t xml:space="preserve">MTPQUIADT091</x:t>
        </x:is>
      </x:c>
      <x:c r="B1046" t="inlineStr">
        <x:is>
          <x:t xml:space="preserve">LIMPIADOR AEROSOL MULTI EP 2</x:t>
        </x:is>
      </x:c>
      <x:c r="E1046" t="n">
        <x:v>0</x:v>
      </x:c>
    </x:row>
    <x:row r="1047">
      <x:c r="A1047" t="inlineStr">
        <x:is>
          <x:t xml:space="preserve">MTPQUIADT092</x:t>
        </x:is>
      </x:c>
      <x:c r="B1047" t="inlineStr">
        <x:is>
          <x:t xml:space="preserve">PENETRANTE AEROSOL CRIX 110</x:t>
        </x:is>
      </x:c>
      <x:c r="E1047" t="n">
        <x:v>0</x:v>
      </x:c>
    </x:row>
    <x:row r="1048">
      <x:c r="A1048" t="inlineStr">
        <x:is>
          <x:t xml:space="preserve">MTPQUIADT093</x:t>
        </x:is>
      </x:c>
      <x:c r="B1048" t="inlineStr">
        <x:is>
          <x:t xml:space="preserve">PEROXIDO AKPEROX LPT-N  (PARA RESINA VINILESTER)</x:t>
        </x:is>
      </x:c>
      <x:c r="E1048" t="n">
        <x:v>353.7</x:v>
      </x:c>
    </x:row>
    <x:row r="1049">
      <x:c r="A1049" t="inlineStr">
        <x:is>
          <x:t xml:space="preserve">MTPQUIADT094</x:t>
        </x:is>
      </x:c>
      <x:c r="B1049" t="inlineStr">
        <x:is>
          <x:t xml:space="preserve">COMBO MAT  600 GRS/MT2 + MAT 450 GRS/MT2</x:t>
        </x:is>
      </x:c>
      <x:c r="E1049" t="n">
        <x:v>11545</x:v>
      </x:c>
    </x:row>
    <x:row r="1050">
      <x:c r="A1050" t="inlineStr">
        <x:is>
          <x:t xml:space="preserve">MTPQUIADT095</x:t>
        </x:is>
      </x:c>
      <x:c r="B1050" t="inlineStr">
        <x:is>
          <x:t xml:space="preserve">NAFTENATO DE COBRE AL 8% (1 KG)</x:t>
        </x:is>
      </x:c>
      <x:c r="E1050" t="n">
        <x:v>0.172</x:v>
      </x:c>
    </x:row>
    <x:row r="1051">
      <x:c r="A1051" t="inlineStr">
        <x:is>
          <x:t xml:space="preserve">MTPQUIADT096</x:t>
        </x:is>
      </x:c>
      <x:c r="B1051" t="inlineStr">
        <x:is>
          <x:t xml:space="preserve">GELCOAT ISOFTALICO 2002 X 240KG</x:t>
        </x:is>
      </x:c>
      <x:c r="E1051" t="n">
        <x:v>230</x:v>
      </x:c>
    </x:row>
    <x:row r="1052">
      <x:c r="A1052" t="inlineStr">
        <x:is>
          <x:t xml:space="preserve">MTPQUIADT097</x:t>
        </x:is>
      </x:c>
      <x:c r="B1052" t="inlineStr">
        <x:is>
          <x:t xml:space="preserve">PEROXIDO GRANOX C5 HQ</x:t>
        </x:is>
      </x:c>
      <x:c r="E1052" t="n">
        <x:v>20</x:v>
      </x:c>
    </x:row>
    <x:row r="1053">
      <x:c r="A1053" t="inlineStr">
        <x:is>
          <x:t xml:space="preserve">MTPQUIADT098</x:t>
        </x:is>
      </x:c>
      <x:c r="B1053" t="inlineStr">
        <x:is>
          <x:t xml:space="preserve">ROVING FW 2200 E6 CR JSH (NACIONAL)</x:t>
        </x:is>
      </x:c>
      <x:c r="E1053" t="n">
        <x:v>15824</x:v>
      </x:c>
    </x:row>
    <x:row r="1054">
      <x:c r="A1054" t="inlineStr">
        <x:is>
          <x:t xml:space="preserve">MTPQUIADT099</x:t>
        </x:is>
      </x:c>
      <x:c r="B1054" t="inlineStr">
        <x:is>
          <x:t xml:space="preserve">VELO SINTETICO POLIESTER 40GR/M2 1,2mts</x:t>
        </x:is>
      </x:c>
      <x:c r="E1054" t="n">
        <x:v>0</x:v>
      </x:c>
    </x:row>
    <x:row r="1055">
      <x:c r="A1055" t="inlineStr">
        <x:is>
          <x:t xml:space="preserve">MTPQUIPDT001</x:t>
        </x:is>
      </x:c>
      <x:c r="B1055" t="inlineStr">
        <x:is>
          <x:t xml:space="preserve">MASILLA VINILESTER</x:t>
        </x:is>
      </x:c>
      <x:c r="E1055" t="n">
        <x:v>0</x:v>
      </x:c>
    </x:row>
    <x:row r="1056">
      <x:c r="A1056" t="inlineStr">
        <x:is>
          <x:t xml:space="preserve">MTPQUIPDT002</x:t>
        </x:is>
      </x:c>
      <x:c r="B1056" t="inlineStr">
        <x:is>
          <x:t xml:space="preserve">GELCOAT BLANCO</x:t>
        </x:is>
      </x:c>
      <x:c r="E1056" t="n">
        <x:v>559.515</x:v>
      </x:c>
    </x:row>
    <x:row r="1057">
      <x:c r="A1057" t="inlineStr">
        <x:is>
          <x:t xml:space="preserve">MTPQUIPDT003</x:t>
        </x:is>
      </x:c>
      <x:c r="B1057" t="inlineStr">
        <x:is>
          <x:t xml:space="preserve">GEL COAT NARANJO</x:t>
        </x:is>
      </x:c>
      <x:c r="E1057" t="n">
        <x:v>63</x:v>
      </x:c>
    </x:row>
    <x:row r="1058">
      <x:c r="A1058" t="inlineStr">
        <x:is>
          <x:t xml:space="preserve">MTPQUIPDT004</x:t>
        </x:is>
      </x:c>
      <x:c r="B1058" t="inlineStr">
        <x:is>
          <x:t xml:space="preserve">GEL COAT VERDE</x:t>
        </x:is>
      </x:c>
      <x:c r="E1058" t="n">
        <x:v>0</x:v>
      </x:c>
    </x:row>
    <x:row r="1059">
      <x:c r="A1059" t="inlineStr">
        <x:is>
          <x:t xml:space="preserve">MTPQUIPDT005</x:t>
        </x:is>
      </x:c>
      <x:c r="B1059" t="inlineStr">
        <x:is>
          <x:t xml:space="preserve">GEL COAT MARRON (CAFE)</x:t>
        </x:is>
      </x:c>
      <x:c r="E1059" t="n">
        <x:v>6</x:v>
      </x:c>
    </x:row>
    <x:row r="1060">
      <x:c r="A1060" t="inlineStr">
        <x:is>
          <x:t xml:space="preserve">MTPQUIPDT006</x:t>
        </x:is>
      </x:c>
      <x:c r="B1060" t="inlineStr">
        <x:is>
          <x:t xml:space="preserve">GEL COAT VINILESTER COLOR AMARILLO</x:t>
        </x:is>
      </x:c>
      <x:c r="E1060" t="n">
        <x:v>0</x:v>
      </x:c>
    </x:row>
    <x:row r="1061">
      <x:c r="A1061" t="inlineStr">
        <x:is>
          <x:t xml:space="preserve">MTPQUIPDT007</x:t>
        </x:is>
      </x:c>
      <x:c r="B1061" t="inlineStr">
        <x:is>
          <x:t xml:space="preserve">GEL COAT ROJO</x:t>
        </x:is>
      </x:c>
      <x:c r="E1061" t="n">
        <x:v>10</x:v>
      </x:c>
    </x:row>
    <x:row r="1062">
      <x:c r="A1062" t="inlineStr">
        <x:is>
          <x:t xml:space="preserve">MTPQUIPDT008</x:t>
        </x:is>
      </x:c>
      <x:c r="B1062" t="inlineStr">
        <x:is>
          <x:t xml:space="preserve">GELCOAT BLANCO FR</x:t>
        </x:is>
      </x:c>
      <x:c r="E1062" t="n">
        <x:v>214.26</x:v>
      </x:c>
    </x:row>
    <x:row r="1063">
      <x:c r="A1063" t="inlineStr">
        <x:is>
          <x:t xml:space="preserve">MTPQUIPDT009</x:t>
        </x:is>
      </x:c>
      <x:c r="B1063" t="inlineStr">
        <x:is>
          <x:t xml:space="preserve">GEL COAT A400 COLOR BLANCO</x:t>
        </x:is>
      </x:c>
      <x:c r="E1063" t="n">
        <x:v>10</x:v>
      </x:c>
    </x:row>
    <x:row r="1064">
      <x:c r="A1064" t="inlineStr">
        <x:is>
          <x:t xml:space="preserve">MTPQUIPDT010</x:t>
        </x:is>
      </x:c>
      <x:c r="B1064" t="inlineStr">
        <x:is>
          <x:t xml:space="preserve">GEL COAT COLOR GRIS RAL 7037</x:t>
        </x:is>
      </x:c>
      <x:c r="E1064" t="n">
        <x:v>5</x:v>
      </x:c>
    </x:row>
    <x:row r="1065">
      <x:c r="A1065" t="inlineStr">
        <x:is>
          <x:t xml:space="preserve">MTPQUIPDT011</x:t>
        </x:is>
      </x:c>
      <x:c r="B1065" t="inlineStr">
        <x:is>
          <x:t xml:space="preserve">PASTA CARBONO MP</x:t>
        </x:is>
      </x:c>
      <x:c r="E1065" t="n">
        <x:v>20</x:v>
      </x:c>
    </x:row>
    <x:row r="1066">
      <x:c r="A1066" t="inlineStr">
        <x:is>
          <x:t xml:space="preserve">MTPQUIRES001</x:t>
        </x:is>
      </x:c>
      <x:c r="B1066" t="inlineStr">
        <x:is>
          <x:t xml:space="preserve">RESINA VINILESTER HETRON 922</x:t>
        </x:is>
      </x:c>
      <x:c r="E1066" t="n">
        <x:v>0</x:v>
      </x:c>
    </x:row>
    <x:row r="1067">
      <x:c r="A1067" t="inlineStr">
        <x:is>
          <x:t xml:space="preserve">MTPQUIRES003</x:t>
        </x:is>
      </x:c>
      <x:c r="B1067" t="inlineStr">
        <x:is>
          <x:t xml:space="preserve">RESINA PALATAL A430FR (230 KG/TAMBOR)</x:t>
        </x:is>
      </x:c>
      <x:c r="E1067" t="n">
        <x:v>295</x:v>
      </x:c>
    </x:row>
    <x:row r="1068">
      <x:c r="A1068" t="inlineStr">
        <x:is>
          <x:t xml:space="preserve">MTPQUIRES004</x:t>
        </x:is>
      </x:c>
      <x:c r="B1068" t="inlineStr">
        <x:is>
          <x:t xml:space="preserve">RESINA AOC VIPEL F013 (TAMBOR DE 220 KG)</x:t>
        </x:is>
      </x:c>
      <x:c r="E1068" t="n">
        <x:v>0</x:v>
      </x:c>
    </x:row>
    <x:row r="1069">
      <x:c r="A1069" t="inlineStr">
        <x:is>
          <x:t xml:space="preserve">MTPQUIRES005</x:t>
        </x:is>
      </x:c>
      <x:c r="B1069" t="inlineStr">
        <x:is>
          <x:t xml:space="preserve">RESINA DERAKANE 470-300</x:t>
        </x:is>
      </x:c>
      <x:c r="E1069" t="n">
        <x:v>0</x:v>
      </x:c>
    </x:row>
    <x:row r="1070">
      <x:c r="A1070" t="inlineStr">
        <x:is>
          <x:t xml:space="preserve">MTPQUIRES006</x:t>
        </x:is>
      </x:c>
      <x:c r="B1070" t="inlineStr">
        <x:is>
          <x:t xml:space="preserve">RESINA AOC VIPEL F010-CNT-00</x:t>
        </x:is>
      </x:c>
      <x:c r="E1070" t="n">
        <x:v>0</x:v>
      </x:c>
    </x:row>
    <x:row r="1071">
      <x:c r="A1071" t="inlineStr">
        <x:is>
          <x:t xml:space="preserve">MTPQUIRES007</x:t>
        </x:is>
      </x:c>
      <x:c r="B1071" t="inlineStr">
        <x:is>
          <x:t xml:space="preserve">RESINA DERAKANE 411-350</x:t>
        </x:is>
      </x:c>
      <x:c r="E1071" t="n">
        <x:v>0</x:v>
      </x:c>
    </x:row>
    <x:row r="1072">
      <x:c r="A1072" t="inlineStr">
        <x:is>
          <x:t xml:space="preserve">MTPQUIRES008</x:t>
        </x:is>
      </x:c>
      <x:c r="B1072" t="inlineStr">
        <x:is>
          <x:t xml:space="preserve">RESINA DERAKANE 510B-400 (FR)</x:t>
        </x:is>
      </x:c>
      <x:c r="E1072" t="n">
        <x:v>0</x:v>
      </x:c>
    </x:row>
    <x:row r="1073">
      <x:c r="A1073" t="inlineStr">
        <x:is>
          <x:t xml:space="preserve">MTPQUIRES009</x:t>
        </x:is>
      </x:c>
      <x:c r="B1073" t="inlineStr">
        <x:is>
          <x:t xml:space="preserve">RESINA A410 (ISOFTALICA NPG)</x:t>
        </x:is>
      </x:c>
      <x:c r="E1073" t="n">
        <x:v>0</x:v>
      </x:c>
    </x:row>
    <x:row r="1074">
      <x:c r="A1074" t="inlineStr">
        <x:is>
          <x:t xml:space="preserve">MTPQUIRES010</x:t>
        </x:is>
      </x:c>
      <x:c r="B1074" t="inlineStr">
        <x:is>
          <x:t xml:space="preserve">RESINA E200 (ISOFTALICA ELASTICA NPG)</x:t>
        </x:is>
      </x:c>
      <x:c r="E1074" t="n">
        <x:v>0</x:v>
      </x:c>
    </x:row>
    <x:row r="1075">
      <x:c r="A1075" t="inlineStr">
        <x:is>
          <x:t xml:space="preserve">MTPQUIRES011</x:t>
        </x:is>
      </x:c>
      <x:c r="B1075" t="inlineStr">
        <x:is>
          <x:t xml:space="preserve">RESINA PALATAL A440 (NOVOLAC)</x:t>
        </x:is>
      </x:c>
      <x:c r="E1075" t="n">
        <x:v>0</x:v>
      </x:c>
    </x:row>
    <x:row r="1076">
      <x:c r="A1076" t="inlineStr">
        <x:is>
          <x:t xml:space="preserve">MTPQUIRES012</x:t>
        </x:is>
      </x:c>
      <x:c r="B1076" t="inlineStr">
        <x:is>
          <x:t xml:space="preserve">RESINA PALATAL E200</x:t>
        </x:is>
      </x:c>
      <x:c r="E1076" t="n">
        <x:v>1100</x:v>
      </x:c>
    </x:row>
    <x:row r="1077">
      <x:c r="A1077" t="inlineStr">
        <x:is>
          <x:t xml:space="preserve">MTPQUIRES013</x:t>
        </x:is>
      </x:c>
      <x:c r="B1077" t="inlineStr">
        <x:is>
          <x:t xml:space="preserve">RESINA POLYLITE 33915</x:t>
        </x:is>
      </x:c>
      <x:c r="E1077" t="n">
        <x:v>0</x:v>
      </x:c>
    </x:row>
    <x:row r="1078">
      <x:c r="A1078" t="inlineStr">
        <x:is>
          <x:t xml:space="preserve">MTPQUIRES014</x:t>
        </x:is>
      </x:c>
      <x:c r="B1078" t="inlineStr">
        <x:is>
          <x:t xml:space="preserve">RESINA PRIMER CEILCOTE 380 TINETA 20 LTS</x:t>
        </x:is>
      </x:c>
      <x:c r="E1078" t="n">
        <x:v>0</x:v>
      </x:c>
    </x:row>
    <x:row r="1079">
      <x:c r="A1079" t="inlineStr">
        <x:is>
          <x:t xml:space="preserve">MTPQUIRES015</x:t>
        </x:is>
      </x:c>
      <x:c r="B1079" t="inlineStr">
        <x:is>
          <x:t xml:space="preserve">RESINA DERAKANE 411 RESIN DR444</x:t>
        </x:is>
      </x:c>
      <x:c r="E1079" t="n">
        <x:v>0</x:v>
      </x:c>
    </x:row>
    <x:row r="1080">
      <x:c r="A1080" t="inlineStr">
        <x:is>
          <x:t xml:space="preserve">MTPQUIRES016</x:t>
        </x:is>
      </x:c>
      <x:c r="B1080" t="inlineStr">
        <x:is>
          <x:t xml:space="preserve">RESINA POLYLITE 32379-00</x:t>
        </x:is>
      </x:c>
      <x:c r="E1080" t="n">
        <x:v>0</x:v>
      </x:c>
    </x:row>
    <x:row r="1081">
      <x:c r="A1081" t="inlineStr">
        <x:is>
          <x:t xml:space="preserve">MTPQUIRES017</x:t>
        </x:is>
      </x:c>
      <x:c r="B1081" t="inlineStr">
        <x:is>
          <x:t xml:space="preserve">RESINA PQ 33011-12 TPA</x:t>
        </x:is>
      </x:c>
      <x:c r="E1081" t="n">
        <x:v>0</x:v>
      </x:c>
    </x:row>
    <x:row r="1082">
      <x:c r="A1082" t="inlineStr">
        <x:is>
          <x:t xml:space="preserve">MTPQUIRES018</x:t>
        </x:is>
      </x:c>
      <x:c r="B1082" t="inlineStr">
        <x:is>
          <x:t xml:space="preserve">CEILCOTE 74  LINING NCA762 A/5GL + CATALIZADOR</x:t>
        </x:is>
      </x:c>
      <x:c r="E1082" t="n">
        <x:v>0</x:v>
      </x:c>
    </x:row>
    <x:row r="1083">
      <x:c r="A1083" t="inlineStr">
        <x:is>
          <x:t xml:space="preserve">MTPQUIRES019</x:t>
        </x:is>
      </x:c>
      <x:c r="B1083" t="inlineStr">
        <x:is>
          <x:t xml:space="preserve">RESINA BASF ORTOFTALICA P90</x:t>
        </x:is>
      </x:c>
      <x:c r="E1083" t="n">
        <x:v>0</x:v>
      </x:c>
    </x:row>
    <x:row r="1084">
      <x:c r="A1084" t="inlineStr">
        <x:is>
          <x:t xml:space="preserve">MTPQUIRES020</x:t>
        </x:is>
      </x:c>
      <x:c r="B1084" t="inlineStr">
        <x:is>
          <x:t xml:space="preserve">RESINA BASF ORTOFTALICA P90T</x:t>
        </x:is>
      </x:c>
      <x:c r="E1084" t="n">
        <x:v>0</x:v>
      </x:c>
    </x:row>
    <x:row r="1085">
      <x:c r="A1085" t="inlineStr">
        <x:is>
          <x:t xml:space="preserve">MTPQUIRES021</x:t>
        </x:is>
      </x:c>
      <x:c r="B1085" t="inlineStr">
        <x:is>
          <x:t xml:space="preserve">RESINA BASF PALATAL  P3</x:t>
        </x:is>
      </x:c>
      <x:c r="E1085" t="n">
        <x:v>0</x:v>
      </x:c>
    </x:row>
    <x:row r="1086">
      <x:c r="A1086" t="inlineStr">
        <x:is>
          <x:t xml:space="preserve">MTPQUIRES022</x:t>
        </x:is>
      </x:c>
      <x:c r="B1086" t="inlineStr">
        <x:is>
          <x:t xml:space="preserve">RESINA BASF PALATAL  7417LC</x:t>
        </x:is>
      </x:c>
      <x:c r="E1086" t="n">
        <x:v>0</x:v>
      </x:c>
    </x:row>
    <x:row r="1087">
      <x:c r="A1087" t="inlineStr">
        <x:is>
          <x:t xml:space="preserve">MTPQUIRES023</x:t>
        </x:is>
      </x:c>
      <x:c r="B1087" t="inlineStr">
        <x:is>
          <x:t xml:space="preserve">RESINA DERAKANE 8084 FLEXIBLE</x:t>
        </x:is>
      </x:c>
      <x:c r="E1087" t="n">
        <x:v>0</x:v>
      </x:c>
    </x:row>
    <x:row r="1088">
      <x:c r="A1088" t="inlineStr">
        <x:is>
          <x:t xml:space="preserve">MTPQUIRES024</x:t>
        </x:is>
      </x:c>
      <x:c r="B1088" t="inlineStr">
        <x:is>
          <x:t xml:space="preserve">CRISTALAN 7 5920 BF T-230 KG</x:t>
        </x:is>
      </x:c>
      <x:c r="E1088" t="n">
        <x:v>0</x:v>
      </x:c>
    </x:row>
    <x:row r="1089">
      <x:c r="A1089" t="inlineStr">
        <x:is>
          <x:t xml:space="preserve">MTPQUIRES025</x:t>
        </x:is>
      </x:c>
      <x:c r="B1089" t="inlineStr">
        <x:is>
          <x:t xml:space="preserve">RESINA BASF ORTOFTALICA P90-02</x:t>
        </x:is>
      </x:c>
      <x:c r="E1089" t="n">
        <x:v>0</x:v>
      </x:c>
    </x:row>
    <x:row r="1090">
      <x:c r="A1090" t="inlineStr">
        <x:is>
          <x:t xml:space="preserve">MTPQUIRES026</x:t>
        </x:is>
      </x:c>
      <x:c r="B1090" t="inlineStr">
        <x:is>
          <x:t xml:space="preserve">RESINA BASF PALATAL E-210</x:t>
        </x:is>
      </x:c>
      <x:c r="E1090" t="n">
        <x:v>0</x:v>
      </x:c>
    </x:row>
    <x:row r="1091">
      <x:c r="A1091" t="inlineStr">
        <x:is>
          <x:t xml:space="preserve">MTPQUIRES027</x:t>
        </x:is>
      </x:c>
      <x:c r="B1091" t="inlineStr">
        <x:is>
          <x:t xml:space="preserve">RESINA FORTCOM 5575</x:t>
        </x:is>
      </x:c>
      <x:c r="E1091" t="n">
        <x:v>690</x:v>
      </x:c>
    </x:row>
    <x:row r="1092">
      <x:c r="A1092" t="inlineStr">
        <x:is>
          <x:t xml:space="preserve">MTPQUIRES028</x:t>
        </x:is>
      </x:c>
      <x:c r="B1092" t="inlineStr">
        <x:is>
          <x:t xml:space="preserve">Ceilcote #2 hardener</x:t>
        </x:is>
      </x:c>
      <x:c r="E1092" t="n">
        <x:v>0</x:v>
      </x:c>
    </x:row>
    <x:row r="1093">
      <x:c r="A1093" t="inlineStr">
        <x:is>
          <x:t xml:space="preserve">MTPRACFUN001</x:t>
        </x:is>
      </x:c>
      <x:c r="B1093" t="inlineStr">
        <x:is>
          <x:t xml:space="preserve">PA?OS DE LIMPIEZA</x:t>
        </x:is>
      </x:c>
      <x:c r="E1093" t="n">
        <x:v>0</x:v>
      </x:c>
    </x:row>
    <x:row r="1094">
      <x:c r="A1094" t="inlineStr">
        <x:is>
          <x:t xml:space="preserve">MTPRACFUN002</x:t>
        </x:is>
      </x:c>
      <x:c r="B1094" t="inlineStr">
        <x:is>
          <x:t xml:space="preserve">PLIEGO LIJA #60 TELA ESMERIL</x:t>
        </x:is>
      </x:c>
      <x:c r="E1094" t="n">
        <x:v>43</x:v>
      </x:c>
    </x:row>
    <x:row r="1095">
      <x:c r="A1095" t="inlineStr">
        <x:is>
          <x:t xml:space="preserve">MTPRACFUN003</x:t>
        </x:is>
      </x:c>
      <x:c r="B1095" t="inlineStr">
        <x:is>
          <x:t xml:space="preserve">PLIEGO LIJA #80 TELA ESMERIL</x:t>
        </x:is>
      </x:c>
      <x:c r="E1095" t="n">
        <x:v>2</x:v>
      </x:c>
    </x:row>
    <x:row r="1096">
      <x:c r="A1096" t="inlineStr">
        <x:is>
          <x:t xml:space="preserve">MTPRACFUN004</x:t>
        </x:is>
      </x:c>
      <x:c r="B1096" t="inlineStr">
        <x:is>
          <x:t xml:space="preserve">LIJA MADERA #80</x:t>
        </x:is>
      </x:c>
      <x:c r="E1096" t="n">
        <x:v>0</x:v>
      </x:c>
    </x:row>
    <x:row r="1097">
      <x:c r="A1097" t="inlineStr">
        <x:is>
          <x:t xml:space="preserve">MTPRACFUN005</x:t>
        </x:is>
      </x:c>
      <x:c r="B1097" t="inlineStr">
        <x:is>
          <x:t xml:space="preserve">DISCO CORTE ACERO CARBONO 4.1/2 X 1 MM</x:t>
        </x:is>
      </x:c>
      <x:c r="E1097" t="n">
        <x:v>310</x:v>
      </x:c>
    </x:row>
    <x:row r="1098">
      <x:c r="A1098" t="inlineStr">
        <x:is>
          <x:t xml:space="preserve">MTPRACFUN006</x:t>
        </x:is>
      </x:c>
      <x:c r="B1098" t="inlineStr">
        <x:is>
          <x:t xml:space="preserve">DISCO CORTE ACERO CARBONO 4.1/2 X 2.5 MM</x:t>
        </x:is>
      </x:c>
      <x:c r="E1098" t="n">
        <x:v>0</x:v>
      </x:c>
    </x:row>
    <x:row r="1099">
      <x:c r="A1099" t="inlineStr">
        <x:is>
          <x:t xml:space="preserve">MTPRACFUN007</x:t>
        </x:is>
      </x:c>
      <x:c r="B1099" t="inlineStr">
        <x:is>
          <x:t xml:space="preserve">DISCO CORTE ACERO CARBONO 7 x 1,6mm</x:t>
        </x:is>
      </x:c>
      <x:c r="E1099" t="n">
        <x:v>106</x:v>
      </x:c>
    </x:row>
    <x:row r="1100">
      <x:c r="A1100" t="inlineStr">
        <x:is>
          <x:t xml:space="preserve">MTPRACFUN008</x:t>
        </x:is>
      </x:c>
      <x:c r="B1100" t="inlineStr">
        <x:is>
          <x:t xml:space="preserve">BROCHA PLANA DE 1/2 X 1.1/2</x:t>
        </x:is>
      </x:c>
      <x:c r="E1100" t="n">
        <x:v>243</x:v>
      </x:c>
    </x:row>
    <x:row r="1101">
      <x:c r="A1101" t="inlineStr">
        <x:is>
          <x:t xml:space="preserve">MTPRACFUN009</x:t>
        </x:is>
      </x:c>
      <x:c r="B1101" t="inlineStr">
        <x:is>
          <x:t xml:space="preserve">BROCHA PLANA DE 1/2 X 2</x:t>
        </x:is>
      </x:c>
      <x:c r="E1101" t="n">
        <x:v>8</x:v>
      </x:c>
    </x:row>
    <x:row r="1102">
      <x:c r="A1102" t="inlineStr">
        <x:is>
          <x:t xml:space="preserve">MTPRACFUN010</x:t>
        </x:is>
      </x:c>
      <x:c r="B1102" t="inlineStr">
        <x:is>
          <x:t xml:space="preserve">BALDE DE 5 LTS</x:t>
        </x:is>
      </x:c>
      <x:c r="E1102" t="n">
        <x:v>0</x:v>
      </x:c>
    </x:row>
    <x:row r="1103">
      <x:c r="A1103" t="inlineStr">
        <x:is>
          <x:t xml:space="preserve">MTPRACFUN011</x:t>
        </x:is>
      </x:c>
      <x:c r="B1103" t="inlineStr">
        <x:is>
          <x:t xml:space="preserve">BALDE TIPO TINETA CON TAPA DE 10 LTS</x:t>
        </x:is>
      </x:c>
      <x:c r="E1103" t="n">
        <x:v>0</x:v>
      </x:c>
    </x:row>
    <x:row r="1104">
      <x:c r="A1104" t="inlineStr">
        <x:is>
          <x:t xml:space="preserve">MTPRACFUN012</x:t>
        </x:is>
      </x:c>
      <x:c r="B1104" t="inlineStr">
        <x:is>
          <x:t xml:space="preserve">BALDE TIPO TINETA CON TAPA DE 15 LTS</x:t>
        </x:is>
      </x:c>
      <x:c r="E1104" t="n">
        <x:v>0</x:v>
      </x:c>
    </x:row>
    <x:row r="1105">
      <x:c r="A1105" t="inlineStr">
        <x:is>
          <x:t xml:space="preserve">MTPRACFUN013</x:t>
        </x:is>
      </x:c>
      <x:c r="B1105" t="inlineStr">
        <x:is>
          <x:t xml:space="preserve">BALDE TIPO TINETA CON TAPA DE 20 LTS</x:t>
        </x:is>
      </x:c>
      <x:c r="E1105" t="n">
        <x:v>0</x:v>
      </x:c>
    </x:row>
    <x:row r="1106">
      <x:c r="A1106" t="inlineStr">
        <x:is>
          <x:t xml:space="preserve">MTPRACFUN014</x:t>
        </x:is>
      </x:c>
      <x:c r="B1106" t="inlineStr">
        <x:is>
          <x:t xml:space="preserve">ROLLO DE CARTON CORRUGADO</x:t>
        </x:is>
      </x:c>
      <x:c r="E1106" t="n">
        <x:v>1.674</x:v>
      </x:c>
    </x:row>
    <x:row r="1107">
      <x:c r="A1107" t="inlineStr">
        <x:is>
          <x:t xml:space="preserve">MTPRACFUN015</x:t>
        </x:is>
      </x:c>
      <x:c r="B1107" t="inlineStr">
        <x:is>
          <x:t xml:space="preserve">DISCO DE SILICIO PARA ESMERIL 4-1/2</x:t>
        </x:is>
      </x:c>
      <x:c r="E1107" t="n">
        <x:v>782</x:v>
      </x:c>
    </x:row>
    <x:row r="1108">
      <x:c r="A1108" t="inlineStr">
        <x:is>
          <x:t xml:space="preserve">MTPRACFUN016</x:t>
        </x:is>
      </x:c>
      <x:c r="B1108" t="inlineStr">
        <x:is>
          <x:t xml:space="preserve">DISCO DE SILICIO PARA ESMERIL 7</x:t>
        </x:is>
      </x:c>
      <x:c r="E1108" t="n">
        <x:v>56</x:v>
      </x:c>
    </x:row>
    <x:row r="1109">
      <x:c r="A1109" t="inlineStr">
        <x:is>
          <x:t xml:space="preserve">MTPRACFUN017</x:t>
        </x:is>
      </x:c>
      <x:c r="B1109" t="inlineStr">
        <x:is>
          <x:t xml:space="preserve">DISCO DE LIJA GRANO P24 DE 4-1/2</x:t>
        </x:is>
      </x:c>
      <x:c r="E1109" t="n">
        <x:v>730</x:v>
      </x:c>
    </x:row>
    <x:row r="1110">
      <x:c r="A1110" t="inlineStr">
        <x:is>
          <x:t xml:space="preserve">MTPRACFUN018</x:t>
        </x:is>
      </x:c>
      <x:c r="B1110" t="inlineStr">
        <x:is>
          <x:t xml:space="preserve">DISCO DE LIJA GRANO P24 DE 7</x:t>
        </x:is>
      </x:c>
      <x:c r="E1110" t="n">
        <x:v>57</x:v>
      </x:c>
    </x:row>
    <x:row r="1111">
      <x:c r="A1111" t="inlineStr">
        <x:is>
          <x:t xml:space="preserve">MTPRACFUN019</x:t>
        </x:is>
      </x:c>
      <x:c r="B1111" t="inlineStr">
        <x:is>
          <x:t xml:space="preserve">PERMACEL O MASKING TAPE 1 O 24MM</x:t>
        </x:is>
      </x:c>
      <x:c r="E1111" t="n">
        <x:v>91</x:v>
      </x:c>
    </x:row>
    <x:row r="1112">
      <x:c r="A1112" t="inlineStr">
        <x:is>
          <x:t xml:space="preserve">MTPRACFUN020</x:t>
        </x:is>
      </x:c>
      <x:c r="B1112" t="inlineStr">
        <x:is>
          <x:t xml:space="preserve">PERMACEL O MASKING TAPE 2 O 48MM</x:t>
        </x:is>
      </x:c>
      <x:c r="E1112" t="n">
        <x:v>220</x:v>
      </x:c>
    </x:row>
    <x:row r="1113">
      <x:c r="A1113" t="inlineStr">
        <x:is>
          <x:t xml:space="preserve">MTPRACFUN021</x:t>
        </x:is>
      </x:c>
      <x:c r="B1113" t="inlineStr">
        <x:is>
          <x:t xml:space="preserve">CINTA DE EMBALAJE TRANSPARENTE 48MM</x:t>
        </x:is>
      </x:c>
      <x:c r="E1113" t="n">
        <x:v>0</x:v>
      </x:c>
    </x:row>
    <x:row r="1114">
      <x:c r="A1114" t="inlineStr">
        <x:is>
          <x:t xml:space="preserve">MTPRACFUN022</x:t>
        </x:is>
      </x:c>
      <x:c r="B1114" t="inlineStr">
        <x:is>
          <x:t xml:space="preserve">SCOTCH MAGIC TAPE 19MM</x:t>
        </x:is>
      </x:c>
      <x:c r="E1114" t="n">
        <x:v>1</x:v>
      </x:c>
    </x:row>
    <x:row r="1115">
      <x:c r="A1115" t="inlineStr">
        <x:is>
          <x:t xml:space="preserve">MTPRACFUN023</x:t>
        </x:is>
      </x:c>
      <x:c r="B1115" t="inlineStr">
        <x:is>
          <x:t xml:space="preserve">CAJA DE PLASTICINA EN BARRAS</x:t>
        </x:is>
      </x:c>
      <x:c r="E1115" t="n">
        <x:v>0</x:v>
      </x:c>
    </x:row>
    <x:row r="1116">
      <x:c r="A1116" t="inlineStr">
        <x:is>
          <x:t xml:space="preserve">MTPRACFUN024</x:t>
        </x:is>
      </x:c>
      <x:c r="B1116" t="inlineStr">
        <x:is>
          <x:t xml:space="preserve">DISCO RESPALDO DE GOMA 4-1/2</x:t>
        </x:is>
      </x:c>
      <x:c r="E1116" t="n">
        <x:v>38</x:v>
      </x:c>
    </x:row>
    <x:row r="1117">
      <x:c r="A1117" t="inlineStr">
        <x:is>
          <x:t xml:space="preserve">MTPRACFUN025</x:t>
        </x:is>
      </x:c>
      <x:c r="B1117" t="inlineStr">
        <x:is>
          <x:t xml:space="preserve">DISCO RESPALDO DE GOMA 7</x:t>
        </x:is>
      </x:c>
      <x:c r="E1117" t="n">
        <x:v>7</x:v>
      </x:c>
    </x:row>
    <x:row r="1118">
      <x:c r="A1118" t="inlineStr">
        <x:is>
          <x:t xml:space="preserve">MTPRACFUN026</x:t>
        </x:is>
      </x:c>
      <x:c r="B1118" t="inlineStr">
        <x:is>
          <x:t xml:space="preserve">DISCO DIAMANTADO PARA FDV O ELECTROLITICO 4-1/2</x:t>
        </x:is>
      </x:c>
      <x:c r="E1118" t="n">
        <x:v>22</x:v>
      </x:c>
    </x:row>
    <x:row r="1119">
      <x:c r="A1119" t="inlineStr">
        <x:is>
          <x:t xml:space="preserve">MTPRACFUN027</x:t>
        </x:is>
      </x:c>
      <x:c r="B1119" t="inlineStr">
        <x:is>
          <x:t xml:space="preserve">DISCO DIAMANTADO PARA FDV O ELECTROLITICO 7</x:t>
        </x:is>
      </x:c>
      <x:c r="E1119" t="n">
        <x:v>2</x:v>
      </x:c>
    </x:row>
    <x:row r="1120">
      <x:c r="A1120" t="inlineStr">
        <x:is>
          <x:t xml:space="preserve">MTPRACFUN028</x:t>
        </x:is>
      </x:c>
      <x:c r="B1120" t="inlineStr">
        <x:is>
          <x:t xml:space="preserve">DISCO DESBASTE PARA ACERO 4-1/2</x:t>
        </x:is>
      </x:c>
      <x:c r="E1120" t="n">
        <x:v>35</x:v>
      </x:c>
    </x:row>
    <x:row r="1121">
      <x:c r="A1121" t="inlineStr">
        <x:is>
          <x:t xml:space="preserve">MTPRACFUN029</x:t>
        </x:is>
      </x:c>
      <x:c r="B1121" t="inlineStr">
        <x:is>
          <x:t xml:space="preserve">DISCO DESBASTE PARA ACERO 7</x:t>
        </x:is>
      </x:c>
      <x:c r="E1121" t="n">
        <x:v>0</x:v>
      </x:c>
    </x:row>
    <x:row r="1122">
      <x:c r="A1122" t="inlineStr">
        <x:is>
          <x:t xml:space="preserve">MTPRACFUN030</x:t>
        </x:is>
      </x:c>
      <x:c r="B1122" t="inlineStr">
        <x:is>
          <x:t xml:space="preserve">ESPATULA 40MM</x:t>
        </x:is>
      </x:c>
      <x:c r="E1122" t="n">
        <x:v>68</x:v>
      </x:c>
    </x:row>
    <x:row r="1123">
      <x:c r="A1123" t="inlineStr">
        <x:is>
          <x:t xml:space="preserve">MTPRACFUN031</x:t>
        </x:is>
      </x:c>
      <x:c r="B1123" t="inlineStr">
        <x:is>
          <x:t xml:space="preserve">ESPATULA 60MM</x:t>
        </x:is>
      </x:c>
      <x:c r="E1123" t="n">
        <x:v>31</x:v>
      </x:c>
    </x:row>
    <x:row r="1124">
      <x:c r="A1124" t="inlineStr">
        <x:is>
          <x:t xml:space="preserve">MTPRACFUN032</x:t>
        </x:is>
      </x:c>
      <x:c r="B1124" t="inlineStr">
        <x:is>
          <x:t xml:space="preserve">BROCHA PLANA DE 1/2 X 2-1/2</x:t>
        </x:is>
      </x:c>
      <x:c r="E1124" t="n">
        <x:v>213</x:v>
      </x:c>
    </x:row>
    <x:row r="1125">
      <x:c r="A1125" t="inlineStr">
        <x:is>
          <x:t xml:space="preserve">MTPRACFUN033</x:t>
        </x:is>
      </x:c>
      <x:c r="B1125" t="inlineStr">
        <x:is>
          <x:t xml:space="preserve">BROCHA PLANA DE 1/2 X 3</x:t>
        </x:is>
      </x:c>
      <x:c r="E1125" t="n">
        <x:v>28</x:v>
      </x:c>
    </x:row>
    <x:row r="1126">
      <x:c r="A1126" t="inlineStr">
        <x:is>
          <x:t xml:space="preserve">MTPRACFUN034</x:t>
        </x:is>
      </x:c>
      <x:c r="B1126" t="inlineStr">
        <x:is>
          <x:t xml:space="preserve">BROCHA PLANA DE 1/2 X 4</x:t>
        </x:is>
      </x:c>
      <x:c r="E1126" t="n">
        <x:v>0</x:v>
      </x:c>
    </x:row>
    <x:row r="1127">
      <x:c r="A1127" t="inlineStr">
        <x:is>
          <x:t xml:space="preserve">MTPRACFUN035</x:t>
        </x:is>
      </x:c>
      <x:c r="B1127" t="inlineStr">
        <x:is>
          <x:t xml:space="preserve">DOSIFICADOR 1000 CC</x:t>
        </x:is>
      </x:c>
      <x:c r="E1127" t="n">
        <x:v>18</x:v>
      </x:c>
    </x:row>
    <x:row r="1128">
      <x:c r="A1128" t="inlineStr">
        <x:is>
          <x:t xml:space="preserve">MTPRACFUN036</x:t>
        </x:is>
      </x:c>
      <x:c r="B1128" t="inlineStr">
        <x:is>
          <x:t xml:space="preserve">DOSIFICADOR 500 CC</x:t>
        </x:is>
      </x:c>
      <x:c r="E1128" t="n">
        <x:v>52</x:v>
      </x:c>
    </x:row>
    <x:row r="1129">
      <x:c r="A1129" t="inlineStr">
        <x:is>
          <x:t xml:space="preserve">MTPRACFUN037</x:t>
        </x:is>
      </x:c>
      <x:c r="B1129" t="inlineStr">
        <x:is>
          <x:t xml:space="preserve">CUCHILLO CARTONERO PROFESIONAL STANLEY HOJA CORTA</x:t>
        </x:is>
      </x:c>
      <x:c r="E1129" t="n">
        <x:v>0</x:v>
      </x:c>
    </x:row>
    <x:row r="1130">
      <x:c r="A1130" t="inlineStr">
        <x:is>
          <x:t xml:space="preserve">MTPRACFUN038</x:t>
        </x:is>
      </x:c>
      <x:c r="B1130" t="inlineStr">
        <x:is>
          <x:t xml:space="preserve">REPUESTO DE CUCHILLO CARTONERO HOJA CORTA</x:t>
        </x:is>
      </x:c>
      <x:c r="E1130" t="n">
        <x:v>43</x:v>
      </x:c>
    </x:row>
    <x:row r="1131">
      <x:c r="A1131" t="inlineStr">
        <x:is>
          <x:t xml:space="preserve">MTPRACFUN039</x:t>
        </x:is>
      </x:c>
      <x:c r="B1131" t="inlineStr">
        <x:is>
          <x:t xml:space="preserve">CUCHILLO CARTONERO PROFESIONAL STANLEY HOJA LARGA</x:t>
        </x:is>
      </x:c>
      <x:c r="E1131" t="n">
        <x:v>10</x:v>
      </x:c>
    </x:row>
    <x:row r="1132">
      <x:c r="A1132" t="inlineStr">
        <x:is>
          <x:t xml:space="preserve">MTPRACFUN040</x:t>
        </x:is>
      </x:c>
      <x:c r="B1132" t="inlineStr">
        <x:is>
          <x:t xml:space="preserve">REPUESTO DE CUCHILLO CARTONERO HOJA LARGA</x:t>
        </x:is>
      </x:c>
      <x:c r="E1132" t="n">
        <x:v>3</x:v>
      </x:c>
    </x:row>
    <x:row r="1133">
      <x:c r="A1133" t="inlineStr">
        <x:is>
          <x:t xml:space="preserve">MTPRACFUN041</x:t>
        </x:is>
      </x:c>
      <x:c r="B1133" t="inlineStr">
        <x:is>
          <x:t xml:space="preserve">CUCHILLO CARTONERO HOJA RETRACTIL</x:t>
        </x:is>
      </x:c>
      <x:c r="E1133" t="n">
        <x:v>7</x:v>
      </x:c>
    </x:row>
    <x:row r="1134">
      <x:c r="A1134" t="inlineStr">
        <x:is>
          <x:t xml:space="preserve">MTPRACFUN042</x:t>
        </x:is>
      </x:c>
      <x:c r="B1134" t="inlineStr">
        <x:is>
          <x:t xml:space="preserve">FILM PALETIZADOR TRANSPARENTE</x:t>
        </x:is>
      </x:c>
      <x:c r="E1134" t="n">
        <x:v>2</x:v>
      </x:c>
    </x:row>
    <x:row r="1135">
      <x:c r="A1135" t="inlineStr">
        <x:is>
          <x:t xml:space="preserve">MTPRACFUN043</x:t>
        </x:is>
      </x:c>
      <x:c r="B1135" t="inlineStr">
        <x:is>
          <x:t xml:space="preserve">FILM PALETIZADOR NEGRO</x:t>
        </x:is>
      </x:c>
      <x:c r="E1135" t="n">
        <x:v>15</x:v>
      </x:c>
    </x:row>
    <x:row r="1136">
      <x:c r="A1136" t="inlineStr">
        <x:is>
          <x:t xml:space="preserve">MTPRACFUN044</x:t>
        </x:is>
      </x:c>
      <x:c r="B1136" t="inlineStr">
        <x:is>
          <x:t xml:space="preserve">HUINCHA DE MEDIR METALICA STANLEY DE 8 METROS</x:t>
        </x:is>
      </x:c>
      <x:c r="E1136" t="n">
        <x:v>0</x:v>
      </x:c>
    </x:row>
    <x:row r="1137">
      <x:c r="A1137" t="inlineStr">
        <x:is>
          <x:t xml:space="preserve">MTPRACFUN045</x:t>
        </x:is>
      </x:c>
      <x:c r="B1137" t="inlineStr">
        <x:is>
          <x:t xml:space="preserve">HUINCHA DE MEDIR METALICA STANLEY DE 5 METROS</x:t>
        </x:is>
      </x:c>
      <x:c r="E1137" t="n">
        <x:v>0</x:v>
      </x:c>
    </x:row>
    <x:row r="1138">
      <x:c r="A1138" t="inlineStr">
        <x:is>
          <x:t xml:space="preserve">MTPRACFUN046</x:t>
        </x:is>
      </x:c>
      <x:c r="B1138" t="inlineStr">
        <x:is>
          <x:t xml:space="preserve">HUINCHA DE MEDIR METALICA STANLEY DE 3 METROS</x:t>
        </x:is>
      </x:c>
      <x:c r="E1138" t="n">
        <x:v>0</x:v>
      </x:c>
    </x:row>
    <x:row r="1139">
      <x:c r="A1139" t="inlineStr">
        <x:is>
          <x:t xml:space="preserve">MTPRACFUN047</x:t>
        </x:is>
      </x:c>
      <x:c r="B1139" t="inlineStr">
        <x:is>
          <x:t xml:space="preserve">NIVEL 3 AGUAS 48</x:t>
        </x:is>
      </x:c>
      <x:c r="E1139" t="n">
        <x:v>12</x:v>
      </x:c>
    </x:row>
    <x:row r="1140">
      <x:c r="A1140" t="inlineStr">
        <x:is>
          <x:t xml:space="preserve">MTPRACFUN048</x:t>
        </x:is>
      </x:c>
      <x:c r="B1140" t="inlineStr">
        <x:is>
          <x:t xml:space="preserve">NIVEL 3 AGUAS 35</x:t>
        </x:is>
      </x:c>
      <x:c r="E1140" t="n">
        <x:v>0</x:v>
      </x:c>
    </x:row>
    <x:row r="1141">
      <x:c r="A1141" t="inlineStr">
        <x:is>
          <x:t xml:space="preserve">MTPRACFUN049</x:t>
        </x:is>
      </x:c>
      <x:c r="B1141" t="inlineStr">
        <x:is>
          <x:t xml:space="preserve">NIVEL 3 AGUAS 12</x:t>
        </x:is>
      </x:c>
      <x:c r="E1141" t="n">
        <x:v>0</x:v>
      </x:c>
    </x:row>
    <x:row r="1142">
      <x:c r="A1142" t="inlineStr">
        <x:is>
          <x:t xml:space="preserve">MTPRACFUN050</x:t>
        </x:is>
      </x:c>
      <x:c r="B1142" t="inlineStr">
        <x:is>
          <x:t xml:space="preserve">PLIEGO LIJA N°240 FERRO TELA ESMERIL</x:t>
        </x:is>
      </x:c>
      <x:c r="E1142" t="n">
        <x:v>0</x:v>
      </x:c>
    </x:row>
    <x:row r="1143">
      <x:c r="A1143" t="inlineStr">
        <x:is>
          <x:t xml:space="preserve">MTPRACFUN051</x:t>
        </x:is>
      </x:c>
      <x:c r="B1143" t="inlineStr">
        <x:is>
          <x:t xml:space="preserve">PLIEGO LIJA N°360 FERRO TELA ESMERIL</x:t>
        </x:is>
      </x:c>
      <x:c r="E1143" t="n">
        <x:v>0</x:v>
      </x:c>
    </x:row>
    <x:row r="1144">
      <x:c r="A1144" t="inlineStr">
        <x:is>
          <x:t xml:space="preserve">MTPRACFUN052</x:t>
        </x:is>
      </x:c>
      <x:c r="B1144" t="inlineStr">
        <x:is>
          <x:t xml:space="preserve">PLIEGO LIJA N°100  TELA ESMERIL</x:t>
        </x:is>
      </x:c>
      <x:c r="E1144" t="n">
        <x:v>0</x:v>
      </x:c>
    </x:row>
    <x:row r="1145">
      <x:c r="A1145" t="inlineStr">
        <x:is>
          <x:t xml:space="preserve">MTPRACFUN053</x:t>
        </x:is>
      </x:c>
      <x:c r="B1145" t="inlineStr">
        <x:is>
          <x:t xml:space="preserve">BALDE 10 TLS</x:t>
        </x:is>
      </x:c>
      <x:c r="E1145" t="n">
        <x:v>0</x:v>
      </x:c>
    </x:row>
    <x:row r="1146">
      <x:c r="A1146" t="inlineStr">
        <x:is>
          <x:t xml:space="preserve">MTPRACFUN054</x:t>
        </x:is>
      </x:c>
      <x:c r="B1146" t="inlineStr">
        <x:is>
          <x:t xml:space="preserve">FOCOS LED ANTIEXPLISIVOS</x:t>
        </x:is>
      </x:c>
      <x:c r="E1146" t="n">
        <x:v>7</x:v>
      </x:c>
    </x:row>
    <x:row r="1147">
      <x:c r="A1147" t="inlineStr">
        <x:is>
          <x:t xml:space="preserve">MTPRACFUN055</x:t>
        </x:is>
      </x:c>
      <x:c r="B1147" t="inlineStr">
        <x:is>
          <x:t xml:space="preserve">ALICATE</x:t>
        </x:is>
      </x:c>
      <x:c r="E1147" t="n">
        <x:v>5</x:v>
      </x:c>
    </x:row>
    <x:row r="1148">
      <x:c r="A1148" t="inlineStr">
        <x:is>
          <x:t xml:space="preserve">MTPRACFUN056</x:t>
        </x:is>
      </x:c>
      <x:c r="B1148" t="inlineStr">
        <x:is>
          <x:t xml:space="preserve">BALDE CONCRETERO</x:t>
        </x:is>
      </x:c>
      <x:c r="E1148" t="n">
        <x:v>23</x:v>
      </x:c>
    </x:row>
    <x:row r="1149">
      <x:c r="A1149" t="inlineStr">
        <x:is>
          <x:t xml:space="preserve">MTPRACFUN057</x:t>
        </x:is>
      </x:c>
      <x:c r="B1149" t="inlineStr">
        <x:is>
          <x:t xml:space="preserve">BIDONES 10 LTS</x:t>
        </x:is>
      </x:c>
      <x:c r="E1149" t="n">
        <x:v>0</x:v>
      </x:c>
    </x:row>
    <x:row r="1150">
      <x:c r="A1150" t="inlineStr">
        <x:is>
          <x:t xml:space="preserve">MTPRACFUN058</x:t>
        </x:is>
      </x:c>
      <x:c r="B1150" t="inlineStr">
        <x:is>
          <x:t xml:space="preserve">DISCO DE CORTE DIAMANTADO 4 1/2</x:t>
        </x:is>
      </x:c>
      <x:c r="E1150" t="n">
        <x:v>2</x:v>
      </x:c>
    </x:row>
    <x:row r="1151">
      <x:c r="A1151" t="inlineStr">
        <x:is>
          <x:t xml:space="preserve">MTPRACFUN059</x:t>
        </x:is>
      </x:c>
      <x:c r="B1151" t="inlineStr">
        <x:is>
          <x:t xml:space="preserve">DISCO DE CORTE DIAMANTADO 7</x:t>
        </x:is>
      </x:c>
      <x:c r="E1151" t="n">
        <x:v>0</x:v>
      </x:c>
    </x:row>
    <x:row r="1152">
      <x:c r="A1152" t="inlineStr">
        <x:is>
          <x:t xml:space="preserve">MTPRACFUN060</x:t>
        </x:is>
      </x:c>
      <x:c r="B1152" t="inlineStr">
        <x:is>
          <x:t xml:space="preserve">ENCHUFE LEGRAND HEMBRA</x:t>
        </x:is>
      </x:c>
      <x:c r="E1152" t="n">
        <x:v>5</x:v>
      </x:c>
    </x:row>
    <x:row r="1153">
      <x:c r="A1153" t="inlineStr">
        <x:is>
          <x:t xml:space="preserve">MTPRACFUN061</x:t>
        </x:is>
      </x:c>
      <x:c r="B1153" t="inlineStr">
        <x:is>
          <x:t xml:space="preserve">ENCHUFE LEGRAND MACHO</x:t>
        </x:is>
      </x:c>
      <x:c r="E1153" t="n">
        <x:v>15</x:v>
      </x:c>
    </x:row>
    <x:row r="1154">
      <x:c r="A1154" t="inlineStr">
        <x:is>
          <x:t xml:space="preserve">MTPRACFUN062</x:t>
        </x:is>
      </x:c>
      <x:c r="B1154" t="inlineStr">
        <x:is>
          <x:t xml:space="preserve">ESCOBILLON</x:t>
        </x:is>
      </x:c>
      <x:c r="E1154" t="n">
        <x:v>7</x:v>
      </x:c>
    </x:row>
    <x:row r="1155">
      <x:c r="A1155" t="inlineStr">
        <x:is>
          <x:t xml:space="preserve">MTPRACFUN063</x:t>
        </x:is>
      </x:c>
      <x:c r="B1155" t="inlineStr">
        <x:is>
          <x:t xml:space="preserve">ESLINGA IZAJE 1 MT</x:t>
        </x:is>
      </x:c>
      <x:c r="E1155" t="n">
        <x:v>0</x:v>
      </x:c>
    </x:row>
    <x:row r="1156">
      <x:c r="A1156" t="inlineStr">
        <x:is>
          <x:t xml:space="preserve">MTPRACFUN064</x:t>
        </x:is>
      </x:c>
      <x:c r="B1156" t="inlineStr">
        <x:is>
          <x:t xml:space="preserve">ESLINGA IZAJE 12 MT</x:t>
        </x:is>
      </x:c>
      <x:c r="E1156" t="n">
        <x:v>0</x:v>
      </x:c>
    </x:row>
    <x:row r="1157">
      <x:c r="A1157" t="inlineStr">
        <x:is>
          <x:t xml:space="preserve">MTPRACFUN065</x:t>
        </x:is>
      </x:c>
      <x:c r="B1157" t="inlineStr">
        <x:is>
          <x:t xml:space="preserve">ESLINGA IZAJE 2 MT</x:t>
        </x:is>
      </x:c>
      <x:c r="E1157" t="n">
        <x:v>5</x:v>
      </x:c>
    </x:row>
    <x:row r="1158">
      <x:c r="A1158" t="inlineStr">
        <x:is>
          <x:t xml:space="preserve">MTPRACFUN066</x:t>
        </x:is>
      </x:c>
      <x:c r="B1158" t="inlineStr">
        <x:is>
          <x:t xml:space="preserve">ESLINGA IZAJE 6 MT</x:t>
        </x:is>
      </x:c>
      <x:c r="E1158" t="n">
        <x:v>2</x:v>
      </x:c>
    </x:row>
    <x:row r="1159">
      <x:c r="A1159" t="inlineStr">
        <x:is>
          <x:t xml:space="preserve">MTPRACFUN067</x:t>
        </x:is>
      </x:c>
      <x:c r="B1159" t="inlineStr">
        <x:is>
          <x:t xml:space="preserve">ESMERIL ANGULAR  4 1/2 720W SISTEMA HOMBRE MUERTO</x:t>
        </x:is>
      </x:c>
      <x:c r="E1159" t="n">
        <x:v>8</x:v>
      </x:c>
    </x:row>
    <x:row r="1160">
      <x:c r="A1160" t="inlineStr">
        <x:is>
          <x:t xml:space="preserve">MTPRACFUN068</x:t>
        </x:is>
      </x:c>
      <x:c r="B1160" t="inlineStr">
        <x:is>
          <x:t xml:space="preserve">ESMERIL ANGULAR 7  720W SISTEMA HOMBRE MUERTO</x:t>
        </x:is>
      </x:c>
      <x:c r="E1160" t="n">
        <x:v>3</x:v>
      </x:c>
    </x:row>
    <x:row r="1161">
      <x:c r="A1161" t="inlineStr">
        <x:is>
          <x:t xml:space="preserve">MTPRACFUN069</x:t>
        </x:is>
      </x:c>
      <x:c r="B1161" t="inlineStr">
        <x:is>
          <x:t xml:space="preserve">ESMERIL ANGULAR 4 1/2 720W</x:t>
        </x:is>
      </x:c>
      <x:c r="E1161" t="n">
        <x:v>0</x:v>
      </x:c>
    </x:row>
    <x:row r="1162">
      <x:c r="A1162" t="inlineStr">
        <x:is>
          <x:t xml:space="preserve">MTPRACFUN070</x:t>
        </x:is>
      </x:c>
      <x:c r="B1162" t="inlineStr">
        <x:is>
          <x:t xml:space="preserve">ESMERIL ANGULAR 7 720W</x:t>
        </x:is>
      </x:c>
      <x:c r="E1162" t="n">
        <x:v>0</x:v>
      </x:c>
    </x:row>
    <x:row r="1163">
      <x:c r="A1163" t="inlineStr">
        <x:is>
          <x:t xml:space="preserve">MTPRACFUN071</x:t>
        </x:is>
      </x:c>
      <x:c r="B1163" t="inlineStr">
        <x:is>
          <x:t xml:space="preserve">GRILLETES 1 1/2</x:t>
        </x:is>
      </x:c>
      <x:c r="E1163" t="n">
        <x:v>0</x:v>
      </x:c>
    </x:row>
    <x:row r="1164">
      <x:c r="A1164" t="inlineStr">
        <x:is>
          <x:t xml:space="preserve">MTPRACFUN072</x:t>
        </x:is>
      </x:c>
      <x:c r="B1164" t="inlineStr">
        <x:is>
          <x:t xml:space="preserve">GRILLETES  DE 3/4</x:t>
        </x:is>
      </x:c>
      <x:c r="E1164" t="n">
        <x:v>3</x:v>
      </x:c>
    </x:row>
    <x:row r="1165">
      <x:c r="A1165" t="inlineStr">
        <x:is>
          <x:t xml:space="preserve">MTPRACFUN073</x:t>
        </x:is>
      </x:c>
      <x:c r="B1165" t="inlineStr">
        <x:is>
          <x:t xml:space="preserve">HUINCHA DE MEDIR 5 MTS</x:t>
        </x:is>
      </x:c>
      <x:c r="E1165" t="n">
        <x:v>1</x:v>
      </x:c>
    </x:row>
    <x:row r="1166">
      <x:c r="A1166" t="inlineStr">
        <x:is>
          <x:t xml:space="preserve">MTPRACFUN074</x:t>
        </x:is>
      </x:c>
      <x:c r="B1166" t="inlineStr">
        <x:is>
          <x:t xml:space="preserve">HUINCHA AISLADORA AMARILLA</x:t>
        </x:is>
      </x:c>
      <x:c r="E1166" t="n">
        <x:v>6</x:v>
      </x:c>
    </x:row>
    <x:row r="1167">
      <x:c r="A1167" t="inlineStr">
        <x:is>
          <x:t xml:space="preserve">MTPRACFUN075</x:t>
        </x:is>
      </x:c>
      <x:c r="B1167" t="inlineStr">
        <x:is>
          <x:t xml:space="preserve">HUINCHA AISLADORA VERDE</x:t>
        </x:is>
      </x:c>
      <x:c r="E1167" t="n">
        <x:v>0</x:v>
      </x:c>
    </x:row>
    <x:row r="1168">
      <x:c r="A1168" t="inlineStr">
        <x:is>
          <x:t xml:space="preserve">MTPRACFUN076</x:t>
        </x:is>
      </x:c>
      <x:c r="B1168" t="inlineStr">
        <x:is>
          <x:t xml:space="preserve">HUINCHA AISLADORA AZUL</x:t>
        </x:is>
      </x:c>
      <x:c r="E1168" t="n">
        <x:v>0</x:v>
      </x:c>
    </x:row>
    <x:row r="1169">
      <x:c r="A1169" t="inlineStr">
        <x:is>
          <x:t xml:space="preserve">MTPRACFUN077</x:t>
        </x:is>
      </x:c>
      <x:c r="B1169" t="inlineStr">
        <x:is>
          <x:t xml:space="preserve">HUIINCHA AISLADORA NEGRA</x:t>
        </x:is>
      </x:c>
      <x:c r="E1169" t="n">
        <x:v>0</x:v>
      </x:c>
    </x:row>
    <x:row r="1170">
      <x:c r="A1170" t="inlineStr">
        <x:is>
          <x:t xml:space="preserve">MTPRACFUN078</x:t>
        </x:is>
      </x:c>
      <x:c r="B1170" t="inlineStr">
        <x:is>
          <x:t xml:space="preserve">HIINCHA AISLADORA BLANCA</x:t>
        </x:is>
      </x:c>
      <x:c r="E1170" t="n">
        <x:v>0</x:v>
      </x:c>
    </x:row>
    <x:row r="1171">
      <x:c r="A1171" t="inlineStr">
        <x:is>
          <x:t xml:space="preserve">MTPRACFUN079</x:t>
        </x:is>
      </x:c>
      <x:c r="B1171" t="inlineStr">
        <x:is>
          <x:t xml:space="preserve">MANGA DE POLIETILENO NEGRA</x:t>
        </x:is>
      </x:c>
      <x:c r="E1171" t="n">
        <x:v>0</x:v>
      </x:c>
    </x:row>
    <x:row r="1172">
      <x:c r="A1172" t="inlineStr">
        <x:is>
          <x:t xml:space="preserve">MTPRACFUN080</x:t>
        </x:is>
      </x:c>
      <x:c r="B1172" t="inlineStr">
        <x:is>
          <x:t xml:space="preserve">MARTILLO CARPINTERO</x:t>
        </x:is>
      </x:c>
      <x:c r="E1172" t="n">
        <x:v>3</x:v>
      </x:c>
    </x:row>
    <x:row r="1173">
      <x:c r="A1173" t="inlineStr">
        <x:is>
          <x:t xml:space="preserve">MTPRACFUN081</x:t>
        </x:is>
      </x:c>
      <x:c r="B1173" t="inlineStr">
        <x:is>
          <x:t xml:space="preserve">PLASTICINA POR KG</x:t>
        </x:is>
      </x:c>
      <x:c r="E1173" t="n">
        <x:v>0.5</x:v>
      </x:c>
    </x:row>
    <x:row r="1174">
      <x:c r="A1174" t="inlineStr">
        <x:is>
          <x:t xml:space="preserve">MTPRACFUN082</x:t>
        </x:is>
      </x:c>
      <x:c r="B1174" t="inlineStr">
        <x:is>
          <x:t xml:space="preserve">BALDE DE 5 LTS. SIN TAPA</x:t>
        </x:is>
      </x:c>
      <x:c r="E1174" t="n">
        <x:v>0</x:v>
      </x:c>
    </x:row>
    <x:row r="1175">
      <x:c r="A1175" t="inlineStr">
        <x:is>
          <x:t xml:space="preserve">MTPRACFUN083</x:t>
        </x:is>
      </x:c>
      <x:c r="B1175" t="inlineStr">
        <x:is>
          <x:t xml:space="preserve">BALDE TIPO TINETA SIN TAPA DE 10 LTS</x:t>
        </x:is>
      </x:c>
      <x:c r="E1175" t="n">
        <x:v>329</x:v>
      </x:c>
    </x:row>
    <x:row r="1176">
      <x:c r="A1176" t="inlineStr">
        <x:is>
          <x:t xml:space="preserve">MTPRACFUN084</x:t>
        </x:is>
      </x:c>
      <x:c r="B1176" t="inlineStr">
        <x:is>
          <x:t xml:space="preserve">BALDE TIPO TINETA SIN TAPA DE 15 LTS</x:t>
        </x:is>
      </x:c>
      <x:c r="E1176" t="n">
        <x:v>0</x:v>
      </x:c>
    </x:row>
    <x:row r="1177">
      <x:c r="A1177" t="inlineStr">
        <x:is>
          <x:t xml:space="preserve">MTPRACFUN085</x:t>
        </x:is>
      </x:c>
      <x:c r="B1177" t="inlineStr">
        <x:is>
          <x:t xml:space="preserve">BALDE TIPO TINETA SIN TAPA DE 20 LTS</x:t>
        </x:is>
      </x:c>
      <x:c r="E1177" t="n">
        <x:v>291</x:v>
      </x:c>
    </x:row>
    <x:row r="1178">
      <x:c r="A1178" t="inlineStr">
        <x:is>
          <x:t xml:space="preserve">MTPRACFUN086</x:t>
        </x:is>
      </x:c>
      <x:c r="B1178" t="inlineStr">
        <x:is>
          <x:t xml:space="preserve">TIJERA SASTRE</x:t>
        </x:is>
      </x:c>
      <x:c r="E1178" t="n">
        <x:v>4</x:v>
      </x:c>
    </x:row>
    <x:row r="1179">
      <x:c r="A1179" t="inlineStr">
        <x:is>
          <x:t xml:space="preserve">MTPRACFUN087</x:t>
        </x:is>
      </x:c>
      <x:c r="B1179" t="inlineStr">
        <x:is>
          <x:t xml:space="preserve">LAPIZ CARPINTERO</x:t>
        </x:is>
      </x:c>
      <x:c r="E1179" t="n">
        <x:v>0</x:v>
      </x:c>
    </x:row>
    <x:row r="1180">
      <x:c r="A1180" t="inlineStr">
        <x:is>
          <x:t xml:space="preserve">MTPRACFUN088</x:t>
        </x:is>
      </x:c>
      <x:c r="B1180" t="inlineStr">
        <x:is>
          <x:t xml:space="preserve">DISCO DE TRASLAPE FLAP 4 1/2 GRANO N° 80</x:t>
        </x:is>
      </x:c>
      <x:c r="E1180" t="n">
        <x:v>150</x:v>
      </x:c>
    </x:row>
    <x:row r="1181">
      <x:c r="A1181" t="inlineStr">
        <x:is>
          <x:t xml:space="preserve">MTPRACFUN089</x:t>
        </x:is>
      </x:c>
      <x:c r="B1181" t="inlineStr">
        <x:is>
          <x:t xml:space="preserve">ESLINGA DE IZAJE 3 MT</x:t>
        </x:is>
      </x:c>
      <x:c r="E1181" t="n">
        <x:v>4</x:v>
      </x:c>
    </x:row>
    <x:row r="1182">
      <x:c r="A1182" t="inlineStr">
        <x:is>
          <x:t xml:space="preserve">MTPRACFUN090</x:t>
        </x:is>
      </x:c>
      <x:c r="B1182" t="inlineStr">
        <x:is>
          <x:t xml:space="preserve">TORNILLO VOLCANITA 2 (NEGRO)</x:t>
        </x:is>
      </x:c>
      <x:c r="E1182" t="n">
        <x:v>0</x:v>
      </x:c>
    </x:row>
    <x:row r="1183">
      <x:c r="A1183" t="inlineStr">
        <x:is>
          <x:t xml:space="preserve">MTPRACFUN091</x:t>
        </x:is>
      </x:c>
      <x:c r="B1183" t="inlineStr">
        <x:is>
          <x:t xml:space="preserve">TORNILLO VOLCANITA 2 1/2 (NEGRO)</x:t>
        </x:is>
      </x:c>
      <x:c r="E1183" t="n">
        <x:v>0</x:v>
      </x:c>
    </x:row>
    <x:row r="1184">
      <x:c r="A1184" t="inlineStr">
        <x:is>
          <x:t xml:space="preserve">MTPRACFUN092</x:t>
        </x:is>
      </x:c>
      <x:c r="B1184" t="inlineStr">
        <x:is>
          <x:t xml:space="preserve">TORNILLO VOLCANITA 3 (NEGRO)</x:t>
        </x:is>
      </x:c>
      <x:c r="E1184" t="n">
        <x:v>0</x:v>
      </x:c>
    </x:row>
    <x:row r="1185">
      <x:c r="A1185" t="inlineStr">
        <x:is>
          <x:t xml:space="preserve">MTPRACFUN093</x:t>
        </x:is>
      </x:c>
      <x:c r="B1185" t="inlineStr">
        <x:is>
          <x:t xml:space="preserve">ESPATULA 70MM</x:t>
        </x:is>
      </x:c>
      <x:c r="E1185" t="n">
        <x:v>0</x:v>
      </x:c>
    </x:row>
    <x:row r="1186">
      <x:c r="A1186" t="inlineStr">
        <x:is>
          <x:t xml:space="preserve">MTPRACFUN094</x:t>
        </x:is>
      </x:c>
      <x:c r="B1186" t="inlineStr">
        <x:is>
          <x:t xml:space="preserve">SIERRA CALADORA TOMA RAPIDA 720W MAKITA (4350CT)</x:t>
        </x:is>
      </x:c>
      <x:c r="E1186" t="n">
        <x:v>0</x:v>
      </x:c>
    </x:row>
    <x:row r="1187">
      <x:c r="A1187" t="inlineStr">
        <x:is>
          <x:t xml:space="preserve">MTPRACFUN095</x:t>
        </x:is>
      </x:c>
      <x:c r="B1187" t="inlineStr">
        <x:is>
          <x:t xml:space="preserve">REPUESTO SIERRA CALADORA X 5 PZAS</x:t>
        </x:is>
      </x:c>
      <x:c r="E1187" t="n">
        <x:v>0</x:v>
      </x:c>
    </x:row>
    <x:row r="1188">
      <x:c r="A1188" t="inlineStr">
        <x:is>
          <x:t xml:space="preserve">MTPRACFUN096</x:t>
        </x:is>
      </x:c>
      <x:c r="B1188" t="inlineStr">
        <x:is>
          <x:t xml:space="preserve">CLAVOS PARA PISTOLA NEUMATICA 2 (CAJA)</x:t>
        </x:is>
      </x:c>
      <x:c r="E1188" t="n">
        <x:v>0</x:v>
      </x:c>
    </x:row>
    <x:row r="1189">
      <x:c r="A1189" t="inlineStr">
        <x:is>
          <x:t xml:space="preserve">MTPRACFUN097</x:t>
        </x:is>
      </x:c>
      <x:c r="B1189" t="inlineStr">
        <x:is>
          <x:t xml:space="preserve">CLAVOS PARA PISTOLA NEUMATICA 3 (CAJA)</x:t>
        </x:is>
      </x:c>
      <x:c r="E1189" t="n">
        <x:v>0</x:v>
      </x:c>
    </x:row>
    <x:row r="1190">
      <x:c r="A1190" t="inlineStr">
        <x:is>
          <x:t xml:space="preserve">MTPRACFUN098</x:t>
        </x:is>
      </x:c>
      <x:c r="B1190" t="inlineStr">
        <x:is>
          <x:t xml:space="preserve">MAQUINA ENZUNCHADORA METAL</x:t>
        </x:is>
      </x:c>
      <x:c r="E1190" t="n">
        <x:v>0</x:v>
      </x:c>
    </x:row>
    <x:row r="1191">
      <x:c r="A1191" t="inlineStr">
        <x:is>
          <x:t xml:space="preserve">MTPRACFUN099</x:t>
        </x:is>
      </x:c>
      <x:c r="B1191" t="inlineStr">
        <x:is>
          <x:t xml:space="preserve">HEBILLAS DE ACERO PARA ENZUNCHADORA</x:t>
        </x:is>
      </x:c>
      <x:c r="E1191" t="n">
        <x:v>0</x:v>
      </x:c>
    </x:row>
    <x:row r="1192">
      <x:c r="A1192" t="inlineStr">
        <x:is>
          <x:t xml:space="preserve">MTPRACFUN100</x:t>
        </x:is>
      </x:c>
      <x:c r="B1192" t="inlineStr">
        <x:is>
          <x:t xml:space="preserve">TIJERA METAL</x:t>
        </x:is>
      </x:c>
      <x:c r="E1192" t="n">
        <x:v>0</x:v>
      </x:c>
    </x:row>
    <x:row r="1193">
      <x:c r="A1193" t="inlineStr">
        <x:is>
          <x:t xml:space="preserve">MTPRACFUN101</x:t>
        </x:is>
      </x:c>
      <x:c r="B1193" t="inlineStr">
        <x:is>
          <x:t xml:space="preserve">CLAVOS 1 x KG</x:t>
        </x:is>
      </x:c>
      <x:c r="E1193" t="n">
        <x:v>0</x:v>
      </x:c>
    </x:row>
    <x:row r="1194">
      <x:c r="A1194" t="inlineStr">
        <x:is>
          <x:t xml:space="preserve">MTPRACFUN102</x:t>
        </x:is>
      </x:c>
      <x:c r="B1194" t="inlineStr">
        <x:is>
          <x:t xml:space="preserve">CLAVOS 2 x KG</x:t>
        </x:is>
      </x:c>
      <x:c r="E1194" t="n">
        <x:v>0</x:v>
      </x:c>
    </x:row>
    <x:row r="1195">
      <x:c r="A1195" t="inlineStr">
        <x:is>
          <x:t xml:space="preserve">MTPRACFUN103</x:t>
        </x:is>
      </x:c>
      <x:c r="B1195" t="inlineStr">
        <x:is>
          <x:t xml:space="preserve">DISPENSADOR DE CINTA DE EMBALAJE</x:t>
        </x:is>
      </x:c>
      <x:c r="E1195" t="n">
        <x:v>0</x:v>
      </x:c>
    </x:row>
    <x:row r="1196">
      <x:c r="A1196" t="inlineStr">
        <x:is>
          <x:t xml:space="preserve">MTPRACFUN104</x:t>
        </x:is>
      </x:c>
      <x:c r="B1196" t="inlineStr">
        <x:is>
          <x:t xml:space="preserve">CAJA TORNILLO 6 X 1</x:t>
        </x:is>
      </x:c>
      <x:c r="E1196" t="n">
        <x:v>0</x:v>
      </x:c>
    </x:row>
    <x:row r="1197">
      <x:c r="A1197" t="inlineStr">
        <x:is>
          <x:t xml:space="preserve">MTPRACFUN105</x:t>
        </x:is>
      </x:c>
      <x:c r="B1197" t="inlineStr">
        <x:is>
          <x:t xml:space="preserve">ESPATULA 100MM</x:t>
        </x:is>
      </x:c>
      <x:c r="E1197" t="n">
        <x:v>0</x:v>
      </x:c>
    </x:row>
    <x:row r="1198">
      <x:c r="A1198" t="inlineStr">
        <x:is>
          <x:t xml:space="preserve">MTPRACFUN106</x:t>
        </x:is>
      </x:c>
      <x:c r="B1198" t="inlineStr">
        <x:is>
          <x:t xml:space="preserve">CUCHARON ALUMINIO INDUSTRIAL</x:t>
        </x:is>
      </x:c>
      <x:c r="E1198" t="n">
        <x:v>4</x:v>
      </x:c>
    </x:row>
    <x:row r="1199">
      <x:c r="A1199" t="inlineStr">
        <x:is>
          <x:t xml:space="preserve">MTPRACFUN107</x:t>
        </x:is>
      </x:c>
      <x:c r="B1199" t="inlineStr">
        <x:is>
          <x:t xml:space="preserve">CUCHARON ALUMINIO INDUSTRIAL 1/2 KG</x:t>
        </x:is>
      </x:c>
      <x:c r="E1199" t="n">
        <x:v>0</x:v>
      </x:c>
    </x:row>
    <x:row r="1200">
      <x:c r="A1200" t="inlineStr">
        <x:is>
          <x:t xml:space="preserve">MTPRACFUN108</x:t>
        </x:is>
      </x:c>
      <x:c r="B1200" t="inlineStr">
        <x:is>
          <x:t xml:space="preserve">WD-40 311 GRS. ANTICORROSIVO</x:t>
        </x:is>
      </x:c>
      <x:c r="E1200" t="n">
        <x:v>10</x:v>
      </x:c>
    </x:row>
    <x:row r="1201">
      <x:c r="A1201" t="inlineStr">
        <x:is>
          <x:t xml:space="preserve">MTPRACFUN109</x:t>
        </x:is>
      </x:c>
      <x:c r="B1201" t="inlineStr">
        <x:is>
          <x:t xml:space="preserve">CINTA ADHESIVA ALUMINIO 2 X 50 MTS</x:t>
        </x:is>
      </x:c>
      <x:c r="E1201" t="n">
        <x:v>1</x:v>
      </x:c>
    </x:row>
    <x:row r="1202">
      <x:c r="A1202" t="inlineStr">
        <x:is>
          <x:t xml:space="preserve">MTPRACFUN110</x:t>
        </x:is>
      </x:c>
      <x:c r="B1202" t="inlineStr">
        <x:is>
          <x:t xml:space="preserve">BOMBA PARA TRASVASIJE DE RESINA</x:t>
        </x:is>
      </x:c>
      <x:c r="E1202" t="n">
        <x:v>2</x:v>
      </x:c>
    </x:row>
    <x:row r="1203">
      <x:c r="A1203" t="inlineStr">
        <x:is>
          <x:t xml:space="preserve">MTPRACFUN111</x:t>
        </x:is>
      </x:c>
      <x:c r="B1203" t="inlineStr">
        <x:is>
          <x:t xml:space="preserve">PILA ALCALINA CHICA 3A</x:t>
        </x:is>
      </x:c>
      <x:c r="E1203" t="n">
        <x:v>0</x:v>
      </x:c>
    </x:row>
    <x:row r="1204">
      <x:c r="A1204" t="inlineStr">
        <x:is>
          <x:t xml:space="preserve">MTPRACFUN112</x:t>
        </x:is>
      </x:c>
      <x:c r="B1204" t="inlineStr">
        <x:is>
          <x:t xml:space="preserve">PISTOLA SILICONA BARRA</x:t>
        </x:is>
      </x:c>
      <x:c r="E1204" t="n">
        <x:v>0</x:v>
      </x:c>
    </x:row>
    <x:row r="1205">
      <x:c r="A1205" t="inlineStr">
        <x:is>
          <x:t xml:space="preserve">MTPRACFUN113</x:t>
        </x:is>
      </x:c>
      <x:c r="B1205" t="inlineStr">
        <x:is>
          <x:t xml:space="preserve">COMBO 4 LB. MANGO FIBRA</x:t>
        </x:is>
      </x:c>
      <x:c r="E1205" t="n">
        <x:v>0</x:v>
      </x:c>
    </x:row>
    <x:row r="1206">
      <x:c r="A1206" t="inlineStr">
        <x:is>
          <x:t xml:space="preserve">MTPRACFUN114</x:t>
        </x:is>
      </x:c>
      <x:c r="B1206" t="inlineStr">
        <x:is>
          <x:t xml:space="preserve">HOJA SIERRA SABLE B05044</x:t>
        </x:is>
      </x:c>
      <x:c r="E1206" t="n">
        <x:v>0</x:v>
      </x:c>
    </x:row>
    <x:row r="1207">
      <x:c r="A1207" t="inlineStr">
        <x:is>
          <x:t xml:space="preserve">MTPRACFUN115</x:t>
        </x:is>
      </x:c>
      <x:c r="B1207" t="inlineStr">
        <x:is>
          <x:t xml:space="preserve">MAXISACO 1000 KG 90X90X110</x:t>
        </x:is>
      </x:c>
      <x:c r="E1207" t="n">
        <x:v>24</x:v>
      </x:c>
    </x:row>
    <x:row r="1208">
      <x:c r="A1208" t="inlineStr">
        <x:is>
          <x:t xml:space="preserve">MTPRACFUN116</x:t>
        </x:is>
      </x:c>
      <x:c r="B1208" t="inlineStr">
        <x:is>
          <x:t xml:space="preserve">CADENA PLASTICA BLANCA 50MTS</x:t>
        </x:is>
      </x:c>
      <x:c r="E1208" t="n">
        <x:v>60</x:v>
      </x:c>
    </x:row>
    <x:row r="1209">
      <x:c r="A1209" t="inlineStr">
        <x:is>
          <x:t xml:space="preserve">MTPRACFUN117</x:t>
        </x:is>
      </x:c>
      <x:c r="B1209" t="inlineStr">
        <x:is>
          <x:t xml:space="preserve">LLANAS DE ACERO TEMPLADO LISA 300X180 LIZCAL</x:t>
        </x:is>
      </x:c>
      <x:c r="E1209" t="n">
        <x:v>0</x:v>
      </x:c>
    </x:row>
    <x:row r="1210">
      <x:c r="A1210" t="inlineStr">
        <x:is>
          <x:t xml:space="preserve">MTPRACFUN118</x:t>
        </x:is>
      </x:c>
      <x:c r="B1210" t="inlineStr">
        <x:is>
          <x:t xml:space="preserve">ESCOBILLON MUNICIPAL C/MANGO</x:t>
        </x:is>
      </x:c>
      <x:c r="E1210" t="n">
        <x:v>0</x:v>
      </x:c>
    </x:row>
    <x:row r="1211">
      <x:c r="A1211" t="inlineStr">
        <x:is>
          <x:t xml:space="preserve">MTPRACFUN119</x:t>
        </x:is>
      </x:c>
      <x:c r="B1211" t="inlineStr">
        <x:is>
          <x:t xml:space="preserve">BOLSA ROJA 110X120X0.0070</x:t>
        </x:is>
      </x:c>
      <x:c r="E1211" t="n">
        <x:v>0</x:v>
      </x:c>
    </x:row>
    <x:row r="1212">
      <x:c r="A1212" t="inlineStr">
        <x:is>
          <x:t xml:space="preserve">MTPRACFUN120</x:t>
        </x:is>
      </x:c>
      <x:c r="B1212" t="inlineStr">
        <x:is>
          <x:t xml:space="preserve">ALAMBRE NEGRO # 18</x:t>
        </x:is>
      </x:c>
      <x:c r="E1212" t="n">
        <x:v>0</x:v>
      </x:c>
    </x:row>
    <x:row r="1213">
      <x:c r="A1213" t="inlineStr">
        <x:is>
          <x:t xml:space="preserve">MTPRACFUN121</x:t>
        </x:is>
      </x:c>
      <x:c r="B1213" t="inlineStr">
        <x:is>
          <x:t xml:space="preserve">MALLA RASCHEL 2.1X80%X100 NEGRA</x:t>
        </x:is>
      </x:c>
      <x:c r="E1213" t="n">
        <x:v>0</x:v>
      </x:c>
    </x:row>
    <x:row r="1214">
      <x:c r="A1214" t="inlineStr">
        <x:is>
          <x:t xml:space="preserve">MTPRACFUN122</x:t>
        </x:is>
      </x:c>
      <x:c r="B1214" t="inlineStr">
        <x:is>
          <x:t xml:space="preserve">TABLERO FAENA PORTATIL 380/230V. 12KVA</x:t>
        </x:is>
      </x:c>
      <x:c r="E1214" t="n">
        <x:v>0</x:v>
      </x:c>
    </x:row>
    <x:row r="1215">
      <x:c r="A1215" t="inlineStr">
        <x:is>
          <x:t xml:space="preserve">MTPRACFUN123</x:t>
        </x:is>
      </x:c>
      <x:c r="B1215" t="inlineStr">
        <x:is>
          <x:t xml:space="preserve">JUEGO BROCA HSS 1-13MM. KP25</x:t>
        </x:is>
      </x:c>
      <x:c r="E1215" t="n">
        <x:v>0</x:v>
      </x:c>
    </x:row>
    <x:row r="1216">
      <x:c r="A1216" t="inlineStr">
        <x:is>
          <x:t xml:space="preserve">MTPRACFUN124</x:t>
        </x:is>
      </x:c>
      <x:c r="B1216" t="inlineStr">
        <x:is>
          <x:t xml:space="preserve">ESMERIL DE BANCO 6", 250 W. (GB602) - MAKITA</x:t>
        </x:is>
      </x:c>
      <x:c r="E1216" t="n">
        <x:v>0</x:v>
      </x:c>
    </x:row>
    <x:row r="1217">
      <x:c r="A1217" t="inlineStr">
        <x:is>
          <x:t xml:space="preserve">MTPRACFUN125</x:t>
        </x:is>
      </x:c>
      <x:c r="B1217" t="inlineStr">
        <x:is>
          <x:t xml:space="preserve">ESMERIL RECTO DE 5", 750 W. (GS5000) - MAKITA</x:t>
        </x:is>
      </x:c>
      <x:c r="E1217" t="n">
        <x:v>0</x:v>
      </x:c>
    </x:row>
    <x:row r="1218">
      <x:c r="A1218" t="inlineStr">
        <x:is>
          <x:t xml:space="preserve">MTPRACFUN126</x:t>
        </x:is>
      </x:c>
      <x:c r="B1218" t="inlineStr">
        <x:is>
          <x:t xml:space="preserve">RECTIFICADORA 1/4" 750 W. H.M. (GD0801C) - MAKITA</x:t>
        </x:is>
      </x:c>
      <x:c r="E1218" t="n">
        <x:v>1</x:v>
      </x:c>
    </x:row>
    <x:row r="1219">
      <x:c r="A1219" t="inlineStr">
        <x:is>
          <x:t xml:space="preserve">MTPRACFUN127</x:t>
        </x:is>
      </x:c>
      <x:c r="B1219" t="inlineStr">
        <x:is>
          <x:t xml:space="preserve">ZUNCHO PLASTICO 1/2</x:t>
        </x:is>
      </x:c>
      <x:c r="E1219" t="n">
        <x:v>0</x:v>
      </x:c>
    </x:row>
    <x:row r="1220">
      <x:c r="A1220" t="inlineStr">
        <x:is>
          <x:t xml:space="preserve">MTPRACFUN128</x:t>
        </x:is>
      </x:c>
      <x:c r="B1220" t="inlineStr">
        <x:is>
          <x:t xml:space="preserve">ZUNCHO METALICO DE 3/4</x:t>
        </x:is>
      </x:c>
      <x:c r="E1220" t="n">
        <x:v>0</x:v>
      </x:c>
    </x:row>
    <x:row r="1221">
      <x:c r="A1221" t="inlineStr">
        <x:is>
          <x:t xml:space="preserve">MTPRACFUN129</x:t>
        </x:is>
      </x:c>
      <x:c r="B1221" t="inlineStr">
        <x:is>
          <x:t xml:space="preserve">ZUNCHO METALICO DE 1/2</x:t>
        </x:is>
      </x:c>
      <x:c r="E1221" t="n">
        <x:v>0</x:v>
      </x:c>
    </x:row>
    <x:row r="1222">
      <x:c r="A1222" t="inlineStr">
        <x:is>
          <x:t xml:space="preserve">MTPRACFUN130</x:t>
        </x:is>
      </x:c>
      <x:c r="B1222" t="inlineStr">
        <x:is>
          <x:t xml:space="preserve">CINTA TEFLON 1 X 10 MTS</x:t>
        </x:is>
      </x:c>
      <x:c r="E1222" t="n">
        <x:v>0</x:v>
      </x:c>
    </x:row>
    <x:row r="1223">
      <x:c r="A1223" t="inlineStr">
        <x:is>
          <x:t xml:space="preserve">MTPRACFUN131</x:t>
        </x:is>
      </x:c>
      <x:c r="B1223" t="inlineStr">
        <x:is>
          <x:t xml:space="preserve">PISTOLA AIRE CALIENTE 2.000 W. (HG6020) - MAKITA</x:t>
        </x:is>
      </x:c>
      <x:c r="E1223" t="n">
        <x:v>4</x:v>
      </x:c>
    </x:row>
    <x:row r="1224">
      <x:c r="A1224" t="inlineStr">
        <x:is>
          <x:t xml:space="preserve">MTPRACFUN132</x:t>
        </x:is>
      </x:c>
      <x:c r="B1224" t="inlineStr">
        <x:is>
          <x:t xml:space="preserve">RECTIFICADOR ANILLO 3-8MM 18V INAL (DGD800Z) - MAKITA</x:t>
        </x:is>
      </x:c>
      <x:c r="E1224" t="n">
        <x:v>0</x:v>
      </x:c>
    </x:row>
    <x:row r="1225">
      <x:c r="A1225" t="inlineStr">
        <x:is>
          <x:t xml:space="preserve">MTPRACFUN133</x:t>
        </x:is>
      </x:c>
      <x:c r="B1225" t="inlineStr">
        <x:is>
          <x:t xml:space="preserve">HOJA SIERRA 1/2 X24 TPI</x:t>
        </x:is>
      </x:c>
      <x:c r="E1225" t="n">
        <x:v>0</x:v>
      </x:c>
    </x:row>
    <x:row r="1226">
      <x:c r="A1226" t="inlineStr">
        <x:is>
          <x:t xml:space="preserve">MTPRACFUN134</x:t>
        </x:is>
      </x:c>
      <x:c r="B1226" t="inlineStr">
        <x:is>
          <x:t xml:space="preserve">SIERRA BANDA x 24DTS 194692-6</x:t>
        </x:is>
      </x:c>
      <x:c r="E1226" t="n">
        <x:v>0</x:v>
      </x:c>
    </x:row>
    <x:row r="1227">
      <x:c r="A1227" t="inlineStr">
        <x:is>
          <x:t xml:space="preserve">MTPRACFUN135</x:t>
        </x:is>
      </x:c>
      <x:c r="B1227" t="inlineStr">
        <x:is>
          <x:t xml:space="preserve">ESMERIL ANGULAR 4.1/2" H.M. (9557HPG)</x:t>
        </x:is>
      </x:c>
      <x:c r="E1227" t="n">
        <x:v>6</x:v>
      </x:c>
    </x:row>
    <x:row r="1228">
      <x:c r="A1228" t="inlineStr">
        <x:is>
          <x:t xml:space="preserve">MTPRACFUN136</x:t>
        </x:is>
      </x:c>
      <x:c r="B1228" t="inlineStr">
        <x:is>
          <x:t xml:space="preserve">SIERRA CIRCULAR 7.1/4" 1800W. (5007NK)</x:t>
        </x:is>
      </x:c>
      <x:c r="E1228" t="n">
        <x:v>0</x:v>
      </x:c>
    </x:row>
    <x:row r="1229">
      <x:c r="A1229" t="inlineStr">
        <x:is>
          <x:t xml:space="preserve">MTPRACFUN137</x:t>
        </x:is>
      </x:c>
      <x:c r="B1229" t="inlineStr">
        <x:is>
          <x:t xml:space="preserve">PUNTA ATORN. CRUZ #2x50x1/4</x:t>
        </x:is>
      </x:c>
      <x:c r="E1229" t="n">
        <x:v>0</x:v>
      </x:c>
    </x:row>
    <x:row r="1230">
      <x:c r="A1230" t="inlineStr">
        <x:is>
          <x:t xml:space="preserve">MTPRACFUN138</x:t>
        </x:is>
      </x:c>
      <x:c r="B1230" t="inlineStr">
        <x:is>
          <x:t xml:space="preserve">LOCTITE 495- 20 GRS</x:t>
        </x:is>
      </x:c>
      <x:c r="E1230" t="n">
        <x:v>7</x:v>
      </x:c>
    </x:row>
    <x:row r="1231">
      <x:c r="A1231" t="inlineStr">
        <x:is>
          <x:t xml:space="preserve">MTPRACFUN139</x:t>
        </x:is>
      </x:c>
      <x:c r="B1231" t="inlineStr">
        <x:is>
          <x:t xml:space="preserve">SOLDADURA ELECTRODO 7018 3/32 INDURA</x:t>
        </x:is>
      </x:c>
      <x:c r="E1231" t="n">
        <x:v>0</x:v>
      </x:c>
    </x:row>
    <x:row r="1232">
      <x:c r="A1232" t="inlineStr">
        <x:is>
          <x:t xml:space="preserve">MTPRACFUN140</x:t>
        </x:is>
      </x:c>
      <x:c r="B1232" t="inlineStr">
        <x:is>
          <x:t xml:space="preserve">SOLDADURA ELECTRODO 7018 1/8 INDURA</x:t>
        </x:is>
      </x:c>
      <x:c r="E1232" t="n">
        <x:v>0</x:v>
      </x:c>
    </x:row>
    <x:row r="1233">
      <x:c r="A1233" t="inlineStr">
        <x:is>
          <x:t xml:space="preserve">MTPRACFUN141</x:t>
        </x:is>
      </x:c>
      <x:c r="B1233" t="inlineStr">
        <x:is>
          <x:t xml:space="preserve">BOLSAS NEGRAS 120 x100 x0.10 4 x KG</x:t>
        </x:is>
      </x:c>
      <x:c r="E1233" t="n">
        <x:v>100</x:v>
      </x:c>
    </x:row>
    <x:row r="1234">
      <x:c r="A1234" t="inlineStr">
        <x:is>
          <x:t xml:space="preserve">MTPRACFUN142</x:t>
        </x:is>
      </x:c>
      <x:c r="B1234" t="inlineStr">
        <x:is>
          <x:t xml:space="preserve">HUINCHA DE MEDIR 3 MTS TACTIX</x:t>
        </x:is>
      </x:c>
      <x:c r="E1234" t="n">
        <x:v>0</x:v>
      </x:c>
    </x:row>
    <x:row r="1235">
      <x:c r="A1235" t="inlineStr">
        <x:is>
          <x:t xml:space="preserve">MTPRACFUN143</x:t>
        </x:is>
      </x:c>
      <x:c r="B1235" t="inlineStr">
        <x:is>
          <x:t xml:space="preserve">HUINCHA DE MEDIR 5 MTS TACTIX</x:t>
        </x:is>
      </x:c>
      <x:c r="E1235" t="n">
        <x:v>0</x:v>
      </x:c>
    </x:row>
    <x:row r="1236">
      <x:c r="A1236" t="inlineStr">
        <x:is>
          <x:t xml:space="preserve">MTPRACFUN144</x:t>
        </x:is>
      </x:c>
      <x:c r="B1236" t="inlineStr">
        <x:is>
          <x:t xml:space="preserve">HUINCHA DE MEDIR 8 MTS TACTIX</x:t>
        </x:is>
      </x:c>
      <x:c r="E1236" t="n">
        <x:v>7</x:v>
      </x:c>
    </x:row>
    <x:row r="1237">
      <x:c r="A1237" t="inlineStr">
        <x:is>
          <x:t xml:space="preserve">MTPRACFUN145</x:t>
        </x:is>
      </x:c>
      <x:c r="B1237" t="inlineStr">
        <x:is>
          <x:t xml:space="preserve">CABLE ARAFLEX RV-K 3x2.5 mm2</x:t>
        </x:is>
      </x:c>
      <x:c r="E1237" t="n">
        <x:v>0</x:v>
      </x:c>
    </x:row>
    <x:row r="1238">
      <x:c r="A1238" t="inlineStr">
        <x:is>
          <x:t xml:space="preserve">MTPRACFUN146</x:t>
        </x:is>
      </x:c>
      <x:c r="B1238" t="inlineStr">
        <x:is>
          <x:t xml:space="preserve">CORDEL PERLON 1/2</x:t>
        </x:is>
      </x:c>
      <x:c r="E1238" t="n">
        <x:v>1</x:v>
      </x:c>
    </x:row>
    <x:row r="1239">
      <x:c r="A1239" t="inlineStr">
        <x:is>
          <x:t xml:space="preserve">MTPRACFUN147</x:t>
        </x:is>
      </x:c>
      <x:c r="B1239" t="inlineStr">
        <x:is>
          <x:t xml:space="preserve">CUCHILLO CARTONERO RETRACTIL STANLEY 10-189C</x:t>
        </x:is>
      </x:c>
      <x:c r="E1239" t="n">
        <x:v>0</x:v>
      </x:c>
    </x:row>
    <x:row r="1240">
      <x:c r="A1240" t="inlineStr">
        <x:is>
          <x:t xml:space="preserve">MTPRACFUN148</x:t>
        </x:is>
      </x:c>
      <x:c r="B1240" t="inlineStr">
        <x:is>
          <x:t xml:space="preserve">PILA ALCALINA 3A DURACELL</x:t>
        </x:is>
      </x:c>
      <x:c r="E1240" t="n">
        <x:v>0</x:v>
      </x:c>
    </x:row>
    <x:row r="1241">
      <x:c r="A1241" t="inlineStr">
        <x:is>
          <x:t xml:space="preserve">MTPRACFUN149</x:t>
        </x:is>
      </x:c>
      <x:c r="B1241" t="inlineStr">
        <x:is>
          <x:t xml:space="preserve">ESLINGA SINTETICA 2 CAPAS 100MM X 3 MT</x:t>
        </x:is>
      </x:c>
      <x:c r="E1241" t="n">
        <x:v>0</x:v>
      </x:c>
    </x:row>
    <x:row r="1242">
      <x:c r="A1242" t="inlineStr">
        <x:is>
          <x:t xml:space="preserve">MTPRACFUN150</x:t>
        </x:is>
      </x:c>
      <x:c r="B1242" t="inlineStr">
        <x:is>
          <x:t xml:space="preserve">ESLINGA SINTETICA 2 CAPAS 100MM X 6 MT</x:t>
        </x:is>
      </x:c>
      <x:c r="E1242" t="n">
        <x:v>0</x:v>
      </x:c>
    </x:row>
    <x:row r="1243">
      <x:c r="A1243" t="inlineStr">
        <x:is>
          <x:t xml:space="preserve">MTPRACFUN151</x:t>
        </x:is>
      </x:c>
      <x:c r="B1243" t="inlineStr">
        <x:is>
          <x:t xml:space="preserve">MANGA DE POLIETILENO TRANSPARENTE</x:t>
        </x:is>
      </x:c>
      <x:c r="E1243" t="n">
        <x:v>1</x:v>
      </x:c>
    </x:row>
    <x:row r="1244">
      <x:c r="A1244" t="inlineStr">
        <x:is>
          <x:t xml:space="preserve">MTPRACFUN152</x:t>
        </x:is>
      </x:c>
      <x:c r="B1244" t="inlineStr">
        <x:is>
          <x:t xml:space="preserve">TERRAJA DE 1/2" A 2" NPT - SMART</x:t>
        </x:is>
      </x:c>
      <x:c r="E1244" t="n">
        <x:v>0</x:v>
      </x:c>
    </x:row>
    <x:row r="1245">
      <x:c r="A1245" t="inlineStr">
        <x:is>
          <x:t xml:space="preserve">MTPRACFUN153</x:t>
        </x:is>
      </x:c>
      <x:c r="B1245" t="inlineStr">
        <x:is>
          <x:t xml:space="preserve">TALADRO BATERIA 18V. INALAMBRICO DDF453SYE</x:t>
        </x:is>
      </x:c>
      <x:c r="E1245" t="n">
        <x:v>0</x:v>
      </x:c>
    </x:row>
    <x:row r="1246">
      <x:c r="A1246" t="inlineStr">
        <x:is>
          <x:t xml:space="preserve">MTPRACFUN154</x:t>
        </x:is>
      </x:c>
      <x:c r="B1246" t="inlineStr">
        <x:is>
          <x:t xml:space="preserve">APRIETA TERMINALES CHICHARRA 12 A 2 AWG DKBB23</x:t>
        </x:is>
      </x:c>
      <x:c r="E1246" t="n">
        <x:v>0</x:v>
      </x:c>
    </x:row>
    <x:row r="1247">
      <x:c r="A1247" t="inlineStr">
        <x:is>
          <x:t xml:space="preserve">MTPRACFUN155</x:t>
        </x:is>
      </x:c>
      <x:c r="B1247" t="inlineStr">
        <x:is>
          <x:t xml:space="preserve">ENCHUFE M.VOL.3+N+Tx32A KB025</x:t>
        </x:is>
      </x:c>
      <x:c r="E1247" t="n">
        <x:v>0</x:v>
      </x:c>
    </x:row>
    <x:row r="1248">
      <x:c r="A1248" t="inlineStr">
        <x:is>
          <x:t xml:space="preserve">MTPRACFUN156</x:t>
        </x:is>
      </x:c>
      <x:c r="B1248" t="inlineStr">
        <x:is>
          <x:t xml:space="preserve">ENCHUFE MACHO VOL. 16A 2P+T #013-6 IP44 (KE38030013)</x:t>
        </x:is>
      </x:c>
      <x:c r="E1248" t="n">
        <x:v>0</x:v>
      </x:c>
    </x:row>
    <x:row r="1249">
      <x:c r="A1249" t="inlineStr">
        <x:is>
          <x:t xml:space="preserve">MTPRACFUN157</x:t>
        </x:is>
      </x:c>
      <x:c r="B1249" t="inlineStr">
        <x:is>
          <x:t xml:space="preserve">ENCHUFE HEMBRA VOL. 16A 2P+T # 213-6 IP44 (KE38030213)</x:t>
        </x:is>
      </x:c>
      <x:c r="E1249" t="n">
        <x:v>0</x:v>
      </x:c>
    </x:row>
    <x:row r="1250">
      <x:c r="A1250" t="inlineStr">
        <x:is>
          <x:t xml:space="preserve">MTPRACFUN158</x:t>
        </x:is>
      </x:c>
      <x:c r="B1250" t="inlineStr">
        <x:is>
          <x:t xml:space="preserve">CONECTOR BCE TIERRA 5/8</x:t>
        </x:is>
      </x:c>
      <x:c r="E1250" t="n">
        <x:v>0</x:v>
      </x:c>
    </x:row>
    <x:row r="1251">
      <x:c r="A1251" t="inlineStr">
        <x:is>
          <x:t xml:space="preserve">MTPRACFUN159</x:t>
        </x:is>
      </x:c>
      <x:c r="B1251" t="inlineStr">
        <x:is>
          <x:t xml:space="preserve">TERMINAL OJO 8 AWG</x:t>
        </x:is>
      </x:c>
      <x:c r="E1251" t="n">
        <x:v>0</x:v>
      </x:c>
    </x:row>
    <x:row r="1252">
      <x:c r="A1252" t="inlineStr">
        <x:is>
          <x:t xml:space="preserve">MTPRACFUN160</x:t>
        </x:is>
      </x:c>
      <x:c r="B1252" t="inlineStr">
        <x:is>
          <x:t xml:space="preserve">CABLE ELECT. THHN 10 AWG VERDE</x:t>
        </x:is>
      </x:c>
      <x:c r="E1252" t="n">
        <x:v>0</x:v>
      </x:c>
    </x:row>
    <x:row r="1253">
      <x:c r="A1253" t="inlineStr">
        <x:is>
          <x:t xml:space="preserve">MTPRACFUN161</x:t>
        </x:is>
      </x:c>
      <x:c r="B1253" t="inlineStr">
        <x:is>
          <x:t xml:space="preserve">CABLE ARAFLEX RV-K 5x10 MM2</x:t>
        </x:is>
      </x:c>
      <x:c r="E1253" t="n">
        <x:v>0</x:v>
      </x:c>
    </x:row>
    <x:row r="1254">
      <x:c r="A1254" t="inlineStr">
        <x:is>
          <x:t xml:space="preserve">MTPRACFUN162</x:t>
        </x:is>
      </x:c>
      <x:c r="B1254" t="inlineStr">
        <x:is>
          <x:t xml:space="preserve">ADAPTADOR INDUSTRIAL 3 SAL16A 220V 2P+T</x:t>
        </x:is>
      </x:c>
      <x:c r="E1254" t="n">
        <x:v>0</x:v>
      </x:c>
    </x:row>
    <x:row r="1255">
      <x:c r="A1255" t="inlineStr">
        <x:is>
          <x:t xml:space="preserve">MTPRACFUN163</x:t>
        </x:is>
      </x:c>
      <x:c r="B1255" t="inlineStr">
        <x:is>
          <x:t xml:space="preserve">ENCHUFE M. IND. 380V 3P+T 63AMP</x:t>
        </x:is>
      </x:c>
      <x:c r="E1255" t="n">
        <x:v>0</x:v>
      </x:c>
    </x:row>
    <x:row r="1256">
      <x:c r="A1256" t="inlineStr">
        <x:is>
          <x:t xml:space="preserve">MTPRACFUN164</x:t>
        </x:is>
      </x:c>
      <x:c r="B1256" t="inlineStr">
        <x:is>
          <x:t xml:space="preserve">ENCHUFE H. SOB. 2P + T 16AMP 220V IP67</x:t>
        </x:is>
      </x:c>
      <x:c r="E1256" t="n">
        <x:v>0</x:v>
      </x:c>
    </x:row>
    <x:row r="1257">
      <x:c r="A1257" t="inlineStr">
        <x:is>
          <x:t xml:space="preserve">MTPRACFUN165</x:t>
        </x:is>
      </x:c>
      <x:c r="B1257" t="inlineStr">
        <x:is>
          <x:t xml:space="preserve">HUINCHA AISLADORA PLASTICA # 33</x:t>
        </x:is>
      </x:c>
      <x:c r="E1257" t="n">
        <x:v>0</x:v>
      </x:c>
    </x:row>
    <x:row r="1258">
      <x:c r="A1258" t="inlineStr">
        <x:is>
          <x:t xml:space="preserve">MTPRACFUN166</x:t>
        </x:is>
      </x:c>
      <x:c r="B1258" t="inlineStr">
        <x:is>
          <x:t xml:space="preserve">HUINCHA AISLADORA GOMA VULCO 6 MTS</x:t>
        </x:is>
      </x:c>
      <x:c r="E1258" t="n">
        <x:v>0</x:v>
      </x:c>
    </x:row>
    <x:row r="1259">
      <x:c r="A1259" t="inlineStr">
        <x:is>
          <x:t xml:space="preserve">MTPRACFUN167</x:t>
        </x:is>
      </x:c>
      <x:c r="B1259" t="inlineStr">
        <x:is>
          <x:t xml:space="preserve">HUINCHA AISLADORA NEGRA 18 MT.</x:t>
        </x:is>
      </x:c>
      <x:c r="E1259" t="n">
        <x:v>0</x:v>
      </x:c>
    </x:row>
    <x:row r="1260">
      <x:c r="A1260" t="inlineStr">
        <x:is>
          <x:t xml:space="preserve">MTPRACFUN168</x:t>
        </x:is>
      </x:c>
      <x:c r="B1260" t="inlineStr">
        <x:is>
          <x:t xml:space="preserve">HUINCHA AISLADORA ROJA 18 MT.</x:t>
        </x:is>
      </x:c>
      <x:c r="E1260" t="n">
        <x:v>9</x:v>
      </x:c>
    </x:row>
    <x:row r="1261">
      <x:c r="A1261" t="inlineStr">
        <x:is>
          <x:t xml:space="preserve">MTPRACFUN169</x:t>
        </x:is>
      </x:c>
      <x:c r="B1261" t="inlineStr">
        <x:is>
          <x:t xml:space="preserve">HUINCHA AISLADORA BLANCA 18 MT.</x:t>
        </x:is>
      </x:c>
      <x:c r="E1261" t="n">
        <x:v>0</x:v>
      </x:c>
    </x:row>
    <x:row r="1262">
      <x:c r="A1262" t="inlineStr">
        <x:is>
          <x:t xml:space="preserve">MTPRACFUN170</x:t>
        </x:is>
      </x:c>
      <x:c r="B1262" t="inlineStr">
        <x:is>
          <x:t xml:space="preserve">CLAVOS CORRIENTES 4" x KG</x:t>
        </x:is>
      </x:c>
      <x:c r="E1262" t="n">
        <x:v>0</x:v>
      </x:c>
    </x:row>
    <x:row r="1263">
      <x:c r="A1263" t="inlineStr">
        <x:is>
          <x:t xml:space="preserve">MTPRACFUN171</x:t>
        </x:is>
      </x:c>
      <x:c r="B1263" t="inlineStr">
        <x:is>
          <x:t xml:space="preserve">CLAVOS CORRIENTES 3" x KG</x:t>
        </x:is>
      </x:c>
      <x:c r="E1263" t="n">
        <x:v>0</x:v>
      </x:c>
    </x:row>
    <x:row r="1264">
      <x:c r="A1264" t="inlineStr">
        <x:is>
          <x:t xml:space="preserve">MTPRACFUN172</x:t>
        </x:is>
      </x:c>
      <x:c r="B1264" t="inlineStr">
        <x:is>
          <x:t xml:space="preserve">CAJA PLASTICA PORTAHERRAMIENTA 24" TACTIX # 320343</x:t>
        </x:is>
      </x:c>
      <x:c r="E1264" t="n">
        <x:v>0</x:v>
      </x:c>
    </x:row>
    <x:row r="1265">
      <x:c r="A1265" t="inlineStr">
        <x:is>
          <x:t xml:space="preserve">MTPRACFUN173</x:t>
        </x:is>
      </x:c>
      <x:c r="B1265" t="inlineStr">
        <x:is>
          <x:t xml:space="preserve">AMPERIMETRO TENAZA CL210</x:t>
        </x:is>
      </x:c>
      <x:c r="E1265" t="n">
        <x:v>0</x:v>
      </x:c>
    </x:row>
    <x:row r="1266">
      <x:c r="A1266" t="inlineStr">
        <x:is>
          <x:t xml:space="preserve">MTPRACFUN174</x:t>
        </x:is>
      </x:c>
      <x:c r="B1266" t="inlineStr">
        <x:is>
          <x:t xml:space="preserve">ALICATE UNIVERSAL AISLADO VDE 9 " TACTIX # 201063</x:t>
        </x:is>
      </x:c>
      <x:c r="E1266" t="n">
        <x:v>0</x:v>
      </x:c>
    </x:row>
    <x:row r="1267">
      <x:c r="A1267" t="inlineStr">
        <x:is>
          <x:t xml:space="preserve">MTPRACFUN175</x:t>
        </x:is>
      </x:c>
      <x:c r="B1267" t="inlineStr">
        <x:is>
          <x:t xml:space="preserve">ALICATE PUNTA AISLADO VDE 8" TACTIX # 201003</x:t>
        </x:is>
      </x:c>
      <x:c r="E1267" t="n">
        <x:v>0</x:v>
      </x:c>
    </x:row>
    <x:row r="1268">
      <x:c r="A1268" t="inlineStr">
        <x:is>
          <x:t xml:space="preserve">MTPRACFUN176</x:t>
        </x:is>
      </x:c>
      <x:c r="B1268" t="inlineStr">
        <x:is>
          <x:t xml:space="preserve">ALICATE CORTANTE AISLADO VDE 6" TACTIX # 201005</x:t>
        </x:is>
      </x:c>
      <x:c r="E1268" t="n">
        <x:v>3</x:v>
      </x:c>
    </x:row>
    <x:row r="1269">
      <x:c r="A1269" t="inlineStr">
        <x:is>
          <x:t xml:space="preserve">MTPRACFUN177</x:t>
        </x:is>
      </x:c>
      <x:c r="B1269" t="inlineStr">
        <x:is>
          <x:t xml:space="preserve">JUEGO ATORNILLADORES AISLADOS 6 PZS. # 205601</x:t>
        </x:is>
      </x:c>
      <x:c r="E1269" t="n">
        <x:v>0</x:v>
      </x:c>
    </x:row>
    <x:row r="1270">
      <x:c r="A1270" t="inlineStr">
        <x:is>
          <x:t xml:space="preserve">MTPRACFUN178</x:t>
        </x:is>
      </x:c>
      <x:c r="B1270" t="inlineStr">
        <x:is>
          <x:t xml:space="preserve">JUEGO LLAVE ALLEN LG.1.5-10MM. TACTIX #206005</x:t>
        </x:is>
      </x:c>
      <x:c r="E1270" t="n">
        <x:v>0</x:v>
      </x:c>
    </x:row>
    <x:row r="1271">
      <x:c r="A1271" t="inlineStr">
        <x:is>
          <x:t xml:space="preserve">MTPRACFUN179</x:t>
        </x:is>
      </x:c>
      <x:c r="B1271" t="inlineStr">
        <x:is>
          <x:t xml:space="preserve">JUEGO LLAVE ALLEN LG.1/16"-3/8" TACTIX #206007</x:t>
        </x:is>
      </x:c>
      <x:c r="E1271" t="n">
        <x:v>0</x:v>
      </x:c>
    </x:row>
    <x:row r="1272">
      <x:c r="A1272" t="inlineStr">
        <x:is>
          <x:t xml:space="preserve">MTPRACFUN180</x:t>
        </x:is>
      </x:c>
      <x:c r="B1272" t="inlineStr">
        <x:is>
          <x:t xml:space="preserve">LIMA REDONDA BAST. 10 A.M.S.</x:t>
        </x:is>
      </x:c>
      <x:c r="E1272" t="n">
        <x:v>0</x:v>
      </x:c>
    </x:row>
    <x:row r="1273">
      <x:c r="A1273" t="inlineStr">
        <x:is>
          <x:t xml:space="preserve">MTPRACFUN181</x:t>
        </x:is>
      </x:c>
      <x:c r="B1273" t="inlineStr">
        <x:is>
          <x:t xml:space="preserve">LIMA 1/2 CAÑA BAST. 10 A.M.S</x:t>
        </x:is>
      </x:c>
      <x:c r="E1273" t="n">
        <x:v>0</x:v>
      </x:c>
    </x:row>
    <x:row r="1274">
      <x:c r="A1274" t="inlineStr">
        <x:is>
          <x:t xml:space="preserve">MTPRACFUN182</x:t>
        </x:is>
      </x:c>
      <x:c r="B1274" t="inlineStr">
        <x:is>
          <x:t xml:space="preserve">ALICATE MULTIPROPOSITO CORTA PELACABLES</x:t>
        </x:is>
      </x:c>
      <x:c r="E1274" t="n">
        <x:v>0</x:v>
      </x:c>
    </x:row>
    <x:row r="1275">
      <x:c r="A1275" t="inlineStr">
        <x:is>
          <x:t xml:space="preserve">MTPRACFUN183</x:t>
        </x:is>
      </x:c>
      <x:c r="B1275" t="inlineStr">
        <x:is>
          <x:t xml:space="preserve">JUEGO ATORNILLADORES PRESICION 8 PZS. # 702509</x:t>
        </x:is>
      </x:c>
      <x:c r="E1275" t="n">
        <x:v>0</x:v>
      </x:c>
    </x:row>
    <x:row r="1276">
      <x:c r="A1276" t="inlineStr">
        <x:is>
          <x:t xml:space="preserve">MTPRACFUN184</x:t>
        </x:is>
      </x:c>
      <x:c r="B1276" t="inlineStr">
        <x:is>
          <x:t xml:space="preserve">JUEGO LLAVE P/CORONA 6-22 MM 12PZA TOPTUL</x:t>
        </x:is>
      </x:c>
      <x:c r="E1276" t="n">
        <x:v>0</x:v>
      </x:c>
    </x:row>
    <x:row r="1277">
      <x:c r="A1277" t="inlineStr">
        <x:is>
          <x:t xml:space="preserve">MTPRACFUN185</x:t>
        </x:is>
      </x:c>
      <x:c r="B1277" t="inlineStr">
        <x:is>
          <x:t xml:space="preserve">NIVEL TORPEDO MAGNETICO 9" TACTIX # 253001</x:t>
        </x:is>
      </x:c>
      <x:c r="E1277" t="n">
        <x:v>0</x:v>
      </x:c>
    </x:row>
    <x:row r="1278">
      <x:c r="A1278" t="inlineStr">
        <x:is>
          <x:t xml:space="preserve">MTPRACFUN186</x:t>
        </x:is>
      </x:c>
      <x:c r="B1278" t="inlineStr">
        <x:is>
          <x:t xml:space="preserve">GAS BUTANO DESECHABLE 190GR</x:t>
        </x:is>
      </x:c>
      <x:c r="E1278" t="n">
        <x:v>0</x:v>
      </x:c>
    </x:row>
    <x:row r="1279">
      <x:c r="A1279" t="inlineStr">
        <x:is>
          <x:t xml:space="preserve">MTPRACFUN187</x:t>
        </x:is>
      </x:c>
      <x:c r="B1279" t="inlineStr">
        <x:is>
          <x:t xml:space="preserve">LLAVE AJUSTABLE VDE 8</x:t>
        </x:is>
      </x:c>
      <x:c r="E1279" t="n">
        <x:v>0</x:v>
      </x:c>
    </x:row>
    <x:row r="1280">
      <x:c r="A1280" t="inlineStr">
        <x:is>
          <x:t xml:space="preserve">MTPRACFUN188</x:t>
        </x:is>
      </x:c>
      <x:c r="B1280" t="inlineStr">
        <x:is>
          <x:t xml:space="preserve">CAIMAN CURVO 10" ONSITE # 700505</x:t>
        </x:is>
      </x:c>
      <x:c r="E1280" t="n">
        <x:v>0</x:v>
      </x:c>
    </x:row>
    <x:row r="1281">
      <x:c r="A1281" t="inlineStr">
        <x:is>
          <x:t xml:space="preserve">MTPRACFUN189</x:t>
        </x:is>
      </x:c>
      <x:c r="B1281" t="inlineStr">
        <x:is>
          <x:t xml:space="preserve">TALADRO BOSCH GBM 1600 RE</x:t>
        </x:is>
      </x:c>
      <x:c r="E1281" t="n">
        <x:v>1</x:v>
      </x:c>
    </x:row>
    <x:row r="1282">
      <x:c r="A1282" t="inlineStr">
        <x:is>
          <x:t xml:space="preserve">MTPRACFUN190</x:t>
        </x:is>
      </x:c>
      <x:c r="B1282" t="inlineStr">
        <x:is>
          <x:t xml:space="preserve">SOPLADOR 530W (M4000G) MAKITA</x:t>
        </x:is>
      </x:c>
      <x:c r="E1282" t="n">
        <x:v>1</x:v>
      </x:c>
    </x:row>
    <x:row r="1283">
      <x:c r="A1283" t="inlineStr">
        <x:is>
          <x:t xml:space="preserve">MTPRACFUN191</x:t>
        </x:is>
      </x:c>
      <x:c r="B1283" t="inlineStr">
        <x:is>
          <x:t xml:space="preserve">ESPATULA 50 MM</x:t>
        </x:is>
      </x:c>
      <x:c r="E1283" t="n">
        <x:v>0</x:v>
      </x:c>
    </x:row>
    <x:row r="1284">
      <x:c r="A1284" t="inlineStr">
        <x:is>
          <x:t xml:space="preserve">MTPRACFUN192</x:t>
        </x:is>
      </x:c>
      <x:c r="B1284" t="inlineStr">
        <x:is>
          <x:t xml:space="preserve">HUINCHA DE MEDIR 10 MTS TACTIX</x:t>
        </x:is>
      </x:c>
      <x:c r="E1284" t="n">
        <x:v>1</x:v>
      </x:c>
    </x:row>
    <x:row r="1285">
      <x:c r="A1285" t="inlineStr">
        <x:is>
          <x:t xml:space="preserve">MTPRACFUN193</x:t>
        </x:is>
      </x:c>
      <x:c r="B1285" t="inlineStr">
        <x:is>
          <x:t xml:space="preserve">MARCO SIERRA AJUSTABLE 12 TACTIX #267031</x:t>
        </x:is>
      </x:c>
      <x:c r="E1285" t="n">
        <x:v>5</x:v>
      </x:c>
    </x:row>
    <x:row r="1286">
      <x:c r="A1286" t="inlineStr">
        <x:is>
          <x:t xml:space="preserve">MTPRACFUN194</x:t>
        </x:is>
      </x:c>
      <x:c r="B1286" t="inlineStr">
        <x:is>
          <x:t xml:space="preserve">JUEGO DADOS 1/2 8-32 MM 24 PZAS</x:t>
        </x:is>
      </x:c>
      <x:c r="E1286" t="n">
        <x:v>0</x:v>
      </x:c>
    </x:row>
    <x:row r="1287">
      <x:c r="A1287" t="inlineStr">
        <x:is>
          <x:t xml:space="preserve">MTPRACFUN195</x:t>
        </x:is>
      </x:c>
      <x:c r="B1287" t="inlineStr">
        <x:is>
          <x:t xml:space="preserve">ALICATE UNIVERSAL 8"</x:t>
        </x:is>
      </x:c>
      <x:c r="E1287" t="n">
        <x:v>0</x:v>
      </x:c>
    </x:row>
    <x:row r="1288">
      <x:c r="A1288" t="inlineStr">
        <x:is>
          <x:t xml:space="preserve">MTPRACFUN196</x:t>
        </x:is>
      </x:c>
      <x:c r="B1288" t="inlineStr">
        <x:is>
          <x:t xml:space="preserve">PLOMADA CARPINTERA 350GRS.</x:t>
        </x:is>
      </x:c>
      <x:c r="E1288" t="n">
        <x:v>0</x:v>
      </x:c>
    </x:row>
    <x:row r="1289">
      <x:c r="A1289" t="inlineStr">
        <x:is>
          <x:t xml:space="preserve">MTPRACFUN197</x:t>
        </x:is>
      </x:c>
      <x:c r="B1289" t="inlineStr">
        <x:is>
          <x:t xml:space="preserve">LIENZA ALBAÑIL 165 MT #HL-165</x:t>
        </x:is>
      </x:c>
      <x:c r="E1289" t="n">
        <x:v>0</x:v>
      </x:c>
    </x:row>
    <x:row r="1290">
      <x:c r="A1290" t="inlineStr">
        <x:is>
          <x:t xml:space="preserve">MTPRACFUN198</x:t>
        </x:is>
      </x:c>
      <x:c r="B1290" t="inlineStr">
        <x:is>
          <x:t xml:space="preserve">TIZADOR PLASTICO 30MT. TACTIX #258055</x:t>
        </x:is>
      </x:c>
      <x:c r="E1290" t="n">
        <x:v>0</x:v>
      </x:c>
    </x:row>
    <x:row r="1291">
      <x:c r="A1291" t="inlineStr">
        <x:is>
          <x:t xml:space="preserve">MTPRACFUN199</x:t>
        </x:is>
      </x:c>
      <x:c r="B1291" t="inlineStr">
        <x:is>
          <x:t xml:space="preserve">NIVEL ALUMINIO 24 TACTIX #250113</x:t>
        </x:is>
      </x:c>
      <x:c r="E1291" t="n">
        <x:v>0</x:v>
      </x:c>
    </x:row>
    <x:row r="1292">
      <x:c r="A1292" t="inlineStr">
        <x:is>
          <x:t xml:space="preserve">MTPRACFUN200</x:t>
        </x:is>
      </x:c>
      <x:c r="B1292" t="inlineStr">
        <x:is>
          <x:t xml:space="preserve">NIVEL ALUMINIO 48 TACTIX #250119</x:t>
        </x:is>
      </x:c>
      <x:c r="E1292" t="n">
        <x:v>0</x:v>
      </x:c>
    </x:row>
    <x:row r="1293">
      <x:c r="A1293" t="inlineStr">
        <x:is>
          <x:t xml:space="preserve">MTPRACFUN201</x:t>
        </x:is>
      </x:c>
      <x:c r="B1293" t="inlineStr">
        <x:is>
          <x:t xml:space="preserve">JUEGO LLAVE P/CORONA 1/4 - 1.1/4 16PZA TOPTUL</x:t>
        </x:is>
      </x:c>
      <x:c r="E1293" t="n">
        <x:v>0</x:v>
      </x:c>
    </x:row>
    <x:row r="1294">
      <x:c r="A1294" t="inlineStr">
        <x:is>
          <x:t xml:space="preserve">MTPRACFUN202</x:t>
        </x:is>
      </x:c>
      <x:c r="B1294" t="inlineStr">
        <x:is>
          <x:t xml:space="preserve">LLAVE P/CORONA 1.1/2 TOPTUL</x:t>
        </x:is>
      </x:c>
      <x:c r="E1294" t="n">
        <x:v>0</x:v>
      </x:c>
    </x:row>
    <x:row r="1295">
      <x:c r="A1295" t="inlineStr">
        <x:is>
          <x:t xml:space="preserve">MTPRACFUN203</x:t>
        </x:is>
      </x:c>
      <x:c r="B1295" t="inlineStr">
        <x:is>
          <x:t xml:space="preserve">PALA DE BASURA METALICA</x:t>
        </x:is>
      </x:c>
      <x:c r="E1295" t="n">
        <x:v>1</x:v>
      </x:c>
    </x:row>
    <x:row r="1296">
      <x:c r="A1296" t="inlineStr">
        <x:is>
          <x:t xml:space="preserve">MTPRACFUN204</x:t>
        </x:is>
      </x:c>
      <x:c r="B1296" t="inlineStr">
        <x:is>
          <x:t xml:space="preserve">PROYECTOR LED 50W PORT. RECARGABLES</x:t>
        </x:is>
      </x:c>
      <x:c r="E1296" t="n">
        <x:v>0</x:v>
      </x:c>
    </x:row>
    <x:row r="1297">
      <x:c r="A1297" t="inlineStr">
        <x:is>
          <x:t xml:space="preserve">MTPRACFUN205</x:t>
        </x:is>
      </x:c>
      <x:c r="B1297" t="inlineStr">
        <x:is>
          <x:t xml:space="preserve">TECLE PALANCA 3 TON. X 1.5. MTS KYOTO</x:t>
        </x:is>
      </x:c>
      <x:c r="E1297" t="n">
        <x:v>5</x:v>
      </x:c>
    </x:row>
    <x:row r="1298">
      <x:c r="A1298" t="inlineStr">
        <x:is>
          <x:t xml:space="preserve">MTPRACFUN206</x:t>
        </x:is>
      </x:c>
      <x:c r="B1298" t="inlineStr">
        <x:is>
          <x:t xml:space="preserve">LLAVE STILLSON H.D. 18 TACTIX</x:t>
        </x:is>
      </x:c>
      <x:c r="E1298" t="n">
        <x:v>0</x:v>
      </x:c>
    </x:row>
    <x:row r="1299">
      <x:c r="A1299" t="inlineStr">
        <x:is>
          <x:t xml:space="preserve">MTPRACFUN207</x:t>
        </x:is>
      </x:c>
      <x:c r="B1299" t="inlineStr">
        <x:is>
          <x:t xml:space="preserve">ESCALERA AL. ARTICULADA 4X4 INCO L3,65 C150</x:t>
        </x:is>
      </x:c>
      <x:c r="E1299" t="n">
        <x:v>0</x:v>
      </x:c>
    </x:row>
    <x:row r="1300">
      <x:c r="A1300" t="inlineStr">
        <x:is>
          <x:t xml:space="preserve">MTPRACFUN208</x:t>
        </x:is>
      </x:c>
      <x:c r="B1300" t="inlineStr">
        <x:is>
          <x:t xml:space="preserve">TECLE CADENA 1 TON. x 3 MTS KYOTO</x:t>
        </x:is>
      </x:c>
      <x:c r="E1300" t="n">
        <x:v>5</x:v>
      </x:c>
    </x:row>
    <x:row r="1301">
      <x:c r="A1301" t="inlineStr">
        <x:is>
          <x:t xml:space="preserve">MTPRACFUN209</x:t>
        </x:is>
      </x:c>
      <x:c r="B1301" t="inlineStr">
        <x:is>
          <x:t xml:space="preserve">JUEGO ATORNILLADORES ECONOMICO 6 PZAS TACTIX #205439</x:t>
        </x:is>
      </x:c>
      <x:c r="E1301" t="n">
        <x:v>0</x:v>
      </x:c>
    </x:row>
    <x:row r="1302">
      <x:c r="A1302" t="inlineStr">
        <x:is>
          <x:t xml:space="preserve">MTPRACFUN210</x:t>
        </x:is>
      </x:c>
      <x:c r="B1302" t="inlineStr">
        <x:is>
          <x:t xml:space="preserve">PASTECA DOBLE 5 x 1/2 x 1.5</x:t>
        </x:is>
      </x:c>
      <x:c r="E1302" t="n">
        <x:v>0</x:v>
      </x:c>
    </x:row>
    <x:row r="1303">
      <x:c r="A1303" t="inlineStr">
        <x:is>
          <x:t xml:space="preserve">MTPRACFUN211</x:t>
        </x:is>
      </x:c>
      <x:c r="B1303" t="inlineStr">
        <x:is>
          <x:t xml:space="preserve">EXTRACTOR AIRE PORTATIL SHT-30/300MM</x:t>
        </x:is>
      </x:c>
      <x:c r="E1303" t="n">
        <x:v>0</x:v>
      </x:c>
    </x:row>
    <x:row r="1304">
      <x:c r="A1304" t="inlineStr">
        <x:is>
          <x:t xml:space="preserve">MTPRACFUN212</x:t>
        </x:is>
      </x:c>
      <x:c r="B1304" t="inlineStr">
        <x:is>
          <x:t xml:space="preserve">DUCTO AIRE 12 P/EXTRACTOR SHT-30</x:t>
        </x:is>
      </x:c>
      <x:c r="E1304" t="n">
        <x:v>0</x:v>
      </x:c>
    </x:row>
    <x:row r="1305">
      <x:c r="A1305" t="inlineStr">
        <x:is>
          <x:t xml:space="preserve">MTPRACFUN213</x:t>
        </x:is>
      </x:c>
      <x:c r="B1305" t="inlineStr">
        <x:is>
          <x:t xml:space="preserve">CINTA 3M #3939 2 x 55 MTS</x:t>
        </x:is>
      </x:c>
      <x:c r="E1305" t="n">
        <x:v>0</x:v>
      </x:c>
    </x:row>
    <x:row r="1306">
      <x:c r="A1306" t="inlineStr">
        <x:is>
          <x:t xml:space="preserve">MTPRACFUN214</x:t>
        </x:is>
      </x:c>
      <x:c r="B1306" t="inlineStr">
        <x:is>
          <x:t xml:space="preserve">CARRETILLA 90LT S/RUEDA</x:t>
        </x:is>
      </x:c>
      <x:c r="E1306" t="n">
        <x:v>0</x:v>
      </x:c>
    </x:row>
    <x:row r="1307">
      <x:c r="A1307" t="inlineStr">
        <x:is>
          <x:t xml:space="preserve">MTPRACFUN215</x:t>
        </x:is>
      </x:c>
      <x:c r="B1307" t="inlineStr">
        <x:is>
          <x:t xml:space="preserve">RUEDA NEUMATICO CARRETILLA</x:t>
        </x:is>
      </x:c>
      <x:c r="E1307" t="n">
        <x:v>0</x:v>
      </x:c>
    </x:row>
    <x:row r="1308">
      <x:c r="A1308" t="inlineStr">
        <x:is>
          <x:t xml:space="preserve">MTPRACFUN216</x:t>
        </x:is>
      </x:c>
      <x:c r="B1308" t="inlineStr">
        <x:is>
          <x:t xml:space="preserve">ESCUADRA PLANA 24 TACTIX # 239055</x:t>
        </x:is>
      </x:c>
      <x:c r="E1308" t="n">
        <x:v>5</x:v>
      </x:c>
    </x:row>
    <x:row r="1309">
      <x:c r="A1309" t="inlineStr">
        <x:is>
          <x:t xml:space="preserve">MTPRACFUN217</x:t>
        </x:is>
      </x:c>
      <x:c r="B1309" t="inlineStr">
        <x:is>
          <x:t xml:space="preserve">MARTILLO PLASTICO 40MM A.M.S</x:t>
        </x:is>
      </x:c>
      <x:c r="E1309" t="n">
        <x:v>3</x:v>
      </x:c>
    </x:row>
    <x:row r="1310">
      <x:c r="A1310" t="inlineStr">
        <x:is>
          <x:t xml:space="preserve">MTPRACFUN218</x:t>
        </x:is>
      </x:c>
      <x:c r="B1310" t="inlineStr">
        <x:is>
          <x:t xml:space="preserve">LLANA LISA 15x30 CMS</x:t>
        </x:is>
      </x:c>
      <x:c r="E1310" t="n">
        <x:v>0</x:v>
      </x:c>
    </x:row>
    <x:row r="1311">
      <x:c r="A1311" t="inlineStr">
        <x:is>
          <x:t xml:space="preserve">MTPRACFUN219</x:t>
        </x:is>
      </x:c>
      <x:c r="B1311" t="inlineStr">
        <x:is>
          <x:t xml:space="preserve">LLAVE AJUSTABLE 12 ONSITE #704009</x:t>
        </x:is>
      </x:c>
      <x:c r="E1311" t="n">
        <x:v>0</x:v>
      </x:c>
    </x:row>
    <x:row r="1312">
      <x:c r="A1312" t="inlineStr">
        <x:is>
          <x:t xml:space="preserve">MTPRACFUN220</x:t>
        </x:is>
      </x:c>
      <x:c r="B1312" t="inlineStr">
        <x:is>
          <x:t xml:space="preserve">CAJA PORTAHERRAMIENTA 2 EN 1 TACTIX #320310</x:t>
        </x:is>
      </x:c>
      <x:c r="E1312" t="n">
        <x:v>0</x:v>
      </x:c>
    </x:row>
    <x:row r="1313">
      <x:c r="A1313" t="inlineStr">
        <x:is>
          <x:t xml:space="preserve">MTPRACFUN221</x:t>
        </x:is>
      </x:c>
      <x:c r="B1313" t="inlineStr">
        <x:is>
          <x:t xml:space="preserve">PRENSA C DE 4 TACTIX</x:t>
        </x:is>
      </x:c>
      <x:c r="E1313" t="n">
        <x:v>0</x:v>
      </x:c>
    </x:row>
    <x:row r="1314">
      <x:c r="A1314" t="inlineStr">
        <x:is>
          <x:t xml:space="preserve">MTPRACFUN222</x:t>
        </x:is>
      </x:c>
      <x:c r="B1314" t="inlineStr">
        <x:is>
          <x:t xml:space="preserve">CENTRADOR CONO 1 x 12</x:t>
        </x:is>
      </x:c>
      <x:c r="E1314" t="n">
        <x:v>3</x:v>
      </x:c>
    </x:row>
    <x:row r="1315">
      <x:c r="A1315" t="inlineStr">
        <x:is>
          <x:t xml:space="preserve">MTPRACFUN223</x:t>
        </x:is>
      </x:c>
      <x:c r="B1315" t="inlineStr">
        <x:is>
          <x:t xml:space="preserve">RECTIFICADOR BOSCH 1223 500W. (GGS-28) BOSCH</x:t>
        </x:is>
      </x:c>
      <x:c r="E1315" t="n">
        <x:v>0</x:v>
      </x:c>
    </x:row>
    <x:row r="1316">
      <x:c r="A1316" t="inlineStr">
        <x:is>
          <x:t xml:space="preserve">MTPRACFUN224</x:t>
        </x:is>
      </x:c>
      <x:c r="B1316" t="inlineStr">
        <x:is>
          <x:t xml:space="preserve">JUEGO DADO IMPACTO CORTO 1/2 10-24</x:t>
        </x:is>
      </x:c>
      <x:c r="E1316" t="n">
        <x:v>0</x:v>
      </x:c>
    </x:row>
    <x:row r="1317">
      <x:c r="A1317" t="inlineStr">
        <x:is>
          <x:t xml:space="preserve">MTPRACFUN225</x:t>
        </x:is>
      </x:c>
      <x:c r="B1317" t="inlineStr">
        <x:is>
          <x:t xml:space="preserve">JUEGO DADO IMPACTO CORTO 3/4 26-38</x:t>
        </x:is>
      </x:c>
      <x:c r="E1317" t="n">
        <x:v>0</x:v>
      </x:c>
    </x:row>
    <x:row r="1318">
      <x:c r="A1318" t="inlineStr">
        <x:is>
          <x:t xml:space="preserve">MTPRACFUN226</x:t>
        </x:is>
      </x:c>
      <x:c r="B1318" t="inlineStr">
        <x:is>
          <x:t xml:space="preserve">BROCA HSS COBALTO 19MM</x:t>
        </x:is>
      </x:c>
      <x:c r="E1318" t="n">
        <x:v>0</x:v>
      </x:c>
    </x:row>
    <x:row r="1319">
      <x:c r="A1319" t="inlineStr">
        <x:is>
          <x:t xml:space="preserve">MTPRACFUN227</x:t>
        </x:is>
      </x:c>
      <x:c r="B1319" t="inlineStr">
        <x:is>
          <x:t xml:space="preserve">BROCA HSS COBALTO 13MM</x:t>
        </x:is>
      </x:c>
      <x:c r="E1319" t="n">
        <x:v>0</x:v>
      </x:c>
    </x:row>
    <x:row r="1320">
      <x:c r="A1320" t="inlineStr">
        <x:is>
          <x:t xml:space="preserve">MTPRACFUN228</x:t>
        </x:is>
      </x:c>
      <x:c r="B1320" t="inlineStr">
        <x:is>
          <x:t xml:space="preserve">BROCA HSS COBALTO 16MM</x:t>
        </x:is>
      </x:c>
      <x:c r="E1320" t="n">
        <x:v>0</x:v>
      </x:c>
    </x:row>
    <x:row r="1321">
      <x:c r="A1321" t="inlineStr">
        <x:is>
          <x:t xml:space="preserve">MTPRACFUN229</x:t>
        </x:is>
      </x:c>
      <x:c r="B1321" t="inlineStr">
        <x:is>
          <x:t xml:space="preserve">BROCA CILINDRICA 5% COBALTO 22M</x:t>
        </x:is>
      </x:c>
      <x:c r="E1321" t="n">
        <x:v>2</x:v>
      </x:c>
    </x:row>
    <x:row r="1322">
      <x:c r="A1322" t="inlineStr">
        <x:is>
          <x:t xml:space="preserve">MTPRACFUN230</x:t>
        </x:is>
      </x:c>
      <x:c r="B1322" t="inlineStr">
        <x:is>
          <x:t xml:space="preserve">PUNTA DIAMANTE 1/4 #7120 DR</x:t>
        </x:is>
      </x:c>
      <x:c r="E1322" t="n">
        <x:v>0</x:v>
      </x:c>
    </x:row>
    <x:row r="1323">
      <x:c r="A1323" t="inlineStr">
        <x:is>
          <x:t xml:space="preserve">MTPRACFUN231</x:t>
        </x:is>
      </x:c>
      <x:c r="B1323" t="inlineStr">
        <x:is>
          <x:t xml:space="preserve">PALA CARBONERA C/MANGO 5503</x:t>
        </x:is>
      </x:c>
      <x:c r="E1323" t="n">
        <x:v>0</x:v>
      </x:c>
    </x:row>
    <x:row r="1324">
      <x:c r="A1324" t="inlineStr">
        <x:is>
          <x:t xml:space="preserve">MTPRACFUN232</x:t>
        </x:is>
      </x:c>
      <x:c r="B1324" t="inlineStr">
        <x:is>
          <x:t xml:space="preserve">MEZCLADOR PINTURA Y CEMENTO EINHELL</x:t>
        </x:is>
      </x:c>
      <x:c r="E1324" t="n">
        <x:v>0</x:v>
      </x:c>
    </x:row>
    <x:row r="1325">
      <x:c r="A1325" t="inlineStr">
        <x:is>
          <x:t xml:space="preserve">MTPRACFUN233</x:t>
        </x:is>
      </x:c>
      <x:c r="B1325" t="inlineStr">
        <x:is>
          <x:t xml:space="preserve">LIMA ROTATIVA C.T. F1225</x:t>
        </x:is>
      </x:c>
      <x:c r="E1325" t="n">
        <x:v>1</x:v>
      </x:c>
    </x:row>
    <x:row r="1326">
      <x:c r="A1326" t="inlineStr">
        <x:is>
          <x:t xml:space="preserve">MTPRACFUN234</x:t>
        </x:is>
      </x:c>
      <x:c r="B1326" t="inlineStr">
        <x:is>
          <x:t xml:space="preserve">TALADRO 1/2" 2VEL. 123D 650W BOSCH (GSB-13-RE) C/ M</x:t>
        </x:is>
      </x:c>
      <x:c r="E1326" t="n">
        <x:v>0</x:v>
      </x:c>
    </x:row>
    <x:row r="1327">
      <x:c r="A1327" t="inlineStr">
        <x:is>
          <x:t xml:space="preserve">MTPRACFUN235</x:t>
        </x:is>
      </x:c>
      <x:c r="B1327" t="inlineStr">
        <x:is>
          <x:t xml:space="preserve">SIERRA CIRCULAR 7.1/4" C/MALETA 1.800W (5007NK) MA</x:t>
        </x:is>
      </x:c>
      <x:c r="E1327" t="n">
        <x:v>0</x:v>
      </x:c>
    </x:row>
    <x:row r="1328">
      <x:c r="A1328" t="inlineStr">
        <x:is>
          <x:t xml:space="preserve">MTPRACFUN236</x:t>
        </x:is>
      </x:c>
      <x:c r="B1328" t="inlineStr">
        <x:is>
          <x:t xml:space="preserve">TECLE PALANCA 1.5 TON X 1.5 MTS KYOTO</x:t>
        </x:is>
      </x:c>
      <x:c r="E1328" t="n">
        <x:v>0</x:v>
      </x:c>
    </x:row>
    <x:row r="1329">
      <x:c r="A1329" t="inlineStr">
        <x:is>
          <x:t xml:space="preserve">MTPRACFUN237</x:t>
        </x:is>
      </x:c>
      <x:c r="B1329" t="inlineStr">
        <x:is>
          <x:t xml:space="preserve">ESLINGA SINTETICA 2 CAPAS 50MM X 3MT</x:t>
        </x:is>
      </x:c>
      <x:c r="E1329" t="n">
        <x:v>0</x:v>
      </x:c>
    </x:row>
    <x:row r="1330">
      <x:c r="A1330" t="inlineStr">
        <x:is>
          <x:t xml:space="preserve">MTPRACFUN238</x:t>
        </x:is>
      </x:c>
      <x:c r="B1330" t="inlineStr">
        <x:is>
          <x:t xml:space="preserve">ESLINGA SINTETICA 2 CAPAS 50MM X 2MT</x:t>
        </x:is>
      </x:c>
      <x:c r="E1330" t="n">
        <x:v>0</x:v>
      </x:c>
    </x:row>
    <x:row r="1331">
      <x:c r="A1331" t="inlineStr">
        <x:is>
          <x:t xml:space="preserve">MTPRACFUN239</x:t>
        </x:is>
      </x:c>
      <x:c r="B1331" t="inlineStr">
        <x:is>
          <x:t xml:space="preserve">ESLINGA SINTETICA 2 CAPAS 50MM X 6MT</x:t>
        </x:is>
      </x:c>
      <x:c r="E1331" t="n">
        <x:v>0</x:v>
      </x:c>
    </x:row>
    <x:row r="1332">
      <x:c r="A1332" t="inlineStr">
        <x:is>
          <x:t xml:space="preserve">MTPRACFUN240</x:t>
        </x:is>
      </x:c>
      <x:c r="B1332" t="inlineStr">
        <x:is>
          <x:t xml:space="preserve">ESLINGA SINTETICA 2 CAPAS 50MM X 8MT</x:t>
        </x:is>
      </x:c>
      <x:c r="E1332" t="n">
        <x:v>0</x:v>
      </x:c>
    </x:row>
    <x:row r="1333">
      <x:c r="A1333" t="inlineStr">
        <x:is>
          <x:t xml:space="preserve">MTPRACFUN241</x:t>
        </x:is>
      </x:c>
      <x:c r="B1333" t="inlineStr">
        <x:is>
          <x:t xml:space="preserve">ESLINGA SINTETICA 2 CAPAS 50MM X 10MT</x:t>
        </x:is>
      </x:c>
      <x:c r="E1333" t="n">
        <x:v>0</x:v>
      </x:c>
    </x:row>
    <x:row r="1334">
      <x:c r="A1334" t="inlineStr">
        <x:is>
          <x:t xml:space="preserve">MTPRACFUN242</x:t>
        </x:is>
      </x:c>
      <x:c r="B1334" t="inlineStr">
        <x:is>
          <x:t xml:space="preserve">CINTA PLOMO DUCTO 27 MTS</x:t>
        </x:is>
      </x:c>
      <x:c r="E1334" t="n">
        <x:v>0</x:v>
      </x:c>
    </x:row>
    <x:row r="1335">
      <x:c r="A1335" t="inlineStr">
        <x:is>
          <x:t xml:space="preserve">MTPRACFUN243</x:t>
        </x:is>
      </x:c>
      <x:c r="B1335" t="inlineStr">
        <x:is>
          <x:t xml:space="preserve">TAPA BALDE TIPO TINETA 20 LTS</x:t>
        </x:is>
      </x:c>
      <x:c r="E1335" t="n">
        <x:v>173</x:v>
      </x:c>
    </x:row>
    <x:row r="1336">
      <x:c r="A1336" t="inlineStr">
        <x:is>
          <x:t xml:space="preserve">MTPRACFUN244</x:t>
        </x:is>
      </x:c>
      <x:c r="B1336" t="inlineStr">
        <x:is>
          <x:t xml:space="preserve">TAPA BALDE TIPO TINETA 10 LTS</x:t>
        </x:is>
      </x:c>
      <x:c r="E1336" t="n">
        <x:v>120</x:v>
      </x:c>
    </x:row>
    <x:row r="1337">
      <x:c r="A1337" t="inlineStr">
        <x:is>
          <x:t xml:space="preserve">MTPRACFUN245</x:t>
        </x:is>
      </x:c>
      <x:c r="B1337" t="inlineStr">
        <x:is>
          <x:t xml:space="preserve">TAPA BALDE TIPO TINETA 5 LTS</x:t>
        </x:is>
      </x:c>
      <x:c r="E1337" t="n">
        <x:v>0</x:v>
      </x:c>
    </x:row>
    <x:row r="1338">
      <x:c r="A1338" t="inlineStr">
        <x:is>
          <x:t xml:space="preserve">MTPRACFUN246</x:t>
        </x:is>
      </x:c>
      <x:c r="B1338" t="inlineStr">
        <x:is>
          <x:t xml:space="preserve">ZUNCHO METALICO DE 1/2 - 47KGS</x:t>
        </x:is>
      </x:c>
      <x:c r="E1338" t="n">
        <x:v>0</x:v>
      </x:c>
    </x:row>
    <x:row r="1339">
      <x:c r="A1339" t="inlineStr">
        <x:is>
          <x:t xml:space="preserve">MTPRACFUN247</x:t>
        </x:is>
      </x:c>
      <x:c r="B1339" t="inlineStr">
        <x:is>
          <x:t xml:space="preserve">ZUNCHO METALICO DE 3/4 - 47KGS</x:t>
        </x:is>
      </x:c>
      <x:c r="E1339" t="n">
        <x:v>0</x:v>
      </x:c>
    </x:row>
    <x:row r="1340">
      <x:c r="A1340" t="inlineStr">
        <x:is>
          <x:t xml:space="preserve">MTPRACFUN248</x:t>
        </x:is>
      </x:c>
      <x:c r="B1340" t="inlineStr">
        <x:is>
          <x:t xml:space="preserve">GRATA TRENZ. 4 1/2 #1145-S-60 FAESIN</x:t>
        </x:is>
      </x:c>
      <x:c r="E1340" t="n">
        <x:v>0</x:v>
      </x:c>
    </x:row>
    <x:row r="1341">
      <x:c r="A1341" t="inlineStr">
        <x:is>
          <x:t xml:space="preserve">MTPRACFUN249</x:t>
        </x:is>
      </x:c>
      <x:c r="B1341" t="inlineStr">
        <x:is>
          <x:t xml:space="preserve">PLASTICO BURBUJA ROLLO</x:t>
        </x:is>
      </x:c>
      <x:c r="E1341" t="n">
        <x:v>0</x:v>
      </x:c>
    </x:row>
    <x:row r="1342">
      <x:c r="A1342" t="inlineStr">
        <x:is>
          <x:t xml:space="preserve">MTPRACFUN250</x:t>
        </x:is>
      </x:c>
      <x:c r="B1342" t="inlineStr">
        <x:is>
          <x:t xml:space="preserve">CINTA IMPRESAS LOGO 48x40x50MIC</x:t>
        </x:is>
      </x:c>
      <x:c r="E1342" t="n">
        <x:v>0</x:v>
      </x:c>
    </x:row>
    <x:row r="1343">
      <x:c r="A1343" t="inlineStr">
        <x:is>
          <x:t xml:space="preserve">MTPRACFUN251</x:t>
        </x:is>
      </x:c>
      <x:c r="B1343" t="inlineStr">
        <x:is>
          <x:t xml:space="preserve">CINTA DE TEFLON 1/2</x:t>
        </x:is>
      </x:c>
      <x:c r="E1343" t="n">
        <x:v>0</x:v>
      </x:c>
    </x:row>
    <x:row r="1344">
      <x:c r="A1344" t="inlineStr">
        <x:is>
          <x:t xml:space="preserve">MTPRACFUN252</x:t>
        </x:is>
      </x:c>
      <x:c r="B1344" t="inlineStr">
        <x:is>
          <x:t xml:space="preserve">CINTA DE TEFLON 3/4</x:t>
        </x:is>
      </x:c>
      <x:c r="E1344" t="n">
        <x:v>0</x:v>
      </x:c>
    </x:row>
    <x:row r="1345">
      <x:c r="A1345" t="inlineStr">
        <x:is>
          <x:t xml:space="preserve">MTPRACFUN253</x:t>
        </x:is>
      </x:c>
      <x:c r="B1345" t="inlineStr">
        <x:is>
          <x:t xml:space="preserve">CINTA DE TEFLON 1"</x:t>
        </x:is>
      </x:c>
      <x:c r="E1345" t="n">
        <x:v>0</x:v>
      </x:c>
    </x:row>
    <x:row r="1346">
      <x:c r="A1346" t="inlineStr">
        <x:is>
          <x:t xml:space="preserve">MTPRACFUN254</x:t>
        </x:is>
      </x:c>
      <x:c r="B1346" t="inlineStr">
        <x:is>
          <x:t xml:space="preserve">HUAIPE ALGODON BLANCO 1/2 KG</x:t>
        </x:is>
      </x:c>
      <x:c r="E1346" t="n">
        <x:v>0</x:v>
      </x:c>
    </x:row>
    <x:row r="1347">
      <x:c r="A1347" t="inlineStr">
        <x:is>
          <x:t xml:space="preserve">MTPRACFUN255</x:t>
        </x:is>
      </x:c>
      <x:c r="B1347" t="inlineStr">
        <x:is>
          <x:t xml:space="preserve">HUAIPE ALGODON BLANCO 1 KG</x:t>
        </x:is>
      </x:c>
      <x:c r="E1347" t="n">
        <x:v>0</x:v>
      </x:c>
    </x:row>
    <x:row r="1348">
      <x:c r="A1348" t="inlineStr">
        <x:is>
          <x:t xml:space="preserve">MTPRACFUN256</x:t>
        </x:is>
      </x:c>
      <x:c r="B1348" t="inlineStr">
        <x:is>
          <x:t xml:space="preserve">MALLA RASCHEL 4.2x90% x 100 MT</x:t>
        </x:is>
      </x:c>
      <x:c r="E1348" t="n">
        <x:v>0</x:v>
      </x:c>
    </x:row>
    <x:row r="1349">
      <x:c r="A1349" t="inlineStr">
        <x:is>
          <x:t xml:space="preserve">MTPRACFUN257</x:t>
        </x:is>
      </x:c>
      <x:c r="B1349" t="inlineStr">
        <x:is>
          <x:t xml:space="preserve">CANDADO BRONCE UNIVERSAL HD 40MM</x:t>
        </x:is>
      </x:c>
      <x:c r="E1349" t="n">
        <x:v>0</x:v>
      </x:c>
    </x:row>
    <x:row r="1350">
      <x:c r="A1350" t="inlineStr">
        <x:is>
          <x:t xml:space="preserve">MTPRACFUN258</x:t>
        </x:is>
      </x:c>
      <x:c r="B1350" t="inlineStr">
        <x:is>
          <x:t xml:space="preserve">MARTILLO PENA 40 OZ. M/FIBRA TACTIX # 222013</x:t>
        </x:is>
      </x:c>
      <x:c r="E1350" t="n">
        <x:v>0</x:v>
      </x:c>
    </x:row>
    <x:row r="1351">
      <x:c r="A1351" t="inlineStr">
        <x:is>
          <x:t xml:space="preserve">MTPRACFUN259</x:t>
        </x:is>
      </x:c>
      <x:c r="B1351" t="inlineStr">
        <x:is>
          <x:t xml:space="preserve">MARTILLO P/TECHO M/ACERO TACTIX # 224103</x:t>
        </x:is>
      </x:c>
      <x:c r="E1351" t="n">
        <x:v>0</x:v>
      </x:c>
    </x:row>
    <x:row r="1352">
      <x:c r="A1352" t="inlineStr">
        <x:is>
          <x:t xml:space="preserve">MTPRACFUN260</x:t>
        </x:is>
      </x:c>
      <x:c r="B1352" t="inlineStr">
        <x:is>
          <x:t xml:space="preserve">JUEGO ATORNILLADORES 6 PZAS TACTIX # 205401</x:t>
        </x:is>
      </x:c>
      <x:c r="E1352" t="n">
        <x:v>0</x:v>
      </x:c>
    </x:row>
    <x:row r="1353">
      <x:c r="A1353" t="inlineStr">
        <x:is>
          <x:t xml:space="preserve">MTPRACFUN261</x:t>
        </x:is>
      </x:c>
      <x:c r="B1353" t="inlineStr">
        <x:is>
          <x:t xml:space="preserve">BROCA HSS COBALTO 8MM</x:t>
        </x:is>
      </x:c>
      <x:c r="E1353" t="n">
        <x:v>0</x:v>
      </x:c>
    </x:row>
    <x:row r="1354">
      <x:c r="A1354" t="inlineStr">
        <x:is>
          <x:t xml:space="preserve">MTPRACFUN262</x:t>
        </x:is>
      </x:c>
      <x:c r="B1354" t="inlineStr">
        <x:is>
          <x:t xml:space="preserve">BROCA HSS COBALTO 10MM</x:t>
        </x:is>
      </x:c>
      <x:c r="E1354" t="n">
        <x:v>0</x:v>
      </x:c>
    </x:row>
    <x:row r="1355">
      <x:c r="A1355" t="inlineStr">
        <x:is>
          <x:t xml:space="preserve">MTPRACFUN263</x:t>
        </x:is>
      </x:c>
      <x:c r="B1355" t="inlineStr">
        <x:is>
          <x:t xml:space="preserve">BROCA HSS COBALTO 12MM</x:t>
        </x:is>
      </x:c>
      <x:c r="E1355" t="n">
        <x:v>0</x:v>
      </x:c>
    </x:row>
    <x:row r="1356">
      <x:c r="A1356" t="inlineStr">
        <x:is>
          <x:t xml:space="preserve">MTPRACFUN264</x:t>
        </x:is>
      </x:c>
      <x:c r="B1356" t="inlineStr">
        <x:is>
          <x:t xml:space="preserve">BROCA HSS COBALTO 15MM</x:t>
        </x:is>
      </x:c>
      <x:c r="E1356" t="n">
        <x:v>0</x:v>
      </x:c>
    </x:row>
    <x:row r="1357">
      <x:c r="A1357" t="inlineStr">
        <x:is>
          <x:t xml:space="preserve">MTPRACFUN265</x:t>
        </x:is>
      </x:c>
      <x:c r="B1357" t="inlineStr">
        <x:is>
          <x:t xml:space="preserve">HUINCHA DE MEDIR 7,5MTS SMART TOOL METALICA</x:t>
        </x:is>
      </x:c>
      <x:c r="E1357" t="n">
        <x:v>0</x:v>
      </x:c>
    </x:row>
    <x:row r="1358">
      <x:c r="A1358" t="inlineStr">
        <x:is>
          <x:t xml:space="preserve">MTPRACFUN266</x:t>
        </x:is>
      </x:c>
      <x:c r="B1358" t="inlineStr">
        <x:is>
          <x:t xml:space="preserve">SIERRA SABLE INALAMBRICA 18V (DJR186RFE) - MAKITA</x:t>
        </x:is>
      </x:c>
      <x:c r="E1358" t="n">
        <x:v>0</x:v>
      </x:c>
    </x:row>
    <x:row r="1359">
      <x:c r="A1359" t="inlineStr">
        <x:is>
          <x:t xml:space="preserve">MTPRACFUN267</x:t>
        </x:is>
      </x:c>
      <x:c r="B1359" t="inlineStr">
        <x:is>
          <x:t xml:space="preserve">GRATA ONDULADA 4 # 104-3</x:t>
        </x:is>
      </x:c>
      <x:c r="E1359" t="n">
        <x:v>0</x:v>
      </x:c>
    </x:row>
    <x:row r="1360">
      <x:c r="A1360" t="inlineStr">
        <x:is>
          <x:t xml:space="preserve">MTPRACFUN268</x:t>
        </x:is>
      </x:c>
      <x:c r="B1360" t="inlineStr">
        <x:is>
          <x:t xml:space="preserve">CUCHILLO CARTON METAL H.D.TACTIX # 261007</x:t>
        </x:is>
      </x:c>
      <x:c r="E1360" t="n">
        <x:v>0</x:v>
      </x:c>
    </x:row>
    <x:row r="1361">
      <x:c r="A1361" t="inlineStr">
        <x:is>
          <x:t xml:space="preserve">MTPRACFUN269</x:t>
        </x:is>
      </x:c>
      <x:c r="B1361" t="inlineStr">
        <x:is>
          <x:t xml:space="preserve">YESO ESPUMA (SACO)</x:t>
        </x:is>
      </x:c>
      <x:c r="E1361" t="n">
        <x:v>0</x:v>
      </x:c>
    </x:row>
    <x:row r="1362">
      <x:c r="A1362" t="inlineStr">
        <x:is>
          <x:t xml:space="preserve">MTPRACFUN270</x:t>
        </x:is>
      </x:c>
      <x:c r="B1362" t="inlineStr">
        <x:is>
          <x:t xml:space="preserve">SOPLADOR ASPIRADOR 1980 800W (GBL-800E) BOSCH</x:t>
        </x:is>
      </x:c>
      <x:c r="E1362" t="n">
        <x:v>0</x:v>
      </x:c>
    </x:row>
    <x:row r="1363">
      <x:c r="A1363" t="inlineStr">
        <x:is>
          <x:t xml:space="preserve">MTPRACFUN271</x:t>
        </x:is>
      </x:c>
      <x:c r="B1363" t="inlineStr">
        <x:is>
          <x:t xml:space="preserve">DISCO DE TRASLAPE FLAP 4 1/2 GRANO N° 60</x:t>
        </x:is>
      </x:c>
      <x:c r="E1363" t="n">
        <x:v>0</x:v>
      </x:c>
    </x:row>
    <x:row r="1364">
      <x:c r="A1364" t="inlineStr">
        <x:is>
          <x:t xml:space="preserve">MTPRACFUN272</x:t>
        </x:is>
      </x:c>
      <x:c r="B1364" t="inlineStr">
        <x:is>
          <x:t xml:space="preserve">SOLDADURA ELECTRODO (KG) PUNTO AZUL DE 3/32" (6011) - INDURA</x:t>
        </x:is>
      </x:c>
      <x:c r="E1364" t="n">
        <x:v>0</x:v>
      </x:c>
    </x:row>
    <x:row r="1365">
      <x:c r="A1365" t="inlineStr">
        <x:is>
          <x:t xml:space="preserve">MTPRACFUN273</x:t>
        </x:is>
      </x:c>
      <x:c r="B1365" t="inlineStr">
        <x:is>
          <x:t xml:space="preserve">DISCO CORTE ACERO CARBONO 7 x 3.0mm</x:t>
        </x:is>
      </x:c>
      <x:c r="E1365" t="n">
        <x:v>0</x:v>
      </x:c>
    </x:row>
    <x:row r="1366">
      <x:c r="A1366" t="inlineStr">
        <x:is>
          <x:t xml:space="preserve">MTPRACFUN274</x:t>
        </x:is>
      </x:c>
      <x:c r="B1366" t="inlineStr">
        <x:is>
          <x:t xml:space="preserve">PLASTICO BURBUJA ROLLO 80 MTS</x:t>
        </x:is>
      </x:c>
      <x:c r="E1366" t="n">
        <x:v>0</x:v>
      </x:c>
    </x:row>
    <x:row r="1367">
      <x:c r="A1367" t="inlineStr">
        <x:is>
          <x:t xml:space="preserve">MTPRACFUN275</x:t>
        </x:is>
      </x:c>
      <x:c r="B1367" t="inlineStr">
        <x:is>
          <x:t xml:space="preserve">LIJA MADERA #60</x:t>
        </x:is>
      </x:c>
      <x:c r="E1367" t="n">
        <x:v>0</x:v>
      </x:c>
    </x:row>
    <x:row r="1368">
      <x:c r="A1368" t="inlineStr">
        <x:is>
          <x:t xml:space="preserve">MTPRACFUN276</x:t>
        </x:is>
      </x:c>
      <x:c r="B1368" t="inlineStr">
        <x:is>
          <x:t xml:space="preserve">PLIEGO LIJA ·120 ESMERIL</x:t>
        </x:is>
      </x:c>
      <x:c r="E1368" t="n">
        <x:v>0</x:v>
      </x:c>
    </x:row>
    <x:row r="1369">
      <x:c r="A1369" t="inlineStr">
        <x:is>
          <x:t xml:space="preserve">MTPRACFUN277</x:t>
        </x:is>
      </x:c>
      <x:c r="B1369" t="inlineStr">
        <x:is>
          <x:t xml:space="preserve">LIJA MADERA #220</x:t>
        </x:is>
      </x:c>
      <x:c r="E1369" t="n">
        <x:v>0</x:v>
      </x:c>
    </x:row>
    <x:row r="1370">
      <x:c r="A1370" t="inlineStr">
        <x:is>
          <x:t xml:space="preserve">MTPRACFUN278</x:t>
        </x:is>
      </x:c>
      <x:c r="B1370" t="inlineStr">
        <x:is>
          <x:t xml:space="preserve">DISCO DE TRASLAPE FLAP 4 1/2 GRANO N° 100</x:t>
        </x:is>
      </x:c>
      <x:c r="E1370" t="n">
        <x:v>0</x:v>
      </x:c>
    </x:row>
    <x:row r="1371">
      <x:c r="A1371" t="inlineStr">
        <x:is>
          <x:t xml:space="preserve">MTPRACFUN279</x:t>
        </x:is>
      </x:c>
      <x:c r="B1371" t="inlineStr">
        <x:is>
          <x:t xml:space="preserve">PERMACEL O MASKING TAPE 3/4 x 40mts</x:t>
        </x:is>
      </x:c>
      <x:c r="E1371" t="n">
        <x:v>0</x:v>
      </x:c>
    </x:row>
    <x:row r="1372">
      <x:c r="A1372" t="inlineStr">
        <x:is>
          <x:t xml:space="preserve">MTPRACFUN280</x:t>
        </x:is>
      </x:c>
      <x:c r="B1372" t="inlineStr">
        <x:is>
          <x:t xml:space="preserve">DISCO CORTE ACERO CARBONO 7 x 1.0mm</x:t>
        </x:is>
      </x:c>
      <x:c r="E1372" t="n">
        <x:v>30</x:v>
      </x:c>
    </x:row>
    <x:row r="1373">
      <x:c r="A1373" t="inlineStr">
        <x:is>
          <x:t xml:space="preserve">MTPRACFUN281</x:t>
        </x:is>
      </x:c>
      <x:c r="B1373" t="inlineStr">
        <x:is>
          <x:t xml:space="preserve">Disco Diamantado de Desbaste para Esmeril 4 1/2"</x:t>
        </x:is>
      </x:c>
      <x:c r="E1373" t="n">
        <x:v>6</x:v>
      </x:c>
    </x:row>
    <x:row r="1374">
      <x:c r="A1374" t="inlineStr">
        <x:is>
          <x:t xml:space="preserve">MTPRACFUN282</x:t>
        </x:is>
      </x:c>
      <x:c r="B1374" t="inlineStr">
        <x:is>
          <x:t xml:space="preserve">LIJADORA EXCENTRICA 125 MM300 W MAKITA BO505</x:t>
        </x:is>
      </x:c>
      <x:c r="E1374" t="n">
        <x:v>0</x:v>
      </x:c>
    </x:row>
    <x:row r="1375">
      <x:c r="A1375" t="inlineStr">
        <x:is>
          <x:t xml:space="preserve">MTPRACFUN283</x:t>
        </x:is>
      </x:c>
      <x:c r="B1375" t="inlineStr">
        <x:is>
          <x:t xml:space="preserve">Disco 7" de Diamantado Desbaste Hormigon Doble Segmento</x:t>
        </x:is>
      </x:c>
      <x:c r="E1375" t="n">
        <x:v>0</x:v>
      </x:c>
    </x:row>
    <x:row r="1376">
      <x:c r="A1376" t="inlineStr">
        <x:is>
          <x:t xml:space="preserve">MTPRACFUN299</x:t>
        </x:is>
      </x:c>
      <x:c r="B1376" t="inlineStr">
        <x:is>
          <x:t xml:space="preserve">EXTRACTOR DE 2 PATAS AE310029 JONNESWAY ACCAO</x:t>
        </x:is>
      </x:c>
      <x:c r="E1376" t="n">
        <x:v>0</x:v>
      </x:c>
    </x:row>
    <x:row r="1377">
      <x:c r="A1377" t="inlineStr">
        <x:is>
          <x:t xml:space="preserve">MTPRACFUN300</x:t>
        </x:is>
      </x:c>
      <x:c r="B1377" t="inlineStr">
        <x:is>
          <x:t xml:space="preserve">KIT DE REPUESTOS OPERACIONES FLOW</x:t>
        </x:is>
      </x:c>
      <x:c r="E1377" t="n">
        <x:v>0</x:v>
      </x:c>
    </x:row>
    <x:row r="1378">
      <x:c r="A1378" t="inlineStr">
        <x:is>
          <x:t xml:space="preserve">MTPRACFUN301</x:t>
        </x:is>
      </x:c>
      <x:c r="B1378" t="inlineStr">
        <x:is>
          <x:t xml:space="preserve">FLUID AGITADOR TIPO EM 2040</x:t>
        </x:is>
      </x:c>
      <x:c r="E1378" t="n">
        <x:v>0</x:v>
      </x:c>
    </x:row>
    <x:row r="1379">
      <x:c r="A1379" t="inlineStr">
        <x:is>
          <x:t xml:space="preserve">MTPRACFUN302</x:t>
        </x:is>
      </x:c>
      <x:c r="B1379" t="inlineStr">
        <x:is>
          <x:t xml:space="preserve">CAJAS DE CARTON 17C IMPRESAS C/LOGO 410 X 410 X 410</x:t>
        </x:is>
      </x:c>
      <x:c r="E1379" t="n">
        <x:v>48</x:v>
      </x:c>
    </x:row>
    <x:row r="1380">
      <x:c r="A1380" t="inlineStr">
        <x:is>
          <x:t xml:space="preserve">MTPRACFUN303</x:t>
        </x:is>
      </x:c>
      <x:c r="B1380" t="inlineStr">
        <x:is>
          <x:t xml:space="preserve">CAJAS DE CARTON 17C IMPRESAS C/LOGO 310 X 310 X 360</x:t>
        </x:is>
      </x:c>
      <x:c r="E1380" t="n">
        <x:v>53</x:v>
      </x:c>
    </x:row>
    <x:row r="1381">
      <x:c r="A1381" t="inlineStr">
        <x:is>
          <x:t xml:space="preserve">MTPRACFUN304</x:t>
        </x:is>
      </x:c>
      <x:c r="B1381" t="inlineStr">
        <x:is>
          <x:t xml:space="preserve">PERNOS PARKER BUTTON M6 X 40 INOXIDABLE</x:t>
        </x:is>
      </x:c>
      <x:c r="E1381" t="n">
        <x:v>0</x:v>
      </x:c>
    </x:row>
    <x:row r="1382">
      <x:c r="A1382" t="inlineStr">
        <x:is>
          <x:t xml:space="preserve">MTPRACFUN305</x:t>
        </x:is>
      </x:c>
      <x:c r="B1382" t="inlineStr">
        <x:is>
          <x:t xml:space="preserve">COMPRAS VARIAS POR CUENTA DE FIBERPOLE</x:t>
        </x:is>
      </x:c>
      <x:c r="E1382" t="n">
        <x:v>1</x:v>
      </x:c>
    </x:row>
    <x:row r="1383">
      <x:c r="A1383" t="inlineStr">
        <x:is>
          <x:t xml:space="preserve">MTPRACFUN306</x:t>
        </x:is>
      </x:c>
      <x:c r="B1383" t="inlineStr">
        <x:is>
          <x:t xml:space="preserve">BROCHA PLANA DE 1/2 X 1</x:t>
        </x:is>
      </x:c>
      <x:c r="E1383" t="n">
        <x:v>0</x:v>
      </x:c>
    </x:row>
    <x:row r="1384">
      <x:c r="A1384" t="inlineStr">
        <x:is>
          <x:t xml:space="preserve">MTPRACFUN307</x:t>
        </x:is>
      </x:c>
      <x:c r="B1384" t="inlineStr">
        <x:is>
          <x:t xml:space="preserve">DOSIFICADOR 250 CC</x:t>
        </x:is>
      </x:c>
      <x:c r="E1384" t="n">
        <x:v>10</x:v>
      </x:c>
    </x:row>
    <x:row r="1385">
      <x:c r="A1385" t="inlineStr">
        <x:is>
          <x:t xml:space="preserve">MTPRACFUN308</x:t>
        </x:is>
      </x:c>
      <x:c r="B1385" t="inlineStr">
        <x:is>
          <x:t xml:space="preserve">HOJA DE SIERRA</x:t>
        </x:is>
      </x:c>
      <x:c r="E1385" t="n">
        <x:v>0</x:v>
      </x:c>
    </x:row>
    <x:row r="1386">
      <x:c r="A1386" t="inlineStr">
        <x:is>
          <x:t xml:space="preserve">MTPRACFUN309</x:t>
        </x:is>
      </x:c>
      <x:c r="B1386" t="inlineStr">
        <x:is>
          <x:t xml:space="preserve">ESLINGA SINTETICA 2 CAPAS 50MM X 1MT</x:t>
        </x:is>
      </x:c>
      <x:c r="E1386" t="n">
        <x:v>0</x:v>
      </x:c>
    </x:row>
    <x:row r="1387">
      <x:c r="A1387" t="inlineStr">
        <x:is>
          <x:t xml:space="preserve">MTPRACFUN310</x:t>
        </x:is>
      </x:c>
      <x:c r="B1387" t="inlineStr">
        <x:is>
          <x:t xml:space="preserve">ESLINGA SINTETICA 2 CAPAS 50MM X 4MT</x:t>
        </x:is>
      </x:c>
      <x:c r="E1387" t="n">
        <x:v>0</x:v>
      </x:c>
    </x:row>
    <x:row r="1388">
      <x:c r="A1388" t="inlineStr">
        <x:is>
          <x:t xml:space="preserve">MTPRACFUN311</x:t>
        </x:is>
      </x:c>
      <x:c r="B1388" t="inlineStr">
        <x:is>
          <x:t xml:space="preserve">CADENA PLASTICA ROJA 50MTS</x:t>
        </x:is>
      </x:c>
      <x:c r="E1388" t="n">
        <x:v>0</x:v>
      </x:c>
    </x:row>
    <x:row r="1389">
      <x:c r="A1389" t="inlineStr">
        <x:is>
          <x:t xml:space="preserve">MTPRACFUN312</x:t>
        </x:is>
      </x:c>
      <x:c r="B1389" t="inlineStr">
        <x:is>
          <x:t xml:space="preserve">JUEGO DE DESTORNILLADORES</x:t>
        </x:is>
      </x:c>
      <x:c r="E1389" t="n">
        <x:v>0</x:v>
      </x:c>
    </x:row>
    <x:row r="1390">
      <x:c r="A1390" t="inlineStr">
        <x:is>
          <x:t xml:space="preserve">MTPRACFUN313</x:t>
        </x:is>
      </x:c>
      <x:c r="B1390" t="inlineStr">
        <x:is>
          <x:t xml:space="preserve">LINTERNA STEELPRO MANOS LIBRES 6 LED KL-400</x:t>
        </x:is>
      </x:c>
      <x:c r="E1390" t="n">
        <x:v>0</x:v>
      </x:c>
    </x:row>
    <x:row r="1391">
      <x:c r="A1391" t="inlineStr">
        <x:is>
          <x:t xml:space="preserve">MTPRACFUN314</x:t>
        </x:is>
      </x:c>
      <x:c r="B1391" t="inlineStr">
        <x:is>
          <x:t xml:space="preserve">PISTOLA AIRE CALIENTE MAKITA HG5030K 160</x:t>
        </x:is>
      </x:c>
      <x:c r="E1391" t="n">
        <x:v>0</x:v>
      </x:c>
    </x:row>
    <x:row r="1392">
      <x:c r="A1392" t="inlineStr">
        <x:is>
          <x:t xml:space="preserve">MTPRACFUN315</x:t>
        </x:is>
      </x:c>
      <x:c r="B1392" t="inlineStr">
        <x:is>
          <x:t xml:space="preserve">LLAVE DE IMPACTO MAKITA 1/2" 18V+2 BAT 3.0</x:t>
        </x:is>
      </x:c>
      <x:c r="E1392" t="n">
        <x:v>0</x:v>
      </x:c>
    </x:row>
    <x:row r="1393">
      <x:c r="A1393" t="inlineStr">
        <x:is>
          <x:t xml:space="preserve">MTPRACFUN316</x:t>
        </x:is>
      </x:c>
      <x:c r="B1393" t="inlineStr">
        <x:is>
          <x:t xml:space="preserve">TALADRO PERCUTOR 13MM. 680W.REV. MAKITA HP1641K</x:t>
        </x:is>
      </x:c>
      <x:c r="E1393" t="n">
        <x:v>0</x:v>
      </x:c>
    </x:row>
    <x:row r="1394">
      <x:c r="A1394" t="inlineStr">
        <x:is>
          <x:t xml:space="preserve">MTPRACFUN317</x:t>
        </x:is>
      </x:c>
      <x:c r="B1394" t="inlineStr">
        <x:is>
          <x:t xml:space="preserve">SOPLADOR INALAMBRICO TE-CB18/180LI SOLO #8681140 EINHELL (NA26606140)</x:t>
        </x:is>
      </x:c>
      <x:c r="E1394" t="n">
        <x:v>0</x:v>
      </x:c>
    </x:row>
    <x:row r="1395">
      <x:c r="A1395" t="inlineStr">
        <x:is>
          <x:t xml:space="preserve">MTPRACFUN318</x:t>
        </x:is>
      </x:c>
      <x:c r="B1395" t="inlineStr">
        <x:is>
          <x:t xml:space="preserve">BATERIA 2,5 AH 18V + CARGADOR POWER EINHELL (NA26100218)</x:t>
        </x:is>
      </x:c>
      <x:c r="E1395" t="n">
        <x:v>0</x:v>
      </x:c>
    </x:row>
    <x:row r="1396">
      <x:c r="A1396" t="inlineStr">
        <x:is>
          <x:t xml:space="preserve">MTPRACFUN319</x:t>
        </x:is>
      </x:c>
      <x:c r="B1396" t="inlineStr">
        <x:is>
          <x:t xml:space="preserve">ESLINGA SINTETICA 3 CAPAS 50MM X 1 MT</x:t>
        </x:is>
      </x:c>
      <x:c r="E1396" t="n">
        <x:v>0</x:v>
      </x:c>
    </x:row>
    <x:row r="1397">
      <x:c r="A1397" t="inlineStr">
        <x:is>
          <x:t xml:space="preserve">MTPRACFUN320</x:t>
        </x:is>
      </x:c>
      <x:c r="B1397" t="inlineStr">
        <x:is>
          <x:t xml:space="preserve">ESLINGA SINTETICA 3 CAPAS 50MM X 1,5 MT</x:t>
        </x:is>
      </x:c>
      <x:c r="E1397" t="n">
        <x:v>0</x:v>
      </x:c>
    </x:row>
    <x:row r="1398">
      <x:c r="A1398" t="inlineStr">
        <x:is>
          <x:t xml:space="preserve">MTPRACFUN321</x:t>
        </x:is>
      </x:c>
      <x:c r="B1398" t="inlineStr">
        <x:is>
          <x:t xml:space="preserve">ESLINGA SINTETICA 3 CAPAS 50MM X 2 MT</x:t>
        </x:is>
      </x:c>
      <x:c r="E1398" t="n">
        <x:v>0</x:v>
      </x:c>
    </x:row>
    <x:row r="1399">
      <x:c r="A1399" t="inlineStr">
        <x:is>
          <x:t xml:space="preserve">MTPRACFUN322</x:t>
        </x:is>
      </x:c>
      <x:c r="B1399" t="inlineStr">
        <x:is>
          <x:t xml:space="preserve">ESLINGA SINTETICA 3 CAPAS 50MM X 2,5 MT</x:t>
        </x:is>
      </x:c>
      <x:c r="E1399" t="n">
        <x:v>0</x:v>
      </x:c>
    </x:row>
    <x:row r="1400">
      <x:c r="A1400" t="inlineStr">
        <x:is>
          <x:t xml:space="preserve">MTPRACFUN323</x:t>
        </x:is>
      </x:c>
      <x:c r="B1400" t="inlineStr">
        <x:is>
          <x:t xml:space="preserve">ESLINGA SINTETICA 3 CAPAS 50MM X 3 MT</x:t>
        </x:is>
      </x:c>
      <x:c r="E1400" t="n">
        <x:v>0</x:v>
      </x:c>
    </x:row>
    <x:row r="1401">
      <x:c r="A1401" t="inlineStr">
        <x:is>
          <x:t xml:space="preserve">MTPRACFUN324</x:t>
        </x:is>
      </x:c>
      <x:c r="B1401" t="inlineStr">
        <x:is>
          <x:t xml:space="preserve">ESLINGA SINTETICA 3 CAPAS 50MM X 4 MT</x:t>
        </x:is>
      </x:c>
      <x:c r="E1401" t="n">
        <x:v>0</x:v>
      </x:c>
    </x:row>
    <x:row r="1402">
      <x:c r="A1402" t="inlineStr">
        <x:is>
          <x:t xml:space="preserve">MTPRACFUN325</x:t>
        </x:is>
      </x:c>
      <x:c r="B1402" t="inlineStr">
        <x:is>
          <x:t xml:space="preserve">ESLINGA SINTETICA 3 CAPAS 50MM X 5 MT</x:t>
        </x:is>
      </x:c>
      <x:c r="E1402" t="n">
        <x:v>0</x:v>
      </x:c>
    </x:row>
    <x:row r="1403">
      <x:c r="A1403" t="inlineStr">
        <x:is>
          <x:t xml:space="preserve">MTPRACFUN326</x:t>
        </x:is>
      </x:c>
      <x:c r="B1403" t="inlineStr">
        <x:is>
          <x:t xml:space="preserve">ESLINGA SINTETICA 3 CAPAS 50MM X 6 MT</x:t>
        </x:is>
      </x:c>
      <x:c r="E1403" t="n">
        <x:v>0</x:v>
      </x:c>
    </x:row>
    <x:row r="1404">
      <x:c r="A1404" t="inlineStr">
        <x:is>
          <x:t xml:space="preserve">MTPRACFUN327</x:t>
        </x:is>
      </x:c>
      <x:c r="B1404" t="inlineStr">
        <x:is>
          <x:t xml:space="preserve">ESLINGA SINTETICA 3 CAPAS 50MM X 7 MT</x:t>
        </x:is>
      </x:c>
      <x:c r="E1404" t="n">
        <x:v>0</x:v>
      </x:c>
    </x:row>
    <x:row r="1405">
      <x:c r="A1405" t="inlineStr">
        <x:is>
          <x:t xml:space="preserve">MTPRACFUN328</x:t>
        </x:is>
      </x:c>
      <x:c r="B1405" t="inlineStr">
        <x:is>
          <x:t xml:space="preserve">BROCHA CERDA 1/2 X 3"</x:t>
        </x:is>
      </x:c>
      <x:c r="E1405" t="n">
        <x:v>0</x:v>
      </x:c>
    </x:row>
    <x:row r="1406">
      <x:c r="A1406" t="inlineStr">
        <x:is>
          <x:t xml:space="preserve">MTPRACFUN329</x:t>
        </x:is>
      </x:c>
      <x:c r="B1406" t="inlineStr">
        <x:is>
          <x:t xml:space="preserve">BROCHA PLANA 1/2 X 3-1/2"</x:t>
        </x:is>
      </x:c>
      <x:c r="E1406" t="n">
        <x:v>0</x:v>
      </x:c>
    </x:row>
    <x:row r="1407">
      <x:c r="A1407" t="inlineStr">
        <x:is>
          <x:t xml:space="preserve">MTPRACFUN330</x:t>
        </x:is>
      </x:c>
      <x:c r="B1407" t="inlineStr">
        <x:is>
          <x:t xml:space="preserve">BANCO PLEGABLE 180 X 28 X 43</x:t>
        </x:is>
      </x:c>
      <x:c r="E1407" t="n">
        <x:v>0</x:v>
      </x:c>
    </x:row>
    <x:row r="1408">
      <x:c r="A1408" t="inlineStr">
        <x:is>
          <x:t xml:space="preserve">MTPRACFUN331</x:t>
        </x:is>
      </x:c>
      <x:c r="B1408" t="inlineStr">
        <x:is>
          <x:t xml:space="preserve">BOLSA PARA BASURA INDUSTRIAL (4POR KL)</x:t>
        </x:is>
      </x:c>
      <x:c r="E1408" t="n">
        <x:v>0</x:v>
      </x:c>
    </x:row>
    <x:row r="1409">
      <x:c r="A1409" t="inlineStr">
        <x:is>
          <x:t xml:space="preserve">MTPRACFUN333</x:t>
        </x:is>
      </x:c>
      <x:c r="B1409" t="inlineStr">
        <x:is>
          <x:t xml:space="preserve">FOCO LED 100W</x:t>
        </x:is>
      </x:c>
      <x:c r="E1409" t="n">
        <x:v>0</x:v>
      </x:c>
    </x:row>
    <x:row r="1410">
      <x:c r="A1410" t="inlineStr">
        <x:is>
          <x:t xml:space="preserve">MTPRACFUN334</x:t>
        </x:is>
      </x:c>
      <x:c r="B1410" t="inlineStr">
        <x:is>
          <x:t xml:space="preserve">FOCO LED DOBLE, CON TRÍPODE 2X50W</x:t>
        </x:is>
      </x:c>
      <x:c r="E1410" t="n">
        <x:v>0</x:v>
      </x:c>
    </x:row>
    <x:row r="1411">
      <x:c r="A1411" t="inlineStr">
        <x:is>
          <x:t xml:space="preserve">MTPRACFUN335</x:t>
        </x:is>
      </x:c>
      <x:c r="B1411" t="inlineStr">
        <x:is>
          <x:t xml:space="preserve">HUICHA DE MEDIR DE 30 MTS. TAXTIL</x:t>
        </x:is>
      </x:c>
      <x:c r="E1411" t="n">
        <x:v>0</x:v>
      </x:c>
    </x:row>
    <x:row r="1412">
      <x:c r="A1412" t="inlineStr">
        <x:is>
          <x:t xml:space="preserve">MTPRACFUN336</x:t>
        </x:is>
      </x:c>
      <x:c r="B1412" t="inlineStr">
        <x:is>
          <x:t xml:space="preserve">JUEGO DADOS CON CHICHARRA 1/2 - 12 PIEZAS</x:t>
        </x:is>
      </x:c>
      <x:c r="E1412" t="n">
        <x:v>0</x:v>
      </x:c>
    </x:row>
    <x:row r="1413">
      <x:c r="A1413" t="inlineStr">
        <x:is>
          <x:t xml:space="preserve">MTPRACFUN337</x:t>
        </x:is>
      </x:c>
      <x:c r="B1413" t="inlineStr">
        <x:is>
          <x:t xml:space="preserve">LINTERNA DE MANO, 2000 LUMENES</x:t>
        </x:is>
      </x:c>
      <x:c r="E1413" t="n">
        <x:v>0</x:v>
      </x:c>
    </x:row>
    <x:row r="1414">
      <x:c r="A1414" t="inlineStr">
        <x:is>
          <x:t xml:space="preserve">MTPRACFUN338</x:t>
        </x:is>
      </x:c>
      <x:c r="B1414" t="inlineStr">
        <x:is>
          <x:t xml:space="preserve">LLANAS DE ACERO TEMPLADO LISA 300 X 180 LIZCAL</x:t>
        </x:is>
      </x:c>
      <x:c r="E1414" t="n">
        <x:v>0</x:v>
      </x:c>
    </x:row>
    <x:row r="1415">
      <x:c r="A1415" t="inlineStr">
        <x:is>
          <x:t xml:space="preserve">MTPRACFUN339</x:t>
        </x:is>
      </x:c>
      <x:c r="B1415" t="inlineStr">
        <x:is>
          <x:t xml:space="preserve">NIVEL DE BURBUJA DE 100 CM</x:t>
        </x:is>
      </x:c>
      <x:c r="E1415" t="n">
        <x:v>0</x:v>
      </x:c>
    </x:row>
    <x:row r="1416">
      <x:c r="A1416" t="inlineStr">
        <x:is>
          <x:t xml:space="preserve">MTPRACFUN340</x:t>
        </x:is>
      </x:c>
      <x:c r="B1416" t="inlineStr">
        <x:is>
          <x:t xml:space="preserve">NIVEL DE BURBUJA DE 30 CM</x:t>
        </x:is>
      </x:c>
      <x:c r="E1416" t="n">
        <x:v>0</x:v>
      </x:c>
    </x:row>
    <x:row r="1417">
      <x:c r="A1417" t="inlineStr">
        <x:is>
          <x:t xml:space="preserve">MTPRACFUN341</x:t>
        </x:is>
      </x:c>
      <x:c r="B1417" t="inlineStr">
        <x:is>
          <x:t xml:space="preserve">NIVEL DE BURBUJA DE 60 CM</x:t>
        </x:is>
      </x:c>
      <x:c r="E1417" t="n">
        <x:v>0</x:v>
      </x:c>
    </x:row>
    <x:row r="1418">
      <x:c r="A1418" t="inlineStr">
        <x:is>
          <x:t xml:space="preserve">MTPRACFUN342</x:t>
        </x:is>
      </x:c>
      <x:c r="B1418" t="inlineStr">
        <x:is>
          <x:t xml:space="preserve">TOLDO PEGABLE 3X3MT AZUL</x:t>
        </x:is>
      </x:c>
      <x:c r="E1418" t="n">
        <x:v>0</x:v>
      </x:c>
    </x:row>
    <x:row r="1419">
      <x:c r="A1419" t="inlineStr">
        <x:is>
          <x:t xml:space="preserve">MTPRACFUN343</x:t>
        </x:is>
      </x:c>
      <x:c r="B1419" t="inlineStr">
        <x:is>
          <x:t xml:space="preserve">HOJA REPUESTO CUCHILLO CARTONERO INGCO 18X100 MM JUEGO DE 10 PZS # HKNSB112</x:t>
        </x:is>
      </x:c>
      <x:c r="E1419" t="n">
        <x:v>0</x:v>
      </x:c>
    </x:row>
    <x:row r="1420">
      <x:c r="A1420" t="inlineStr">
        <x:is>
          <x:t xml:space="preserve">MTPRACFUN344</x:t>
        </x:is>
      </x:c>
      <x:c r="B1420" t="inlineStr">
        <x:is>
          <x:t xml:space="preserve">HOJA DE SIERRA 1/2"X 12" 18 DIENTES STARRETT ACCISE</x:t>
        </x:is>
      </x:c>
      <x:c r="E1420" t="n">
        <x:v>0</x:v>
      </x:c>
    </x:row>
    <x:row r="1421">
      <x:c r="A1421" t="inlineStr">
        <x:is>
          <x:t xml:space="preserve">MTPRACFUN345</x:t>
        </x:is>
      </x:c>
      <x:c r="B1421" t="inlineStr">
        <x:is>
          <x:t xml:space="preserve">DISCO DE LIJA G36 - 4-1/2”</x:t>
        </x:is>
      </x:c>
      <x:c r="E1421" t="n">
        <x:v>0</x:v>
      </x:c>
    </x:row>
    <x:row r="1422">
      <x:c r="A1422" t="inlineStr">
        <x:is>
          <x:t xml:space="preserve">MTPRACMAD001</x:t>
        </x:is>
      </x:c>
      <x:c r="B1422" t="inlineStr">
        <x:is>
          <x:t xml:space="preserve">PLANCHA MELAMINA 18mm</x:t>
        </x:is>
      </x:c>
      <x:c r="E1422" t="n">
        <x:v>6</x:v>
      </x:c>
    </x:row>
    <x:row r="1423">
      <x:c r="A1423" t="inlineStr">
        <x:is>
          <x:t xml:space="preserve">MTPRACMAD002</x:t>
        </x:is>
      </x:c>
      <x:c r="B1423" t="inlineStr">
        <x:is>
          <x:t xml:space="preserve">PLANCHA TERCIADO ESTRUCTURAL 18mm</x:t>
        </x:is>
      </x:c>
      <x:c r="E1423" t="n">
        <x:v>0</x:v>
      </x:c>
    </x:row>
    <x:row r="1424">
      <x:c r="A1424" t="inlineStr">
        <x:is>
          <x:t xml:space="preserve">MTPRACMAD003</x:t>
        </x:is>
      </x:c>
      <x:c r="B1424" t="inlineStr">
        <x:is>
          <x:t xml:space="preserve">PLANCHA TERCIADO ESTRUCTURAL 9mm</x:t>
        </x:is>
      </x:c>
      <x:c r="E1424" t="n">
        <x:v>150</x:v>
      </x:c>
    </x:row>
    <x:row r="1425">
      <x:c r="A1425" t="inlineStr">
        <x:is>
          <x:t xml:space="preserve">MTPRACMAD004</x:t>
        </x:is>
      </x:c>
      <x:c r="B1425" t="inlineStr">
        <x:is>
          <x:t xml:space="preserve">PLANCHA MELAMINA 9mm</x:t>
        </x:is>
      </x:c>
      <x:c r="E1425" t="n">
        <x:v>0</x:v>
      </x:c>
    </x:row>
    <x:row r="1426">
      <x:c r="A1426" t="inlineStr">
        <x:is>
          <x:t xml:space="preserve">MTPRACMAD005</x:t>
        </x:is>
      </x:c>
      <x:c r="B1426" t="inlineStr">
        <x:is>
          <x:t xml:space="preserve">PLANCHA TERCIADO ESTRUCTURAL 15mm</x:t>
        </x:is>
      </x:c>
      <x:c r="E1426" t="n">
        <x:v>38</x:v>
      </x:c>
    </x:row>
    <x:row r="1427">
      <x:c r="A1427" t="inlineStr">
        <x:is>
          <x:t xml:space="preserve">MTPRACMAD006</x:t>
        </x:is>
      </x:c>
      <x:c r="B1427" t="inlineStr">
        <x:is>
          <x:t xml:space="preserve">PLANCHA CHOLGUAN 3MM</x:t>
        </x:is>
      </x:c>
      <x:c r="E1427" t="n">
        <x:v>0</x:v>
      </x:c>
    </x:row>
    <x:row r="1428">
      <x:c r="A1428" t="inlineStr">
        <x:is>
          <x:t xml:space="preserve">MTPRACMAD007</x:t>
        </x:is>
      </x:c>
      <x:c r="B1428" t="inlineStr">
        <x:is>
          <x:t xml:space="preserve">PLANCHA TERCIADO ESTRUCTURAL 12mm</x:t>
        </x:is>
      </x:c>
      <x:c r="E1428" t="n">
        <x:v>113</x:v>
      </x:c>
    </x:row>
    <x:row r="1429">
      <x:c r="A1429" t="inlineStr">
        <x:is>
          <x:t xml:space="preserve">MTPRACMAD008</x:t>
        </x:is>
      </x:c>
      <x:c r="B1429" t="inlineStr">
        <x:is>
          <x:t xml:space="preserve">PLANCHA TERCIADO FILM CAFE 18mm</x:t>
        </x:is>
      </x:c>
      <x:c r="E1429" t="n">
        <x:v>0</x:v>
      </x:c>
    </x:row>
    <x:row r="1430">
      <x:c r="A1430" t="inlineStr">
        <x:is>
          <x:t xml:space="preserve">MTPRACMAD009</x:t>
        </x:is>
      </x:c>
      <x:c r="B1430" t="inlineStr">
        <x:is>
          <x:t xml:space="preserve">PLANCHA CHOLGUAN 2.4MM</x:t>
        </x:is>
      </x:c>
      <x:c r="E1430" t="n">
        <x:v>0</x:v>
      </x:c>
    </x:row>
    <x:row r="1431">
      <x:c r="A1431" t="inlineStr">
        <x:is>
          <x:t xml:space="preserve">MTPRACMAD010</x:t>
        </x:is>
      </x:c>
      <x:c r="B1431" t="inlineStr">
        <x:is>
          <x:t xml:space="preserve">TABLA DE PINO CEPILLADO 1x4</x:t>
        </x:is>
      </x:c>
      <x:c r="E1431" t="n">
        <x:v>0</x:v>
      </x:c>
    </x:row>
    <x:row r="1432">
      <x:c r="A1432" t="inlineStr">
        <x:is>
          <x:t xml:space="preserve">MTPRACMAD011</x:t>
        </x:is>
      </x:c>
      <x:c r="B1432" t="inlineStr">
        <x:is>
          <x:t xml:space="preserve">PINO CEPILLADO SECO 2X3X3,2 MTS</x:t>
        </x:is>
      </x:c>
      <x:c r="E1432" t="n">
        <x:v>152</x:v>
      </x:c>
    </x:row>
    <x:row r="1433">
      <x:c r="A1433" t="inlineStr">
        <x:is>
          <x:t xml:space="preserve">MTPRACMAD012</x:t>
        </x:is>
      </x:c>
      <x:c r="B1433" t="inlineStr">
        <x:is>
          <x:t xml:space="preserve">PINO CEPILLADO SECO 1X8X3,2 MTS</x:t>
        </x:is>
      </x:c>
      <x:c r="E1433" t="n">
        <x:v>159</x:v>
      </x:c>
    </x:row>
    <x:row r="1434">
      <x:c r="A1434" t="inlineStr">
        <x:is>
          <x:t xml:space="preserve">MTPRACMAD013</x:t>
        </x:is>
      </x:c>
      <x:c r="B1434" t="inlineStr">
        <x:is>
          <x:t xml:space="preserve">TERCIADO ESTRUCTURAL 21MM X 1200 MM X 2400 MM</x:t>
        </x:is>
      </x:c>
      <x:c r="E1434" t="n">
        <x:v>85</x:v>
      </x:c>
    </x:row>
    <x:row r="1435">
      <x:c r="A1435" t="inlineStr">
        <x:is>
          <x:t xml:space="preserve">MTPRACMAD014</x:t>
        </x:is>
      </x:c>
      <x:c r="B1435" t="inlineStr">
        <x:is>
          <x:t xml:space="preserve">PINO BRUTO 4 X 4 X 3,2 MTS</x:t>
        </x:is>
      </x:c>
      <x:c r="E1435" t="n">
        <x:v>18</x:v>
      </x:c>
    </x:row>
    <x:row r="1436">
      <x:c r="A1436" t="inlineStr">
        <x:is>
          <x:t xml:space="preserve">MTPRACQUI001</x:t>
        </x:is>
      </x:c>
      <x:c r="B1436" t="inlineStr">
        <x:is>
          <x:t xml:space="preserve">RESINA PALATAL A430 (200 KG /TAMBOR)</x:t>
        </x:is>
      </x:c>
      <x:c r="E1436" t="n">
        <x:v>19458</x:v>
      </x:c>
    </x:row>
    <x:row r="1437">
      <x:c r="A1437" t="inlineStr">
        <x:is>
          <x:t xml:space="preserve">MTPRACQUI002</x:t>
        </x:is>
      </x:c>
      <x:c r="B1437" t="inlineStr">
        <x:is>
          <x:t xml:space="preserve">RESINA PALATAL A430FR (230 KG/ TAMBOR)</x:t>
        </x:is>
      </x:c>
      <x:c r="E1437" t="n">
        <x:v>0</x:v>
      </x:c>
    </x:row>
    <x:row r="1438">
      <x:c r="A1438" t="inlineStr">
        <x:is>
          <x:t xml:space="preserve">MTPRACQUI003</x:t>
        </x:is>
      </x:c>
      <x:c r="B1438" t="inlineStr">
        <x:is>
          <x:t xml:space="preserve">RESINA VIPEL F013 (TAMBOR DE 220 KG)</x:t>
        </x:is>
      </x:c>
      <x:c r="E1438" t="n">
        <x:v>0</x:v>
      </x:c>
    </x:row>
    <x:row r="1439">
      <x:c r="A1439" t="inlineStr">
        <x:is>
          <x:t xml:space="preserve">MTPRACQUI004</x:t>
        </x:is>
      </x:c>
      <x:c r="B1439" t="inlineStr">
        <x:is>
          <x:t xml:space="preserve">AGENTE TIXOTROPICO VINILESTER (10 KG.)</x:t>
        </x:is>
      </x:c>
      <x:c r="E1439" t="n">
        <x:v>0</x:v>
      </x:c>
    </x:row>
    <x:row r="1440">
      <x:c r="A1440" t="inlineStr">
        <x:is>
          <x:t xml:space="preserve">MTPRACQUI005</x:t>
        </x:is>
      </x:c>
      <x:c r="B1440" t="inlineStr">
        <x:is>
          <x:t xml:space="preserve">DIOXIDO TITANIO (25 KG) ( NO USAR )</x:t>
        </x:is>
      </x:c>
      <x:c r="E1440" t="n">
        <x:v>0</x:v>
      </x:c>
    </x:row>
    <x:row r="1441">
      <x:c r="A1441" t="inlineStr">
        <x:is>
          <x:t xml:space="preserve">MTPRACQUI006</x:t>
        </x:is>
      </x:c>
      <x:c r="B1441" t="inlineStr">
        <x:is>
          <x:t xml:space="preserve">RESINA DERAKANE 470-300</x:t>
        </x:is>
      </x:c>
      <x:c r="E1441" t="n">
        <x:v>0</x:v>
      </x:c>
    </x:row>
    <x:row r="1442">
      <x:c r="A1442" t="inlineStr">
        <x:is>
          <x:t xml:space="preserve">MTPRACQUI007</x:t>
        </x:is>
      </x:c>
      <x:c r="B1442" t="inlineStr">
        <x:is>
          <x:t xml:space="preserve">DILUYENTE POLIESTER 200 LTS ( NO USAR )</x:t>
        </x:is>
      </x:c>
      <x:c r="E1442" t="n">
        <x:v>0</x:v>
      </x:c>
    </x:row>
    <x:row r="1443">
      <x:c r="A1443" t="inlineStr">
        <x:is>
          <x:t xml:space="preserve">MTPRACQUI008</x:t>
        </x:is>
      </x:c>
      <x:c r="B1443" t="inlineStr">
        <x:is>
          <x:t xml:space="preserve">CERA DESMOLDANTE</x:t>
        </x:is>
      </x:c>
      <x:c r="E1443" t="n">
        <x:v>0</x:v>
      </x:c>
    </x:row>
    <x:row r="1444">
      <x:c r="A1444" t="inlineStr">
        <x:is>
          <x:t xml:space="preserve">MTPRACQUI009</x:t>
        </x:is>
      </x:c>
      <x:c r="B1444" t="inlineStr">
        <x:is>
          <x:t xml:space="preserve">BYK-500 ELIMINADOR DE BURBUJAS</x:t>
        </x:is>
      </x:c>
      <x:c r="E1444" t="n">
        <x:v>0</x:v>
      </x:c>
    </x:row>
    <x:row r="1445">
      <x:c r="A1445" t="inlineStr">
        <x:is>
          <x:t xml:space="preserve">MTPRACQUI010</x:t>
        </x:is>
      </x:c>
      <x:c r="B1445" t="inlineStr">
        <x:is>
          <x:t xml:space="preserve">ADITIVO FILTRO UV-750</x:t>
        </x:is>
      </x:c>
      <x:c r="E1445" t="n">
        <x:v>0</x:v>
      </x:c>
    </x:row>
    <x:row r="1446">
      <x:c r="A1446" t="inlineStr">
        <x:is>
          <x:t xml:space="preserve">MTPRACQUI011</x:t>
        </x:is>
      </x:c>
      <x:c r="B1446" t="inlineStr">
        <x:is>
          <x:t xml:space="preserve">NEGRO HUMO XC 72R</x:t>
        </x:is>
      </x:c>
      <x:c r="E1446" t="n">
        <x:v>0</x:v>
      </x:c>
    </x:row>
    <x:row r="1447">
      <x:c r="A1447" t="inlineStr">
        <x:is>
          <x:t xml:space="preserve">MTPRACROD001</x:t>
        </x:is>
      </x:c>
      <x:c r="B1447" t="inlineStr">
        <x:is>
          <x:t xml:space="preserve">RODILLO CHIPORRO 7</x:t>
        </x:is>
      </x:c>
      <x:c r="E1447" t="n">
        <x:v>216</x:v>
      </x:c>
    </x:row>
    <x:row r="1448">
      <x:c r="A1448" t="inlineStr">
        <x:is>
          <x:t xml:space="preserve">MTPRACROD002</x:t>
        </x:is>
      </x:c>
      <x:c r="B1448" t="inlineStr">
        <x:is>
          <x:t xml:space="preserve">RODILLO CHIPORRO 9</x:t>
        </x:is>
      </x:c>
      <x:c r="E1448" t="n">
        <x:v>28</x:v>
      </x:c>
    </x:row>
    <x:row r="1449">
      <x:c r="A1449" t="inlineStr">
        <x:is>
          <x:t xml:space="preserve">MTPRACROD003</x:t>
        </x:is>
      </x:c>
      <x:c r="B1449" t="inlineStr">
        <x:is>
          <x:t xml:space="preserve">RODILLO CHIPORRO 12</x:t>
        </x:is>
      </x:c>
      <x:c r="E1449" t="n">
        <x:v>181</x:v>
      </x:c>
    </x:row>
    <x:row r="1450">
      <x:c r="A1450" t="inlineStr">
        <x:is>
          <x:t xml:space="preserve">MTPRACROD004</x:t>
        </x:is>
      </x:c>
      <x:c r="B1450" t="inlineStr">
        <x:is>
          <x:t xml:space="preserve">RODILLO CHIPORRO 18</x:t>
        </x:is>
      </x:c>
      <x:c r="E1450" t="n">
        <x:v>153</x:v>
      </x:c>
    </x:row>
    <x:row r="1451">
      <x:c r="A1451" t="inlineStr">
        <x:is>
          <x:t xml:space="preserve">MTPRACROD005</x:t>
        </x:is>
      </x:c>
      <x:c r="B1451" t="inlineStr">
        <x:is>
          <x:t xml:space="preserve">RODILLO METALICO (25X150)</x:t>
        </x:is>
      </x:c>
      <x:c r="E1451" t="n">
        <x:v>0</x:v>
      </x:c>
    </x:row>
    <x:row r="1452">
      <x:c r="A1452" t="inlineStr">
        <x:is>
          <x:t xml:space="preserve">MTPRACROD006</x:t>
        </x:is>
      </x:c>
      <x:c r="B1452" t="inlineStr">
        <x:is>
          <x:t xml:space="preserve">RODILLO METALICO (18 x 75)</x:t>
        </x:is>
      </x:c>
      <x:c r="E1452" t="n">
        <x:v>0</x:v>
      </x:c>
    </x:row>
    <x:row r="1453">
      <x:c r="A1453" t="inlineStr">
        <x:is>
          <x:t xml:space="preserve">MTPRACROD007</x:t>
        </x:is>
      </x:c>
      <x:c r="B1453" t="inlineStr">
        <x:is>
          <x:t xml:space="preserve">RODILLO METALICO (13 x 75)</x:t>
        </x:is>
      </x:c>
      <x:c r="E1453" t="n">
        <x:v>0</x:v>
      </x:c>
    </x:row>
    <x:row r="1454">
      <x:c r="A1454" t="inlineStr">
        <x:is>
          <x:t xml:space="preserve">MTPRACROD008</x:t>
        </x:is>
      </x:c>
      <x:c r="B1454" t="inlineStr">
        <x:is>
          <x:t xml:space="preserve">RODILLO METALICO (13 x 150)</x:t>
        </x:is>
      </x:c>
      <x:c r="E1454" t="n">
        <x:v>0</x:v>
      </x:c>
    </x:row>
    <x:row r="1455">
      <x:c r="A1455" t="inlineStr">
        <x:is>
          <x:t xml:space="preserve">MTPRACROD009</x:t>
        </x:is>
      </x:c>
      <x:c r="B1455" t="inlineStr">
        <x:is>
          <x:t xml:space="preserve">RODILLO METALICO (18 x 150)</x:t>
        </x:is>
      </x:c>
      <x:c r="E1455" t="n">
        <x:v>0</x:v>
      </x:c>
    </x:row>
    <x:row r="1456">
      <x:c r="A1456" t="inlineStr">
        <x:is>
          <x:t xml:space="preserve">MTPRACROD010</x:t>
        </x:is>
      </x:c>
      <x:c r="B1456" t="inlineStr">
        <x:is>
          <x:t xml:space="preserve">RODILLO METALICO (25 x 75)</x:t>
        </x:is>
      </x:c>
      <x:c r="E1456" t="n">
        <x:v>0</x:v>
      </x:c>
    </x:row>
    <x:row r="1457">
      <x:c r="A1457" t="inlineStr">
        <x:is>
          <x:t xml:space="preserve">MTPRACROD011</x:t>
        </x:is>
      </x:c>
      <x:c r="B1457" t="inlineStr">
        <x:is>
          <x:t xml:space="preserve">RODILLO CERDA (22 x 75)</x:t>
        </x:is>
      </x:c>
      <x:c r="E1457" t="n">
        <x:v>43</x:v>
      </x:c>
    </x:row>
    <x:row r="1458">
      <x:c r="A1458" t="inlineStr">
        <x:is>
          <x:t xml:space="preserve">MTPRACROD012</x:t>
        </x:is>
      </x:c>
      <x:c r="B1458" t="inlineStr">
        <x:is>
          <x:t xml:space="preserve">RODILLO CERDA (22 x 150)</x:t>
        </x:is>
      </x:c>
      <x:c r="E1458" t="n">
        <x:v>36</x:v>
      </x:c>
    </x:row>
    <x:row r="1459">
      <x:c r="A1459" t="inlineStr">
        <x:is>
          <x:t xml:space="preserve">MTPRACROD013</x:t>
        </x:is>
      </x:c>
      <x:c r="B1459" t="inlineStr">
        <x:is>
          <x:t xml:space="preserve">RODILLO CERDA (28 x 75)</x:t>
        </x:is>
      </x:c>
      <x:c r="E1459" t="n">
        <x:v>0</x:v>
      </x:c>
    </x:row>
    <x:row r="1460">
      <x:c r="A1460" t="inlineStr">
        <x:is>
          <x:t xml:space="preserve">MTPRACROD014</x:t>
        </x:is>
      </x:c>
      <x:c r="B1460" t="inlineStr">
        <x:is>
          <x:t xml:space="preserve">RODILLO CERDA (28 x 150)</x:t>
        </x:is>
      </x:c>
      <x:c r="E1460" t="n">
        <x:v>0</x:v>
      </x:c>
    </x:row>
    <x:row r="1461">
      <x:c r="A1461" t="inlineStr">
        <x:is>
          <x:t xml:space="preserve">MTPRACROD015</x:t>
        </x:is>
      </x:c>
      <x:c r="B1461" t="inlineStr">
        <x:is>
          <x:t xml:space="preserve">RODILLO CERDA (25 X 150)</x:t>
        </x:is>
      </x:c>
      <x:c r="E1461" t="n">
        <x:v>0</x:v>
      </x:c>
    </x:row>
    <x:row r="1462">
      <x:c r="A1462" t="inlineStr">
        <x:is>
          <x:t xml:space="preserve">MTPRACROD016</x:t>
        </x:is>
      </x:c>
      <x:c r="B1462" t="inlineStr">
        <x:is>
          <x:t xml:space="preserve">RODILLO DE CERDA 19X75 MM (CHINO)</x:t>
        </x:is>
      </x:c>
      <x:c r="E1462" t="n">
        <x:v>0</x:v>
      </x:c>
    </x:row>
    <x:row r="1463">
      <x:c r="A1463" t="inlineStr">
        <x:is>
          <x:t xml:space="preserve">MTPRACROD017</x:t>
        </x:is>
      </x:c>
      <x:c r="B1463" t="inlineStr">
        <x:is>
          <x:t xml:space="preserve">RODILLO DE CERDA 19X150 MM (CHINO)</x:t>
        </x:is>
      </x:c>
      <x:c r="E1463" t="n">
        <x:v>0</x:v>
      </x:c>
    </x:row>
    <x:row r="1464">
      <x:c r="A1464" t="inlineStr">
        <x:is>
          <x:t xml:space="preserve">MTPRACROD018</x:t>
        </x:is>
      </x:c>
      <x:c r="B1464" t="inlineStr">
        <x:is>
          <x:t xml:space="preserve">RODILLO DE CERDA 25X75 MM (CHINO)</x:t>
        </x:is>
      </x:c>
      <x:c r="E1464" t="n">
        <x:v>0</x:v>
      </x:c>
    </x:row>
    <x:row r="1465">
      <x:c r="A1465" t="inlineStr">
        <x:is>
          <x:t xml:space="preserve">MTPRACROD019</x:t>
        </x:is>
      </x:c>
      <x:c r="B1465" t="inlineStr">
        <x:is>
          <x:t xml:space="preserve">RODILLO DE CERDA 25X150 MM (CHINO)</x:t>
        </x:is>
      </x:c>
      <x:c r="E1465" t="n">
        <x:v>0</x:v>
      </x:c>
    </x:row>
    <x:row r="1466">
      <x:c r="A1466" t="inlineStr">
        <x:is>
          <x:t xml:space="preserve">MTPRACROD020</x:t>
        </x:is>
      </x:c>
      <x:c r="B1466" t="inlineStr">
        <x:is>
          <x:t xml:space="preserve">RODILLO DE ALUMINIO 13X75 MM (CHINO)</x:t>
        </x:is>
      </x:c>
      <x:c r="E1466" t="n">
        <x:v>0</x:v>
      </x:c>
    </x:row>
    <x:row r="1467">
      <x:c r="A1467" t="inlineStr">
        <x:is>
          <x:t xml:space="preserve">MTPRACROD021</x:t>
        </x:is>
      </x:c>
      <x:c r="B1467" t="inlineStr">
        <x:is>
          <x:t xml:space="preserve">RODILLO DE ALUMINIO 19X75 MM (CHINO)</x:t>
        </x:is>
      </x:c>
      <x:c r="E1467" t="n">
        <x:v>0</x:v>
      </x:c>
    </x:row>
    <x:row r="1468">
      <x:c r="A1468" t="inlineStr">
        <x:is>
          <x:t xml:space="preserve">MTPRACROD022</x:t>
        </x:is>
      </x:c>
      <x:c r="B1468" t="inlineStr">
        <x:is>
          <x:t xml:space="preserve">RODILLO DE ALUMINIO 19X150 MM (CHINO)</x:t>
        </x:is>
      </x:c>
      <x:c r="E1468" t="n">
        <x:v>0</x:v>
      </x:c>
    </x:row>
    <x:row r="1469">
      <x:c r="A1469" t="inlineStr">
        <x:is>
          <x:t xml:space="preserve">MTPRACROD023</x:t>
        </x:is>
      </x:c>
      <x:c r="B1469" t="inlineStr">
        <x:is>
          <x:t xml:space="preserve">RODILLO DE ALUMINIO 25X75 MM (CHINO)</x:t>
        </x:is>
      </x:c>
      <x:c r="E1469" t="n">
        <x:v>0</x:v>
      </x:c>
    </x:row>
    <x:row r="1470">
      <x:c r="A1470" t="inlineStr">
        <x:is>
          <x:t xml:space="preserve">MTPRACROD024</x:t>
        </x:is>
      </x:c>
      <x:c r="B1470" t="inlineStr">
        <x:is>
          <x:t xml:space="preserve">RODILLO DE ACERO 12X75 MM (CHINO)</x:t>
        </x:is>
      </x:c>
      <x:c r="E1470" t="n">
        <x:v>0</x:v>
      </x:c>
    </x:row>
    <x:row r="1471">
      <x:c r="A1471" t="inlineStr">
        <x:is>
          <x:t xml:space="preserve">MTPRACROD025</x:t>
        </x:is>
      </x:c>
      <x:c r="B1471" t="inlineStr">
        <x:is>
          <x:t xml:space="preserve">RODILLO DE ACERO 12X50 MM (CHINO)</x:t>
        </x:is>
      </x:c>
      <x:c r="E1471" t="n">
        <x:v>0</x:v>
      </x:c>
    </x:row>
    <x:row r="1472">
      <x:c r="A1472" t="inlineStr">
        <x:is>
          <x:t xml:space="preserve">MTPRACROD026</x:t>
        </x:is>
      </x:c>
      <x:c r="B1472" t="inlineStr">
        <x:is>
          <x:t xml:space="preserve">RODILLO DE ACERO 14X150 MM (CHINO)</x:t>
        </x:is>
      </x:c>
      <x:c r="E1472" t="n">
        <x:v>0</x:v>
      </x:c>
    </x:row>
    <x:row r="1473">
      <x:c r="A1473" t="inlineStr">
        <x:is>
          <x:t xml:space="preserve">MTPRACROD027</x:t>
        </x:is>
      </x:c>
      <x:c r="B1473" t="inlineStr">
        <x:is>
          <x:t xml:space="preserve">RODILLO DE ACERO 19X75 MM (CHINO)</x:t>
        </x:is>
      </x:c>
      <x:c r="E1473" t="n">
        <x:v>0</x:v>
      </x:c>
    </x:row>
    <x:row r="1474">
      <x:c r="A1474" t="inlineStr">
        <x:is>
          <x:t xml:space="preserve">MTPRACROD028</x:t>
        </x:is>
      </x:c>
      <x:c r="B1474" t="inlineStr">
        <x:is>
          <x:t xml:space="preserve">RODILLO DE ACERO 19X150 MM (CHINO)</x:t>
        </x:is>
      </x:c>
      <x:c r="E1474" t="n">
        <x:v>0</x:v>
      </x:c>
    </x:row>
    <x:row r="1475">
      <x:c r="A1475" t="inlineStr">
        <x:is>
          <x:t xml:space="preserve">MTPRACROD029</x:t>
        </x:is>
      </x:c>
      <x:c r="B1475" t="inlineStr">
        <x:is>
          <x:t xml:space="preserve">RODILLO DE ALUMINIO 13X150 MM</x:t>
        </x:is>
      </x:c>
      <x:c r="E1475" t="n">
        <x:v>0</x:v>
      </x:c>
    </x:row>
    <x:row r="1476">
      <x:c r="A1476" t="inlineStr">
        <x:is>
          <x:t xml:space="preserve">MTPRACROD030</x:t>
        </x:is>
      </x:c>
      <x:c r="B1476" t="inlineStr">
        <x:is>
          <x:t xml:space="preserve">RODILLO SINTETICO TIPO 2 DE 14 CM (CHINO)</x:t>
        </x:is>
      </x:c>
      <x:c r="E1476" t="n">
        <x:v>0</x:v>
      </x:c>
    </x:row>
    <x:row r="1477">
      <x:c r="A1477" t="inlineStr">
        <x:is>
          <x:t xml:space="preserve">MTPRACROD031</x:t>
        </x:is>
      </x:c>
      <x:c r="B1477" t="inlineStr">
        <x:is>
          <x:t xml:space="preserve">RODILLO SINTETICO TIPO 2 DE 10 CM (CHINO)</x:t>
        </x:is>
      </x:c>
      <x:c r="E1477" t="n">
        <x:v>0</x:v>
      </x:c>
    </x:row>
    <x:row r="1478">
      <x:c r="A1478" t="inlineStr">
        <x:is>
          <x:t xml:space="preserve">MTPRACROD032</x:t>
        </x:is>
      </x:c>
      <x:c r="B1478" t="inlineStr">
        <x:is>
          <x:t xml:space="preserve">RODILLO  CHIPORRO SINTETICO TIPO 1 DE 18 CM (CHINO)</x:t>
        </x:is>
      </x:c>
      <x:c r="E1478" t="n">
        <x:v>524</x:v>
      </x:c>
    </x:row>
    <x:row r="1479">
      <x:c r="A1479" t="inlineStr">
        <x:is>
          <x:t xml:space="preserve">MTPRACROD033</x:t>
        </x:is>
      </x:c>
      <x:c r="B1479" t="inlineStr">
        <x:is>
          <x:t xml:space="preserve">RODILLO  CHIPORRO SINTETICO TIPO 1 DE 14 CM (CHINO)</x:t>
        </x:is>
      </x:c>
      <x:c r="E1479" t="n">
        <x:v>93</x:v>
      </x:c>
    </x:row>
    <x:row r="1480">
      <x:c r="A1480" t="inlineStr">
        <x:is>
          <x:t xml:space="preserve">MTPRACROD034</x:t>
        </x:is>
      </x:c>
      <x:c r="B1480" t="inlineStr">
        <x:is>
          <x:t xml:space="preserve">RODILLO  CHIPORRO SINTETICO TIPO 1 DE 10 CM (CHINO)</x:t>
        </x:is>
      </x:c>
      <x:c r="E1480" t="n">
        <x:v>466</x:v>
      </x:c>
    </x:row>
    <x:row r="1481">
      <x:c r="A1481" t="inlineStr">
        <x:is>
          <x:t xml:space="preserve">MTPRACROD035</x:t>
        </x:is>
      </x:c>
      <x:c r="B1481" t="inlineStr">
        <x:is>
          <x:t xml:space="preserve">RODILLO BURBUJERO METALICO 24 X 100 (CHINO) PUNTOS</x:t>
        </x:is>
      </x:c>
      <x:c r="E1481" t="n">
        <x:v>4</x:v>
      </x:c>
    </x:row>
    <x:row r="1482">
      <x:c r="A1482" t="inlineStr">
        <x:is>
          <x:t xml:space="preserve">MTPRACROD036</x:t>
        </x:is>
      </x:c>
      <x:c r="B1482" t="inlineStr">
        <x:is>
          <x:t xml:space="preserve">RODILLO BURBUJERO METALICO 24 X 50 (CHINO) PUNTOS</x:t>
        </x:is>
      </x:c>
      <x:c r="E1482" t="n">
        <x:v>26</x:v>
      </x:c>
    </x:row>
    <x:row r="1483">
      <x:c r="A1483" t="inlineStr">
        <x:is>
          <x:t xml:space="preserve">MTPRACROD037</x:t>
        </x:is>
      </x:c>
      <x:c r="B1483" t="inlineStr">
        <x:is>
          <x:t xml:space="preserve">RODILLO ACERO 25X75 (CHINO)</x:t>
        </x:is>
      </x:c>
      <x:c r="E1483" t="n">
        <x:v>0</x:v>
      </x:c>
    </x:row>
    <x:row r="1484">
      <x:c r="A1484" t="inlineStr">
        <x:is>
          <x:t xml:space="preserve">MTPRACROD038</x:t>
        </x:is>
      </x:c>
      <x:c r="B1484" t="inlineStr">
        <x:is>
          <x:t xml:space="preserve">RODILLO ACERO 10X75 (CHINO)</x:t>
        </x:is>
      </x:c>
      <x:c r="E1484" t="n">
        <x:v>0</x:v>
      </x:c>
    </x:row>
    <x:row r="1485">
      <x:c r="A1485" t="inlineStr">
        <x:is>
          <x:t xml:space="preserve">MTPRACROD039</x:t>
        </x:is>
      </x:c>
      <x:c r="B1485" t="inlineStr">
        <x:is>
          <x:t xml:space="preserve">RODILLO SINTETICO TIPO 2 DE 18 CM (CHINO)</x:t>
        </x:is>
      </x:c>
      <x:c r="E1485" t="n">
        <x:v>0</x:v>
      </x:c>
    </x:row>
    <x:row r="1486">
      <x:c r="A1486" t="inlineStr">
        <x:is>
          <x:t xml:space="preserve">MTPRACROD040</x:t>
        </x:is>
      </x:c>
      <x:c r="B1486" t="inlineStr">
        <x:is>
          <x:t xml:space="preserve">RODILLO BURBUJERO  CERDA  25 X 75  (CHINO)</x:t>
        </x:is>
      </x:c>
      <x:c r="E1486" t="n">
        <x:v>0</x:v>
      </x:c>
    </x:row>
    <x:row r="1487">
      <x:c r="A1487" t="inlineStr">
        <x:is>
          <x:t xml:space="preserve">MTPRACROD041</x:t>
        </x:is>
      </x:c>
      <x:c r="B1487" t="inlineStr">
        <x:is>
          <x:t xml:space="preserve">RODILLO BURBUJERO  CERDA  19 X 75  (CHINO)</x:t>
        </x:is>
      </x:c>
      <x:c r="E1487" t="n">
        <x:v>5</x:v>
      </x:c>
    </x:row>
    <x:row r="1488">
      <x:c r="A1488" t="inlineStr">
        <x:is>
          <x:t xml:space="preserve">MTPSEFHIL001</x:t>
        </x:is>
      </x:c>
      <x:c r="B1488" t="inlineStr">
        <x:is>
          <x:t xml:space="preserve">HILADO KEVLAR TWARON ARAMID FILAMETN YARN 1030</x:t>
        </x:is>
      </x:c>
      <x:c r="E1488" t="n">
        <x:v>0</x:v>
      </x:c>
    </x:row>
    <x:row r="1489">
      <x:c r="A1489" t="inlineStr">
        <x:is>
          <x:t xml:space="preserve">MTPSEFHIL002</x:t>
        </x:is>
      </x:c>
      <x:c r="B1489" t="inlineStr">
        <x:is>
          <x:t xml:space="preserve">HILADO PM1 (AG1) TUBULAR FIBRA DE VIDRIO/ACRILICO YARN</x:t>
        </x:is>
      </x:c>
      <x:c r="E1489" t="n">
        <x:v>226.5</x:v>
      </x:c>
    </x:row>
    <x:row r="1490">
      <x:c r="A1490" t="inlineStr">
        <x:is>
          <x:t xml:space="preserve">MTPSEFHIL003</x:t>
        </x:is>
      </x:c>
      <x:c r="B1490" t="inlineStr">
        <x:is>
          <x:t xml:space="preserve">HILADO FIBRA DE VIDRIO FIBERGLAS YAM  (HILADO DE ZETEX)</x:t>
        </x:is>
      </x:c>
      <x:c r="E1490" t="n">
        <x:v>507</x:v>
      </x:c>
    </x:row>
    <x:row r="1491">
      <x:c r="A1491" t="inlineStr">
        <x:is>
          <x:t xml:space="preserve">MTPSEFHIL004</x:t>
        </x:is>
      </x:c>
      <x:c r="B1491" t="inlineStr">
        <x:is>
          <x:t xml:space="preserve">HILADO PARA EMPAQUETADURAS DE TEFLON PURO TYPE 623</x:t>
        </x:is>
      </x:c>
      <x:c r="E1491" t="n">
        <x:v>0</x:v>
      </x:c>
    </x:row>
    <x:row r="1492">
      <x:c r="A1492" t="inlineStr">
        <x:is>
          <x:t xml:space="preserve">MTPSEFHIL005</x:t>
        </x:is>
      </x:c>
      <x:c r="B1492" t="inlineStr">
        <x:is>
          <x:t xml:space="preserve">HILADO LENZING SANDWICH YARN TYPE 925 GS</x:t>
        </x:is>
      </x:c>
      <x:c r="E1492" t="n">
        <x:v>0</x:v>
      </x:c>
    </x:row>
    <x:row r="1493">
      <x:c r="A1493" t="inlineStr">
        <x:is>
          <x:t xml:space="preserve">MTPSEFHIL006</x:t>
        </x:is>
      </x:c>
      <x:c r="B1493" t="inlineStr">
        <x:is>
          <x:t xml:space="preserve">HILADO LENZING PTFE PACKING  YARN TYPE 723</x:t>
        </x:is>
      </x:c>
      <x:c r="E1493" t="n">
        <x:v>0</x:v>
      </x:c>
    </x:row>
    <x:row r="1494">
      <x:c r="A1494" t="inlineStr">
        <x:is>
          <x:t xml:space="preserve">MTPSEFHIL007</x:t>
        </x:is>
      </x:c>
      <x:c r="B1494" t="inlineStr">
        <x:is>
          <x:t xml:space="preserve">HILADO 100 % GFO YARN (CHINO)</x:t>
        </x:is>
      </x:c>
      <x:c r="E1494" t="n">
        <x:v>507</x:v>
      </x:c>
    </x:row>
    <x:row r="1495">
      <x:c r="A1495" t="inlineStr">
        <x:is>
          <x:t xml:space="preserve">MTPSEFHIL008</x:t>
        </x:is>
      </x:c>
      <x:c r="B1495" t="inlineStr">
        <x:is>
          <x:t xml:space="preserve">HILADO GRAFITE PTFE FILAMENT LUB GRAF.2G/MT (723)</x:t>
        </x:is>
      </x:c>
      <x:c r="E1495" t="n">
        <x:v>0</x:v>
      </x:c>
    </x:row>
    <x:row r="1496">
      <x:c r="A1496" t="inlineStr">
        <x:is>
          <x:t xml:space="preserve">MTPSEFIMP001</x:t>
        </x:is>
      </x:c>
      <x:c r="B1496" t="inlineStr">
        <x:is>
          <x:t xml:space="preserve">TEFLON EN SOLUCION 30-B (DRENADO)</x:t>
        </x:is>
      </x:c>
      <x:c r="E1496" t="n">
        <x:v>656.62</x:v>
      </x:c>
    </x:row>
    <x:row r="1497">
      <x:c r="A1497" t="inlineStr">
        <x:is>
          <x:t xml:space="preserve">MTPSEFIMP002</x:t>
        </x:is>
      </x:c>
      <x:c r="B1497" t="inlineStr">
        <x:is>
          <x:t xml:space="preserve">PETROLATHUM</x:t>
        </x:is>
      </x:c>
      <x:c r="E1497" t="n">
        <x:v>0</x:v>
      </x:c>
    </x:row>
    <x:row r="1498">
      <x:c r="A1498" t="inlineStr">
        <x:is>
          <x:t xml:space="preserve">MTPSEFIMP003</x:t>
        </x:is>
      </x:c>
      <x:c r="B1498" t="inlineStr">
        <x:is>
          <x:t xml:space="preserve">VASELINA LIQUIDA ADVANCE DRAKEOL WHITE OIL 85</x:t>
        </x:is>
      </x:c>
      <x:c r="E1498" t="n">
        <x:v>15</x:v>
      </x:c>
    </x:row>
    <x:row r="1499">
      <x:c r="A1499" t="inlineStr">
        <x:is>
          <x:t xml:space="preserve">MTPSEFTEL001</x:t>
        </x:is>
      </x:c>
      <x:c r="B1499" t="inlineStr">
        <x:is>
          <x:t xml:space="preserve">KIT CABLE CALEFACTOR PROTECCIONES TERMICAS COLLAHUASI</x:t>
        </x:is>
      </x:c>
      <x:c r="E1499" t="n">
        <x:v>0</x:v>
      </x:c>
    </x:row>
    <x:row r="1500">
      <x:c r="A1500" t="inlineStr">
        <x:is>
          <x:t xml:space="preserve">MTPTRREPP001</x:t>
        </x:is>
      </x:c>
      <x:c r="B1500" t="inlineStr">
        <x:is>
          <x:t xml:space="preserve">PIJAMA DE ALGODON T/XL</x:t>
        </x:is>
      </x:c>
      <x:c r="E1500" t="n">
        <x:v>0</x:v>
      </x:c>
    </x:row>
    <x:row r="1501">
      <x:c r="A1501" t="inlineStr">
        <x:is>
          <x:t xml:space="preserve">MTPTRREPP002</x:t>
        </x:is>
      </x:c>
      <x:c r="B1501" t="inlineStr">
        <x:is>
          <x:t xml:space="preserve">PIJAMA DE ALGODON T/L</x:t>
        </x:is>
      </x:c>
      <x:c r="E1501" t="n">
        <x:v>0</x:v>
      </x:c>
    </x:row>
    <x:row r="1502">
      <x:c r="A1502" t="inlineStr">
        <x:is>
          <x:t xml:space="preserve">MTPTRREPP003</x:t>
        </x:is>
      </x:c>
      <x:c r="B1502" t="inlineStr">
        <x:is>
          <x:t xml:space="preserve">PIJAMA DE ALGODON T/M</x:t>
        </x:is>
      </x:c>
      <x:c r="E1502" t="n">
        <x:v>0</x:v>
      </x:c>
    </x:row>
    <x:row r="1503">
      <x:c r="A1503" t="inlineStr">
        <x:is>
          <x:t xml:space="preserve">MTPTRREPP004</x:t>
        </x:is>
      </x:c>
      <x:c r="B1503" t="inlineStr">
        <x:is>
          <x:t xml:space="preserve">PIJAMA DE ALGODON T/S</x:t>
        </x:is>
      </x:c>
      <x:c r="E1503" t="n">
        <x:v>0</x:v>
      </x:c>
    </x:row>
    <x:row r="1504">
      <x:c r="A1504" t="inlineStr">
        <x:is>
          <x:t xml:space="preserve">MTPTRREPP005</x:t>
        </x:is>
      </x:c>
      <x:c r="B1504" t="inlineStr">
        <x:is>
          <x:t xml:space="preserve">LENTE 3M VIRTUA SELLADO</x:t>
        </x:is>
      </x:c>
      <x:c r="E1504" t="n">
        <x:v>0</x:v>
      </x:c>
    </x:row>
    <x:row r="1505">
      <x:c r="A1505" t="inlineStr">
        <x:is>
          <x:t xml:space="preserve">MTPTRREPP006</x:t>
        </x:is>
      </x:c>
      <x:c r="B1505" t="inlineStr">
        <x:is>
          <x:t xml:space="preserve">CANDADO BLOQUEO A.LOCK GRIS</x:t>
        </x:is>
      </x:c>
      <x:c r="E1505" t="n">
        <x:v>0</x:v>
      </x:c>
    </x:row>
    <x:row r="1506">
      <x:c r="A1506" t="inlineStr">
        <x:is>
          <x:t xml:space="preserve">MTPTRREPP007</x:t>
        </x:is>
      </x:c>
      <x:c r="B1506" t="inlineStr">
        <x:is>
          <x:t xml:space="preserve">CANDADO ANODIZADO ATOX 205 PLATA</x:t>
        </x:is>
      </x:c>
      <x:c r="E1506" t="n">
        <x:v>0</x:v>
      </x:c>
    </x:row>
    <x:row r="1507">
      <x:c r="A1507" t="inlineStr">
        <x:is>
          <x:t xml:space="preserve">PDTACCTEF001</x:t>
        </x:is>
      </x:c>
      <x:c r="B1507" t="inlineStr">
        <x:is>
          <x:t xml:space="preserve">CARRETE ACERO CARBONO 2 PLG X 400 MM ASTM A 106 SCH 40 INTERIOR PTFE 3 MM BRIDA ANSI B16.5</x:t>
        </x:is>
      </x:c>
      <x:c r="E1507" t="n">
        <x:v>0</x:v>
      </x:c>
    </x:row>
    <x:row r="1508">
      <x:c r="A1508" t="inlineStr">
        <x:is>
          <x:t xml:space="preserve">PDTACCTEF002</x:t>
        </x:is>
      </x:c>
      <x:c r="B1508" t="inlineStr">
        <x:is>
          <x:t xml:space="preserve">TEE REDUCCION DIAM.4 PLG X 2 PLG LGO STANDAR ACERO CARBONO REVESTIDO PTFE 3 MM</x:t>
        </x:is>
      </x:c>
      <x:c r="E1508" t="n">
        <x:v>0</x:v>
      </x:c>
    </x:row>
    <x:row r="1509">
      <x:c r="A1509" t="inlineStr">
        <x:is>
          <x:t xml:space="preserve">PDTACCTEF003</x:t>
        </x:is>
      </x:c>
      <x:c r="B1509" t="inlineStr">
        <x:is>
          <x:t xml:space="preserve">CAÑERIA ACERO SCH 40 CONB PTFE INTERIOR FLANGES CLASE 150 2440 MM X 1 PLG DIAM.</x:t>
        </x:is>
      </x:c>
      <x:c r="E1509" t="n">
        <x:v>0</x:v>
      </x:c>
    </x:row>
    <x:row r="1510">
      <x:c r="A1510" t="inlineStr">
        <x:is>
          <x:t xml:space="preserve">PDTACCTEF004</x:t>
        </x:is>
      </x:c>
      <x:c r="B1510" t="inlineStr">
        <x:is>
          <x:t xml:space="preserve">VALVULA DE DIAFRAGMA ACERO REVESTIDA PFA DN 250</x:t>
        </x:is>
      </x:c>
      <x:c r="E1510" t="n">
        <x:v>0</x:v>
      </x:c>
    </x:row>
    <x:row r="1511">
      <x:c r="A1511" t="inlineStr">
        <x:is>
          <x:t xml:space="preserve">PDTACCTEF005</x:t>
        </x:is>
      </x:c>
      <x:c r="B1511" t="inlineStr">
        <x:is>
          <x:t xml:space="preserve">SPOOL ACERO CARBONO REVESTIDO PTFE DN 25 L2986 MM CON UN FLANGE LOCO PLANO 2329-PL-P-004 REV1</x:t>
        </x:is>
      </x:c>
      <x:c r="E1511" t="n">
        <x:v>0</x:v>
      </x:c>
    </x:row>
    <x:row r="1512">
      <x:c r="A1512" t="inlineStr">
        <x:is>
          <x:t xml:space="preserve">PDTACCTEF006</x:t>
        </x:is>
      </x:c>
      <x:c r="B1512" t="inlineStr">
        <x:is>
          <x:t xml:space="preserve">SPOOL ACERO CARBONO REVESTIDO PTFE DN 25 L2030 MM CON UN FLANGE LOCO PLANO 2329-PL-P-005 REV1</x:t>
        </x:is>
      </x:c>
      <x:c r="E1512" t="n">
        <x:v>0</x:v>
      </x:c>
    </x:row>
    <x:row r="1513">
      <x:c r="A1513" t="inlineStr">
        <x:is>
          <x:t xml:space="preserve">PDTACCTEF007</x:t>
        </x:is>
      </x:c>
      <x:c r="B1513" t="inlineStr">
        <x:is>
          <x:t xml:space="preserve">SPOOL ACERO CARBONO REVESTIDO PTFE DN 100 L202 MM CON UN FLANGE LOCO PLANO 2329-PL-P-003 REV1</x:t>
        </x:is>
      </x:c>
      <x:c r="E1513" t="n">
        <x:v>0</x:v>
      </x:c>
    </x:row>
    <x:row r="1514">
      <x:c r="A1514" t="inlineStr">
        <x:is>
          <x:t xml:space="preserve">PDTACCTEF008</x:t>
        </x:is>
      </x:c>
      <x:c r="B1514" t="inlineStr">
        <x:is>
          <x:t xml:space="preserve">SPOOL ACERO CARBONO REVESTIDO PTFE DN 50 L170 MM CON UN FLANGE LOCO PLANO 2329-PL-P-006 REV0</x:t>
        </x:is>
      </x:c>
      <x:c r="E1514" t="n">
        <x:v>0</x:v>
      </x:c>
    </x:row>
    <x:row r="1515">
      <x:c r="A1515" t="inlineStr">
        <x:is>
          <x:t xml:space="preserve">PDTACCTEF009</x:t>
        </x:is>
      </x:c>
      <x:c r="B1515" t="inlineStr">
        <x:is>
          <x:t xml:space="preserve">TEE REDUCCIOON ACERO TEFLON  3X1 PLG  S/PLANO 2329-PL-P-004-REV1</x:t>
        </x:is>
      </x:c>
      <x:c r="E1515" t="n">
        <x:v>0</x:v>
      </x:c>
    </x:row>
    <x:row r="1516">
      <x:c r="A1516" t="inlineStr">
        <x:is>
          <x:t xml:space="preserve">PDTACCTEF010</x:t>
        </x:is>
      </x:c>
      <x:c r="B1516" t="inlineStr">
        <x:is>
          <x:t xml:space="preserve">TEE REDUCCION ACERO TEFLON  3X1 PLG  S/PLANO 2329-PL-P-005-REV1</x:t>
        </x:is>
      </x:c>
      <x:c r="E1516" t="n">
        <x:v>0</x:v>
      </x:c>
    </x:row>
    <x:row r="1517">
      <x:c r="A1517" t="inlineStr">
        <x:is>
          <x:t xml:space="preserve">PDTACCTEF011</x:t>
        </x:is>
      </x:c>
      <x:c r="B1517" t="inlineStr">
        <x:is>
          <x:t xml:space="preserve">LIMEA DE ACIDO CLORHIDRICO SPOOL AC/PTFE ( 8 PIEZAS)FUL0919-NV0003 PELAMBRES</x:t>
        </x:is>
      </x:c>
      <x:c r="E1517" t="n">
        <x:v>0</x:v>
      </x:c>
    </x:row>
    <x:row r="1518">
      <x:c r="A1518" t="inlineStr">
        <x:is>
          <x:t xml:space="preserve">PDTACCTEF012</x:t>
        </x:is>
      </x:c>
      <x:c r="B1518" t="inlineStr">
        <x:is>
          <x:t xml:space="preserve">CODO 90° 4 PLG X LGOP STANDAR NORMA ASTM A234 WPB SCH40 INTERIOR CON PFA 3 MM BRIDA ANSI B16.5 CLASE</x:t>
        </x:is>
      </x:c>
      <x:c r="E1518" t="n">
        <x:v>0</x:v>
      </x:c>
    </x:row>
    <x:row r="1519">
      <x:c r="A1519" t="inlineStr">
        <x:is>
          <x:t xml:space="preserve">PDTACCTEF013</x:t>
        </x:is>
      </x:c>
      <x:c r="B1519" t="inlineStr">
        <x:is>
          <x:t xml:space="preserve">TEE REDUCCION  AC/REV.PTFE  DN 100 X 50 MM  C/165 MM</x:t>
        </x:is>
      </x:c>
      <x:c r="E1519" t="n">
        <x:v>0</x:v>
      </x:c>
    </x:row>
    <x:row r="1520">
      <x:c r="A1520" t="inlineStr">
        <x:is>
          <x:t xml:space="preserve">PDTACCTEF014</x:t>
        </x:is>
      </x:c>
      <x:c r="B1520" t="inlineStr">
        <x:is>
          <x:t xml:space="preserve">CODO 90° AC/REVEST PTFE DN50  C/114 MM</x:t>
        </x:is>
      </x:c>
      <x:c r="E1520" t="n">
        <x:v>0</x:v>
      </x:c>
    </x:row>
    <x:row r="1521">
      <x:c r="A1521" t="inlineStr">
        <x:is>
          <x:t xml:space="preserve">PDTACCTEF015</x:t>
        </x:is>
      </x:c>
      <x:c r="B1521" t="inlineStr">
        <x:is>
          <x:t xml:space="preserve">SPOOL AC/PTFE DN50 L-300 MM</x:t>
        </x:is>
      </x:c>
      <x:c r="E1521" t="n">
        <x:v>0</x:v>
      </x:c>
    </x:row>
    <x:row r="1522">
      <x:c r="A1522" t="inlineStr">
        <x:is>
          <x:t xml:space="preserve">PDTACCTEF016</x:t>
        </x:is>
      </x:c>
      <x:c r="B1522" t="inlineStr">
        <x:is>
          <x:t xml:space="preserve">SPOOL AC/PTFE DN50 L-500 MM</x:t>
        </x:is>
      </x:c>
      <x:c r="E1522" t="n">
        <x:v>0</x:v>
      </x:c>
    </x:row>
    <x:row r="1523">
      <x:c r="A1523" t="inlineStr">
        <x:is>
          <x:t xml:space="preserve">PDTACCTEF017</x:t>
        </x:is>
      </x:c>
      <x:c r="B1523" t="inlineStr">
        <x:is>
          <x:t xml:space="preserve">TEE 2 PLG X 288 MM X 144 MM CLASE 150 AC/PTFE ASTM A234 ANSI B16,5  1143586</x:t>
        </x:is>
      </x:c>
      <x:c r="E1523" t="n">
        <x:v>0</x:v>
      </x:c>
    </x:row>
    <x:row r="1524">
      <x:c r="A1524" t="inlineStr">
        <x:is>
          <x:t xml:space="preserve">PDTACCTEF018</x:t>
        </x:is>
      </x:c>
      <x:c r="B1524" t="inlineStr">
        <x:is>
          <x:t xml:space="preserve">SPOOL AC/PTFE DN25 ANSI CLASE 150 (19 PIEZAS) FUL0321-NV0011 PELAMBRES</x:t>
        </x:is>
      </x:c>
      <x:c r="E1524" t="n">
        <x:v>0</x:v>
      </x:c>
    </x:row>
    <x:row r="1525">
      <x:c r="A1525" t="inlineStr">
        <x:is>
          <x:t xml:space="preserve">PDTACCTEF019</x:t>
        </x:is>
      </x:c>
      <x:c r="B1525" t="inlineStr">
        <x:is>
          <x:t xml:space="preserve">CARRETE ACERO CARBONO/PTFE  2 PLG X 2568 MM ASTM A 106 SCH 40 INTERIOR PTFE 3 MM BRIDA ANSI B16.5</x:t>
        </x:is>
      </x:c>
      <x:c r="E1525" t="n">
        <x:v>0</x:v>
      </x:c>
    </x:row>
    <x:row r="1526">
      <x:c r="A1526" t="inlineStr">
        <x:is>
          <x:t xml:space="preserve">PDTACCTEF020</x:t>
        </x:is>
      </x:c>
      <x:c r="B1526" t="inlineStr">
        <x:is>
          <x:t xml:space="preserve">TEE ESPECIAl AC/PTFE DN25XDN80XDN25 C/FLAGES SUELTOS ANSI CLASE 150 AVANCE 174 MM  11185144 PELAMBRE</x:t>
        </x:is>
      </x:c>
      <x:c r="E1526" t="n">
        <x:v>0</x:v>
      </x:c>
    </x:row>
    <x:row r="1527">
      <x:c r="A1527" t="inlineStr">
        <x:is>
          <x:t xml:space="preserve">PDTACCTEF021</x:t>
        </x:is>
      </x:c>
      <x:c r="B1527" t="inlineStr">
        <x:is>
          <x:t xml:space="preserve">REDUCCION CONCENTRICA  AC/PTFE 4X3 AVANCE 152 MM ANSI B16,5 CLASE 150 1 FL/LOCO</x:t>
        </x:is>
      </x:c>
      <x:c r="E1527" t="n">
        <x:v>0</x:v>
      </x:c>
    </x:row>
    <x:row r="1528">
      <x:c r="A1528" t="inlineStr">
        <x:is>
          <x:t xml:space="preserve">PDTACCTEF022</x:t>
        </x:is>
      </x:c>
      <x:c r="B1528" t="inlineStr">
        <x:is>
          <x:t xml:space="preserve">SPOOL ACC/PTFE DN25 L3000 MM</x:t>
        </x:is>
      </x:c>
      <x:c r="E1528" t="n">
        <x:v>0</x:v>
      </x:c>
    </x:row>
    <x:row r="1529">
      <x:c r="A1529" t="inlineStr">
        <x:is>
          <x:t xml:space="preserve">PDTACCTEF023</x:t>
        </x:is>
      </x:c>
      <x:c r="B1529" t="inlineStr">
        <x:is>
          <x:t xml:space="preserve">SPOOL ACC/PTFE DN50 L3000 MM</x:t>
        </x:is>
      </x:c>
      <x:c r="E1529" t="n">
        <x:v>0</x:v>
      </x:c>
    </x:row>
    <x:row r="1530">
      <x:c r="A1530" t="inlineStr">
        <x:is>
          <x:t xml:space="preserve">PDTACCTEF024</x:t>
        </x:is>
      </x:c>
      <x:c r="B1530" t="inlineStr">
        <x:is>
          <x:t xml:space="preserve">SPOOL ACC/PTFE DN80 L3000 MM</x:t>
        </x:is>
      </x:c>
      <x:c r="E1530" t="n">
        <x:v>0</x:v>
      </x:c>
    </x:row>
    <x:row r="1531">
      <x:c r="A1531" t="inlineStr">
        <x:is>
          <x:t xml:space="preserve">PDTACCTEF025</x:t>
        </x:is>
      </x:c>
      <x:c r="B1531" t="inlineStr">
        <x:is>
          <x:t xml:space="preserve">SPOOL ACC/PTFE DN100  L3000 MM</x:t>
        </x:is>
      </x:c>
      <x:c r="E1531" t="n">
        <x:v>0</x:v>
      </x:c>
    </x:row>
    <x:row r="1532">
      <x:c r="A1532" t="inlineStr">
        <x:is>
          <x:t xml:space="preserve">PDTACCTEF026</x:t>
        </x:is>
      </x:c>
      <x:c r="B1532" t="inlineStr">
        <x:is>
          <x:t xml:space="preserve">SPOOL ACC/PTFE DN150  L3000 MM</x:t>
        </x:is>
      </x:c>
      <x:c r="E1532" t="n">
        <x:v>0</x:v>
      </x:c>
    </x:row>
    <x:row r="1533">
      <x:c r="A1533" t="inlineStr">
        <x:is>
          <x:t xml:space="preserve">PDTACCTEF027</x:t>
        </x:is>
      </x:c>
      <x:c r="B1533" t="inlineStr">
        <x:is>
          <x:t xml:space="preserve">CODO 90° AC/PTFE DN25 C/F92MM</x:t>
        </x:is>
      </x:c>
      <x:c r="E1533" t="n">
        <x:v>0</x:v>
      </x:c>
    </x:row>
    <x:row r="1534">
      <x:c r="A1534" t="inlineStr">
        <x:is>
          <x:t xml:space="preserve">PDTACCTEF028</x:t>
        </x:is>
      </x:c>
      <x:c r="B1534" t="inlineStr">
        <x:is>
          <x:t xml:space="preserve">CODO 90° AC/PTFE DN50 C/F92MM</x:t>
        </x:is>
      </x:c>
      <x:c r="E1534" t="n">
        <x:v>0</x:v>
      </x:c>
    </x:row>
    <x:row r="1535">
      <x:c r="A1535" t="inlineStr">
        <x:is>
          <x:t xml:space="preserve">PDTACCTEF029</x:t>
        </x:is>
      </x:c>
      <x:c r="B1535" t="inlineStr">
        <x:is>
          <x:t xml:space="preserve">CODO 90° AC/PTFE DN80 C/F92MM</x:t>
        </x:is>
      </x:c>
      <x:c r="E1535" t="n">
        <x:v>0</x:v>
      </x:c>
    </x:row>
    <x:row r="1536">
      <x:c r="A1536" t="inlineStr">
        <x:is>
          <x:t xml:space="preserve">PDTACCTEF030</x:t>
        </x:is>
      </x:c>
      <x:c r="B1536" t="inlineStr">
        <x:is>
          <x:t xml:space="preserve">CODO 90° AC/PTFE DN100 C/F92MM</x:t>
        </x:is>
      </x:c>
      <x:c r="E1536" t="n">
        <x:v>0</x:v>
      </x:c>
    </x:row>
    <x:row r="1537">
      <x:c r="A1537" t="inlineStr">
        <x:is>
          <x:t xml:space="preserve">PDTACCTEF031</x:t>
        </x:is>
      </x:c>
      <x:c r="B1537" t="inlineStr">
        <x:is>
          <x:t xml:space="preserve">CODO 90° AC/PTFE DN150 C/F92MM</x:t>
        </x:is>
      </x:c>
      <x:c r="E1537" t="n">
        <x:v>0</x:v>
      </x:c>
    </x:row>
    <x:row r="1538">
      <x:c r="A1538" t="inlineStr">
        <x:is>
          <x:t xml:space="preserve">PDTACCTEF032</x:t>
        </x:is>
      </x:c>
      <x:c r="B1538" t="inlineStr">
        <x:is>
          <x:t xml:space="preserve">TEE AC/PTFE DN50 C/F114MM</x:t>
        </x:is>
      </x:c>
      <x:c r="E1538" t="n">
        <x:v>0</x:v>
      </x:c>
    </x:row>
    <x:row r="1539">
      <x:c r="A1539" t="inlineStr">
        <x:is>
          <x:t xml:space="preserve">PDTACCTEF033</x:t>
        </x:is>
      </x:c>
      <x:c r="B1539" t="inlineStr">
        <x:is>
          <x:t xml:space="preserve">TEE AC/PTFE DN100 C/F165MM</x:t>
        </x:is>
      </x:c>
      <x:c r="E1539" t="n">
        <x:v>0</x:v>
      </x:c>
    </x:row>
    <x:row r="1540">
      <x:c r="A1540" t="inlineStr">
        <x:is>
          <x:t xml:space="preserve">PDTACCTEF034</x:t>
        </x:is>
      </x:c>
      <x:c r="B1540" t="inlineStr">
        <x:is>
          <x:t xml:space="preserve">LINER PTFE OD28 T2MM L3000MM</x:t>
        </x:is>
      </x:c>
      <x:c r="E1540" t="n">
        <x:v>0</x:v>
      </x:c>
    </x:row>
    <x:row r="1541">
      <x:c r="A1541" t="inlineStr">
        <x:is>
          <x:t xml:space="preserve">PDTACCTEF035</x:t>
        </x:is>
      </x:c>
      <x:c r="B1541" t="inlineStr">
        <x:is>
          <x:t xml:space="preserve">LINER PTFE OD51 T2,5MM L3000MM</x:t>
        </x:is>
      </x:c>
      <x:c r="E1541" t="n">
        <x:v>0</x:v>
      </x:c>
    </x:row>
    <x:row r="1542">
      <x:c r="A1542" t="inlineStr">
        <x:is>
          <x:t xml:space="preserve">PDTACCTEF036</x:t>
        </x:is>
      </x:c>
      <x:c r="B1542" t="inlineStr">
        <x:is>
          <x:t xml:space="preserve">LINER PTFE OD81 T3MM L3000MM</x:t>
        </x:is>
      </x:c>
      <x:c r="E1542" t="n">
        <x:v>0</x:v>
      </x:c>
    </x:row>
    <x:row r="1543">
      <x:c r="A1543" t="inlineStr">
        <x:is>
          <x:t xml:space="preserve">PDTACCTEF037</x:t>
        </x:is>
      </x:c>
      <x:c r="B1543" t="inlineStr">
        <x:is>
          <x:t xml:space="preserve">LINER PTFE OD100 T3MM L3000MM</x:t>
        </x:is>
      </x:c>
      <x:c r="E1543" t="n">
        <x:v>0</x:v>
      </x:c>
    </x:row>
    <x:row r="1544">
      <x:c r="A1544" t="inlineStr">
        <x:is>
          <x:t xml:space="preserve">PDTACCTEF038</x:t>
        </x:is>
      </x:c>
      <x:c r="B1544" t="inlineStr">
        <x:is>
          <x:t xml:space="preserve">LINER PTFE OD149 T4MM L3000MM</x:t>
        </x:is>
      </x:c>
      <x:c r="E1544" t="n">
        <x:v>0</x:v>
      </x:c>
    </x:row>
    <x:row r="1545">
      <x:c r="A1545" t="inlineStr">
        <x:is>
          <x:t xml:space="preserve">PDTACCTEF039</x:t>
        </x:is>
      </x:c>
      <x:c r="B1545" t="inlineStr">
        <x:is>
          <x:t xml:space="preserve">SPOOL ACERO CARBONO REVESTIDO PTFE 2PLG X 300 MM S/PLANO 26148-200-P4-0586-00501 TAG 0586-ZP-02245</x:t>
        </x:is>
      </x:c>
      <x:c r="E1545" t="n">
        <x:v>0</x:v>
      </x:c>
    </x:row>
    <x:row r="1546">
      <x:c r="A1546" t="inlineStr">
        <x:is>
          <x:t xml:space="preserve">PDTACCTEF040</x:t>
        </x:is>
      </x:c>
      <x:c r="B1546" t="inlineStr">
        <x:is>
          <x:t xml:space="preserve">SPOOL AC/PTFE DN25 LGO 2000 MM F/LOCOS ANSI CLASE 150 (11182665)</x:t>
        </x:is>
      </x:c>
      <x:c r="E1546" t="n">
        <x:v>2</x:v>
      </x:c>
    </x:row>
    <x:row r="1547">
      <x:c r="A1547" t="inlineStr">
        <x:is>
          <x:t xml:space="preserve">PDTACCTEF041</x:t>
        </x:is>
      </x:c>
      <x:c r="B1547" t="inlineStr">
        <x:is>
          <x:t xml:space="preserve">SPOOL AC/PTFE DN25 LGO 2151 MM F/LOCOS ANSI CLASE 150 (11182664)</x:t>
        </x:is>
      </x:c>
      <x:c r="E1547" t="n">
        <x:v>0</x:v>
      </x:c>
    </x:row>
    <x:row r="1548">
      <x:c r="A1548" t="inlineStr">
        <x:is>
          <x:t xml:space="preserve">PDTACCTEF042</x:t>
        </x:is>
      </x:c>
      <x:c r="B1548" t="inlineStr">
        <x:is>
          <x:t xml:space="preserve">CODO ACC/PTFE  3 MM A234 SCH40 DN 4 INCH BRIDASS ANSI B16.5 CL 150 AVANCE 165MM (1143588)</x:t>
        </x:is>
      </x:c>
      <x:c r="E1548" t="n">
        <x:v>0</x:v>
      </x:c>
    </x:row>
    <x:row r="1549">
      <x:c r="A1549" t="inlineStr">
        <x:is>
          <x:t xml:space="preserve">PDTACCTEF043</x:t>
        </x:is>
      </x:c>
      <x:c r="B1549" t="inlineStr">
        <x:is>
          <x:t xml:space="preserve">SPOOL ACC/PTFE IMPORTACION 74571 RLS1122-NV0004 LOMAS BAYAS</x:t>
        </x:is>
      </x:c>
      <x:c r="E1549" t="n">
        <x:v>0</x:v>
      </x:c>
    </x:row>
    <x:row r="1550">
      <x:c r="A1550" t="inlineStr">
        <x:is>
          <x:t xml:space="preserve">PDTACCTEF044</x:t>
        </x:is>
      </x:c>
      <x:c r="B1550" t="inlineStr">
        <x:is>
          <x:t xml:space="preserve">SPOOL AC/PTFE LOMAS BAYAS OC-4500349043 RLS1122-NV0004</x:t>
        </x:is>
      </x:c>
      <x:c r="E1550" t="n">
        <x:v>0</x:v>
      </x:c>
    </x:row>
    <x:row r="1551">
      <x:c r="A1551" t="inlineStr">
        <x:is>
          <x:t xml:space="preserve">PDTACCTEF045</x:t>
        </x:is>
      </x:c>
      <x:c r="B1551" t="inlineStr">
        <x:is>
          <x:t xml:space="preserve">LINES ACERO TEFLON MINERA LOS PELAMBRES FUL1122-NV0005</x:t>
        </x:is>
      </x:c>
      <x:c r="E1551" t="n">
        <x:v>0</x:v>
      </x:c>
    </x:row>
    <x:row r="1552">
      <x:c r="A1552" t="inlineStr">
        <x:is>
          <x:t xml:space="preserve">PDTACCTEF046</x:t>
        </x:is>
      </x:c>
      <x:c r="B1552" t="inlineStr">
        <x:is>
          <x:t xml:space="preserve">COD 1117028 REDUCTOR TUBE T;INSTRUMENTACION DIA 6 PLG X 1 PLG</x:t>
        </x:is>
      </x:c>
      <x:c r="E1552" t="n">
        <x:v>0</x:v>
      </x:c>
    </x:row>
    <x:row r="1553">
      <x:c r="A1553" t="inlineStr">
        <x:is>
          <x:t xml:space="preserve">PDTACCTEF047</x:t>
        </x:is>
      </x:c>
      <x:c r="B1553" t="inlineStr">
        <x:is>
          <x:t xml:space="preserve">COD 1117029 REDUCTOR TUBE T ;INSTUMENTACION DIA 6 PLG X 1 PLG</x:t>
        </x:is>
      </x:c>
      <x:c r="E1553" t="n">
        <x:v>0</x:v>
      </x:c>
    </x:row>
    <x:row r="1554">
      <x:c r="A1554" t="inlineStr">
        <x:is>
          <x:t xml:space="preserve">PDTACCTEF048</x:t>
        </x:is>
      </x:c>
      <x:c r="B1554" t="inlineStr">
        <x:is>
          <x:t xml:space="preserve">FLEXIBLE SS PTFE 1 PLG X L 410 MM  C/FLANGE LOOSE</x:t>
        </x:is>
      </x:c>
      <x:c r="E1554" t="n">
        <x:v>0</x:v>
      </x:c>
    </x:row>
    <x:row r="1555">
      <x:c r="A1555" t="inlineStr">
        <x:is>
          <x:t xml:space="preserve">PDTACCTEF049</x:t>
        </x:is>
      </x:c>
      <x:c r="B1555" t="inlineStr">
        <x:is>
          <x:t xml:space="preserve">REDUCCION CONCENTRICA 3 X 1 L 152 CLASE 150 PTFE</x:t>
        </x:is>
      </x:c>
      <x:c r="E1555" t="n">
        <x:v>0</x:v>
      </x:c>
    </x:row>
    <x:row r="1556">
      <x:c r="A1556" t="inlineStr">
        <x:is>
          <x:t xml:space="preserve">PDTACCTEF050</x:t>
        </x:is>
      </x:c>
      <x:c r="B1556" t="inlineStr">
        <x:is>
          <x:t xml:space="preserve">COD 1117001 TUBERIA ROLLO;NOM 152,4 MM,BRIDA,SCH 40</x:t>
        </x:is>
      </x:c>
      <x:c r="E1556" t="n">
        <x:v>0</x:v>
      </x:c>
    </x:row>
    <x:row r="1557">
      <x:c r="A1557" t="inlineStr">
        <x:is>
          <x:t xml:space="preserve">PDTACCTEF051</x:t>
        </x:is>
      </x:c>
      <x:c r="B1557" t="inlineStr">
        <x:is>
          <x:t xml:space="preserve">COD 1143582 TUBERIA ROLLO;NOM 50.8 MM , BRIDA.SCH 40 DIA 2 PLG X 2568 MM</x:t>
        </x:is>
      </x:c>
      <x:c r="E1557" t="n">
        <x:v>0</x:v>
      </x:c>
    </x:row>
    <x:row r="1558">
      <x:c r="A1558" t="inlineStr">
        <x:is>
          <x:t xml:space="preserve">PDTACCTEF052</x:t>
        </x:is>
      </x:c>
      <x:c r="B1558" t="inlineStr">
        <x:is>
          <x:t xml:space="preserve">COD 1143581 TUBERIA ROLLO;NOM 50.8 MM , BRIDA.SCH 40 DIA 2 PLG X 400 MM</x:t>
        </x:is>
      </x:c>
      <x:c r="E1558" t="n">
        <x:v>0</x:v>
      </x:c>
    </x:row>
    <x:row r="1559">
      <x:c r="A1559" t="inlineStr">
        <x:is>
          <x:t xml:space="preserve">PDTACCTEF053</x:t>
        </x:is>
      </x:c>
      <x:c r="B1559" t="inlineStr">
        <x:is>
          <x:t xml:space="preserve">1117020 TUBERIA T ESTANDAR NOM 6 IN ,SCH40,3 MM AC/PTFE</x:t>
        </x:is>
      </x:c>
      <x:c r="E1559" t="n">
        <x:v>0</x:v>
      </x:c>
    </x:row>
    <x:row r="1560">
      <x:c r="A1560" t="inlineStr">
        <x:is>
          <x:t xml:space="preserve">PDTACCTEF054</x:t>
        </x:is>
      </x:c>
      <x:c r="B1560" t="inlineStr">
        <x:is>
          <x:t xml:space="preserve">SPOOL ACC/PTFE DN25 L3069 MM</x:t>
        </x:is>
      </x:c>
      <x:c r="E1560" t="n">
        <x:v>0</x:v>
      </x:c>
    </x:row>
    <x:row r="1561">
      <x:c r="A1561" t="inlineStr">
        <x:is>
          <x:t xml:space="preserve">PDTACCTEF055</x:t>
        </x:is>
      </x:c>
      <x:c r="B1561" t="inlineStr">
        <x:is>
          <x:t xml:space="preserve">SPOOL ACC/PTFE DN25 L2315  MM</x:t>
        </x:is>
      </x:c>
      <x:c r="E1561" t="n">
        <x:v>0</x:v>
      </x:c>
    </x:row>
    <x:row r="1562">
      <x:c r="A1562" t="inlineStr">
        <x:is>
          <x:t xml:space="preserve">PDTACCTEF056</x:t>
        </x:is>
      </x:c>
      <x:c r="B1562" t="inlineStr">
        <x:is>
          <x:t xml:space="preserve">SPOOL ACC/PTFE DN25 L1954  MM</x:t>
        </x:is>
      </x:c>
      <x:c r="E1562" t="n">
        <x:v>0</x:v>
      </x:c>
    </x:row>
    <x:row r="1563">
      <x:c r="A1563" t="inlineStr">
        <x:is>
          <x:t xml:space="preserve">PDTACCTEF057</x:t>
        </x:is>
      </x:c>
      <x:c r="B1563" t="inlineStr">
        <x:is>
          <x:t xml:space="preserve">SPOOL ACC/PTFE DN25 L1892  MM</x:t>
        </x:is>
      </x:c>
      <x:c r="E1563" t="n">
        <x:v>0</x:v>
      </x:c>
    </x:row>
    <x:row r="1564">
      <x:c r="A1564" t="inlineStr">
        <x:is>
          <x:t xml:space="preserve">PDTACCTEF058</x:t>
        </x:is>
      </x:c>
      <x:c r="B1564" t="inlineStr">
        <x:is>
          <x:t xml:space="preserve">SPOOL ACC/PTFE DN25 L1530  MM</x:t>
        </x:is>
      </x:c>
      <x:c r="E1564" t="n">
        <x:v>0</x:v>
      </x:c>
    </x:row>
    <x:row r="1565">
      <x:c r="A1565" t="inlineStr">
        <x:is>
          <x:t xml:space="preserve">PDTACCTEF059</x:t>
        </x:is>
      </x:c>
      <x:c r="B1565" t="inlineStr">
        <x:is>
          <x:t xml:space="preserve">SPOOL ACC/PTFE DN25 L264MM</x:t>
        </x:is>
      </x:c>
      <x:c r="E1565" t="n">
        <x:v>1</x:v>
      </x:c>
    </x:row>
    <x:row r="1566">
      <x:c r="A1566" t="inlineStr">
        <x:is>
          <x:t xml:space="preserve">PDTACCTEF060</x:t>
        </x:is>
      </x:c>
      <x:c r="B1566" t="inlineStr">
        <x:is>
          <x:t xml:space="preserve">TEE ACC/PTFE DN25 C/F89MM</x:t>
        </x:is>
      </x:c>
      <x:c r="E1566" t="n">
        <x:v>3</x:v>
      </x:c>
    </x:row>
    <x:row r="1567">
      <x:c r="A1567" t="inlineStr">
        <x:is>
          <x:t xml:space="preserve">PDTACCTEF061</x:t>
        </x:is>
      </x:c>
      <x:c r="B1567" t="inlineStr">
        <x:is>
          <x:t xml:space="preserve">SPOOL ACC/PTFE DN25 L147MM</x:t>
        </x:is>
      </x:c>
      <x:c r="E1567" t="n">
        <x:v>1</x:v>
      </x:c>
    </x:row>
    <x:row r="1568">
      <x:c r="A1568" t="inlineStr">
        <x:is>
          <x:t xml:space="preserve">PDTACCTEF062</x:t>
        </x:is>
      </x:c>
      <x:c r="B1568" t="inlineStr">
        <x:is>
          <x:t xml:space="preserve">SPOOL ACC/PTFE DN25 L100MM</x:t>
        </x:is>
      </x:c>
      <x:c r="E1568" t="n">
        <x:v>1</x:v>
      </x:c>
    </x:row>
    <x:row r="1569">
      <x:c r="A1569" t="inlineStr">
        <x:is>
          <x:t xml:space="preserve">PDTACCTEF063</x:t>
        </x:is>
      </x:c>
      <x:c r="B1569" t="inlineStr">
        <x:is>
          <x:t xml:space="preserve">CODO 90° ACC/PTFE DN25 C/F89MM</x:t>
        </x:is>
      </x:c>
      <x:c r="E1569" t="n">
        <x:v>6</x:v>
      </x:c>
    </x:row>
    <x:row r="1570">
      <x:c r="A1570" t="inlineStr">
        <x:is>
          <x:t xml:space="preserve">PDTACCTEF064</x:t>
        </x:is>
      </x:c>
      <x:c r="B1570" t="inlineStr">
        <x:is>
          <x:t xml:space="preserve">SPOOL ACC/PTFE DN25 L1220MM</x:t>
        </x:is>
      </x:c>
      <x:c r="E1570" t="n">
        <x:v>1</x:v>
      </x:c>
    </x:row>
    <x:row r="1571">
      <x:c r="A1571" t="inlineStr">
        <x:is>
          <x:t xml:space="preserve">PDTACCTEF065</x:t>
        </x:is>
      </x:c>
      <x:c r="B1571" t="inlineStr">
        <x:is>
          <x:t xml:space="preserve">SPOOL ACC/PTFE DN25 L357MM</x:t>
        </x:is>
      </x:c>
      <x:c r="E1571" t="n">
        <x:v>1</x:v>
      </x:c>
    </x:row>
    <x:row r="1572">
      <x:c r="A1572" t="inlineStr">
        <x:is>
          <x:t xml:space="preserve">PDTACCTEF066</x:t>
        </x:is>
      </x:c>
      <x:c r="B1572" t="inlineStr">
        <x:is>
          <x:t xml:space="preserve">SPOOL ACC/PTFE DN25 L2022MM</x:t>
        </x:is>
      </x:c>
      <x:c r="E1572" t="n">
        <x:v>1</x:v>
      </x:c>
    </x:row>
    <x:row r="1573">
      <x:c r="A1573" t="inlineStr">
        <x:is>
          <x:t xml:space="preserve">PDTACCTEF067</x:t>
        </x:is>
      </x:c>
      <x:c r="B1573" t="inlineStr">
        <x:is>
          <x:t xml:space="preserve">SPOOL ACC/PTFE L140MM</x:t>
        </x:is>
      </x:c>
      <x:c r="E1573" t="n">
        <x:v>1</x:v>
      </x:c>
    </x:row>
    <x:row r="1574">
      <x:c r="A1574" t="inlineStr">
        <x:is>
          <x:t xml:space="preserve">PDTACETEF001</x:t>
        </x:is>
      </x:c>
      <x:c r="B1574" t="inlineStr">
        <x:is>
          <x:t xml:space="preserve">SPOOL ACERO CARBONO 2 PLG X 400 MM LG.REVSTIDO EN PTFE</x:t>
        </x:is>
      </x:c>
      <x:c r="E1574" t="n">
        <x:v>0</x:v>
      </x:c>
    </x:row>
    <x:row r="1575">
      <x:c r="A1575" t="inlineStr">
        <x:is>
          <x:t xml:space="preserve">PDTACETEF002</x:t>
        </x:is>
      </x:c>
      <x:c r="B1575" t="inlineStr">
        <x:is>
          <x:t xml:space="preserve">TEE REDUCCION DIAM.4 PLG X 2 PLG LGO STANDAR ACERO CARBONO REVESTIDO PTFE 3 MM</x:t>
        </x:is>
      </x:c>
      <x:c r="E1575" t="n">
        <x:v>0</x:v>
      </x:c>
    </x:row>
    <x:row r="1576">
      <x:c r="A1576" t="inlineStr">
        <x:is>
          <x:t xml:space="preserve">PDTACETEF003</x:t>
        </x:is>
      </x:c>
      <x:c r="B1576" t="inlineStr">
        <x:is>
          <x:t xml:space="preserve">CONJUNTO PIPING AC/PTFE IMORTACION 73480 FUL0222-NV0005 PELAMBRES</x:t>
        </x:is>
      </x:c>
      <x:c r="E1576" t="n">
        <x:v>0</x:v>
      </x:c>
    </x:row>
    <x:row r="1577">
      <x:c r="A1577" t="inlineStr">
        <x:is>
          <x:t xml:space="preserve">PDTACETEF004</x:t>
        </x:is>
      </x:c>
      <x:c r="B1577" t="inlineStr">
        <x:is>
          <x:t xml:space="preserve">CONJUNTO PIPING AC/PTFE IMORTACION 73478 FUL0322-NV0003 PELAMBRES</x:t>
        </x:is>
      </x:c>
      <x:c r="E1577" t="n">
        <x:v>0</x:v>
      </x:c>
    </x:row>
    <x:row r="1578">
      <x:c r="A1578" t="inlineStr">
        <x:is>
          <x:t xml:space="preserve">PDTACETEF005</x:t>
        </x:is>
      </x:c>
      <x:c r="B1578" t="inlineStr">
        <x:is>
          <x:t xml:space="preserve">CONJUNTO PIPING AC/PTFE IMORTACION 73479 FUL0322-NV0000 PELAMBRES  GD 15034 OC 4510159701</x:t>
        </x:is>
      </x:c>
      <x:c r="E1578" t="n">
        <x:v>0</x:v>
      </x:c>
    </x:row>
    <x:row r="1579">
      <x:c r="A1579" t="inlineStr">
        <x:is>
          <x:t xml:space="preserve">PDTACETEF006</x:t>
        </x:is>
      </x:c>
      <x:c r="B1579" t="inlineStr">
        <x:is>
          <x:t xml:space="preserve">CONJUNTO PIPING AC/PTFE IMORTACION 73479 FUL0322-NV0000 PELAMBRES  GD 15036 OC 4510159701</x:t>
        </x:is>
      </x:c>
      <x:c r="E1579" t="n">
        <x:v>0</x:v>
      </x:c>
    </x:row>
    <x:row r="1580">
      <x:c r="A1580" t="inlineStr">
        <x:is>
          <x:t xml:space="preserve">PDTACETEF007</x:t>
        </x:is>
      </x:c>
      <x:c r="B1580" t="inlineStr">
        <x:is>
          <x:t xml:space="preserve">CONJUNTO PIPING AC/PTFE IMORTACION 74828-74829 RRC1122-NV0000 CELU PELAMBRES  GD 15034 OC 4510159701</x:t>
        </x:is>
      </x:c>
      <x:c r="E1580" t="n">
        <x:v>0</x:v>
      </x:c>
    </x:row>
    <x:row r="1581">
      <x:c r="A1581" t="inlineStr">
        <x:is>
          <x:t xml:space="preserve">PDTACETEF008</x:t>
        </x:is>
      </x:c>
      <x:c r="B1581" t="inlineStr">
        <x:is>
          <x:t xml:space="preserve">CONJUNTO PIPING AC/PTFE IMPORTACION 74849 FUL1122-NV0040 PELAMBRES</x:t>
        </x:is>
      </x:c>
      <x:c r="E1581" t="n">
        <x:v>0</x:v>
      </x:c>
    </x:row>
    <x:row r="1582">
      <x:c r="A1582" t="inlineStr">
        <x:is>
          <x:t xml:space="preserve">PDTACETEF009</x:t>
        </x:is>
      </x:c>
      <x:c r="B1582" t="inlineStr">
        <x:is>
          <x:t xml:space="preserve">MEZCLADOR ESTATICO AC/PFA DIA.EXT 535 MM ,DIAM.INT 330 MM (PPT075ACT084</x:t>
        </x:is>
      </x:c>
      <x:c r="E1582" t="n">
        <x:v>0</x:v>
      </x:c>
    </x:row>
    <x:row r="1583">
      <x:c r="A1583" t="inlineStr">
        <x:is>
          <x:t xml:space="preserve">PDTACETEF010</x:t>
        </x:is>
      </x:c>
      <x:c r="B1583" t="inlineStr">
        <x:is>
          <x:t xml:space="preserve">CONJUNTO PIPING AC/PTFE IMORTACION 75962 FUL0921-NV0008 PELAMBRES</x:t>
        </x:is>
      </x:c>
      <x:c r="E1583" t="n">
        <x:v>0</x:v>
      </x:c>
    </x:row>
    <x:row r="1584">
      <x:c r="A1584" t="inlineStr">
        <x:is>
          <x:t xml:space="preserve">PDTACETEF011</x:t>
        </x:is>
      </x:c>
      <x:c r="B1584" t="inlineStr">
        <x:is>
          <x:t xml:space="preserve">SUMINISTRO LINEAS ACERO TEFLON PLANTA CLORACION CMLP</x:t>
        </x:is>
      </x:c>
      <x:c r="E1584" t="n">
        <x:v>0</x:v>
      </x:c>
    </x:row>
    <x:row r="1585">
      <x:c r="A1585" t="inlineStr">
        <x:is>
          <x:t xml:space="preserve">PDTEQU001001</x:t>
        </x:is>
      </x:c>
      <x:c r="B1585" t="inlineStr">
        <x:is>
          <x:t xml:space="preserve">EDUCTOR 14 PLG MODELO C-ED-1-F-05</x:t>
        </x:is>
      </x:c>
      <x:c r="E1585" t="n">
        <x:v>0</x:v>
      </x:c>
    </x:row>
    <x:row r="1586">
      <x:c r="A1586" t="inlineStr">
        <x:is>
          <x:t xml:space="preserve">PDTFRP001001</x:t>
        </x:is>
      </x:c>
      <x:c r="B1586" t="inlineStr">
        <x:is>
          <x:t xml:space="preserve">PLANCHA DE FRP RESINA VINILESTER PV6 900MM X6000MMX2MM</x:t>
        </x:is>
      </x:c>
      <x:c r="E1586" t="n">
        <x:v>94</x:v>
      </x:c>
    </x:row>
    <x:row r="1587">
      <x:c r="A1587" t="inlineStr">
        <x:is>
          <x:t xml:space="preserve">PDTFRP001002</x:t>
        </x:is>
      </x:c>
      <x:c r="B1587" t="inlineStr">
        <x:is>
          <x:t xml:space="preserve">PIEZA ECIAL FRP DN 700 (TIE IN 311 -TP-019) ARAUCO</x:t>
        </x:is>
      </x:c>
      <x:c r="E1587" t="n">
        <x:v>0</x:v>
      </x:c>
    </x:row>
    <x:row r="1588">
      <x:c r="A1588" t="inlineStr">
        <x:is>
          <x:t xml:space="preserve">PDTFRP001003</x:t>
        </x:is>
      </x:c>
      <x:c r="B1588" t="inlineStr">
        <x:is>
          <x:t xml:space="preserve">KIT VENDAJE DN 700 ARAUCO</x:t>
        </x:is>
      </x:c>
      <x:c r="E1588" t="n">
        <x:v>0</x:v>
      </x:c>
    </x:row>
    <x:row r="1589">
      <x:c r="A1589" t="inlineStr">
        <x:is>
          <x:t xml:space="preserve">PDTFRP001004</x:t>
        </x:is>
      </x:c>
      <x:c r="B1589" t="inlineStr">
        <x:is>
          <x:t xml:space="preserve">PIPING ALIMENTACION ANILLO INFERIOR T101A.</x:t>
        </x:is>
      </x:c>
      <x:c r="E1589" t="n">
        <x:v>0</x:v>
      </x:c>
    </x:row>
    <x:row r="1590">
      <x:c r="A1590" t="inlineStr">
        <x:is>
          <x:t xml:space="preserve">PDTFRP001005</x:t>
        </x:is>
      </x:c>
      <x:c r="B1590" t="inlineStr">
        <x:is>
          <x:t xml:space="preserve">PIPING ALIMENTACION ANILLO SUPERIOR T101A.</x:t>
        </x:is>
      </x:c>
      <x:c r="E1590" t="n">
        <x:v>0</x:v>
      </x:c>
    </x:row>
    <x:row r="1591">
      <x:c r="A1591" t="inlineStr">
        <x:is>
          <x:t xml:space="preserve">PDTFRP001006</x:t>
        </x:is>
      </x:c>
      <x:c r="B1591" t="inlineStr">
        <x:is>
          <x:t xml:space="preserve">PIPING ALIMENTACION ANILLO INFERIOR T101B.</x:t>
        </x:is>
      </x:c>
      <x:c r="E1591" t="n">
        <x:v>0</x:v>
      </x:c>
    </x:row>
    <x:row r="1592">
      <x:c r="A1592" t="inlineStr">
        <x:is>
          <x:t xml:space="preserve">PDTFRP001007</x:t>
        </x:is>
      </x:c>
      <x:c r="B1592" t="inlineStr">
        <x:is>
          <x:t xml:space="preserve">PIPING ALIMENTACION ANILLO INFERIOR T101B.</x:t>
        </x:is>
      </x:c>
      <x:c r="E1592" t="n">
        <x:v>0</x:v>
      </x:c>
    </x:row>
    <x:row r="1593">
      <x:c r="A1593" t="inlineStr">
        <x:is>
          <x:t xml:space="preserve">PDTFRP001008</x:t>
        </x:is>
      </x:c>
      <x:c r="B1593" t="inlineStr">
        <x:is>
          <x:t xml:space="preserve">PIPING ALIMENTACION ANILLO INFERIOR TRAMO 2.</x:t>
        </x:is>
      </x:c>
      <x:c r="E1593" t="n">
        <x:v>0</x:v>
      </x:c>
    </x:row>
    <x:row r="1594">
      <x:c r="A1594" t="inlineStr">
        <x:is>
          <x:t xml:space="preserve">PDTFRP001009</x:t>
        </x:is>
      </x:c>
      <x:c r="B1594" t="inlineStr">
        <x:is>
          <x:t xml:space="preserve">BRAZO N° 2 DE MANIFOLD TRAMO D PLANO GCP2T101N022D DUAL LAMINATE</x:t>
        </x:is>
      </x:c>
      <x:c r="E1594" t="n">
        <x:v>0</x:v>
      </x:c>
    </x:row>
    <x:row r="1595">
      <x:c r="A1595" t="inlineStr">
        <x:is>
          <x:t xml:space="preserve">PDTFRP001010</x:t>
        </x:is>
      </x:c>
      <x:c r="B1595" t="inlineStr">
        <x:is>
          <x:t xml:space="preserve">BRAZO N° 3 DE MANIFOLD TRAMO E PLANO GCP2T101N02E DUAL LAMINATE</x:t>
        </x:is>
      </x:c>
      <x:c r="E1595" t="n">
        <x:v>0</x:v>
      </x:c>
    </x:row>
    <x:row r="1596">
      <x:c r="A1596" t="inlineStr">
        <x:is>
          <x:t xml:space="preserve">PDTFRP001011</x:t>
        </x:is>
      </x:c>
      <x:c r="B1596" t="inlineStr">
        <x:is>
          <x:t xml:space="preserve">BRAZO N° 3 DE MANIFOLD TRAMO G PLANO GCP2T101N02G DUAL LAMINATE</x:t>
        </x:is>
      </x:c>
      <x:c r="E1596" t="n">
        <x:v>0</x:v>
      </x:c>
    </x:row>
    <x:row r="1597">
      <x:c r="A1597" t="inlineStr">
        <x:is>
          <x:t xml:space="preserve">PDTFRP001012</x:t>
        </x:is>
      </x:c>
      <x:c r="B1597" t="inlineStr">
        <x:is>
          <x:t xml:space="preserve">1463499 PLACA INPOACTO INVENIO 16CONC2GC 600X500X25 MM TRIXALON</x:t>
        </x:is>
      </x:c>
      <x:c r="E1597" t="n">
        <x:v>0</x:v>
      </x:c>
    </x:row>
    <x:row r="1598">
      <x:c r="A1598" t="inlineStr">
        <x:is>
          <x:t xml:space="preserve">PDTFRP001013</x:t>
        </x:is>
      </x:c>
      <x:c r="B1598" t="inlineStr">
        <x:is>
          <x:t xml:space="preserve">CODO ESPECIAL S/PLANO FRP RESINA VINILESTER 2 CLASE 150</x:t>
        </x:is>
      </x:c>
      <x:c r="E1598" t="n">
        <x:v>0</x:v>
      </x:c>
    </x:row>
    <x:row r="1599">
      <x:c r="A1599" t="inlineStr">
        <x:is>
          <x:t xml:space="preserve">PDTFRP001014</x:t>
        </x:is>
      </x:c>
      <x:c r="B1599" t="inlineStr">
        <x:is>
          <x:t xml:space="preserve">REDUCCION CONCENTRICA DE 12 PLG A 6 PLG DUAL LAMINATE PP-FRP (TENIENTE)6451253</x:t>
        </x:is>
      </x:c>
      <x:c r="E1599" t="n">
        <x:v>0</x:v>
      </x:c>
    </x:row>
    <x:row r="1600">
      <x:c r="A1600" t="inlineStr">
        <x:is>
          <x:t xml:space="preserve">PDTFRP001015</x:t>
        </x:is>
      </x:c>
      <x:c r="B1600" t="inlineStr">
        <x:is>
          <x:t xml:space="preserve">BARRA FRP POLTRUIDO RESINA VINILESTER DIAM. 1 PLG X 1 MTS LGO</x:t>
        </x:is>
      </x:c>
      <x:c r="E1600" t="n">
        <x:v>0</x:v>
      </x:c>
    </x:row>
    <x:row r="1601">
      <x:c r="A1601" t="inlineStr">
        <x:is>
          <x:t xml:space="preserve">PDTFRP001016</x:t>
        </x:is>
      </x:c>
      <x:c r="B1601" t="inlineStr">
        <x:is>
          <x:t xml:space="preserve">CAPSULA PORTA ENCHUFE COLLAHUASI C/BASE SOPORTANTE</x:t>
        </x:is>
      </x:c>
      <x:c r="E1601" t="n">
        <x:v>0</x:v>
      </x:c>
    </x:row>
    <x:row r="1602">
      <x:c r="A1602" t="inlineStr">
        <x:is>
          <x:t xml:space="preserve">PDTFRP001017</x:t>
        </x:is>
      </x:c>
      <x:c r="B1602" t="inlineStr">
        <x:is>
          <x:t xml:space="preserve">TAPA GORRO FRP CELULOSA ARAUCO</x:t>
        </x:is>
      </x:c>
      <x:c r="E1602" t="n">
        <x:v>0</x:v>
      </x:c>
    </x:row>
    <x:row r="1603">
      <x:c r="A1603" t="inlineStr">
        <x:is>
          <x:t xml:space="preserve">PDTFRP001018</x:t>
        </x:is>
      </x:c>
      <x:c r="B1603" t="inlineStr">
        <x:is>
          <x:t xml:space="preserve">DUCTO SALIDA DE GASES SALVADOR</x:t>
        </x:is>
      </x:c>
      <x:c r="E1603" t="n">
        <x:v>0</x:v>
      </x:c>
    </x:row>
    <x:row r="1604">
      <x:c r="A1604" t="inlineStr">
        <x:is>
          <x:t xml:space="preserve">PDTFRP001019</x:t>
        </x:is>
      </x:c>
      <x:c r="B1604" t="inlineStr">
        <x:is>
          <x:t xml:space="preserve">DUCTO PVDF/FRP DIAMTRO N200 MM X 3170 MM C/FLANGE MANTOS BLANCOS</x:t>
        </x:is>
      </x:c>
      <x:c r="E1604" t="n">
        <x:v>0</x:v>
      </x:c>
    </x:row>
    <x:row r="1605">
      <x:c r="A1605" t="inlineStr">
        <x:is>
          <x:t xml:space="preserve">PDTFRP001020</x:t>
        </x:is>
      </x:c>
      <x:c r="B1605" t="inlineStr">
        <x:is>
          <x:t xml:space="preserve">TUBO 450X360X3 MM PRUEBA SOLDADURA</x:t>
        </x:is>
      </x:c>
      <x:c r="E1605" t="n">
        <x:v>0</x:v>
      </x:c>
    </x:row>
    <x:row r="1606">
      <x:c r="A1606" t="inlineStr">
        <x:is>
          <x:t xml:space="preserve">PDTFRP001021</x:t>
        </x:is>
      </x:c>
      <x:c r="B1606" t="inlineStr">
        <x:is>
          <x:t xml:space="preserve">TUBO 480X142X3 MM PRUEBA SOLDADURA</x:t>
        </x:is>
      </x:c>
      <x:c r="E1606" t="n">
        <x:v>0</x:v>
      </x:c>
    </x:row>
    <x:row r="1607">
      <x:c r="A1607" t="inlineStr">
        <x:is>
          <x:t xml:space="preserve">PDTFRP001022</x:t>
        </x:is>
      </x:c>
      <x:c r="B1607" t="inlineStr">
        <x:is>
          <x:t xml:space="preserve">CUPUILA NDE CODELCO NSALVADOR PP/FRP</x:t>
        </x:is>
      </x:c>
      <x:c r="E1607" t="n">
        <x:v>0</x:v>
      </x:c>
    </x:row>
    <x:row r="1608">
      <x:c r="A1608" t="inlineStr">
        <x:is>
          <x:t xml:space="preserve">PDTFRP001023</x:t>
        </x:is>
      </x:c>
      <x:c r="B1608" t="inlineStr">
        <x:is>
          <x:t xml:space="preserve">STUB END 6 PLG FRP RESINA VINILESTER CUELLO LARGO</x:t>
        </x:is>
      </x:c>
      <x:c r="E1608" t="n">
        <x:v>0</x:v>
      </x:c>
    </x:row>
    <x:row r="1609">
      <x:c r="A1609" t="inlineStr">
        <x:is>
          <x:t xml:space="preserve">PDTFRP001024</x:t>
        </x:is>
      </x:c>
      <x:c r="B1609" t="inlineStr">
        <x:is>
          <x:t xml:space="preserve">REDUCCION EXCENTRICA DIAM.18 PLG X 10 PLG DOBLE LAMINA PP-FRP BQ POLIPROPILENO SDR17 BE RESINA VINIL</x:t>
        </x:is>
      </x:c>
      <x:c r="E1609" t="n">
        <x:v>0</x:v>
      </x:c>
    </x:row>
    <x:row r="1610">
      <x:c r="A1610" t="inlineStr">
        <x:is>
          <x:t xml:space="preserve">PDTFRP001025</x:t>
        </x:is>
      </x:c>
      <x:c r="B1610" t="inlineStr">
        <x:is>
          <x:t xml:space="preserve">(4157856)STUB END 10 PLG X 250 MM DUAL LAMINATE FRP-PP CON FLANGE RESOACLDO AC-PP ANSI CLASE 150</x:t>
        </x:is>
      </x:c>
      <x:c r="E1610" t="n">
        <x:v>0</x:v>
      </x:c>
    </x:row>
    <x:row r="1611">
      <x:c r="A1611" t="inlineStr">
        <x:is>
          <x:t xml:space="preserve">PDTFRP001026</x:t>
        </x:is>
      </x:c>
      <x:c r="B1611" t="inlineStr">
        <x:is>
          <x:t xml:space="preserve">(4157908)TRAMOP CAÑERIA DIAMETRO 10 PLG X 2850 MM LARGO  DUAL LAMINATE PP-FRP</x:t>
        </x:is>
      </x:c>
      <x:c r="E1611" t="n">
        <x:v>0</x:v>
      </x:c>
    </x:row>
    <x:row r="1612">
      <x:c r="A1612" t="inlineStr">
        <x:is>
          <x:t xml:space="preserve">PDTFRP001027</x:t>
        </x:is>
      </x:c>
      <x:c r="B1612" t="inlineStr">
        <x:is>
          <x:t xml:space="preserve">TAPA ENFRIADERA FRP CORTADURA P3 DIAMETRO 1500 MM METODO HLU PLANO I0158-6680-PL-410-005_1</x:t>
        </x:is>
      </x:c>
      <x:c r="E1612" t="n">
        <x:v>0</x:v>
      </x:c>
    </x:row>
    <x:row r="1613">
      <x:c r="A1613" t="inlineStr">
        <x:is>
          <x:t xml:space="preserve">PDTFRP001028</x:t>
        </x:is>
      </x:c>
      <x:c r="B1613" t="inlineStr">
        <x:is>
          <x:t xml:space="preserve">TAPA ENFRIADERA FRP STRIPING P3 DIAMETRO 1000 MM METODO HLU PLANO I0158-6680-PL-410-006_1</x:t>
        </x:is>
      </x:c>
      <x:c r="E1613" t="n">
        <x:v>0</x:v>
      </x:c>
    </x:row>
    <x:row r="1614">
      <x:c r="A1614" t="inlineStr">
        <x:is>
          <x:t xml:space="preserve">PDTFRP001029</x:t>
        </x:is>
      </x:c>
      <x:c r="B1614" t="inlineStr">
        <x:is>
          <x:t xml:space="preserve">CODO 90° 4 PLG FRP-PP VINILESTER 4167318</x:t>
        </x:is>
      </x:c>
      <x:c r="E1614" t="n">
        <x:v>0</x:v>
      </x:c>
    </x:row>
    <x:row r="1615">
      <x:c r="A1615" t="inlineStr">
        <x:is>
          <x:t xml:space="preserve">PDTFRP001030</x:t>
        </x:is>
      </x:c>
      <x:c r="B1615" t="inlineStr">
        <x:is>
          <x:t xml:space="preserve">TERMINAL BRIDA 3 PLG FRP-PP RESINA VINILESTER FLANGE ACERO SS304 4167319</x:t>
        </x:is>
      </x:c>
      <x:c r="E1615" t="n">
        <x:v>0</x:v>
      </x:c>
    </x:row>
    <x:row r="1616">
      <x:c r="A1616" t="inlineStr">
        <x:is>
          <x:t xml:space="preserve">PDTFRP001031</x:t>
        </x:is>
      </x:c>
      <x:c r="B1616" t="inlineStr">
        <x:is>
          <x:t xml:space="preserve">TERMINAL BRIDA 4 PLG FRP-PP RESINA VINILESTER FLANGE ACERO SS304 4167320</x:t>
        </x:is>
      </x:c>
      <x:c r="E1616" t="n">
        <x:v>0</x:v>
      </x:c>
    </x:row>
    <x:row r="1617">
      <x:c r="A1617" t="inlineStr">
        <x:is>
          <x:t xml:space="preserve">PDTFRP001032</x:t>
        </x:is>
      </x:c>
      <x:c r="B1617" t="inlineStr">
        <x:is>
          <x:t xml:space="preserve">TUBERIA DE 3 PLG FRP-PP RESINA VINILESTER 4167341</x:t>
        </x:is>
      </x:c>
      <x:c r="E1617" t="n">
        <x:v>0</x:v>
      </x:c>
    </x:row>
    <x:row r="1618">
      <x:c r="A1618" t="inlineStr">
        <x:is>
          <x:t xml:space="preserve">PDTFRP001033</x:t>
        </x:is>
      </x:c>
      <x:c r="B1618" t="inlineStr">
        <x:is>
          <x:t xml:space="preserve">TUBERIA DE 4 PLG FRP-PP RESINA VINILESTER 4167342</x:t>
        </x:is>
      </x:c>
      <x:c r="E1618" t="n">
        <x:v>0</x:v>
      </x:c>
    </x:row>
    <x:row r="1619">
      <x:c r="A1619" t="inlineStr">
        <x:is>
          <x:t xml:space="preserve">PDTFRP001034</x:t>
        </x:is>
      </x:c>
      <x:c r="B1619" t="inlineStr">
        <x:is>
          <x:t xml:space="preserve">CODO 90° 3 PLG FRP-PP VINILESTER 4167343</x:t>
        </x:is>
      </x:c>
      <x:c r="E1619" t="n">
        <x:v>0</x:v>
      </x:c>
    </x:row>
    <x:row r="1620">
      <x:c r="A1620" t="inlineStr">
        <x:is>
          <x:t xml:space="preserve">PDTFRP001035</x:t>
        </x:is>
      </x:c>
      <x:c r="B1620" t="inlineStr">
        <x:is>
          <x:t xml:space="preserve">CODO FRP RESINA VINILESTER 3 PLG 4167353</x:t>
        </x:is>
      </x:c>
      <x:c r="E1620" t="n">
        <x:v>0</x:v>
      </x:c>
    </x:row>
    <x:row r="1621">
      <x:c r="A1621" t="inlineStr">
        <x:is>
          <x:t xml:space="preserve">PDTFRP001036</x:t>
        </x:is>
      </x:c>
      <x:c r="B1621" t="inlineStr">
        <x:is>
          <x:t xml:space="preserve">CODO FRP RESINA VINILESTER 6 PLG 4167355</x:t>
        </x:is>
      </x:c>
      <x:c r="E1621" t="n">
        <x:v>0</x:v>
      </x:c>
    </x:row>
    <x:row r="1622">
      <x:c r="A1622" t="inlineStr">
        <x:is>
          <x:t xml:space="preserve">PDTFRP001037</x:t>
        </x:is>
      </x:c>
      <x:c r="B1622" t="inlineStr">
        <x:is>
          <x:t xml:space="preserve">FLANGE INOXIDABLE 316 3 PLG 4167365</x:t>
        </x:is>
      </x:c>
      <x:c r="E1622" t="n">
        <x:v>0</x:v>
      </x:c>
    </x:row>
    <x:row r="1623">
      <x:c r="A1623" t="inlineStr">
        <x:is>
          <x:t xml:space="preserve">PDTFRP001038</x:t>
        </x:is>
      </x:c>
      <x:c r="B1623" t="inlineStr">
        <x:is>
          <x:t xml:space="preserve">FLANGE INOXIDABLE 316 DE 10  PLG 4167367</x:t>
        </x:is>
      </x:c>
      <x:c r="E1623" t="n">
        <x:v>0</x:v>
      </x:c>
    </x:row>
    <x:row r="1624">
      <x:c r="A1624" t="inlineStr">
        <x:is>
          <x:t xml:space="preserve">PDTFRP001039</x:t>
        </x:is>
      </x:c>
      <x:c r="B1624" t="inlineStr">
        <x:is>
          <x:t xml:space="preserve">TERMINAL BRIDA 3 PLG FRP  RESINA VINILESTER FLANGE ACERO SS316 4167369</x:t>
        </x:is>
      </x:c>
      <x:c r="E1624" t="n">
        <x:v>0</x:v>
      </x:c>
    </x:row>
    <x:row r="1625">
      <x:c r="A1625" t="inlineStr">
        <x:is>
          <x:t xml:space="preserve">PDTFRP001040</x:t>
        </x:is>
      </x:c>
      <x:c r="B1625" t="inlineStr">
        <x:is>
          <x:t xml:space="preserve">BOQUILLA FRP RESINA VINILESTER DE 3 PLG 4167371</x:t>
        </x:is>
      </x:c>
      <x:c r="E1625" t="n">
        <x:v>0</x:v>
      </x:c>
    </x:row>
    <x:row r="1626">
      <x:c r="A1626" t="inlineStr">
        <x:is>
          <x:t xml:space="preserve">PDTFRP001041</x:t>
        </x:is>
      </x:c>
      <x:c r="B1626" t="inlineStr">
        <x:is>
          <x:t xml:space="preserve">BOQUILLA FRP RESINA VINILESTER DE 6 PLG 4167373</x:t>
        </x:is>
      </x:c>
      <x:c r="E1626" t="n">
        <x:v>0</x:v>
      </x:c>
    </x:row>
    <x:row r="1627">
      <x:c r="A1627" t="inlineStr">
        <x:is>
          <x:t xml:space="preserve">PDTFRP001042</x:t>
        </x:is>
      </x:c>
      <x:c r="B1627" t="inlineStr">
        <x:is>
          <x:t xml:space="preserve">FLANGE INOXIDABLE 316 DE 6  PLG 4167381</x:t>
        </x:is>
      </x:c>
      <x:c r="E1627" t="n">
        <x:v>0</x:v>
      </x:c>
    </x:row>
    <x:row r="1628">
      <x:c r="A1628" t="inlineStr">
        <x:is>
          <x:t xml:space="preserve">PDTFRP001043</x:t>
        </x:is>
      </x:c>
      <x:c r="B1628" t="inlineStr">
        <x:is>
          <x:t xml:space="preserve">CODO 90°  DE 8 PLG FRP-PP RESINA VINILESTER  4169631</x:t>
        </x:is>
      </x:c>
      <x:c r="E1628" t="n">
        <x:v>0</x:v>
      </x:c>
    </x:row>
    <x:row r="1629">
      <x:c r="A1629" t="inlineStr">
        <x:is>
          <x:t xml:space="preserve">PDTFRP001044</x:t>
        </x:is>
      </x:c>
      <x:c r="B1629" t="inlineStr">
        <x:is>
          <x:t xml:space="preserve">CODO 90°  PP-FRP DIAMETRO 10 PLG VINILESTER 4169632</x:t>
        </x:is>
      </x:c>
      <x:c r="E1629" t="n">
        <x:v>0</x:v>
      </x:c>
    </x:row>
    <x:row r="1630">
      <x:c r="A1630" t="inlineStr">
        <x:is>
          <x:t xml:space="preserve">PDTFRP001045</x:t>
        </x:is>
      </x:c>
      <x:c r="B1630" t="inlineStr">
        <x:is>
          <x:t xml:space="preserve">CODO 90°  PP-FRP DIAMETRO 12  PLG VINILESTER 4169633</x:t>
        </x:is>
      </x:c>
      <x:c r="E1630" t="n">
        <x:v>0</x:v>
      </x:c>
    </x:row>
    <x:row r="1631">
      <x:c r="A1631" t="inlineStr">
        <x:is>
          <x:t xml:space="preserve">PDTFRP001046</x:t>
        </x:is>
      </x:c>
      <x:c r="B1631" t="inlineStr">
        <x:is>
          <x:t xml:space="preserve">TERMINAL BRIDA 6 PLG FRP-PP RESINA VINILESTER FLANGE ACERO SS304 4169634</x:t>
        </x:is>
      </x:c>
      <x:c r="E1631" t="n">
        <x:v>0</x:v>
      </x:c>
    </x:row>
    <x:row r="1632">
      <x:c r="A1632" t="inlineStr">
        <x:is>
          <x:t xml:space="preserve">PDTFRP001047</x:t>
        </x:is>
      </x:c>
      <x:c r="B1632" t="inlineStr">
        <x:is>
          <x:t xml:space="preserve">TERMINAL BRIDA 10 PLG FRP-PP RESINA VINILESTER FLANGE ACERO SS304 4169636</x:t>
        </x:is>
      </x:c>
      <x:c r="E1632" t="n">
        <x:v>0</x:v>
      </x:c>
    </x:row>
    <x:row r="1633">
      <x:c r="A1633" t="inlineStr">
        <x:is>
          <x:t xml:space="preserve">PDTFRP001048</x:t>
        </x:is>
      </x:c>
      <x:c r="B1633" t="inlineStr">
        <x:is>
          <x:t xml:space="preserve">TERMINAL BRIDA 12 PLG FRP-PP RESINA VINILESTER FLANGE ACERO SS304 4169637</x:t>
        </x:is>
      </x:c>
      <x:c r="E1633" t="n">
        <x:v>0</x:v>
      </x:c>
    </x:row>
    <x:row r="1634">
      <x:c r="A1634" t="inlineStr">
        <x:is>
          <x:t xml:space="preserve">PDTFRP001049</x:t>
        </x:is>
      </x:c>
      <x:c r="B1634" t="inlineStr">
        <x:is>
          <x:t xml:space="preserve">TEE FRP DIAMETRO 12 PLG RESINA VINILESTER 4169638</x:t>
        </x:is>
      </x:c>
      <x:c r="E1634" t="n">
        <x:v>0</x:v>
      </x:c>
    </x:row>
    <x:row r="1635">
      <x:c r="A1635" t="inlineStr">
        <x:is>
          <x:t xml:space="preserve">PDTFRP001050</x:t>
        </x:is>
      </x:c>
      <x:c r="B1635" t="inlineStr">
        <x:is>
          <x:t xml:space="preserve">CODO 90°  FRP RESINA VINILESTER 8 PLG 4169639</x:t>
        </x:is>
      </x:c>
      <x:c r="E1635" t="n">
        <x:v>0</x:v>
      </x:c>
    </x:row>
    <x:row r="1636">
      <x:c r="A1636" t="inlineStr">
        <x:is>
          <x:t xml:space="preserve">PDTFRP001051</x:t>
        </x:is>
      </x:c>
      <x:c r="B1636" t="inlineStr">
        <x:is>
          <x:t xml:space="preserve">TUBERIA FRP RESINA VINILESTER DIAM. 8 PLG X 6 MTS 4169640</x:t>
        </x:is>
      </x:c>
      <x:c r="E1636" t="n">
        <x:v>0</x:v>
      </x:c>
    </x:row>
    <x:row r="1637">
      <x:c r="A1637" t="inlineStr">
        <x:is>
          <x:t xml:space="preserve">PDTFRP001052</x:t>
        </x:is>
      </x:c>
      <x:c r="B1637" t="inlineStr">
        <x:is>
          <x:t xml:space="preserve">CODO 90°  PP-FRP DIAMETRO 5 PLG VINILESTER 4169645</x:t>
        </x:is>
      </x:c>
      <x:c r="E1637" t="n">
        <x:v>0</x:v>
      </x:c>
    </x:row>
    <x:row r="1638">
      <x:c r="A1638" t="inlineStr">
        <x:is>
          <x:t xml:space="preserve">PDTFRP001053</x:t>
        </x:is>
      </x:c>
      <x:c r="B1638" t="inlineStr">
        <x:is>
          <x:t xml:space="preserve">TUBERIA DE 6 PLG X 5 MTS  FRP-PP RESINA VINILESTER 4169646</x:t>
        </x:is>
      </x:c>
      <x:c r="E1638" t="n">
        <x:v>0</x:v>
      </x:c>
    </x:row>
    <x:row r="1639">
      <x:c r="A1639" t="inlineStr">
        <x:is>
          <x:t xml:space="preserve">PDTFRP001054</x:t>
        </x:is>
      </x:c>
      <x:c r="B1639" t="inlineStr">
        <x:is>
          <x:t xml:space="preserve">TUBERIA DE 12  PLG X 5 MTS FRP-PP RESINA VINILESTER 4167349</x:t>
        </x:is>
      </x:c>
      <x:c r="E1639" t="n">
        <x:v>0</x:v>
      </x:c>
    </x:row>
    <x:row r="1640">
      <x:c r="A1640" t="inlineStr">
        <x:is>
          <x:t xml:space="preserve">PDTFRP001055</x:t>
        </x:is>
      </x:c>
      <x:c r="B1640" t="inlineStr">
        <x:is>
          <x:t xml:space="preserve">TEE FRP DIAMETRO 3 PLG RESINA VINILESTER 4169650</x:t>
        </x:is>
      </x:c>
      <x:c r="E1640" t="n">
        <x:v>10</x:v>
      </x:c>
    </x:row>
    <x:row r="1641">
      <x:c r="A1641" t="inlineStr">
        <x:is>
          <x:t xml:space="preserve">PDTFRP001056</x:t>
        </x:is>
      </x:c>
      <x:c r="B1641" t="inlineStr">
        <x:is>
          <x:t xml:space="preserve">TEE FRP DIAMETRO 6 PLG RESINA VINILESTER 4169652</x:t>
        </x:is>
      </x:c>
      <x:c r="E1641" t="n">
        <x:v>0</x:v>
      </x:c>
    </x:row>
    <x:row r="1642">
      <x:c r="A1642" t="inlineStr">
        <x:is>
          <x:t xml:space="preserve">PDTFRP001057</x:t>
        </x:is>
      </x:c>
      <x:c r="B1642" t="inlineStr">
        <x:is>
          <x:t xml:space="preserve">TEE FRP DIAMETRO 4 PLG RESINA VINILESTER 4169651</x:t>
        </x:is>
      </x:c>
      <x:c r="E1642" t="n">
        <x:v>0</x:v>
      </x:c>
    </x:row>
    <x:row r="1643">
      <x:c r="A1643" t="inlineStr">
        <x:is>
          <x:t xml:space="preserve">PDTFRP001058</x:t>
        </x:is>
      </x:c>
      <x:c r="B1643" t="inlineStr">
        <x:is>
          <x:t xml:space="preserve">TEE FRP DIAMETRO 10 PLG RESINA VINILESTER 4169654</x:t>
        </x:is>
      </x:c>
      <x:c r="E1643" t="n">
        <x:v>0</x:v>
      </x:c>
    </x:row>
    <x:row r="1644">
      <x:c r="A1644" t="inlineStr">
        <x:is>
          <x:t xml:space="preserve">PDTFRP001059</x:t>
        </x:is>
      </x:c>
      <x:c r="B1644" t="inlineStr">
        <x:is>
          <x:t xml:space="preserve">CODO 90° FRP RESINA VINILESTER DIAM 2 PLG DIN 16965 CLASE 150 4184703</x:t>
        </x:is>
      </x:c>
      <x:c r="E1644" t="n">
        <x:v>0</x:v>
      </x:c>
    </x:row>
    <x:row r="1645">
      <x:c r="A1645" t="inlineStr">
        <x:is>
          <x:t xml:space="preserve">PDTFRP001060</x:t>
        </x:is>
      </x:c>
      <x:c r="B1645" t="inlineStr">
        <x:is>
          <x:t xml:space="preserve">REDUCCION 5 PLG X 4 PLG RESINA VINILESTER CLASE 150 4184132</x:t>
        </x:is>
      </x:c>
      <x:c r="E1645" t="n">
        <x:v>0</x:v>
      </x:c>
    </x:row>
    <x:row r="1646">
      <x:c r="A1646" t="inlineStr">
        <x:is>
          <x:t xml:space="preserve">PDTFRP001061</x:t>
        </x:is>
      </x:c>
      <x:c r="B1646" t="inlineStr">
        <x:is>
          <x:t xml:space="preserve">CODO 90°  FRP RESINA VINILESTER 5 PLG 4184704</x:t>
        </x:is>
      </x:c>
      <x:c r="E1646" t="n">
        <x:v>0</x:v>
      </x:c>
    </x:row>
    <x:row r="1647">
      <x:c r="A1647" t="inlineStr">
        <x:is>
          <x:t xml:space="preserve">PDTFRP001062</x:t>
        </x:is>
      </x:c>
      <x:c r="B1647" t="inlineStr">
        <x:is>
          <x:t xml:space="preserve">CODO 45°  FRP RESINA VINILESTER 2 PLG 4184723</x:t>
        </x:is>
      </x:c>
      <x:c r="E1647" t="n">
        <x:v>0</x:v>
      </x:c>
    </x:row>
    <x:row r="1648">
      <x:c r="A1648" t="inlineStr">
        <x:is>
          <x:t xml:space="preserve">PDTFRP001063</x:t>
        </x:is>
      </x:c>
      <x:c r="B1648" t="inlineStr">
        <x:is>
          <x:t xml:space="preserve">TERMINAL BRIDA (STUB END) 2 PLG FRP  RESINA VINILESTER C/FLANGE AC.S304 CLASE 150 CODIGO 4187474</x:t>
        </x:is>
      </x:c>
      <x:c r="E1648" t="n">
        <x:v>0</x:v>
      </x:c>
    </x:row>
    <x:row r="1649">
      <x:c r="A1649" t="inlineStr">
        <x:is>
          <x:t xml:space="preserve">PDTFRP001064</x:t>
        </x:is>
      </x:c>
      <x:c r="B1649" t="inlineStr">
        <x:is>
          <x:t xml:space="preserve">CODO 90° DIN 160 CON FLANGES FIJOS AMBOS EXTERMOS CLASE 150 RESINA VINILESTER CLASE 150 100 PSI SQM</x:t>
        </x:is>
      </x:c>
      <x:c r="E1649" t="n">
        <x:v>0</x:v>
      </x:c>
    </x:row>
    <x:row r="1650">
      <x:c r="A1650" t="inlineStr">
        <x:is>
          <x:t xml:space="preserve">PDTFRP001065</x:t>
        </x:is>
      </x:c>
      <x:c r="B1650" t="inlineStr">
        <x:is>
          <x:t xml:space="preserve">CODO 90° DIN 250 CON FLANGES FIJOS AMBOS EXTERMOS CLASE 150 RESINA VINILESTER CLASE 150 100 PSI SQM</x:t>
        </x:is>
      </x:c>
      <x:c r="E1650" t="n">
        <x:v>0</x:v>
      </x:c>
    </x:row>
    <x:row r="1651">
      <x:c r="A1651" t="inlineStr">
        <x:is>
          <x:t xml:space="preserve">PDTFRP001066</x:t>
        </x:is>
      </x:c>
      <x:c r="B1651" t="inlineStr">
        <x:is>
          <x:t xml:space="preserve">TK NEUTRALIZADOR DE FRP PARA FLUIDO DER SODA CAUTICA AL 20% DE 1500 MM DIAM X 2500 ALTO</x:t>
        </x:is>
      </x:c>
      <x:c r="E1651" t="n">
        <x:v>0</x:v>
      </x:c>
    </x:row>
    <x:row r="1652">
      <x:c r="A1652" t="inlineStr">
        <x:is>
          <x:t xml:space="preserve">PDTFRP001067</x:t>
        </x:is>
      </x:c>
      <x:c r="B1652" t="inlineStr">
        <x:is>
          <x:t xml:space="preserve">REDUCCION CONCENTRICA 12 PLG A 6 PLG DUAL LAMINATE PP-FRP (6451253)</x:t>
        </x:is>
      </x:c>
      <x:c r="E1652" t="n">
        <x:v>0</x:v>
      </x:c>
    </x:row>
    <x:row r="1653">
      <x:c r="A1653" t="inlineStr">
        <x:is>
          <x:t xml:space="preserve">PDTFRP001068</x:t>
        </x:is>
      </x:c>
      <x:c r="B1653" t="inlineStr">
        <x:is>
          <x:t xml:space="preserve">DUCTO DOBLE LAMINA DIAMETRO 8 PLG MATERIAL PP-FRP VINILESTER  TIRA 5 MTS (1515859)</x:t>
        </x:is>
      </x:c>
      <x:c r="E1653" t="n">
        <x:v>0</x:v>
      </x:c>
    </x:row>
    <x:row r="1654">
      <x:c r="A1654" t="inlineStr">
        <x:is>
          <x:t xml:space="preserve">PDTFRP001069</x:t>
        </x:is>
      </x:c>
      <x:c r="B1654" t="inlineStr">
        <x:is>
          <x:t xml:space="preserve">ESPARRAGO (STUB END) DOBLE LAMINA DIAMETRO 3 PLG MATERIAL PP-FRP (1519205)</x:t>
        </x:is>
      </x:c>
      <x:c r="E1654" t="n">
        <x:v>0</x:v>
      </x:c>
    </x:row>
    <x:row r="1655">
      <x:c r="A1655" t="inlineStr">
        <x:is>
          <x:t xml:space="preserve">PDTFRP001070</x:t>
        </x:is>
      </x:c>
      <x:c r="B1655" t="inlineStr">
        <x:is>
          <x:t xml:space="preserve">ESPARRAGO (STUB END) DOBLE LAMINA DIAMETRO 8 PLG MATERIAL PP-FRP (1519208)</x:t>
        </x:is>
      </x:c>
      <x:c r="E1655" t="n">
        <x:v>0</x:v>
      </x:c>
    </x:row>
    <x:row r="1656">
      <x:c r="A1656" t="inlineStr">
        <x:is>
          <x:t xml:space="preserve">PDTFRP001071</x:t>
        </x:is>
      </x:c>
      <x:c r="B1656" t="inlineStr">
        <x:is>
          <x:t xml:space="preserve">ESPARRAGO (STUB END) DOBLE LAMINA DIAMETRO 16 PLG MATERIAL PP-FRP (1519211)</x:t>
        </x:is>
      </x:c>
      <x:c r="E1656" t="n">
        <x:v>0</x:v>
      </x:c>
    </x:row>
    <x:row r="1657">
      <x:c r="A1657" t="inlineStr">
        <x:is>
          <x:t xml:space="preserve">PDTFRP001072</x:t>
        </x:is>
      </x:c>
      <x:c r="B1657" t="inlineStr">
        <x:is>
          <x:t xml:space="preserve">CODO 90 GRD DOBLE LAMINA DE 2 PLG MATERIAL PP-FRP (1519213)</x:t>
        </x:is>
      </x:c>
      <x:c r="E1657" t="n">
        <x:v>0</x:v>
      </x:c>
    </x:row>
    <x:row r="1658">
      <x:c r="A1658" t="inlineStr">
        <x:is>
          <x:t xml:space="preserve">PDTFRP001073</x:t>
        </x:is>
      </x:c>
      <x:c r="B1658" t="inlineStr">
        <x:is>
          <x:t xml:space="preserve">CODO 90 GRD DOBLE LAMINA DE 12 PLG MATERIAL PP-FRP (1519219)</x:t>
        </x:is>
      </x:c>
      <x:c r="E1658" t="n">
        <x:v>0</x:v>
      </x:c>
    </x:row>
    <x:row r="1659">
      <x:c r="A1659" t="inlineStr">
        <x:is>
          <x:t xml:space="preserve">PDTFRP001074</x:t>
        </x:is>
      </x:c>
      <x:c r="B1659" t="inlineStr">
        <x:is>
          <x:t xml:space="preserve">CODO 90 GRD DOBLE LAMINA DE 16 PLG MATERIAL PP-FRP (1519220)</x:t>
        </x:is>
      </x:c>
      <x:c r="E1659" t="n">
        <x:v>0</x:v>
      </x:c>
    </x:row>
    <x:row r="1660">
      <x:c r="A1660" t="inlineStr">
        <x:is>
          <x:t xml:space="preserve">PDTFRP001075</x:t>
        </x:is>
      </x:c>
      <x:c r="B1660" t="inlineStr">
        <x:is>
          <x:t xml:space="preserve">CODO 45 GRD DOBLE LAMINA DE 3 PLG MATERIAL PP-FRP (1519223)</x:t>
        </x:is>
      </x:c>
      <x:c r="E1660" t="n">
        <x:v>0</x:v>
      </x:c>
    </x:row>
    <x:row r="1661">
      <x:c r="A1661" t="inlineStr">
        <x:is>
          <x:t xml:space="preserve">PDTFRP001076</x:t>
        </x:is>
      </x:c>
      <x:c r="B1661" t="inlineStr">
        <x:is>
          <x:t xml:space="preserve">CODO 90° DIN 315 C/FLANGES FIJOS EN AMBOS EXTREMOS CLASE 150 ANSI RESINA VINILESTER 100 PSI</x:t>
        </x:is>
      </x:c>
      <x:c r="E1661" t="n">
        <x:v>0</x:v>
      </x:c>
    </x:row>
    <x:row r="1662">
      <x:c r="A1662" t="inlineStr">
        <x:is>
          <x:t xml:space="preserve">PDTFRP001077</x:t>
        </x:is>
      </x:c>
      <x:c r="B1662" t="inlineStr">
        <x:is>
          <x:t xml:space="preserve">DUCTO DE 315 MM (12PLG) DIAMETRO X 6000 MM LGO</x:t>
        </x:is>
      </x:c>
      <x:c r="E1662" t="n">
        <x:v>0</x:v>
      </x:c>
    </x:row>
    <x:row r="1663">
      <x:c r="A1663" t="inlineStr">
        <x:is>
          <x:t xml:space="preserve">PDTFRP001078</x:t>
        </x:is>
      </x:c>
      <x:c r="B1663" t="inlineStr">
        <x:is>
          <x:t xml:space="preserve">DUCTO DE 250 MM (10PLG) DIAMETRO X 6000 MM LGO RESINA VINILESTER</x:t>
        </x:is>
      </x:c>
      <x:c r="E1663" t="n">
        <x:v>0</x:v>
      </x:c>
    </x:row>
    <x:row r="1664">
      <x:c r="A1664" t="inlineStr">
        <x:is>
          <x:t xml:space="preserve">PDTFRP001079</x:t>
        </x:is>
      </x:c>
      <x:c r="B1664" t="inlineStr">
        <x:is>
          <x:t xml:space="preserve">DUCTO DE 160 MM 6 PLG) DIAMETRO X 6000 MM LGO RESINA VINILESTER</x:t>
        </x:is>
      </x:c>
      <x:c r="E1664" t="n">
        <x:v>0</x:v>
      </x:c>
    </x:row>
    <x:row r="1665">
      <x:c r="A1665" t="inlineStr">
        <x:is>
          <x:t xml:space="preserve">PDTFRP001080</x:t>
        </x:is>
      </x:c>
      <x:c r="B1665" t="inlineStr">
        <x:is>
          <x:t xml:space="preserve">TERMINAL BRIDA 8 PLG FRP RESINA VINILESTER C/FLANGE AC.304 CLASE 150 COD.4169641</x:t>
        </x:is>
      </x:c>
      <x:c r="E1665" t="n">
        <x:v>0</x:v>
      </x:c>
    </x:row>
    <x:row r="1666">
      <x:c r="A1666" t="inlineStr">
        <x:is>
          <x:t xml:space="preserve">PDTFRP001081</x:t>
        </x:is>
      </x:c>
      <x:c r="B1666" t="inlineStr">
        <x:is>
          <x:t xml:space="preserve">BRIDA 2 PLG CLASE 150 PSI AC.INOX S316 COD.4184709</x:t>
        </x:is>
      </x:c>
      <x:c r="E1666" t="n">
        <x:v>0</x:v>
      </x:c>
    </x:row>
    <x:row r="1667">
      <x:c r="A1667" t="inlineStr">
        <x:is>
          <x:t xml:space="preserve">PDTFRP001082</x:t>
        </x:is>
      </x:c>
      <x:c r="B1667" t="inlineStr">
        <x:is>
          <x:t xml:space="preserve">BOQUILLA 5 PLG CLASE 150 PSI FRP CON EXTREMOS PARA VENDAR  COD.4184712</x:t>
        </x:is>
      </x:c>
      <x:c r="E1667" t="n">
        <x:v>0</x:v>
      </x:c>
    </x:row>
    <x:row r="1668">
      <x:c r="A1668" t="inlineStr">
        <x:is>
          <x:t xml:space="preserve">PDTFRP001083</x:t>
        </x:is>
      </x:c>
      <x:c r="B1668" t="inlineStr">
        <x:is>
          <x:t xml:space="preserve">FLANGE DIAMETRO 8 PLG ACERO INOX. 316 COD.4169644</x:t>
        </x:is>
      </x:c>
      <x:c r="E1668" t="n">
        <x:v>0</x:v>
      </x:c>
    </x:row>
    <x:row r="1669">
      <x:c r="A1669" t="inlineStr">
        <x:is>
          <x:t xml:space="preserve">PDTFRP001084</x:t>
        </x:is>
      </x:c>
      <x:c r="B1669" t="inlineStr">
        <x:is>
          <x:t xml:space="preserve">TERMINAL BRIDA 5 PLG FRP RESINA VINILESTER C/FLANGE AC.304S CLASE 150 COD.4187475</x:t>
        </x:is>
      </x:c>
      <x:c r="E1669" t="n">
        <x:v>0</x:v>
      </x:c>
    </x:row>
    <x:row r="1670">
      <x:c r="A1670" t="inlineStr">
        <x:is>
          <x:t xml:space="preserve">PDTFRP001085</x:t>
        </x:is>
      </x:c>
      <x:c r="B1670" t="inlineStr">
        <x:is>
          <x:t xml:space="preserve">BRICA DE 2 PLG CLASE 150 PSI AC INOX S304 COD.4184707</x:t>
        </x:is>
      </x:c>
      <x:c r="E1670" t="n">
        <x:v>0</x:v>
      </x:c>
    </x:row>
    <x:row r="1671">
      <x:c r="A1671" t="inlineStr">
        <x:is>
          <x:t xml:space="preserve">PDTFRP001086</x:t>
        </x:is>
      </x:c>
      <x:c r="B1671" t="inlineStr">
        <x:is>
          <x:t xml:space="preserve">TEE 2 PLG FRP 150 PSI DIN 16965 C/EXTREMOS PARA VENDAR RESINA VINILESTER CODIGO 4184713</x:t>
        </x:is>
      </x:c>
      <x:c r="E1671" t="n">
        <x:v>0</x:v>
      </x:c>
    </x:row>
    <x:row r="1672">
      <x:c r="A1672" t="inlineStr">
        <x:is>
          <x:t xml:space="preserve">PDTFRP001087</x:t>
        </x:is>
      </x:c>
      <x:c r="B1672" t="inlineStr">
        <x:is>
          <x:t xml:space="preserve">TEE 5 PLG FRP 150 PSI DIN 16965 C/EXTREMOS PARA VENDAR RESINA VINILESTER CODIGO 4184714</x:t>
        </x:is>
      </x:c>
      <x:c r="E1672" t="n">
        <x:v>0</x:v>
      </x:c>
    </x:row>
    <x:row r="1673">
      <x:c r="A1673" t="inlineStr">
        <x:is>
          <x:t xml:space="preserve">PDTFRP001088</x:t>
        </x:is>
      </x:c>
      <x:c r="B1673" t="inlineStr">
        <x:is>
          <x:t xml:space="preserve">4157056 CONJUNTO TEE 10 PLG 100104RA00 DOBLE LAMINA FRP-PP C/FLANGES AC/PP MAS STUB END</x:t>
        </x:is>
      </x:c>
      <x:c r="E1673" t="n">
        <x:v>0</x:v>
      </x:c>
    </x:row>
    <x:row r="1674">
      <x:c r="A1674" t="inlineStr">
        <x:is>
          <x:t xml:space="preserve">PDTFRP001089</x:t>
        </x:is>
      </x:c>
      <x:c r="B1674" t="inlineStr">
        <x:is>
          <x:t xml:space="preserve">DUCTO DE DOBLELAMINA DIAMETRO 12 PLG FRP-PP VINILESTER TIRA 5 MTS COD.15119201</x:t>
        </x:is>
      </x:c>
      <x:c r="E1674" t="n">
        <x:v>0</x:v>
      </x:c>
    </x:row>
    <x:row r="1675">
      <x:c r="A1675" t="inlineStr">
        <x:is>
          <x:t xml:space="preserve">PDTFRP001090</x:t>
        </x:is>
      </x:c>
      <x:c r="B1675" t="inlineStr">
        <x:is>
          <x:t xml:space="preserve">ESPARRAGO (STUB END) DOBLE LAMINA DIAMETRO 14 PLG MATERIAL PP-FRP (1519206)</x:t>
        </x:is>
      </x:c>
      <x:c r="E1675" t="n">
        <x:v>0</x:v>
      </x:c>
    </x:row>
    <x:row r="1676">
      <x:c r="A1676" t="inlineStr">
        <x:is>
          <x:t xml:space="preserve">PDTFRP001091</x:t>
        </x:is>
      </x:c>
      <x:c r="B1676" t="inlineStr">
        <x:is>
          <x:t xml:space="preserve">CODO 90° DE DOBLE LAMINA DIAM.4 PLG FRP-PP VINILESTER CODIGO 1519215</x:t>
        </x:is>
      </x:c>
      <x:c r="E1676" t="n">
        <x:v>0</x:v>
      </x:c>
    </x:row>
    <x:row r="1677">
      <x:c r="A1677" t="inlineStr">
        <x:is>
          <x:t xml:space="preserve">PDTFRP001092</x:t>
        </x:is>
      </x:c>
      <x:c r="B1677" t="inlineStr">
        <x:is>
          <x:t xml:space="preserve">CODO 45° DOBLE LAMINA DIAM. 4 PLG FRP-PP VINILESTER CODIGO 1519224</x:t>
        </x:is>
      </x:c>
      <x:c r="E1677" t="n">
        <x:v>0</x:v>
      </x:c>
    </x:row>
    <x:row r="1678">
      <x:c r="A1678" t="inlineStr">
        <x:is>
          <x:t xml:space="preserve">PDTFRP001093</x:t>
        </x:is>
      </x:c>
      <x:c r="B1678" t="inlineStr">
        <x:is>
          <x:t xml:space="preserve">CODO 45° DOBLE LAMINA DIAM. 6 PLG FRP-PP VINILESTER CODIGO 1519225</x:t>
        </x:is>
      </x:c>
      <x:c r="E1678" t="n">
        <x:v>0</x:v>
      </x:c>
    </x:row>
    <x:row r="1679">
      <x:c r="A1679" t="inlineStr">
        <x:is>
          <x:t xml:space="preserve">PDTFRP001094</x:t>
        </x:is>
      </x:c>
      <x:c r="B1679" t="inlineStr">
        <x:is>
          <x:t xml:space="preserve">CODO 45° DOBLE LAMINA DIAM. 8 PLG FRP-PP VINILESTER CODIGO 1519226</x:t>
        </x:is>
      </x:c>
      <x:c r="E1679" t="n">
        <x:v>0</x:v>
      </x:c>
    </x:row>
    <x:row r="1680">
      <x:c r="A1680" t="inlineStr">
        <x:is>
          <x:t xml:space="preserve">PDTFRP001095</x:t>
        </x:is>
      </x:c>
      <x:c r="B1680" t="inlineStr">
        <x:is>
          <x:t xml:space="preserve">CODO 45° DOBLE LAMINA DIAM. 10 PLG FRP-PP VINILESTER CODIGO 1519227</x:t>
        </x:is>
      </x:c>
      <x:c r="E1680" t="n">
        <x:v>0</x:v>
      </x:c>
    </x:row>
    <x:row r="1681">
      <x:c r="A1681" t="inlineStr">
        <x:is>
          <x:t xml:space="preserve">PDTFRP001096</x:t>
        </x:is>
      </x:c>
      <x:c r="B1681" t="inlineStr">
        <x:is>
          <x:t xml:space="preserve">CODO 45° DOBLE LAMINA DIAM. 12 PLG FRP-PP VINILESTER CODIGO 1519228</x:t>
        </x:is>
      </x:c>
      <x:c r="E1681" t="n">
        <x:v>0</x:v>
      </x:c>
    </x:row>
    <x:row r="1682">
      <x:c r="A1682" t="inlineStr">
        <x:is>
          <x:t xml:space="preserve">PDTFRP001097</x:t>
        </x:is>
      </x:c>
      <x:c r="B1682" t="inlineStr">
        <x:is>
          <x:t xml:space="preserve">CODO DE 45° EN FRP CLASE 150 PSI DIN 16965 CODIGO 4184725</x:t>
        </x:is>
      </x:c>
      <x:c r="E1682" t="n">
        <x:v>0</x:v>
      </x:c>
    </x:row>
    <x:row r="1683">
      <x:c r="A1683" t="inlineStr">
        <x:is>
          <x:t xml:space="preserve">PDTFRP001098</x:t>
        </x:is>
      </x:c>
      <x:c r="B1683" t="inlineStr">
        <x:is>
          <x:t xml:space="preserve">DUCTO INVENIO PPTPPFTUB006 DUAL LAMINATE 6 PLG ANSI 16965 PARA 150 PSI TIRAS 5 MTS CODIGO 1518958</x:t>
        </x:is>
      </x:c>
      <x:c r="E1683" t="n">
        <x:v>0</x:v>
      </x:c>
    </x:row>
    <x:row r="1684">
      <x:c r="A1684" t="inlineStr">
        <x:is>
          <x:t xml:space="preserve">PDTFRP001099</x:t>
        </x:is>
      </x:c>
      <x:c r="B1684" t="inlineStr">
        <x:is>
          <x:t xml:space="preserve">DUCTO DOBLE LAMINA DIAMETRO 2 PLG MATERIAL FRP-PP TIRA 5 MTS CODIGO 1518955</x:t>
        </x:is>
      </x:c>
      <x:c r="E1684" t="n">
        <x:v>0</x:v>
      </x:c>
    </x:row>
    <x:row r="1685">
      <x:c r="A1685" t="inlineStr">
        <x:is>
          <x:t xml:space="preserve">PDTFRP001100</x:t>
        </x:is>
      </x:c>
      <x:c r="B1685" t="inlineStr">
        <x:is>
          <x:t xml:space="preserve">DUCTO DOBLE LAMINA DIAMETRO 3 PLG MATERIAL FRP-PP VINILESTER TIRA 5 MTS CODIGO 1518956</x:t>
        </x:is>
      </x:c>
      <x:c r="E1685" t="n">
        <x:v>0</x:v>
      </x:c>
    </x:row>
    <x:row r="1686">
      <x:c r="A1686" t="inlineStr">
        <x:is>
          <x:t xml:space="preserve">PDTFRP001101</x:t>
        </x:is>
      </x:c>
      <x:c r="B1686" t="inlineStr">
        <x:is>
          <x:t xml:space="preserve">DUCTO DOBLE LAMINA DIAMETRO 4 PLG MATERIAL FRP-PP VINILESTER TIRA 5 MTS CODIGO 1518957</x:t>
        </x:is>
      </x:c>
      <x:c r="E1686" t="n">
        <x:v>0</x:v>
      </x:c>
    </x:row>
    <x:row r="1687">
      <x:c r="A1687" t="inlineStr">
        <x:is>
          <x:t xml:space="preserve">PDTFRP001102</x:t>
        </x:is>
      </x:c>
      <x:c r="B1687" t="inlineStr">
        <x:is>
          <x:t xml:space="preserve">DUCTO DOBLE LAMINA DIAMETRO 10 PLG MATERIAL FRP-PP VINILESTER TIRA 5 MTS CODIGO 1518960</x:t>
        </x:is>
      </x:c>
      <x:c r="E1687" t="n">
        <x:v>0</x:v>
      </x:c>
    </x:row>
    <x:row r="1688">
      <x:c r="A1688" t="inlineStr">
        <x:is>
          <x:t xml:space="preserve">PDTFRP001103</x:t>
        </x:is>
      </x:c>
      <x:c r="B1688" t="inlineStr">
        <x:is>
          <x:t xml:space="preserve">ESPARRAGO (STUB END) DOBLE LAMINA DIAMETRO 2 PLG MATERIAL PP-FRP (1519204)</x:t>
        </x:is>
      </x:c>
      <x:c r="E1688" t="n">
        <x:v>0</x:v>
      </x:c>
    </x:row>
    <x:row r="1689">
      <x:c r="A1689" t="inlineStr">
        <x:is>
          <x:t xml:space="preserve">PDTFRP001104</x:t>
        </x:is>
      </x:c>
      <x:c r="B1689" t="inlineStr">
        <x:is>
          <x:t xml:space="preserve">ESPARRAGO (STUB END) DOBLE LAMINA DIAMETRO 6 PLG MATERIAL PP-FRP (1519207)</x:t>
        </x:is>
      </x:c>
      <x:c r="E1689" t="n">
        <x:v>0</x:v>
      </x:c>
    </x:row>
    <x:row r="1690">
      <x:c r="A1690" t="inlineStr">
        <x:is>
          <x:t xml:space="preserve">PDTFRP001105</x:t>
        </x:is>
      </x:c>
      <x:c r="B1690" t="inlineStr">
        <x:is>
          <x:t xml:space="preserve">ESPARRAGO (STUB END) DOBLE LAMINA DIAMETRO 10 PLG MATERIAL PP-FRP (1519209)</x:t>
        </x:is>
      </x:c>
      <x:c r="E1690" t="n">
        <x:v>0</x:v>
      </x:c>
    </x:row>
    <x:row r="1691">
      <x:c r="A1691" t="inlineStr">
        <x:is>
          <x:t xml:space="preserve">PDTFRP001106</x:t>
        </x:is>
      </x:c>
      <x:c r="B1691" t="inlineStr">
        <x:is>
          <x:t xml:space="preserve">ESPARRAGO (STUB END) DOBLE LAMINA DIAMETRO 12 PLG MATERIAL PP-FRP (1519210)</x:t>
        </x:is>
      </x:c>
      <x:c r="E1691" t="n">
        <x:v>0</x:v>
      </x:c>
    </x:row>
    <x:row r="1692">
      <x:c r="A1692" t="inlineStr">
        <x:is>
          <x:t xml:space="preserve">PDTFRP001107</x:t>
        </x:is>
      </x:c>
      <x:c r="B1692" t="inlineStr">
        <x:is>
          <x:t xml:space="preserve">CODO 90° DOBLE LAMINA DIAM 3 PLG MATERIAL FRP-PP VINILESTER CODIGO 1519214</x:t>
        </x:is>
      </x:c>
      <x:c r="E1692" t="n">
        <x:v>0</x:v>
      </x:c>
    </x:row>
    <x:row r="1693">
      <x:c r="A1693" t="inlineStr">
        <x:is>
          <x:t xml:space="preserve">PDTFRP001108</x:t>
        </x:is>
      </x:c>
      <x:c r="B1693" t="inlineStr">
        <x:is>
          <x:t xml:space="preserve">CODO 90° DOBLE LAMINA DIAM 6 PLG MATERIAL FRP-PP VINILESTER CODIGO 1519216</x:t>
        </x:is>
      </x:c>
      <x:c r="E1693" t="n">
        <x:v>0</x:v>
      </x:c>
    </x:row>
    <x:row r="1694">
      <x:c r="A1694" t="inlineStr">
        <x:is>
          <x:t xml:space="preserve">PDTFRP001109</x:t>
        </x:is>
      </x:c>
      <x:c r="B1694" t="inlineStr">
        <x:is>
          <x:t xml:space="preserve">CODO 90° DOBLE LAMINA DIAM 8 PLG MATERIAL FRP-PP VINILESTER CODIGO 1519217</x:t>
        </x:is>
      </x:c>
      <x:c r="E1694" t="n">
        <x:v>0</x:v>
      </x:c>
    </x:row>
    <x:row r="1695">
      <x:c r="A1695" t="inlineStr">
        <x:is>
          <x:t xml:space="preserve">PDTFRP001110</x:t>
        </x:is>
      </x:c>
      <x:c r="B1695" t="inlineStr">
        <x:is>
          <x:t xml:space="preserve">CODO 90° DOBLE LAMINA DIAM 10 PLG MATERIAL FRP-PP VINILESTER CODIGO 1519218</x:t>
        </x:is>
      </x:c>
      <x:c r="E1695" t="n">
        <x:v>0</x:v>
      </x:c>
    </x:row>
    <x:row r="1696">
      <x:c r="A1696" t="inlineStr">
        <x:is>
          <x:t xml:space="preserve">PDTFRP001111</x:t>
        </x:is>
      </x:c>
      <x:c r="B1696" t="inlineStr">
        <x:is>
          <x:t xml:space="preserve">CODO 45° DOBLE LAMINA DIAM. 2 PLG FRP-PP VINILESTER CODIGO 1519222</x:t>
        </x:is>
      </x:c>
      <x:c r="E1696" t="n">
        <x:v>0</x:v>
      </x:c>
    </x:row>
    <x:row r="1697">
      <x:c r="A1697" t="inlineStr">
        <x:is>
          <x:t xml:space="preserve">PDTFRP001112</x:t>
        </x:is>
      </x:c>
      <x:c r="B1697" t="inlineStr">
        <x:is>
          <x:t xml:space="preserve">PLATAFORMA 1 TORRE MARLEY 2015X660 MM PL N150-0700-43PL-0001/0002 Y 0003 REV.0</x:t>
        </x:is>
      </x:c>
      <x:c r="E1697" t="n">
        <x:v>0</x:v>
      </x:c>
    </x:row>
    <x:row r="1698">
      <x:c r="A1698" t="inlineStr">
        <x:is>
          <x:t xml:space="preserve">PDTFRP001113</x:t>
        </x:is>
      </x:c>
      <x:c r="B1698" t="inlineStr">
        <x:is>
          <x:t xml:space="preserve">PLATAFORMA 2 TORRE MARLEY 4020X1000MM PL N150-0700-43PL-0001/0002 Y0003 REV.0</x:t>
        </x:is>
      </x:c>
      <x:c r="E1698" t="n">
        <x:v>0</x:v>
      </x:c>
    </x:row>
    <x:row r="1699">
      <x:c r="A1699" t="inlineStr">
        <x:is>
          <x:t xml:space="preserve">PDTFRP001114</x:t>
        </x:is>
      </x:c>
      <x:c r="B1699" t="inlineStr">
        <x:is>
          <x:t xml:space="preserve">VIGAS SOPORTE PLACA PRECIPITADORES 100X50X4.5 MM X 3300 MM DE LARGO REVESTIDAS N° F30-V44</x:t>
        </x:is>
      </x:c>
      <x:c r="E1699" t="n">
        <x:v>0</x:v>
      </x:c>
    </x:row>
    <x:row r="1700">
      <x:c r="A1700" t="inlineStr">
        <x:is>
          <x:t xml:space="preserve">PDTFRP001115</x:t>
        </x:is>
      </x:c>
      <x:c r="B1700" t="inlineStr">
        <x:is>
          <x:t xml:space="preserve">VIGAS SOPORTE PLACA PRECIPITADORES 100X50X4.5 MM X 4350 MM DE LARGO REVESTIDAS N° F30-V51</x:t>
        </x:is>
      </x:c>
      <x:c r="E1700" t="n">
        <x:v>0</x:v>
      </x:c>
    </x:row>
    <x:row r="1701">
      <x:c r="A1701" t="inlineStr">
        <x:is>
          <x:t xml:space="preserve">PDTFRP001116</x:t>
        </x:is>
      </x:c>
      <x:c r="B1701" t="inlineStr">
        <x:is>
          <x:t xml:space="preserve">ESTANQUE FRP RESINA VINILESTER 30M2 9700200</x:t>
        </x:is>
      </x:c>
      <x:c r="E1701" t="n">
        <x:v>0</x:v>
      </x:c>
    </x:row>
    <x:row r="1702">
      <x:c r="A1702" t="inlineStr">
        <x:is>
          <x:t xml:space="preserve">PDTFRP001117</x:t>
        </x:is>
      </x:c>
      <x:c r="B1702" t="inlineStr">
        <x:is>
          <x:t xml:space="preserve">CODO 90° RL 4 PLG FRP 150 PSI FABRICACIÓN SEGÚN CRITERIO WOOD PDS-046-1 Y PDS-046-3  RESINA VINILEST</x:t>
        </x:is>
      </x:c>
      <x:c r="E1702" t="n">
        <x:v>0</x:v>
      </x:c>
    </x:row>
    <x:row r="1703">
      <x:c r="A1703" t="inlineStr">
        <x:is>
          <x:t xml:space="preserve">PDTFRP001118</x:t>
        </x:is>
      </x:c>
      <x:c r="B1703" t="inlineStr">
        <x:is>
          <x:t xml:space="preserve">CODO 90° RL 2 PLG FRP 150 PSI FABRICACIÓN SEGÚN CRITERIO WOOD PDS-046-1 Y PDS-046-3  RESINA VINILEST</x:t>
        </x:is>
      </x:c>
      <x:c r="E1703" t="n">
        <x:v>0</x:v>
      </x:c>
    </x:row>
    <x:row r="1704">
      <x:c r="A1704" t="inlineStr">
        <x:is>
          <x:t xml:space="preserve">PDTFRP001119</x:t>
        </x:is>
      </x:c>
      <x:c r="B1704" t="inlineStr">
        <x:is>
          <x:t xml:space="preserve">CODO 45° RL 8 PLG FRP 150 PSI FABRICACIÓN SEGÚN CRITERIO WOOD PDS-046-1 Y PDS-046-3  RESINA VINILEST</x:t>
        </x:is>
      </x:c>
      <x:c r="E1704" t="n">
        <x:v>0</x:v>
      </x:c>
    </x:row>
    <x:row r="1705">
      <x:c r="A1705" t="inlineStr">
        <x:is>
          <x:t xml:space="preserve">PDTFRP001120</x:t>
        </x:is>
      </x:c>
      <x:c r="B1705" t="inlineStr">
        <x:is>
          <x:t xml:space="preserve">CODO 45° RL 6 PLG FRP 150 PSI FABRICACIÓN SEGÚN CRITERIO WOOD PDS-046-1 Y PDS-046-3  RESINA VINILEST</x:t>
        </x:is>
      </x:c>
      <x:c r="E1705" t="n">
        <x:v>0</x:v>
      </x:c>
    </x:row>
    <x:row r="1706">
      <x:c r="A1706" t="inlineStr">
        <x:is>
          <x:t xml:space="preserve">PDTFRP001121</x:t>
        </x:is>
      </x:c>
      <x:c r="B1706" t="inlineStr">
        <x:is>
          <x:t xml:space="preserve">REDUCCION CONCENTRICA 8PLG A 6PLG CRITERIO WOOD PDS-046-1 Y PSD-046-3 RESINA VINILESTER</x:t>
        </x:is>
      </x:c>
      <x:c r="E1706" t="n">
        <x:v>0</x:v>
      </x:c>
    </x:row>
    <x:row r="1707">
      <x:c r="A1707" t="inlineStr">
        <x:is>
          <x:t xml:space="preserve">PDTFRP001122</x:t>
        </x:is>
      </x:c>
      <x:c r="B1707" t="inlineStr">
        <x:is>
          <x:t xml:space="preserve">KIT VENDAJE 8 PLG FRP 150 PSI MATERIAS PRIMAS PARA UNION TERRENO CRITERIO WOOD PDS-046-2 TABLA D Y E</x:t>
        </x:is>
      </x:c>
      <x:c r="E1707" t="n">
        <x:v>0</x:v>
      </x:c>
    </x:row>
    <x:row r="1708">
      <x:c r="A1708" t="inlineStr">
        <x:is>
          <x:t xml:space="preserve">PDTFRP001123</x:t>
        </x:is>
      </x:c>
      <x:c r="B1708" t="inlineStr">
        <x:is>
          <x:t xml:space="preserve">KIT VENDAJE 6 PLG FRP 150 PSI MATERIAS PRIMAS PARA UNION TERRENO CRITERIO WOOD PDS-046-2 TABLA D Y E</x:t>
        </x:is>
      </x:c>
      <x:c r="E1708" t="n">
        <x:v>0</x:v>
      </x:c>
    </x:row>
    <x:row r="1709">
      <x:c r="A1709" t="inlineStr">
        <x:is>
          <x:t xml:space="preserve">PDTFRP001124</x:t>
        </x:is>
      </x:c>
      <x:c r="B1709" t="inlineStr">
        <x:is>
          <x:t xml:space="preserve">KIT VENDAJE 4 PLG FRP 150 PSI MATERIAS PRIMAS PARA UNION TERRENO CRITERIO WOOD PDS-046-2 TABLA D Y E</x:t>
        </x:is>
      </x:c>
      <x:c r="E1709" t="n">
        <x:v>0</x:v>
      </x:c>
    </x:row>
    <x:row r="1710">
      <x:c r="A1710" t="inlineStr">
        <x:is>
          <x:t xml:space="preserve">PDTFRP001125</x:t>
        </x:is>
      </x:c>
      <x:c r="B1710" t="inlineStr">
        <x:is>
          <x:t xml:space="preserve">KIT VENDAJE 2 PLG FRP 150 PSI MATERIAS PRIMAS PARA UNION TERRENO CRITERIO WOOD PDS-046-2 TABLA D Y E</x:t>
        </x:is>
      </x:c>
      <x:c r="E1710" t="n">
        <x:v>0</x:v>
      </x:c>
    </x:row>
    <x:row r="1711">
      <x:c r="A1711" t="inlineStr">
        <x:is>
          <x:t xml:space="preserve">PDTFRP001126</x:t>
        </x:is>
      </x:c>
      <x:c r="B1711" t="inlineStr">
        <x:is>
          <x:t xml:space="preserve">ESTACION DE ACIDULADO MOVIL COMPUESTAD DE CARRO.SISTEMA DE INJECCION ACIDO.SISTEMA BOMBEO,PANELES DE</x:t>
        </x:is>
      </x:c>
      <x:c r="E1711" t="n">
        <x:v>0</x:v>
      </x:c>
    </x:row>
    <x:row r="1712">
      <x:c r="A1712" t="inlineStr">
        <x:is>
          <x:t xml:space="preserve">PDTFRP001127</x:t>
        </x:is>
      </x:c>
      <x:c r="B1712" t="inlineStr">
        <x:is>
          <x:t xml:space="preserve">TUBERIA DE ALIMENTACION PARA TOBERA CENTRAL TORRE RFS PP/FRP PLANO 0700-07-46PL-00039 REV.2</x:t>
        </x:is>
      </x:c>
      <x:c r="E1712" t="n">
        <x:v>0</x:v>
      </x:c>
    </x:row>
    <x:row r="1713">
      <x:c r="A1713" t="inlineStr">
        <x:is>
          <x:t xml:space="preserve">PDTFRP001128</x:t>
        </x:is>
      </x:c>
      <x:c r="B1713" t="inlineStr">
        <x:is>
          <x:t xml:space="preserve">SERVICIO DE REPARACION ESTRUCTURAL DE PLACAS  DE VENTILADOR EN FRP RESINA VINILESTER SMA</x:t>
        </x:is>
      </x:c>
      <x:c r="E1713" t="n">
        <x:v>0</x:v>
      </x:c>
    </x:row>
    <x:row r="1714">
      <x:c r="A1714" t="inlineStr">
        <x:is>
          <x:t xml:space="preserve">PDTFRP001129</x:t>
        </x:is>
      </x:c>
      <x:c r="B1714" t="inlineStr">
        <x:is>
          <x:t xml:space="preserve">STUD END DOBLE LAMINA PP/FRP 20 PLG DIAM. RESINA VINILESTER CODIGO 1519212</x:t>
        </x:is>
      </x:c>
      <x:c r="E1714" t="n">
        <x:v>0</x:v>
      </x:c>
    </x:row>
    <x:row r="1715">
      <x:c r="A1715" t="inlineStr">
        <x:is>
          <x:t xml:space="preserve">PDTFRP001130</x:t>
        </x:is>
      </x:c>
      <x:c r="B1715" t="inlineStr">
        <x:is>
          <x:t xml:space="preserve">CODO  90 GRD DOBLE LAMINA DIAM.20 PLG RESINA VINILESTER CÓDIGO 1519212</x:t>
        </x:is>
      </x:c>
      <x:c r="E1715" t="n">
        <x:v>0</x:v>
      </x:c>
    </x:row>
    <x:row r="1716">
      <x:c r="A1716" t="inlineStr">
        <x:is>
          <x:t xml:space="preserve">PDTFRP001131</x:t>
        </x:is>
      </x:c>
      <x:c r="B1716" t="inlineStr">
        <x:is>
          <x:t xml:space="preserve">CODO  45 GRD DOBLE LAMINA DIAM.16 PLG RESINA VINILESTER CÓDIGO 1519229</x:t>
        </x:is>
      </x:c>
      <x:c r="E1716" t="n">
        <x:v>0</x:v>
      </x:c>
    </x:row>
    <x:row r="1717">
      <x:c r="A1717" t="inlineStr">
        <x:is>
          <x:t xml:space="preserve">PDTFRP001132</x:t>
        </x:is>
      </x:c>
      <x:c r="B1717" t="inlineStr">
        <x:is>
          <x:t xml:space="preserve">CODO  45 GRD DOBLE LAMINA DIAM.20 PLG RESINA VINILESTER CÓDIGO 1519230</x:t>
        </x:is>
      </x:c>
      <x:c r="E1717" t="n">
        <x:v>0</x:v>
      </x:c>
    </x:row>
    <x:row r="1718">
      <x:c r="A1718" t="inlineStr">
        <x:is>
          <x:t xml:space="preserve">PDTFRP001133</x:t>
        </x:is>
      </x:c>
      <x:c r="B1718" t="inlineStr">
        <x:is>
          <x:t xml:space="preserve">DUCTO DOBLE LAMINA DIAMETRO 16 PLG PP/FRP RESINA VINILESTER TIRA 5 MTRS CODIGO 1519202</x:t>
        </x:is>
      </x:c>
      <x:c r="E1718" t="n">
        <x:v>0</x:v>
      </x:c>
    </x:row>
    <x:row r="1719">
      <x:c r="A1719" t="inlineStr">
        <x:is>
          <x:t xml:space="preserve">PDTFRP001134</x:t>
        </x:is>
      </x:c>
      <x:c r="B1719" t="inlineStr">
        <x:is>
          <x:t xml:space="preserve">DUCTO DE DOBLE LAMINA DIAMETRO 20 PLG FRP-PP RESINA VINILESTER TIRA 5 MTS COD.1519203</x:t>
        </x:is>
      </x:c>
      <x:c r="E1719" t="n">
        <x:v>0</x:v>
      </x:c>
    </x:row>
    <x:row r="1720">
      <x:c r="A1720" t="inlineStr">
        <x:is>
          <x:t xml:space="preserve">PDTFRP001135</x:t>
        </x:is>
      </x:c>
      <x:c r="B1720" t="inlineStr">
        <x:is>
          <x:t xml:space="preserve">BRAZO SIMPLE 0.5 MTS PRFV 72MM X 50.8MM X 500MM CARGA 100 KGF GRIS</x:t>
        </x:is>
      </x:c>
      <x:c r="E1720" t="n">
        <x:v>0</x:v>
      </x:c>
    </x:row>
    <x:row r="1721">
      <x:c r="A1721" t="inlineStr">
        <x:is>
          <x:t xml:space="preserve">PDTFRP001136</x:t>
        </x:is>
      </x:c>
      <x:c r="B1721" t="inlineStr">
        <x:is>
          <x:t xml:space="preserve">DECANTADOR FRP LARGO 12.5 MTS X ANCHO 3.5 MTS X ALTO 2.43 MTS + FLANGES Y CONECCIONES SQM</x:t>
        </x:is>
      </x:c>
      <x:c r="E1721" t="n">
        <x:v>0</x:v>
      </x:c>
    </x:row>
    <x:row r="1722">
      <x:c r="A1722" t="inlineStr">
        <x:is>
          <x:t xml:space="preserve">PDTFRP001137</x:t>
        </x:is>
      </x:c>
      <x:c r="B1722" t="inlineStr">
        <x:is>
          <x:t xml:space="preserve">PIEZA ESPECIAL FRP-PP DN 300 COMPUESTA DE TRAMO 2650MM + CODO 90° C/AVANCE 550 MM</x:t>
        </x:is>
      </x:c>
      <x:c r="E1722" t="n">
        <x:v>0</x:v>
      </x:c>
    </x:row>
    <x:row r="1723">
      <x:c r="A1723" t="inlineStr">
        <x:is>
          <x:t xml:space="preserve">PDTFRP001138</x:t>
        </x:is>
      </x:c>
      <x:c r="B1723" t="inlineStr">
        <x:is>
          <x:t xml:space="preserve">MANIFOLD DE DESCARGA /SPOOL N° 3 DESCARGA DE BOMBAS TORRE QUENCH HORNO REFINO PP/FRP</x:t>
        </x:is>
      </x:c>
      <x:c r="E1723" t="n">
        <x:v>0</x:v>
      </x:c>
    </x:row>
    <x:row r="1724">
      <x:c r="A1724" t="inlineStr">
        <x:is>
          <x:t xml:space="preserve">PDTFRP001139</x:t>
        </x:is>
      </x:c>
      <x:c r="B1724" t="inlineStr">
        <x:is>
          <x:t xml:space="preserve">CAÑERIA 2 PLG (63MM) PVDF C/BAKING TIRA DE 3 MTS CODIGO 1119820</x:t>
        </x:is>
      </x:c>
      <x:c r="E1724" t="n">
        <x:v>0</x:v>
      </x:c>
    </x:row>
    <x:row r="1725">
      <x:c r="A1725" t="inlineStr">
        <x:is>
          <x:t xml:space="preserve">PDTFRP001140</x:t>
        </x:is>
      </x:c>
      <x:c r="B1725" t="inlineStr">
        <x:is>
          <x:t xml:space="preserve">CAÑERIA 3 PLG (90MM) PVDF C/BAKING TIRA DE 3 MTS CODIGO 1119822</x:t>
        </x:is>
      </x:c>
      <x:c r="E1725" t="n">
        <x:v>0</x:v>
      </x:c>
    </x:row>
    <x:row r="1726">
      <x:c r="A1726" t="inlineStr">
        <x:is>
          <x:t xml:space="preserve">PDTFRP001141</x:t>
        </x:is>
      </x:c>
      <x:c r="B1726" t="inlineStr">
        <x:is>
          <x:t xml:space="preserve">REDUCCION NOM 2X3 PLG (63X90) PVDF C/BAKING CODIGO 1119817</x:t>
        </x:is>
      </x:c>
      <x:c r="E1726" t="n">
        <x:v>0</x:v>
      </x:c>
    </x:row>
    <x:row r="1727">
      <x:c r="A1727" t="inlineStr">
        <x:is>
          <x:t xml:space="preserve">PDTFRP001142</x:t>
        </x:is>
      </x:c>
      <x:c r="B1727" t="inlineStr">
        <x:is>
          <x:t xml:space="preserve">STUB END DE 2 PLG (63) PVDF C/BACKING CODIGO 1119809</x:t>
        </x:is>
      </x:c>
      <x:c r="E1727" t="n">
        <x:v>0</x:v>
      </x:c>
    </x:row>
    <x:row r="1728">
      <x:c r="A1728" t="inlineStr">
        <x:is>
          <x:t xml:space="preserve">PDTFRP001143</x:t>
        </x:is>
      </x:c>
      <x:c r="B1728" t="inlineStr">
        <x:is>
          <x:t xml:space="preserve">STUB END DE 3 PLG (90) PVDF C/BACKING CODIGO 1119810</x:t>
        </x:is>
      </x:c>
      <x:c r="E1728" t="n">
        <x:v>0</x:v>
      </x:c>
    </x:row>
    <x:row r="1729">
      <x:c r="A1729" t="inlineStr">
        <x:is>
          <x:t xml:space="preserve">PDTFRP001144</x:t>
        </x:is>
      </x:c>
      <x:c r="B1729" t="inlineStr">
        <x:is>
          <x:t xml:space="preserve">CONJUNTO TOBERAS DE INYECCION SIMONA 100409PP02 CODIGO 4115880</x:t>
        </x:is>
      </x:c>
      <x:c r="E1729" t="n">
        <x:v>0</x:v>
      </x:c>
    </x:row>
    <x:row r="1730">
      <x:c r="A1730" t="inlineStr">
        <x:is>
          <x:t xml:space="preserve">PDTFRP001145</x:t>
        </x:is>
      </x:c>
      <x:c r="B1730" t="inlineStr">
        <x:is>
          <x:t xml:space="preserve">BOQUILLA DE ASPERSION PRINCIPAL OTO-VENT</x:t>
        </x:is>
      </x:c>
      <x:c r="E1730" t="n">
        <x:v>0</x:v>
      </x:c>
    </x:row>
    <x:row r="1731">
      <x:c r="A1731" t="inlineStr">
        <x:is>
          <x:t xml:space="preserve">PDTFRP001146</x:t>
        </x:is>
      </x:c>
      <x:c r="B1731" t="inlineStr">
        <x:is>
          <x:t xml:space="preserve">4184698 CODO 5 PLG DE 90° FRP-PP DIN 16965 RESINA VINILESTER</x:t>
        </x:is>
      </x:c>
      <x:c r="E1731" t="n">
        <x:v>0</x:v>
      </x:c>
    </x:row>
    <x:row r="1732">
      <x:c r="A1732" t="inlineStr">
        <x:is>
          <x:t xml:space="preserve">PDTFRP001147</x:t>
        </x:is>
      </x:c>
      <x:c r="B1732" t="inlineStr">
        <x:is>
          <x:t xml:space="preserve">1296231 TEE DE 2 PLG (DN 63 MM )DOBLA LAMINA PVDF/FRP RESINA VINILESTER</x:t>
        </x:is>
      </x:c>
      <x:c r="E1732" t="n">
        <x:v>0</x:v>
      </x:c>
    </x:row>
    <x:row r="1733">
      <x:c r="A1733" t="inlineStr">
        <x:is>
          <x:t xml:space="preserve">PDTFRP001148</x:t>
        </x:is>
      </x:c>
      <x:c r="B1733" t="inlineStr">
        <x:is>
          <x:t xml:space="preserve">1296232 CODO DE 90° DE 2 PLG (DN 63 MM ) DOBLE LAMINA PVDF/FRP RESINA VINILESTER</x:t>
        </x:is>
      </x:c>
      <x:c r="E1733" t="n">
        <x:v>0</x:v>
      </x:c>
    </x:row>
    <x:row r="1734">
      <x:c r="A1734" t="inlineStr">
        <x:is>
          <x:t xml:space="preserve">PDTFRP001149</x:t>
        </x:is>
      </x:c>
      <x:c r="B1734" t="inlineStr">
        <x:is>
          <x:t xml:space="preserve">EST-1608 TANQUE DE PULPA DE DESCARGA DECANTER TREN A DIAM 3500*4000 EN FRP C%EXTRUCTURA METALICA</x:t>
        </x:is>
      </x:c>
      <x:c r="E1734" t="n">
        <x:v>0</x:v>
      </x:c>
    </x:row>
    <x:row r="1735">
      <x:c r="A1735" t="inlineStr">
        <x:is>
          <x:t xml:space="preserve">PDTFRP001150</x:t>
        </x:is>
      </x:c>
      <x:c r="B1735" t="inlineStr">
        <x:is>
          <x:t xml:space="preserve">O,CENTRIFUGADO DE PRODUCTO DIAM 3500*3500 EN FRP C%EXTRUCTURA</x:t>
        </x:is>
      </x:c>
      <x:c r="E1735" t="n">
        <x:v>0</x:v>
      </x:c>
    </x:row>
    <x:row r="1736">
      <x:c r="A1736" t="inlineStr">
        <x:is>
          <x:t xml:space="preserve">PDTFRP001151</x:t>
        </x:is>
      </x:c>
      <x:c r="B1736" t="inlineStr">
        <x:is>
          <x:t xml:space="preserve">TAPA DE EMZCLADOR ESTATICO DE RESINO EN DUAL LAMINATE FRP-PVDF S/PLANOS</x:t>
        </x:is>
      </x:c>
      <x:c r="E1736" t="n">
        <x:v>0</x:v>
      </x:c>
    </x:row>
    <x:row r="1737">
      <x:c r="A1737" t="inlineStr">
        <x:is>
          <x:t xml:space="preserve">PDTFRP001152</x:t>
        </x:is>
      </x:c>
      <x:c r="B1737" t="inlineStr">
        <x:is>
          <x:t xml:space="preserve">CAJA MUESTRA  400 X 400 MM S/PLANO CMTM1400400-DWG-000</x:t>
        </x:is>
      </x:c>
      <x:c r="E1737" t="n">
        <x:v>0</x:v>
      </x:c>
    </x:row>
    <x:row r="1738">
      <x:c r="A1738" t="inlineStr">
        <x:is>
          <x:t xml:space="preserve">PDTFRP001153</x:t>
        </x:is>
      </x:c>
      <x:c r="B1738" t="inlineStr">
        <x:is>
          <x:t xml:space="preserve">CAJA MUESTRA  350 X 350 MM S/PLANO CMTM1350350-DWG-000</x:t>
        </x:is>
      </x:c>
      <x:c r="E1738" t="n">
        <x:v>0</x:v>
      </x:c>
    </x:row>
    <x:row r="1739">
      <x:c r="A1739" t="inlineStr">
        <x:is>
          <x:t xml:space="preserve">PDTFRP001154</x:t>
        </x:is>
      </x:c>
      <x:c r="B1739" t="inlineStr">
        <x:is>
          <x:t xml:space="preserve">1230626 STUB END 6 PLG FRP RESINA VINILESTER CUELLO LARGOC/FLANGE PP ANSI CLASE 150</x:t>
        </x:is>
      </x:c>
      <x:c r="E1739" t="n">
        <x:v>0</x:v>
      </x:c>
    </x:row>
    <x:row r="1740">
      <x:c r="A1740" t="inlineStr">
        <x:is>
          <x:t xml:space="preserve">PDTFRP001155</x:t>
        </x:is>
      </x:c>
      <x:c r="B1740" t="inlineStr">
        <x:is>
          <x:t xml:space="preserve">4059830 MEZCLADOR ESTATICO FRP-PVDF DN 350 X 650 MM ELEMENTOS INTERNOS PVDF</x:t>
        </x:is>
      </x:c>
      <x:c r="E1740" t="n">
        <x:v>0</x:v>
      </x:c>
    </x:row>
    <x:row r="1741">
      <x:c r="A1741" t="inlineStr">
        <x:is>
          <x:t xml:space="preserve">PDTFRP001156</x:t>
        </x:is>
      </x:c>
      <x:c r="B1741" t="inlineStr">
        <x:is>
          <x:t xml:space="preserve">CAÑERIA FIBRA DE VIDRIO DIAM. 6 PLG RESINA VINILESTER CLASE 150</x:t>
        </x:is>
      </x:c>
      <x:c r="E1741" t="n">
        <x:v>0</x:v>
      </x:c>
    </x:row>
    <x:row r="1742">
      <x:c r="A1742" t="inlineStr">
        <x:is>
          <x:t xml:space="preserve">PDTFRP001157</x:t>
        </x:is>
      </x:c>
      <x:c r="B1742" t="inlineStr">
        <x:is>
          <x:t xml:space="preserve">EST-1608 TANQUE PULPA DE DESCARGA DECANTER TREN A DIAM 3500X4000 EN FRP CON RESINA EPOXI STD</x:t>
        </x:is>
      </x:c>
      <x:c r="E1742" t="n">
        <x:v>0</x:v>
      </x:c>
    </x:row>
    <x:row r="1743">
      <x:c r="A1743" t="inlineStr">
        <x:is>
          <x:t xml:space="preserve">PDTFRP001158</x:t>
        </x:is>
      </x:c>
      <x:c r="B1743" t="inlineStr">
        <x:is>
          <x:t xml:space="preserve">EST- 1300 TANQUE DE ALMACENAMIENTO AGUA DE LAVADO,CENTRIFUGADO DE PRODUCTO DIAM 3500*3500 EN FRP</x:t>
        </x:is>
      </x:c>
      <x:c r="E1743" t="n">
        <x:v>0</x:v>
      </x:c>
    </x:row>
    <x:row r="1744">
      <x:c r="A1744" t="inlineStr">
        <x:is>
          <x:t xml:space="preserve">PDTFRP001159</x:t>
        </x:is>
      </x:c>
      <x:c r="B1744" t="inlineStr">
        <x:is>
          <x:t xml:space="preserve">SOPORTES POLTRUIDOS FRP PERFIL SPOOL HDPE VALVLA BOLA  Y FITING ELECTROFUSION</x:t>
        </x:is>
      </x:c>
      <x:c r="E1744" t="n">
        <x:v>0</x:v>
      </x:c>
    </x:row>
    <x:row r="1745">
      <x:c r="A1745" t="inlineStr">
        <x:is>
          <x:t xml:space="preserve">PDTFRP001160</x:t>
        </x:is>
      </x:c>
      <x:c r="B1745" t="inlineStr">
        <x:is>
          <x:t xml:space="preserve">TEE 90° DIAM 6 PLG FRP RESINA VINILESTER C&amp;FLG</x:t>
        </x:is>
      </x:c>
      <x:c r="E1745" t="n">
        <x:v>0</x:v>
      </x:c>
    </x:row>
    <x:row r="1746">
      <x:c r="A1746" t="inlineStr">
        <x:is>
          <x:t xml:space="preserve">PDTFRP001161</x:t>
        </x:is>
      </x:c>
      <x:c r="B1746" t="inlineStr">
        <x:is>
          <x:t xml:space="preserve">FLANGE DIAM 6 PLG SLIP ON 316 L</x:t>
        </x:is>
      </x:c>
      <x:c r="E1746" t="n">
        <x:v>0</x:v>
      </x:c>
    </x:row>
    <x:row r="1747">
      <x:c r="A1747" t="inlineStr">
        <x:is>
          <x:t xml:space="preserve">PDTFRP001162</x:t>
        </x:is>
      </x:c>
      <x:c r="B1747" t="inlineStr">
        <x:is>
          <x:t xml:space="preserve">CODO (200X200MM) PARA ANILLO DE IRRIGACION TORRE HUMIDIFICACION PLTA ACIDOS CHAGRES</x:t>
        </x:is>
      </x:c>
      <x:c r="E1747" t="n">
        <x:v>0</x:v>
      </x:c>
    </x:row>
    <x:row r="1748">
      <x:c r="A1748" t="inlineStr">
        <x:is>
          <x:t xml:space="preserve">PDTFRP001163</x:t>
        </x:is>
      </x:c>
      <x:c r="B1748" t="inlineStr">
        <x:is>
          <x:t xml:space="preserve">CONJUNTO INSERTOS FRP MK-711-10 SIGDO KOPPERS FUL0620-NV0003  (6 PIEZAS)</x:t>
        </x:is>
      </x:c>
      <x:c r="E1748" t="n">
        <x:v>0</x:v>
      </x:c>
    </x:row>
    <x:row r="1749">
      <x:c r="A1749" t="inlineStr">
        <x:is>
          <x:t xml:space="preserve">PDTFRP001164</x:t>
        </x:is>
      </x:c>
      <x:c r="B1749" t="inlineStr">
        <x:is>
          <x:t xml:space="preserve">MEZCLADOR ESTATICO PARA ETAPA DE REEXTRACCION DE SX CENTINELA</x:t>
        </x:is>
      </x:c>
      <x:c r="E1749" t="n">
        <x:v>0</x:v>
      </x:c>
    </x:row>
    <x:row r="1750">
      <x:c r="A1750" t="inlineStr">
        <x:is>
          <x:t xml:space="preserve">PDTFRP001165</x:t>
        </x:is>
      </x:c>
      <x:c r="B1750" t="inlineStr">
        <x:is>
          <x:t xml:space="preserve">A28 FABRICACION DE END CUP DIAM 18 PLG X 600 MM EN FRP RES.VINILESTER S/N AWWA C950</x:t>
        </x:is>
      </x:c>
      <x:c r="E1750" t="n">
        <x:v>0</x:v>
      </x:c>
    </x:row>
    <x:row r="1751">
      <x:c r="A1751" t="inlineStr">
        <x:is>
          <x:t xml:space="preserve">PDTFRP001166</x:t>
        </x:is>
      </x:c>
      <x:c r="B1751" t="inlineStr">
        <x:is>
          <x:t xml:space="preserve">4195382 CODO FEP 90°  700 MM PLN104207FV36REVA INCLUYE FLANGE AC.INOX</x:t>
        </x:is>
      </x:c>
      <x:c r="E1751" t="n">
        <x:v>0</x:v>
      </x:c>
    </x:row>
    <x:row r="1752">
      <x:c r="A1752" t="inlineStr">
        <x:is>
          <x:t xml:space="preserve">PDTFRP001167</x:t>
        </x:is>
      </x:c>
      <x:c r="B1752" t="inlineStr">
        <x:is>
          <x:t xml:space="preserve">EST-1320 TANQUE LICOR DEBIL CENTRIFUGADO DIAM 4000X4800MM FRP RESINA EPOXI VINILESTER STD</x:t>
        </x:is>
      </x:c>
      <x:c r="E1752" t="n">
        <x:v>0</x:v>
      </x:c>
    </x:row>
    <x:row r="1753">
      <x:c r="A1753" t="inlineStr">
        <x:is>
          <x:t xml:space="preserve">PDTFRP001168</x:t>
        </x:is>
      </x:c>
      <x:c r="B1753" t="inlineStr">
        <x:is>
          <x:t xml:space="preserve">EST-1600 TANQUE DE LICOR MADRE TREN A DIAM 4000X4500 MM FRP RESINA EPOXI VINILESTER STD</x:t>
        </x:is>
      </x:c>
      <x:c r="E1753" t="n">
        <x:v>0</x:v>
      </x:c>
    </x:row>
    <x:row r="1754">
      <x:c r="A1754" t="inlineStr">
        <x:is>
          <x:t xml:space="preserve">PDTFRP001169</x:t>
        </x:is>
      </x:c>
      <x:c r="B1754" t="inlineStr">
        <x:is>
          <x:t xml:space="preserve">EST-1606 TANQUE DE ALIMENTACION DECANTER TREN A DIAM 4000 X 4000 MM FRP RESINA EPOXI VINILESTER STD</x:t>
        </x:is>
      </x:c>
      <x:c r="E1754" t="n">
        <x:v>0</x:v>
      </x:c>
    </x:row>
    <x:row r="1755">
      <x:c r="A1755" t="inlineStr">
        <x:is>
          <x:t xml:space="preserve">PDTFRP001170</x:t>
        </x:is>
      </x:c>
      <x:c r="B1755" t="inlineStr">
        <x:is>
          <x:t xml:space="preserve">EST-1614 TANQUE DE ALMACENAMIENTO LICOR MADRE DIAM 2700 X 2700 MM FRP RESINA EPOXI VINILESTER STD</x:t>
        </x:is>
      </x:c>
      <x:c r="E1755" t="n">
        <x:v>0</x:v>
      </x:c>
    </x:row>
    <x:row r="1756">
      <x:c r="A1756" t="inlineStr">
        <x:is>
          <x:t xml:space="preserve">PDTFRP001171</x:t>
        </x:is>
      </x:c>
      <x:c r="B1756" t="inlineStr">
        <x:is>
          <x:t xml:space="preserve">ESTANQUE ALJIBE FRP RESINA VINIÑESTER OFI0221-NV0000</x:t>
        </x:is>
      </x:c>
      <x:c r="E1756" t="n">
        <x:v>0</x:v>
      </x:c>
    </x:row>
    <x:row r="1757">
      <x:c r="A1757" t="inlineStr">
        <x:is>
          <x:t xml:space="preserve">PDTFRP001172</x:t>
        </x:is>
      </x:c>
      <x:c r="B1757" t="inlineStr">
        <x:is>
          <x:t xml:space="preserve">DISCO PROTECTOR PARA PLATO DUAL LAMINATE  PP/FRPALTO NORTE</x:t>
        </x:is>
      </x:c>
      <x:c r="E1757" t="n">
        <x:v>0</x:v>
      </x:c>
    </x:row>
    <x:row r="1758">
      <x:c r="A1758" t="inlineStr">
        <x:is>
          <x:t xml:space="preserve">PDTFRP001173</x:t>
        </x:is>
      </x:c>
      <x:c r="B1758" t="inlineStr">
        <x:is>
          <x:t xml:space="preserve">TAPA FRP C/OREJAS ISAJE ALTO NORTE</x:t>
        </x:is>
      </x:c>
      <x:c r="E1758" t="n">
        <x:v>0</x:v>
      </x:c>
    </x:row>
    <x:row r="1759">
      <x:c r="A1759" t="inlineStr">
        <x:is>
          <x:t xml:space="preserve">PDTFRP001174</x:t>
        </x:is>
      </x:c>
      <x:c r="B1759" t="inlineStr">
        <x:is>
          <x:t xml:space="preserve">DUCTO DE GASES FRP ENTRADA A TORRE DE SECADO N° 1 1530 X 12940 AAS</x:t>
        </x:is>
      </x:c>
      <x:c r="E1759" t="n">
        <x:v>0</x:v>
      </x:c>
    </x:row>
    <x:row r="1760">
      <x:c r="A1760" t="inlineStr">
        <x:is>
          <x:t xml:space="preserve">PDTFRP001175</x:t>
        </x:is>
      </x:c>
      <x:c r="B1760" t="inlineStr">
        <x:is>
          <x:t xml:space="preserve">CUPULA DE VENTILADORES EN FRP RESINA VINILESTER PARA TORRES ENFRIAMIENTO PTA OXIG.AAS</x:t>
        </x:is>
      </x:c>
      <x:c r="E1760" t="n">
        <x:v>0</x:v>
      </x:c>
    </x:row>
    <x:row r="1761">
      <x:c r="A1761" t="inlineStr">
        <x:is>
          <x:t xml:space="preserve">PDTFRP001176</x:t>
        </x:is>
      </x:c>
      <x:c r="B1761" t="inlineStr">
        <x:is>
          <x:t xml:space="preserve">CONJUNTO FLANGE CIEGO Y GUILLOTINA FRP RESINA VINILESTER ENTRADA DE GASES A PRESIPITADORES  DE GASES</x:t>
        </x:is>
      </x:c>
      <x:c r="E1761" t="n">
        <x:v>0</x:v>
      </x:c>
    </x:row>
    <x:row r="1762">
      <x:c r="A1762" t="inlineStr">
        <x:is>
          <x:t xml:space="preserve">PDTFRP001177</x:t>
        </x:is>
      </x:c>
      <x:c r="B1762" t="inlineStr">
        <x:is>
          <x:t xml:space="preserve">4101768 CAÑERIA FRP DIAM 16 PLG NORMA SIMONS 4S 1002 ( TRAMOS DE 6 MTS)</x:t>
        </x:is>
      </x:c>
      <x:c r="E1762" t="n">
        <x:v>0</x:v>
      </x:c>
    </x:row>
    <x:row r="1763">
      <x:c r="A1763" t="inlineStr">
        <x:is>
          <x:t xml:space="preserve">PDTFRP001178</x:t>
        </x:is>
      </x:c>
      <x:c r="B1763" t="inlineStr">
        <x:is>
          <x:t xml:space="preserve">CAÑERIA FRP 6 BPLG X 6 MTS 150 PSI CODIGO 4101769</x:t>
        </x:is>
      </x:c>
      <x:c r="E1763" t="n">
        <x:v>0</x:v>
      </x:c>
    </x:row>
    <x:row r="1764">
      <x:c r="A1764" t="inlineStr">
        <x:is>
          <x:t xml:space="preserve">PDTFRP001179</x:t>
        </x:is>
      </x:c>
      <x:c r="B1764" t="inlineStr">
        <x:is>
          <x:t xml:space="preserve">PIPING CONEXION CON TOBERA OTOVENT DUAL LAMINATE FRP-PP JCC0221-NV0007</x:t>
        </x:is>
      </x:c>
      <x:c r="E1764" t="n">
        <x:v>0</x:v>
      </x:c>
    </x:row>
    <x:row r="1765">
      <x:c r="A1765" t="inlineStr">
        <x:is>
          <x:t xml:space="preserve">PDTFRP001180</x:t>
        </x:is>
      </x:c>
      <x:c r="B1765" t="inlineStr">
        <x:is>
          <x:t xml:space="preserve">4101318 BRIDA 16 PLG 150 PSI CLASE 150 RESINA VINILESTER NORMAS STNDAR ANSI B 16,5</x:t>
        </x:is>
      </x:c>
      <x:c r="E1765" t="n">
        <x:v>0</x:v>
      </x:c>
    </x:row>
    <x:row r="1766">
      <x:c r="A1766" t="inlineStr">
        <x:is>
          <x:t xml:space="preserve">PDTFRP001181</x:t>
        </x:is>
      </x:c>
      <x:c r="B1766" t="inlineStr">
        <x:is>
          <x:t xml:space="preserve">FABRICACION SPOOL EN DOBLE LAMINA PP-FRP LINEA 2  EW-1907309-1F01-NI ENAP</x:t>
        </x:is>
      </x:c>
      <x:c r="E1766" t="n">
        <x:v>0</x:v>
      </x:c>
    </x:row>
    <x:row r="1767">
      <x:c r="A1767" t="inlineStr">
        <x:is>
          <x:t xml:space="preserve">PDTFRP001182</x:t>
        </x:is>
      </x:c>
      <x:c r="B1767" t="inlineStr">
        <x:is>
          <x:t xml:space="preserve">1519228 CODO 45 GDR DIAM 12 PLG DUAL LAMINATE PP-FRP INVENIO PPTPPFCD4012</x:t>
        </x:is>
      </x:c>
      <x:c r="E1767" t="n">
        <x:v>0</x:v>
      </x:c>
    </x:row>
    <x:row r="1768">
      <x:c r="A1768" t="inlineStr">
        <x:is>
          <x:t xml:space="preserve">PDTFRP001183</x:t>
        </x:is>
      </x:c>
      <x:c r="B1768" t="inlineStr">
        <x:is>
          <x:t xml:space="preserve">4187937 STUB END DUAL LAMINATE PP-FRP 6 PLG X 2500MM</x:t>
        </x:is>
      </x:c>
      <x:c r="E1768" t="n">
        <x:v>0</x:v>
      </x:c>
    </x:row>
    <x:row r="1769">
      <x:c r="A1769" t="inlineStr">
        <x:is>
          <x:t xml:space="preserve">PDTFRP001184</x:t>
        </x:is>
      </x:c>
      <x:c r="B1769" t="inlineStr">
        <x:is>
          <x:t xml:space="preserve">MANIFOLD SECCION DESCARGA T111 DUAL LAMINATE FRP-PP CUERPO PRINCIPAL 12 PLG</x:t>
        </x:is>
      </x:c>
      <x:c r="E1769" t="n">
        <x:v>0</x:v>
      </x:c>
    </x:row>
    <x:row r="1770">
      <x:c r="A1770" t="inlineStr">
        <x:is>
          <x:t xml:space="preserve">PDTFRP001185</x:t>
        </x:is>
      </x:c>
      <x:c r="B1770" t="inlineStr">
        <x:is>
          <x:t xml:space="preserve">1519201 DUCTO DUAL LAMINATE PP-FRP DIAN 12 PLG PPTPPFTUN12</x:t>
        </x:is>
      </x:c>
      <x:c r="E1770" t="n">
        <x:v>0</x:v>
      </x:c>
    </x:row>
    <x:row r="1771">
      <x:c r="A1771" t="inlineStr">
        <x:is>
          <x:t xml:space="preserve">PDTFRP001186</x:t>
        </x:is>
      </x:c>
      <x:c r="B1771" t="inlineStr">
        <x:is>
          <x:t xml:space="preserve">FILTRO CANASTO DIAM 455 MM X 703  MM C/SALIDA 200 MM COD 1285785</x:t>
        </x:is>
      </x:c>
      <x:c r="E1771" t="n">
        <x:v>0</x:v>
      </x:c>
    </x:row>
    <x:row r="1772">
      <x:c r="A1772" t="inlineStr">
        <x:is>
          <x:t xml:space="preserve">PDTFRP001187</x:t>
        </x:is>
      </x:c>
      <x:c r="B1772" t="inlineStr">
        <x:is>
          <x:t xml:space="preserve">REPARACION ESTACION DE ACIDULADO MOVIL OC-4510325939</x:t>
        </x:is>
      </x:c>
      <x:c r="E1772" t="n">
        <x:v>0</x:v>
      </x:c>
    </x:row>
    <x:row r="1773">
      <x:c r="A1773" t="inlineStr">
        <x:is>
          <x:t xml:space="preserve">PDTFRP001188</x:t>
        </x:is>
      </x:c>
      <x:c r="B1773" t="inlineStr">
        <x:is>
          <x:t xml:space="preserve">CONJUNTO PIPPING PP-FRP DE 1 -2 Y 4 PLG ENAP CON-CON FUL0121-NV0002</x:t>
        </x:is>
      </x:c>
      <x:c r="E1773" t="n">
        <x:v>0</x:v>
      </x:c>
    </x:row>
    <x:row r="1774">
      <x:c r="A1774" t="inlineStr">
        <x:is>
          <x:t xml:space="preserve">PDTFRP001189</x:t>
        </x:is>
      </x:c>
      <x:c r="B1774" t="inlineStr">
        <x:is>
          <x:t xml:space="preserve">FLANGE CIEGO DN 10 PLG EN FRP RESINA VINILESTER ANSI CLASE 150 IMCLUYE MANILLAS</x:t>
        </x:is>
      </x:c>
      <x:c r="E1774" t="n">
        <x:v>0</x:v>
      </x:c>
    </x:row>
    <x:row r="1775">
      <x:c r="A1775" t="inlineStr">
        <x:is>
          <x:t xml:space="preserve">PDTFRP001190</x:t>
        </x:is>
      </x:c>
      <x:c r="B1775" t="inlineStr">
        <x:is>
          <x:t xml:space="preserve">PLANCHA LISA 1000 X 1000 X 6 MM EN FRP RESINA VINILESTER</x:t>
        </x:is>
      </x:c>
      <x:c r="E1775" t="n">
        <x:v>0</x:v>
      </x:c>
    </x:row>
    <x:row r="1776">
      <x:c r="A1776" t="inlineStr">
        <x:is>
          <x:t xml:space="preserve">PDTFRP001191</x:t>
        </x:is>
      </x:c>
      <x:c r="B1776" t="inlineStr">
        <x:is>
          <x:t xml:space="preserve">CONJUNTO DUCTOS SALIDA DE GASES TORRE ENFRIAMIENTO Y HUMIDIFICACION OC-4501491343</x:t>
        </x:is>
      </x:c>
      <x:c r="E1776" t="n">
        <x:v>0</x:v>
      </x:c>
    </x:row>
    <x:row r="1777">
      <x:c r="A1777" t="inlineStr">
        <x:is>
          <x:t xml:space="preserve">PDTFRP001192</x:t>
        </x:is>
      </x:c>
      <x:c r="B1777" t="inlineStr">
        <x:is>
          <x:t xml:space="preserve">113220014 FLANGE FUL FACE 1.1/2 PLG ANSI CLASE 150 LGO 230 RESINA VINILESTER</x:t>
        </x:is>
      </x:c>
      <x:c r="E1777" t="n">
        <x:v>0</x:v>
      </x:c>
    </x:row>
    <x:row r="1778">
      <x:c r="A1778" t="inlineStr">
        <x:is>
          <x:t xml:space="preserve">PDTFRP001193</x:t>
        </x:is>
      </x:c>
      <x:c r="B1778" t="inlineStr">
        <x:is>
          <x:t xml:space="preserve">1383635 ANILLO SUPERIOR TORRE HUMIDIFICACION T111/T121  PPT073PPF191</x:t>
        </x:is>
      </x:c>
      <x:c r="E1778" t="n">
        <x:v>0</x:v>
      </x:c>
    </x:row>
    <x:row r="1779">
      <x:c r="A1779" t="inlineStr">
        <x:is>
          <x:t xml:space="preserve">PDTFRP001194</x:t>
        </x:is>
      </x:c>
      <x:c r="B1779" t="inlineStr">
        <x:is>
          <x:t xml:space="preserve">1383636 ANILLO INFERIOR TORRE HUMIDIFICACION T111/T121  PPT073PPF1921</x:t>
        </x:is>
      </x:c>
      <x:c r="E1779" t="n">
        <x:v>0</x:v>
      </x:c>
    </x:row>
    <x:row r="1780">
      <x:c r="A1780" t="inlineStr">
        <x:is>
          <x:t xml:space="preserve">PDTFRP001195</x:t>
        </x:is>
      </x:c>
      <x:c r="B1780" t="inlineStr">
        <x:is>
          <x:t xml:space="preserve">CARRETEDN 300 DUAL LAMINATE FRP-PP LGO 470 MM C/FLANGE RESPALDO ANSI CLASE 150 PP/AC</x:t>
        </x:is>
      </x:c>
      <x:c r="E1780" t="n">
        <x:v>0</x:v>
      </x:c>
    </x:row>
    <x:row r="1781">
      <x:c r="A1781" t="inlineStr">
        <x:is>
          <x:t xml:space="preserve">PDTFRP001196</x:t>
        </x:is>
      </x:c>
      <x:c r="B1781" t="inlineStr">
        <x:is>
          <x:t xml:space="preserve">REPARACION CHAPALETA Y CUERPO VALVULA MARIPOSA DN1400 FUL0421-NV0017</x:t>
        </x:is>
      </x:c>
      <x:c r="E1781" t="n">
        <x:v>0</x:v>
      </x:c>
    </x:row>
    <x:row r="1782">
      <x:c r="A1782" t="inlineStr">
        <x:is>
          <x:t xml:space="preserve">PDTFRP001197</x:t>
        </x:is>
      </x:c>
      <x:c r="B1782" t="inlineStr">
        <x:is>
          <x:t xml:space="preserve">STUB END 12 PLG PP/FRP ANSI 150 INCLUYE FLANGE ANSI CLASE 150 TTE</x:t>
        </x:is>
      </x:c>
      <x:c r="E1782" t="n">
        <x:v>0</x:v>
      </x:c>
    </x:row>
    <x:row r="1783">
      <x:c r="A1783" t="inlineStr">
        <x:is>
          <x:t xml:space="preserve">PDTFRP001198</x:t>
        </x:is>
      </x:c>
      <x:c r="B1783" t="inlineStr">
        <x:is>
          <x:t xml:space="preserve">4061677 MEZCLADOR ESTATICO DN 10 PLG FRP CON INYECCUON ACERO 254</x:t>
        </x:is>
      </x:c>
      <x:c r="E1783" t="n">
        <x:v>0</x:v>
      </x:c>
    </x:row>
    <x:row r="1784">
      <x:c r="A1784" t="inlineStr">
        <x:is>
          <x:t xml:space="preserve">PDTFRP001199</x:t>
        </x:is>
      </x:c>
      <x:c r="B1784" t="inlineStr">
        <x:is>
          <x:t xml:space="preserve">4197049 DISTRUBUIDOR PLNGCPT105N001DWG000 TORRE T-105 LGTUD 5200 MM DUAL LAMINATE</x:t>
        </x:is>
      </x:c>
      <x:c r="E1784" t="n">
        <x:v>0</x:v>
      </x:c>
    </x:row>
    <x:row r="1785">
      <x:c r="A1785" t="inlineStr">
        <x:is>
          <x:t xml:space="preserve">PDTFRP001200</x:t>
        </x:is>
      </x:c>
      <x:c r="B1785" t="inlineStr">
        <x:is>
          <x:t xml:space="preserve">4195711 VALVULA MARIPOSA DAMPER FRP 150 PSI 1800 MM  FRP RESINA VINILESTER</x:t>
        </x:is>
      </x:c>
      <x:c r="E1785" t="n">
        <x:v>0</x:v>
      </x:c>
    </x:row>
    <x:row r="1786">
      <x:c r="A1786" t="inlineStr">
        <x:is>
          <x:t xml:space="preserve">PDTFRP001201</x:t>
        </x:is>
      </x:c>
      <x:c r="B1786" t="inlineStr">
        <x:is>
          <x:t xml:space="preserve">ESTAMQUE CON TAPA DIAM.4000 X 8000 MM FRP ISOFTALICA SERMIJOR</x:t>
        </x:is>
      </x:c>
      <x:c r="E1786" t="n">
        <x:v>0</x:v>
      </x:c>
    </x:row>
    <x:row r="1787">
      <x:c r="A1787" t="inlineStr">
        <x:is>
          <x:t xml:space="preserve">PDTFRP001202</x:t>
        </x:is>
      </x:c>
      <x:c r="B1787" t="inlineStr">
        <x:is>
          <x:t xml:space="preserve">1285785 FILTRO STRAINER DIAM 435 X 1000 MM SALIDAS 200 MM PP/FRP</x:t>
        </x:is>
      </x:c>
      <x:c r="E1787" t="n">
        <x:v>0</x:v>
      </x:c>
    </x:row>
    <x:row r="1788">
      <x:c r="A1788" t="inlineStr">
        <x:is>
          <x:t xml:space="preserve">PDTFRP001203</x:t>
        </x:is>
      </x:c>
      <x:c r="B1788" t="inlineStr">
        <x:is>
          <x:t xml:space="preserve">MANIFOLD FRP-PP PLANTA TRATAMIENTO DE HUMOS</x:t>
        </x:is>
      </x:c>
      <x:c r="E1788" t="n">
        <x:v>0</x:v>
      </x:c>
    </x:row>
    <x:row r="1789">
      <x:c r="A1789" t="inlineStr">
        <x:is>
          <x:t xml:space="preserve">PDTFRP001204</x:t>
        </x:is>
      </x:c>
      <x:c r="B1789" t="inlineStr">
        <x:is>
          <x:t xml:space="preserve">DESCARGA BBA SPEAR P101S GCP2 DOBLE LAM.PP-FRP GC02T101N02A-A</x:t>
        </x:is>
      </x:c>
      <x:c r="E1789" t="n">
        <x:v>0</x:v>
      </x:c>
    </x:row>
    <x:row r="1790">
      <x:c r="A1790" t="inlineStr">
        <x:is>
          <x:t xml:space="preserve">PDTFRP001205</x:t>
        </x:is>
      </x:c>
      <x:c r="B1790" t="inlineStr">
        <x:is>
          <x:t xml:space="preserve">SPOOL (TEE) SUCCION BBA SPEAR TRAMO A(P101S) GCP2T101N01B</x:t>
        </x:is>
      </x:c>
      <x:c r="E1790" t="n">
        <x:v>0</x:v>
      </x:c>
    </x:row>
    <x:row r="1791">
      <x:c r="A1791" t="inlineStr">
        <x:is>
          <x:t xml:space="preserve">PDTFRP001206</x:t>
        </x:is>
      </x:c>
      <x:c r="B1791" t="inlineStr">
        <x:is>
          <x:t xml:space="preserve">1230631 TUBO POLSTRUIDO RESINA VINILESTER MASISO DIAM.1 PLG X 1 MTS PPT072FRP081</x:t>
        </x:is>
      </x:c>
      <x:c r="E1791" t="n">
        <x:v>0</x:v>
      </x:c>
    </x:row>
    <x:row r="1792">
      <x:c r="A1792" t="inlineStr">
        <x:is>
          <x:t xml:space="preserve">PDTFRP001207</x:t>
        </x:is>
      </x:c>
      <x:c r="B1792" t="inlineStr">
        <x:is>
          <x:t xml:space="preserve">REDUCCION SUCCION BBA SPEAR TRAMO A GCP2T101N01A</x:t>
        </x:is>
      </x:c>
      <x:c r="E1792" t="n">
        <x:v>0</x:v>
      </x:c>
    </x:row>
    <x:row r="1793">
      <x:c r="A1793" t="inlineStr">
        <x:is>
          <x:t xml:space="preserve">PDTFRP001208</x:t>
        </x:is>
      </x:c>
      <x:c r="B1793" t="inlineStr">
        <x:is>
          <x:t xml:space="preserve">DESCARGA BBA P101A-P101B-P101C-P101D GCP2T101N05A</x:t>
        </x:is>
      </x:c>
      <x:c r="E1793" t="n">
        <x:v>0</x:v>
      </x:c>
    </x:row>
    <x:row r="1794">
      <x:c r="A1794" t="inlineStr">
        <x:is>
          <x:t xml:space="preserve">PDTFRP001209</x:t>
        </x:is>
      </x:c>
      <x:c r="B1794" t="inlineStr">
        <x:is>
          <x:t xml:space="preserve">DESCARGA BBA SPEAR P101S GCP2T101N2A</x:t>
        </x:is>
      </x:c>
      <x:c r="E1794" t="n">
        <x:v>0</x:v>
      </x:c>
    </x:row>
    <x:row r="1795">
      <x:c r="A1795" t="inlineStr">
        <x:is>
          <x:t xml:space="preserve">PDTFRP001210</x:t>
        </x:is>
      </x:c>
      <x:c r="B1795" t="inlineStr">
        <x:is>
          <x:t xml:space="preserve">4197285 ESTAMQUW 16 MT3 LLDPE 5000-EST-002 POLIETILENO</x:t>
        </x:is>
      </x:c>
      <x:c r="E1795" t="n">
        <x:v>0</x:v>
      </x:c>
    </x:row>
    <x:row r="1796">
      <x:c r="A1796" t="inlineStr">
        <x:is>
          <x:t xml:space="preserve">PDTFRP001211</x:t>
        </x:is>
      </x:c>
      <x:c r="B1796" t="inlineStr">
        <x:is>
          <x:t xml:space="preserve">4197281 ESTANQUE 24 MT3 FRP 6000-EST-006 MATERIAL FRP</x:t>
        </x:is>
      </x:c>
      <x:c r="E1796" t="n">
        <x:v>0</x:v>
      </x:c>
    </x:row>
    <x:row r="1797">
      <x:c r="A1797" t="inlineStr">
        <x:is>
          <x:t xml:space="preserve">PDTFRP001212</x:t>
        </x:is>
      </x:c>
      <x:c r="B1797" t="inlineStr">
        <x:is>
          <x:t xml:space="preserve">4197280 ESTANQUE 24 MT3 FRP 6000-EST-005 MATERIAL FRP</x:t>
        </x:is>
      </x:c>
      <x:c r="E1797" t="n">
        <x:v>0</x:v>
      </x:c>
    </x:row>
    <x:row r="1798">
      <x:c r="A1798" t="inlineStr">
        <x:is>
          <x:t xml:space="preserve">PDTFRP001213</x:t>
        </x:is>
      </x:c>
      <x:c r="B1798" t="inlineStr">
        <x:is>
          <x:t xml:space="preserve">STUB END 4 PLG FRP RESINA VINILESTER C/FLANGE DIN AC/PP DN 110 NORMA DIN CLASE 150</x:t>
        </x:is>
      </x:c>
      <x:c r="E1798" t="n">
        <x:v>0</x:v>
      </x:c>
    </x:row>
    <x:row r="1799">
      <x:c r="A1799" t="inlineStr">
        <x:is>
          <x:t xml:space="preserve">PDTFRP001214</x:t>
        </x:is>
      </x:c>
      <x:c r="B1799" t="inlineStr">
        <x:is>
          <x:t xml:space="preserve">GCP2 T102 MANIFOLD SUCCION DE BBAS T 102A DUAL LAMINATE PP-FRP GCP2T102AN02</x:t>
        </x:is>
      </x:c>
      <x:c r="E1799" t="n">
        <x:v>0</x:v>
      </x:c>
    </x:row>
    <x:row r="1800">
      <x:c r="A1800" t="inlineStr">
        <x:is>
          <x:t xml:space="preserve">PDTFRP001215</x:t>
        </x:is>
      </x:c>
      <x:c r="B1800" t="inlineStr">
        <x:is>
          <x:t xml:space="preserve">11345577 SPOOL 2 TAMBOR 4D-AD-001 HACIA SCRUBBER PL.SCKTCH-DWG-00065 REV0</x:t>
        </x:is>
      </x:c>
      <x:c r="E1800" t="n">
        <x:v>0</x:v>
      </x:c>
    </x:row>
    <x:row r="1801">
      <x:c r="A1801" t="inlineStr">
        <x:is>
          <x:t xml:space="preserve">PDTFRP001216</x:t>
        </x:is>
      </x:c>
      <x:c r="B1801" t="inlineStr">
        <x:is>
          <x:t xml:space="preserve">11345603 SPOOL-001-C ALIMENTACION T1 40-AD-001 HACIA SCRUBBER PL SCKETCH-DWG-00059 REV0</x:t>
        </x:is>
      </x:c>
      <x:c r="E1801" t="n">
        <x:v>0</x:v>
      </x:c>
    </x:row>
    <x:row r="1802">
      <x:c r="A1802" t="inlineStr">
        <x:is>
          <x:t xml:space="preserve">PDTFRP001217</x:t>
        </x:is>
      </x:c>
      <x:c r="B1802" t="inlineStr">
        <x:is>
          <x:t xml:space="preserve">1230630 STUB END 16 PLG RESINA VINILESTER INCLUYE FLANGE ANSI B16,5 CLASE 150 LARGO CUELLO 500 MM</x:t>
        </x:is>
      </x:c>
      <x:c r="E1802" t="n">
        <x:v>0</x:v>
      </x:c>
    </x:row>
    <x:row r="1803">
      <x:c r="A1803" t="inlineStr">
        <x:is>
          <x:t xml:space="preserve">PDTFRP001218</x:t>
        </x:is>
      </x:c>
      <x:c r="B1803" t="inlineStr">
        <x:is>
          <x:t xml:space="preserve">REPARACION INYECTOR DE FLUIDO SECUNDARIO PVDF-FRP CMMC</x:t>
        </x:is>
      </x:c>
      <x:c r="E1803" t="n">
        <x:v>0</x:v>
      </x:c>
    </x:row>
    <x:row r="1804">
      <x:c r="A1804" t="inlineStr">
        <x:is>
          <x:t xml:space="preserve">PDTFRP001219</x:t>
        </x:is>
      </x:c>
      <x:c r="B1804" t="inlineStr">
        <x:is>
          <x:t xml:space="preserve">4061677 MEZCLADOR ESTATICO DN 10 FRP-PVDF INYECCION ECERO 254 SOM PLANO P1703-365-M-004</x:t>
        </x:is>
      </x:c>
      <x:c r="E1804" t="n">
        <x:v>0</x:v>
      </x:c>
    </x:row>
    <x:row r="1805">
      <x:c r="A1805" t="inlineStr">
        <x:is>
          <x:t xml:space="preserve">PDTFRP001220</x:t>
        </x:is>
      </x:c>
      <x:c r="B1805" t="inlineStr">
        <x:is>
          <x:t xml:space="preserve">4203246 CODO TORRE 3 FRP-PVDF RESINA VINILESTER PLNPP073PVF20DWG000</x:t>
        </x:is>
      </x:c>
      <x:c r="E1805" t="n">
        <x:v>0</x:v>
      </x:c>
    </x:row>
    <x:row r="1806">
      <x:c r="A1806" t="inlineStr">
        <x:is>
          <x:t xml:space="preserve">PDTFRP001221</x:t>
        </x:is>
      </x:c>
      <x:c r="B1806" t="inlineStr">
        <x:is>
          <x:t xml:space="preserve">BOQUILLA DE 8N PLG FRP INSTALADA EN TK</x:t>
        </x:is>
      </x:c>
      <x:c r="E1806" t="n">
        <x:v>0</x:v>
      </x:c>
    </x:row>
    <x:row r="1807">
      <x:c r="A1807" t="inlineStr">
        <x:is>
          <x:t xml:space="preserve">PDTFRP001222</x:t>
        </x:is>
      </x:c>
      <x:c r="B1807" t="inlineStr">
        <x:is>
          <x:t xml:space="preserve">ESTANQUE FRP 32M3 350-TK-114</x:t>
        </x:is>
      </x:c>
      <x:c r="E1807" t="n">
        <x:v>0</x:v>
      </x:c>
    </x:row>
    <x:row r="1808">
      <x:c r="A1808" t="inlineStr">
        <x:is>
          <x:t xml:space="preserve">PDTFRP001223</x:t>
        </x:is>
      </x:c>
      <x:c r="B1808" t="inlineStr">
        <x:is>
          <x:t xml:space="preserve">SOPORTES DE ACERO INSTALADO EN TK</x:t>
        </x:is>
      </x:c>
      <x:c r="E1808" t="n">
        <x:v>0</x:v>
      </x:c>
    </x:row>
    <x:row r="1809">
      <x:c r="A1809" t="inlineStr">
        <x:is>
          <x:t xml:space="preserve">PDTFRP001224</x:t>
        </x:is>
      </x:c>
      <x:c r="B1809" t="inlineStr">
        <x:is>
          <x:t xml:space="preserve">ESTANQUE FRP 32M3 350-TK-115</x:t>
        </x:is>
      </x:c>
      <x:c r="E1809" t="n">
        <x:v>0</x:v>
      </x:c>
    </x:row>
    <x:row r="1810">
      <x:c r="A1810" t="inlineStr">
        <x:is>
          <x:t xml:space="preserve">PDTFRP001225</x:t>
        </x:is>
      </x:c>
      <x:c r="B1810" t="inlineStr">
        <x:is>
          <x:t xml:space="preserve">CONJUNTO PIPING PP-FRP JCC0521-NV0004 CONTRATO 4500003401 ENAMI</x:t>
        </x:is>
      </x:c>
      <x:c r="E1810" t="n">
        <x:v>0</x:v>
      </x:c>
    </x:row>
    <x:row r="1811">
      <x:c r="A1811" t="inlineStr">
        <x:is>
          <x:t xml:space="preserve">PDTFRP001226</x:t>
        </x:is>
      </x:c>
      <x:c r="B1811" t="inlineStr">
        <x:is>
          <x:t xml:space="preserve">4169651 TEE 4 PLG RESINA VINIÑESTER EXTREMOS PARA VENDAR DIN 16965 CLASE 150</x:t>
        </x:is>
      </x:c>
      <x:c r="E1811" t="n">
        <x:v>0</x:v>
      </x:c>
    </x:row>
    <x:row r="1812">
      <x:c r="A1812" t="inlineStr">
        <x:is>
          <x:t xml:space="preserve">PDTFRP001227</x:t>
        </x:is>
      </x:c>
      <x:c r="B1812" t="inlineStr">
        <x:is>
          <x:t xml:space="preserve">ESTANQUE 350-TK-086 FRP 31m3  OC-4510147612 IT-70</x:t>
        </x:is>
      </x:c>
      <x:c r="E1812" t="n">
        <x:v>0</x:v>
      </x:c>
    </x:row>
    <x:row r="1813">
      <x:c r="A1813" t="inlineStr">
        <x:is>
          <x:t xml:space="preserve">PDTFRP001228</x:t>
        </x:is>
      </x:c>
      <x:c r="B1813" t="inlineStr">
        <x:is>
          <x:t xml:space="preserve">ESTANQUE 350-TK-086-01  FRP 16m3  OC-4510147612 IT-80</x:t>
        </x:is>
      </x:c>
      <x:c r="E1813" t="n">
        <x:v>0</x:v>
      </x:c>
    </x:row>
    <x:row r="1814">
      <x:c r="A1814" t="inlineStr">
        <x:is>
          <x:t xml:space="preserve">PDTFRP001229</x:t>
        </x:is>
      </x:c>
      <x:c r="B1814" t="inlineStr">
        <x:is>
          <x:t xml:space="preserve">ESTANQUE 350-TK-758 FRP 35m3  OC-4510147612 IT-10</x:t>
        </x:is>
      </x:c>
      <x:c r="E1814" t="n">
        <x:v>0</x:v>
      </x:c>
    </x:row>
    <x:row r="1815">
      <x:c r="A1815" t="inlineStr">
        <x:is>
          <x:t xml:space="preserve">PDTFRP001230</x:t>
        </x:is>
      </x:c>
      <x:c r="B1815" t="inlineStr">
        <x:is>
          <x:t xml:space="preserve">ESTANQUE 350-TK-757 FRP 35m3  OC-4510147612 IT-20</x:t>
        </x:is>
      </x:c>
      <x:c r="E1815" t="n">
        <x:v>0</x:v>
      </x:c>
    </x:row>
    <x:row r="1816">
      <x:c r="A1816" t="inlineStr">
        <x:is>
          <x:t xml:space="preserve">PDTFRP001231</x:t>
        </x:is>
      </x:c>
      <x:c r="B1816" t="inlineStr">
        <x:is>
          <x:t xml:space="preserve">SET DE VIGAS CUADRADAS AC.REVESTIDO EN FRP PL- 6822500-1L00076-1</x:t>
        </x:is>
      </x:c>
      <x:c r="E1816" t="n">
        <x:v>0</x:v>
      </x:c>
    </x:row>
    <x:row r="1817">
      <x:c r="A1817" t="inlineStr">
        <x:is>
          <x:t xml:space="preserve">PDTFRP001232</x:t>
        </x:is>
      </x:c>
      <x:c r="B1817" t="inlineStr">
        <x:is>
          <x:t xml:space="preserve">SET DE VIGAS CUADRADAS AC.REVESTIDO EN FRP PL-4500SC00016_2-CER-4000-2201-01/02-240</x:t>
        </x:is>
      </x:c>
      <x:c r="E1817" t="n">
        <x:v>0</x:v>
      </x:c>
    </x:row>
    <x:row r="1818">
      <x:c r="A1818" t="inlineStr">
        <x:is>
          <x:t xml:space="preserve">PDTFRP001233</x:t>
        </x:is>
      </x:c>
      <x:c r="B1818" t="inlineStr">
        <x:is>
          <x:t xml:space="preserve">SET DE VIGAS CUADRADAS AC.REVESTIDO EN FRP PL-4500SC00013-CER-4000-2201-01/02-232</x:t>
        </x:is>
      </x:c>
      <x:c r="E1818" t="n">
        <x:v>0</x:v>
      </x:c>
    </x:row>
    <x:row r="1819">
      <x:c r="A1819" t="inlineStr">
        <x:is>
          <x:t xml:space="preserve">PDTFRP001234</x:t>
        </x:is>
      </x:c>
      <x:c r="B1819" t="inlineStr">
        <x:is>
          <x:t xml:space="preserve">ESTANQUE EN FRP TAG 0187-196_080001/2 DIAM.4000 MM ALTO 6800 MM</x:t>
        </x:is>
      </x:c>
      <x:c r="E1819" t="n">
        <x:v>0</x:v>
      </x:c>
    </x:row>
    <x:row r="1820">
      <x:c r="A1820" t="inlineStr">
        <x:is>
          <x:t xml:space="preserve">PDTFRP001235</x:t>
        </x:is>
      </x:c>
      <x:c r="B1820" t="inlineStr">
        <x:is>
          <x:t xml:space="preserve">ESTANQUE  ACIDO CLOHIDRICO 350-TK-113</x:t>
        </x:is>
      </x:c>
      <x:c r="E1820" t="n">
        <x:v>0</x:v>
      </x:c>
    </x:row>
    <x:row r="1821">
      <x:c r="A1821" t="inlineStr">
        <x:is>
          <x:t xml:space="preserve">PDTFRP001236</x:t>
        </x:is>
      </x:c>
      <x:c r="B1821" t="inlineStr">
        <x:is>
          <x:t xml:space="preserve">ESTANQUE  ACIDO CLOHIDRICO 350-TK-111</x:t>
        </x:is>
      </x:c>
      <x:c r="E1821" t="n">
        <x:v>0</x:v>
      </x:c>
    </x:row>
    <x:row r="1822">
      <x:c r="A1822" t="inlineStr">
        <x:is>
          <x:t xml:space="preserve">PDTFRP001237</x:t>
        </x:is>
      </x:c>
      <x:c r="B1822" t="inlineStr">
        <x:is>
          <x:t xml:space="preserve">ESTANQUE ACEROA36 TAG 330-TK-705</x:t>
        </x:is>
      </x:c>
      <x:c r="E1822" t="n">
        <x:v>0</x:v>
      </x:c>
    </x:row>
    <x:row r="1823">
      <x:c r="A1823" t="inlineStr">
        <x:is>
          <x:t xml:space="preserve">PDTFRP001238</x:t>
        </x:is>
      </x:c>
      <x:c r="B1823" t="inlineStr">
        <x:is>
          <x:t xml:space="preserve">JUEGO VIGA AC A36 FRP-PP RECT 300X200MM C/JG CONTIENE 6 VIGAS COD.4204069</x:t>
        </x:is>
      </x:c>
      <x:c r="E1823" t="n">
        <x:v>0</x:v>
      </x:c>
    </x:row>
    <x:row r="1824">
      <x:c r="A1824" t="inlineStr">
        <x:is>
          <x:t xml:space="preserve">PDTFRP001239</x:t>
        </x:is>
      </x:c>
      <x:c r="B1824" t="inlineStr">
        <x:is>
          <x:t xml:space="preserve">SUMINISTRO Y FABRICACION DE SPOOL N° 006 OC-4511141195 HES 1010891768</x:t>
        </x:is>
      </x:c>
      <x:c r="E1824" t="n">
        <x:v>0</x:v>
      </x:c>
    </x:row>
    <x:row r="1825">
      <x:c r="A1825" t="inlineStr">
        <x:is>
          <x:t xml:space="preserve">PDTFRP001240</x:t>
        </x:is>
      </x:c>
      <x:c r="B1825" t="inlineStr">
        <x:is>
          <x:t xml:space="preserve">4101386 CODO FRP 4 PLG DIAM 90GRD 150 PSI</x:t>
        </x:is>
      </x:c>
      <x:c r="E1825" t="n">
        <x:v>0</x:v>
      </x:c>
    </x:row>
    <x:row r="1826">
      <x:c r="A1826" t="inlineStr">
        <x:is>
          <x:t xml:space="preserve">PDTFRP001241</x:t>
        </x:is>
      </x:c>
      <x:c r="B1826" t="inlineStr">
        <x:is>
          <x:t xml:space="preserve">4070981 MANIFOLD DESCARGA APV 020 PL MMB-DWG-3700-PD-1137-01</x:t>
        </x:is>
      </x:c>
      <x:c r="E1826" t="n">
        <x:v>0</x:v>
      </x:c>
    </x:row>
    <x:row r="1827">
      <x:c r="A1827" t="inlineStr">
        <x:is>
          <x:t xml:space="preserve">PDTFRP001242</x:t>
        </x:is>
      </x:c>
      <x:c r="B1827" t="inlineStr">
        <x:is>
          <x:t xml:space="preserve">CODO 90 GRD DN-300 PP/FRP PIEZA N° C10/T101-AS-004-300 S.PL PD-521</x:t>
        </x:is>
      </x:c>
      <x:c r="E1827" t="n">
        <x:v>0</x:v>
      </x:c>
    </x:row>
    <x:row r="1828">
      <x:c r="A1828" t="inlineStr">
        <x:is>
          <x:t xml:space="preserve">PDTFRP001243</x:t>
        </x:is>
      </x:c>
      <x:c r="B1828" t="inlineStr">
        <x:is>
          <x:t xml:space="preserve">CODO 90 GRD DN-100 PP/FRP PIEZA N° C15/T101-AS-004-100S.PL 4500-PD-542</x:t>
        </x:is>
      </x:c>
      <x:c r="E1828" t="n">
        <x:v>0</x:v>
      </x:c>
    </x:row>
    <x:row r="1829">
      <x:c r="A1829" t="inlineStr">
        <x:is>
          <x:t xml:space="preserve">PDTFRP001244</x:t>
        </x:is>
      </x:c>
      <x:c r="B1829" t="inlineStr">
        <x:is>
          <x:t xml:space="preserve">CODO 90 GRD DN-100 PP/FRP PIEZA N° C14/T101-AS-005-100  PL 4500-PD-523</x:t>
        </x:is>
      </x:c>
      <x:c r="E1829" t="n">
        <x:v>0</x:v>
      </x:c>
    </x:row>
    <x:row r="1830">
      <x:c r="A1830" t="inlineStr">
        <x:is>
          <x:t xml:space="preserve">PDTFRP001245</x:t>
        </x:is>
      </x:c>
      <x:c r="B1830" t="inlineStr">
        <x:is>
          <x:t xml:space="preserve">BOQUILLA REDUCCION 10" X 4" LARGO 210 MM PP/FRPNFLANGE FIJO DE 10 Y ROTATORIO 4</x:t>
        </x:is>
      </x:c>
      <x:c r="E1830" t="n">
        <x:v>0</x:v>
      </x:c>
    </x:row>
    <x:row r="1831">
      <x:c r="A1831" t="inlineStr">
        <x:is>
          <x:t xml:space="preserve">PDTFRP001246</x:t>
        </x:is>
      </x:c>
      <x:c r="B1831" t="inlineStr">
        <x:is>
          <x:t xml:space="preserve">37424738 CAÑERIA FIBRA VIDRIO 6 9,1 MM FRP VIPEL   EN MTS</x:t>
        </x:is>
      </x:c>
      <x:c r="E1831" t="n">
        <x:v>6</x:v>
      </x:c>
    </x:row>
    <x:row r="1832">
      <x:c r="A1832" t="inlineStr">
        <x:is>
          <x:t xml:space="preserve">PDTFRP001247</x:t>
        </x:is>
      </x:c>
      <x:c r="B1832" t="inlineStr">
        <x:is>
          <x:t xml:space="preserve">37424516  CAÑERIA FIBRA DE VIDRIO 16 PLG FRP 150 PSI  EN MTS</x:t>
        </x:is>
      </x:c>
      <x:c r="E1832" t="n">
        <x:v>0</x:v>
      </x:c>
    </x:row>
    <x:row r="1833">
      <x:c r="A1833" t="inlineStr">
        <x:is>
          <x:t xml:space="preserve">PDTFRP001248</x:t>
        </x:is>
      </x:c>
      <x:c r="B1833" t="inlineStr">
        <x:is>
          <x:t xml:space="preserve">SOPORTECAJA TOMA MUESTRA 350X350 TIPO 2 S/PL SPCTM350350-DWG-000</x:t>
        </x:is>
      </x:c>
      <x:c r="E1833" t="n">
        <x:v>0</x:v>
      </x:c>
    </x:row>
    <x:row r="1834">
      <x:c r="A1834" t="inlineStr">
        <x:is>
          <x:t xml:space="preserve">PDTFRP001249</x:t>
        </x:is>
      </x:c>
      <x:c r="B1834" t="inlineStr">
        <x:is>
          <x:t xml:space="preserve">FABRICACION DE TEE 2 PLG S BOSQUEJO AVANC,HORIZ 2400 MM AVANC.VERT,400 MM C/FLANGE ANSI CLASE 150</x:t>
        </x:is>
      </x:c>
      <x:c r="E1834" t="n">
        <x:v>0</x:v>
      </x:c>
    </x:row>
    <x:row r="1835">
      <x:c r="A1835" t="inlineStr">
        <x:is>
          <x:t xml:space="preserve">PDTFRP001250</x:t>
        </x:is>
      </x:c>
      <x:c r="B1835" t="inlineStr">
        <x:is>
          <x:t xml:space="preserve">CAJA MUESTRA 350X350 MM PLANO CTMT1350350-DWG.000</x:t>
        </x:is>
      </x:c>
      <x:c r="E1835" t="n">
        <x:v>0</x:v>
      </x:c>
    </x:row>
    <x:row r="1836">
      <x:c r="A1836" t="inlineStr">
        <x:is>
          <x:t xml:space="preserve">PDTFRP001251</x:t>
        </x:is>
      </x:c>
      <x:c r="B1836" t="inlineStr">
        <x:is>
          <x:t xml:space="preserve">FABRICACION VENTILADOR PARA SISTEMA CAPTACION NEBLINA ACIDA TAG 1830-FAC-001 9 CONJUNTOS</x:t>
        </x:is>
      </x:c>
      <x:c r="E1836" t="n">
        <x:v>0</x:v>
      </x:c>
    </x:row>
    <x:row r="1837">
      <x:c r="A1837" t="inlineStr">
        <x:is>
          <x:t xml:space="preserve">PDTFRP001252</x:t>
        </x:is>
      </x:c>
      <x:c r="B1837" t="inlineStr">
        <x:is>
          <x:t xml:space="preserve">FABRICACION TRAMO 6C VENTILADOR TAG 1830-FAC-002</x:t>
        </x:is>
      </x:c>
      <x:c r="E1837" t="n">
        <x:v>0</x:v>
      </x:c>
    </x:row>
    <x:row r="1838">
      <x:c r="A1838" t="inlineStr">
        <x:is>
          <x:t xml:space="preserve">PDTFRP001253</x:t>
        </x:is>
      </x:c>
      <x:c r="B1838" t="inlineStr">
        <x:is>
          <x:t xml:space="preserve">FABRICACION E INSTACION DE BOQUILLAD 2 PLG C&amp;FLANGE FF</x:t>
        </x:is>
      </x:c>
      <x:c r="E1838" t="n">
        <x:v>0</x:v>
      </x:c>
    </x:row>
    <x:row r="1839">
      <x:c r="A1839" t="inlineStr">
        <x:is>
          <x:t xml:space="preserve">PDTFRP001254</x:t>
        </x:is>
      </x:c>
      <x:c r="B1839" t="inlineStr">
        <x:is>
          <x:t xml:space="preserve">4202332 FILTRO Y PLAST C/FIBRA  PP DN250 810X10MM</x:t>
        </x:is>
      </x:c>
      <x:c r="E1839" t="n">
        <x:v>0</x:v>
      </x:c>
    </x:row>
    <x:row r="1840">
      <x:c r="A1840" t="inlineStr">
        <x:is>
          <x:t xml:space="preserve">PDTFRP001255</x:t>
        </x:is>
      </x:c>
      <x:c r="B1840" t="inlineStr">
        <x:is>
          <x:t xml:space="preserve">TAPAS DN 600 FRP TAG PL3-FRP-30-TR S/PL RPLG3-CA-030-124-0</x:t>
        </x:is>
      </x:c>
      <x:c r="E1840" t="n">
        <x:v>0</x:v>
      </x:c>
    </x:row>
    <x:row r="1841">
      <x:c r="A1841" t="inlineStr">
        <x:is>
          <x:t xml:space="preserve">PDTFRP001256</x:t>
        </x:is>
      </x:c>
      <x:c r="B1841" t="inlineStr">
        <x:is>
          <x:t xml:space="preserve">CODO 90° REDUCCION DIAM 100 X 4 X 3 PLG EN FRP TAG PL3-FRP-30-CD01  PLANO RPLG3-CA-030-102-B</x:t>
        </x:is>
      </x:c>
      <x:c r="E1841" t="n">
        <x:v>0</x:v>
      </x:c>
    </x:row>
    <x:row r="1842">
      <x:c r="A1842" t="inlineStr">
        <x:is>
          <x:t xml:space="preserve">PDTFRP001257</x:t>
        </x:is>
      </x:c>
      <x:c r="B1842" t="inlineStr">
        <x:is>
          <x:t xml:space="preserve">TEE REDUCCION 8 PLG X 8 PLG X 3 PLG TAG:PL3-FRP-30-TR04 PLANO DPLG3-CA-030-102B</x:t>
        </x:is>
      </x:c>
      <x:c r="E1842" t="n">
        <x:v>0</x:v>
      </x:c>
    </x:row>
    <x:row r="1843">
      <x:c r="A1843" t="inlineStr">
        <x:is>
          <x:t xml:space="preserve">PDTFRP001258</x:t>
        </x:is>
      </x:c>
      <x:c r="B1843" t="inlineStr">
        <x:is>
          <x:t xml:space="preserve">CARRETE 6 PLG X 6 PLG  FRP  TAG: PL3-FRP-005-CQ01 PLANO RPLG3-CA-030-102B</x:t>
        </x:is>
      </x:c>
      <x:c r="E1843" t="n">
        <x:v>0</x:v>
      </x:c>
    </x:row>
    <x:row r="1844">
      <x:c r="A1844" t="inlineStr">
        <x:is>
          <x:t xml:space="preserve">PDTFRP001259</x:t>
        </x:is>
      </x:c>
      <x:c r="B1844" t="inlineStr">
        <x:is>
          <x:t xml:space="preserve">CARRETE DIAM 1100 EN FRP TAG PL3-FRP-30-18A PLANO RPLG3-CA-030-121-A</x:t>
        </x:is>
      </x:c>
      <x:c r="E1844" t="n">
        <x:v>0</x:v>
      </x:c>
    </x:row>
    <x:row r="1845">
      <x:c r="A1845" t="inlineStr">
        <x:is>
          <x:t xml:space="preserve">PDTFRP001260</x:t>
        </x:is>
      </x:c>
      <x:c r="B1845" t="inlineStr">
        <x:is>
          <x:t xml:space="preserve">AVANCE DE RAJO INCA FACTURA 8708</x:t>
        </x:is>
      </x:c>
      <x:c r="E1845" t="n">
        <x:v>0</x:v>
      </x:c>
    </x:row>
    <x:row r="1846">
      <x:c r="A1846" t="inlineStr">
        <x:is>
          <x:t xml:space="preserve">PDTFRP001261</x:t>
        </x:is>
      </x:c>
      <x:c r="B1846" t="inlineStr">
        <x:is>
          <x:t xml:space="preserve">MMZN22 MANTENION ESTR.FOSO COMPRESORES DE GAS HUACHIPATO O-4531530745</x:t>
        </x:is>
      </x:c>
      <x:c r="E1846" t="n">
        <x:v>0</x:v>
      </x:c>
    </x:row>
    <x:row r="1847">
      <x:c r="A1847" t="inlineStr">
        <x:is>
          <x:t xml:space="preserve">PDTFRP001262</x:t>
        </x:is>
      </x:c>
      <x:c r="B1847" t="inlineStr">
        <x:is>
          <x:t xml:space="preserve">CONFECCIONAR SCRUBBER DE BLOQUEO CELULOSA ARAUCO</x:t>
        </x:is>
      </x:c>
      <x:c r="E1847" t="n">
        <x:v>0</x:v>
      </x:c>
    </x:row>
    <x:row r="1848">
      <x:c r="A1848" t="inlineStr">
        <x:is>
          <x:t xml:space="preserve">PDTFRP001263</x:t>
        </x:is>
      </x:c>
      <x:c r="B1848" t="inlineStr">
        <x:is>
          <x:t xml:space="preserve">4182109 MANIFOLD DESCARGA TRAMO B PLNGCP4T101N02B DOBLE LAMINA (GPL)</x:t>
        </x:is>
      </x:c>
      <x:c r="E1848" t="n">
        <x:v>0</x:v>
      </x:c>
    </x:row>
    <x:row r="1849">
      <x:c r="A1849" t="inlineStr">
        <x:is>
          <x:t xml:space="preserve">PDTFRP001264</x:t>
        </x:is>
      </x:c>
      <x:c r="B1849" t="inlineStr">
        <x:is>
          <x:t xml:space="preserve">4182108 CJTO MANIFOLD DESCARGA BOMBA TRAMO A PLKNGCP4T101N02A DOBLE LAMINA (GPL)</x:t>
        </x:is>
      </x:c>
      <x:c r="E1849" t="n">
        <x:v>0</x:v>
      </x:c>
    </x:row>
    <x:row r="1850">
      <x:c r="A1850" t="inlineStr">
        <x:is>
          <x:t xml:space="preserve">PDTFRP001265</x:t>
        </x:is>
      </x:c>
      <x:c r="B1850" t="inlineStr">
        <x:is>
          <x:t xml:space="preserve">4198918 DISTRIBUIDOR  LINEA DE ENFRIAMIENTO TORRE PLG1  PPT074PPO003</x:t>
        </x:is>
      </x:c>
      <x:c r="E1850" t="n">
        <x:v>0</x:v>
      </x:c>
    </x:row>
    <x:row r="1851">
      <x:c r="A1851" t="inlineStr">
        <x:is>
          <x:t xml:space="preserve">PDTFRP001266</x:t>
        </x:is>
      </x:c>
      <x:c r="B1851" t="inlineStr">
        <x:is>
          <x:t xml:space="preserve">FLANGE FULL FACE 2 PLG RESINA VINILESTER ANSI CLASE 150</x:t>
        </x:is>
      </x:c>
      <x:c r="E1851" t="n">
        <x:v>0</x:v>
      </x:c>
    </x:row>
    <x:row r="1852">
      <x:c r="A1852" t="inlineStr">
        <x:is>
          <x:t xml:space="preserve">PDTFRP001267</x:t>
        </x:is>
      </x:c>
      <x:c r="B1852" t="inlineStr">
        <x:is>
          <x:t xml:space="preserve">CAÑERIA FRP RESINA VINILESTER DIAMETRO 20 PLG (RI)</x:t>
        </x:is>
      </x:c>
      <x:c r="E1852" t="n">
        <x:v>0</x:v>
      </x:c>
    </x:row>
    <x:row r="1853">
      <x:c r="A1853" t="inlineStr">
        <x:is>
          <x:t xml:space="preserve">PDTFRP001268</x:t>
        </x:is>
      </x:c>
      <x:c r="B1853" t="inlineStr">
        <x:is>
          <x:t xml:space="preserve">SPOOL PLTA GASES N°2 SO02S DUAL LAMINATE PPT073PPF284</x:t>
        </x:is>
      </x:c>
      <x:c r="E1853" t="n">
        <x:v>0</x:v>
      </x:c>
    </x:row>
    <x:row r="1854">
      <x:c r="A1854" t="inlineStr">
        <x:is>
          <x:t xml:space="preserve">PDTFRP001269</x:t>
        </x:is>
      </x:c>
      <x:c r="B1854" t="inlineStr">
        <x:is>
          <x:t xml:space="preserve">SPOOL PLTA GASES N°1 SO02S DUAL LAMINATE PPT073PPF260</x:t>
        </x:is>
      </x:c>
      <x:c r="E1854" t="n">
        <x:v>0</x:v>
      </x:c>
    </x:row>
    <x:row r="1855">
      <x:c r="A1855" t="inlineStr">
        <x:is>
          <x:t xml:space="preserve">PDTFRP001270</x:t>
        </x:is>
      </x:c>
      <x:c r="B1855" t="inlineStr">
        <x:is>
          <x:t xml:space="preserve">EP N°1 OC 4500736840 REFUERZO DE UNIONE ANG1 HES 1001269855 ANGAMOS</x:t>
        </x:is>
      </x:c>
      <x:c r="E1855" t="n">
        <x:v>0</x:v>
      </x:c>
    </x:row>
    <x:row r="1856">
      <x:c r="A1856" t="inlineStr">
        <x:is>
          <x:t xml:space="preserve">PDTFRP001271</x:t>
        </x:is>
      </x:c>
      <x:c r="B1856" t="inlineStr">
        <x:is>
          <x:t xml:space="preserve">ESTADO DE PAGO N° 4 CONTRATO  SAP 4600029485   REPARACION EQUIPOS SUMINISTRO HES1001414909</x:t>
        </x:is>
      </x:c>
      <x:c r="E1856" t="n">
        <x:v>0</x:v>
      </x:c>
    </x:row>
    <x:row r="1857">
      <x:c r="A1857" t="inlineStr">
        <x:is>
          <x:t xml:space="preserve">PDTFRP001272</x:t>
        </x:is>
      </x:c>
      <x:c r="B1857" t="inlineStr">
        <x:is>
          <x:t xml:space="preserve">SPOOL PLTA GASES N°1 SP01SB DUAL LAMINATE PPT073PPF254</x:t>
        </x:is>
      </x:c>
      <x:c r="E1857" t="n">
        <x:v>0</x:v>
      </x:c>
    </x:row>
    <x:row r="1858">
      <x:c r="A1858" t="inlineStr">
        <x:is>
          <x:t xml:space="preserve">PDTFRP001273</x:t>
        </x:is>
      </x:c>
      <x:c r="B1858" t="inlineStr">
        <x:is>
          <x:t xml:space="preserve">SPOOL PLTA GASES N°2 SP02B DUAL LAMINATE PPT073PPF78</x:t>
        </x:is>
      </x:c>
      <x:c r="E1858" t="n">
        <x:v>0</x:v>
      </x:c>
    </x:row>
    <x:row r="1859">
      <x:c r="A1859" t="inlineStr">
        <x:is>
          <x:t xml:space="preserve">PDTFRP001274</x:t>
        </x:is>
      </x:c>
      <x:c r="B1859" t="inlineStr">
        <x:is>
          <x:t xml:space="preserve">SPOOL SP04A Y SP04B PLANTA GASES 1 Y 2</x:t>
        </x:is>
      </x:c>
      <x:c r="E1859" t="n">
        <x:v>0</x:v>
      </x:c>
    </x:row>
    <x:row r="1860">
      <x:c r="A1860" t="inlineStr">
        <x:is>
          <x:t xml:space="preserve">PDTFRP001275</x:t>
        </x:is>
      </x:c>
      <x:c r="B1860" t="inlineStr">
        <x:is>
          <x:t xml:space="preserve">SPOOL SP02A - SP02B Y SP02C PLANTA GASES 1</x:t>
        </x:is>
      </x:c>
      <x:c r="E1860" t="n">
        <x:v>0</x:v>
      </x:c>
    </x:row>
    <x:row r="1861">
      <x:c r="A1861" t="inlineStr">
        <x:is>
          <x:t xml:space="preserve">PDTFRP001276</x:t>
        </x:is>
      </x:c>
      <x:c r="B1861" t="inlineStr">
        <x:is>
          <x:t xml:space="preserve">SPOOL SP11-2  -  SP11 -   PLANTA GASES 1</x:t>
        </x:is>
      </x:c>
      <x:c r="E1861" t="n">
        <x:v>0</x:v>
      </x:c>
    </x:row>
    <x:row r="1862">
      <x:c r="A1862" t="inlineStr">
        <x:is>
          <x:t xml:space="preserve">PDTFRP001277</x:t>
        </x:is>
      </x:c>
      <x:c r="B1862" t="inlineStr">
        <x:is>
          <x:t xml:space="preserve">ESTANQUE ALMACENAMIENTO DE TK-2010 MOLYMET</x:t>
        </x:is>
      </x:c>
      <x:c r="E1862" t="n">
        <x:v>0</x:v>
      </x:c>
    </x:row>
    <x:row r="1863">
      <x:c r="A1863" t="inlineStr">
        <x:is>
          <x:t xml:space="preserve">PDTFRP001278</x:t>
        </x:is>
      </x:c>
      <x:c r="B1863" t="inlineStr">
        <x:is>
          <x:t xml:space="preserve">SPOOL SP01S  PLANTA GASES 1 Y 2</x:t>
        </x:is>
      </x:c>
      <x:c r="E1863" t="n">
        <x:v>0</x:v>
      </x:c>
    </x:row>
    <x:row r="1864">
      <x:c r="A1864" t="inlineStr">
        <x:is>
          <x:t xml:space="preserve">PDTFRP001279</x:t>
        </x:is>
      </x:c>
      <x:c r="B1864" t="inlineStr">
        <x:is>
          <x:t xml:space="preserve">SPOOL SP04A Y SP04B PLANTA DE GASES 1 Y 2</x:t>
        </x:is>
      </x:c>
      <x:c r="E1864" t="n">
        <x:v>0</x:v>
      </x:c>
    </x:row>
    <x:row r="1865">
      <x:c r="A1865" t="inlineStr">
        <x:is>
          <x:t xml:space="preserve">PDTFRP001280</x:t>
        </x:is>
      </x:c>
      <x:c r="B1865" t="inlineStr">
        <x:is>
          <x:t xml:space="preserve">SPOOL SP05 PLANTA DE GASES N° 1</x:t>
        </x:is>
      </x:c>
      <x:c r="E1865" t="n">
        <x:v>0</x:v>
      </x:c>
    </x:row>
    <x:row r="1866">
      <x:c r="A1866" t="inlineStr">
        <x:is>
          <x:t xml:space="preserve">PDTFRP001281</x:t>
        </x:is>
      </x:c>
      <x:c r="B1866" t="inlineStr">
        <x:is>
          <x:t xml:space="preserve">SPOOL SP009  PLANTA GASES 1 Y 2</x:t>
        </x:is>
      </x:c>
      <x:c r="E1866" t="n">
        <x:v>0</x:v>
      </x:c>
    </x:row>
    <x:row r="1867">
      <x:c r="A1867" t="inlineStr">
        <x:is>
          <x:t xml:space="preserve">PDTFRP001282</x:t>
        </x:is>
      </x:c>
      <x:c r="B1867" t="inlineStr">
        <x:is>
          <x:t xml:space="preserve">SPOOL SP09 -2 PLANTA GASES 1 Y 2</x:t>
        </x:is>
      </x:c>
      <x:c r="E1867" t="n">
        <x:v>0</x:v>
      </x:c>
    </x:row>
    <x:row r="1868">
      <x:c r="A1868" t="inlineStr">
        <x:is>
          <x:t xml:space="preserve">PDTFRP001283</x:t>
        </x:is>
      </x:c>
      <x:c r="B1868" t="inlineStr">
        <x:is>
          <x:t xml:space="preserve">SPOOL SP06 PLANTA DE GASES N° 2</x:t>
        </x:is>
      </x:c>
      <x:c r="E1868" t="n">
        <x:v>0</x:v>
      </x:c>
    </x:row>
    <x:row r="1869">
      <x:c r="A1869" t="inlineStr">
        <x:is>
          <x:t xml:space="preserve">PDTFRP001284</x:t>
        </x:is>
      </x:c>
      <x:c r="B1869" t="inlineStr">
        <x:is>
          <x:t xml:space="preserve">SPOOL SP01A PLANTA DE GASES N° 1</x:t>
        </x:is>
      </x:c>
      <x:c r="E1869" t="n">
        <x:v>0</x:v>
      </x:c>
    </x:row>
    <x:row r="1870">
      <x:c r="A1870" t="inlineStr">
        <x:is>
          <x:t xml:space="preserve">PDTFRP001285</x:t>
        </x:is>
      </x:c>
      <x:c r="B1870" t="inlineStr">
        <x:is>
          <x:t xml:space="preserve">SPOOL SP01C PLANTA DE GASES N° 1</x:t>
        </x:is>
      </x:c>
      <x:c r="E1870" t="n">
        <x:v>0</x:v>
      </x:c>
    </x:row>
    <x:row r="1871">
      <x:c r="A1871" t="inlineStr">
        <x:is>
          <x:t xml:space="preserve">PDTFRP001286</x:t>
        </x:is>
      </x:c>
      <x:c r="B1871" t="inlineStr">
        <x:is>
          <x:t xml:space="preserve">SPOOL SP02A  PLANTA GASES N° 2</x:t>
        </x:is>
      </x:c>
      <x:c r="E1871" t="n">
        <x:v>0</x:v>
      </x:c>
    </x:row>
    <x:row r="1872">
      <x:c r="A1872" t="inlineStr">
        <x:is>
          <x:t xml:space="preserve">PDTFRP001287</x:t>
        </x:is>
      </x:c>
      <x:c r="B1872" t="inlineStr">
        <x:is>
          <x:t xml:space="preserve">SPOOL SP02B  PLANTA GASES N° 2</x:t>
        </x:is>
      </x:c>
      <x:c r="E1872" t="n">
        <x:v>0</x:v>
      </x:c>
    </x:row>
    <x:row r="1873">
      <x:c r="A1873" t="inlineStr">
        <x:is>
          <x:t xml:space="preserve">PDTFRP001288</x:t>
        </x:is>
      </x:c>
      <x:c r="B1873" t="inlineStr">
        <x:is>
          <x:t xml:space="preserve">SPOOL SP02C  PLANTA GASES N° 2</x:t>
        </x:is>
      </x:c>
      <x:c r="E1873" t="n">
        <x:v>0</x:v>
      </x:c>
    </x:row>
    <x:row r="1874">
      <x:c r="A1874" t="inlineStr">
        <x:is>
          <x:t xml:space="preserve">PDTFRP001289</x:t>
        </x:is>
      </x:c>
      <x:c r="B1874" t="inlineStr">
        <x:is>
          <x:t xml:space="preserve">SPOOL SP03 PLANTA DE GASES N° 1</x:t>
        </x:is>
      </x:c>
      <x:c r="E1874" t="n">
        <x:v>0</x:v>
      </x:c>
    </x:row>
    <x:row r="1875">
      <x:c r="A1875" t="inlineStr">
        <x:is>
          <x:t xml:space="preserve">PDTFRP001290</x:t>
        </x:is>
      </x:c>
      <x:c r="B1875" t="inlineStr">
        <x:is>
          <x:t xml:space="preserve">SPOOL SP05  PLANTA GASES N° 2</x:t>
        </x:is>
      </x:c>
      <x:c r="E1875" t="n">
        <x:v>0</x:v>
      </x:c>
    </x:row>
    <x:row r="1876">
      <x:c r="A1876" t="inlineStr">
        <x:is>
          <x:t xml:space="preserve">PDTFRP001291</x:t>
        </x:is>
      </x:c>
      <x:c r="B1876" t="inlineStr">
        <x:is>
          <x:t xml:space="preserve">SPOOL SP07 Y SP06   PLANTA GASES 1 Y 2</x:t>
        </x:is>
      </x:c>
      <x:c r="E1876" t="n">
        <x:v>0</x:v>
      </x:c>
    </x:row>
    <x:row r="1877">
      <x:c r="A1877" t="inlineStr">
        <x:is>
          <x:t xml:space="preserve">PDTFRP001292</x:t>
        </x:is>
      </x:c>
      <x:c r="B1877" t="inlineStr">
        <x:is>
          <x:t xml:space="preserve">SPOOL SP03 PLANTA DE GASES N° 2</x:t>
        </x:is>
      </x:c>
      <x:c r="E1877" t="n">
        <x:v>0</x:v>
      </x:c>
    </x:row>
    <x:row r="1878">
      <x:c r="A1878" t="inlineStr">
        <x:is>
          <x:t xml:space="preserve">PDTFRP001293</x:t>
        </x:is>
      </x:c>
      <x:c r="B1878" t="inlineStr">
        <x:is>
          <x:t xml:space="preserve">SPOOL SP13   PLANTA GASES  N° 1</x:t>
        </x:is>
      </x:c>
      <x:c r="E1878" t="n">
        <x:v>0</x:v>
      </x:c>
    </x:row>
    <x:row r="1879">
      <x:c r="A1879" t="inlineStr">
        <x:is>
          <x:t xml:space="preserve">PDTFRP001294</x:t>
        </x:is>
      </x:c>
      <x:c r="B1879" t="inlineStr">
        <x:is>
          <x:t xml:space="preserve">SPOOL SP13   PLANTA GASES  N° 2</x:t>
        </x:is>
      </x:c>
      <x:c r="E1879" t="n">
        <x:v>0</x:v>
      </x:c>
    </x:row>
    <x:row r="1880">
      <x:c r="A1880" t="inlineStr">
        <x:is>
          <x:t xml:space="preserve">PDTFRP001295</x:t>
        </x:is>
      </x:c>
      <x:c r="B1880" t="inlineStr">
        <x:is>
          <x:t xml:space="preserve">SPOOL SP01A-SP01C-SP08-SP082-SP12 PLANTA DE GASES N° 1 Y 2</x:t>
        </x:is>
      </x:c>
      <x:c r="E1880" t="n">
        <x:v>0</x:v>
      </x:c>
    </x:row>
    <x:row r="1881">
      <x:c r="A1881" t="inlineStr">
        <x:is>
          <x:t xml:space="preserve">PDTFRP001296</x:t>
        </x:is>
      </x:c>
      <x:c r="B1881" t="inlineStr">
        <x:is>
          <x:t xml:space="preserve">SPOOL SP07-SP08-SP08-2 Y SP12 PLANTA GASES N° 1</x:t>
        </x:is>
      </x:c>
      <x:c r="E1881" t="n">
        <x:v>0</x:v>
      </x:c>
    </x:row>
    <x:row r="1882">
      <x:c r="A1882" t="inlineStr">
        <x:is>
          <x:t xml:space="preserve">PDTFRP001297</x:t>
        </x:is>
      </x:c>
      <x:c r="B1882" t="inlineStr">
        <x:is>
          <x:t xml:space="preserve">SPOOL SP10-2 SP10SP10-ESP-B SP10 ESPA PLANTA DE GASES N° 1 Y 2</x:t>
        </x:is>
      </x:c>
      <x:c r="E1882" t="n">
        <x:v>0</x:v>
      </x:c>
    </x:row>
    <x:row r="1883">
      <x:c r="A1883" t="inlineStr">
        <x:is>
          <x:t xml:space="preserve">PDTFRP001298</x:t>
        </x:is>
      </x:c>
      <x:c r="B1883" t="inlineStr">
        <x:is>
          <x:t xml:space="preserve">SPOOL SP10 ESPECIAL  PLANTA 1</x:t>
        </x:is>
      </x:c>
      <x:c r="E1883" t="n">
        <x:v>0</x:v>
      </x:c>
    </x:row>
    <x:row r="1884">
      <x:c r="A1884" t="inlineStr">
        <x:is>
          <x:t xml:space="preserve">PDTFRP001299</x:t>
        </x:is>
      </x:c>
      <x:c r="B1884" t="inlineStr">
        <x:is>
          <x:t xml:space="preserve">CODO DOBLE LAMINA PP-FRP 75MM AVANCE 130</x:t>
        </x:is>
      </x:c>
      <x:c r="E1884" t="n">
        <x:v>0</x:v>
      </x:c>
    </x:row>
    <x:row r="1885">
      <x:c r="A1885" t="inlineStr">
        <x:is>
          <x:t xml:space="preserve">PDTFRP001300</x:t>
        </x:is>
      </x:c>
      <x:c r="B1885" t="inlineStr">
        <x:is>
          <x:t xml:space="preserve">CODO DOBLE LAMINA PP-FRP 75MM AVANCE 340</x:t>
        </x:is>
      </x:c>
      <x:c r="E1885" t="n">
        <x:v>0</x:v>
      </x:c>
    </x:row>
    <x:row r="1886">
      <x:c r="A1886" t="inlineStr">
        <x:is>
          <x:t xml:space="preserve">PDTFRP001301</x:t>
        </x:is>
      </x:c>
      <x:c r="B1886" t="inlineStr">
        <x:is>
          <x:t xml:space="preserve">SIFON DRENAJE PRECIPITADOR-PPNN-204 PL 4500-IS-94-006</x:t>
        </x:is>
      </x:c>
      <x:c r="E1886" t="n">
        <x:v>0</x:v>
      </x:c>
    </x:row>
    <x:row r="1887">
      <x:c r="A1887" t="inlineStr">
        <x:is>
          <x:t xml:space="preserve">PDTFRP001302</x:t>
        </x:is>
      </x:c>
      <x:c r="B1887" t="inlineStr">
        <x:is>
          <x:t xml:space="preserve">REDUCCION DN300 X DN150 X 640 MM</x:t>
        </x:is>
      </x:c>
      <x:c r="E1887" t="n">
        <x:v>0</x:v>
      </x:c>
    </x:row>
    <x:row r="1888">
      <x:c r="A1888" t="inlineStr">
        <x:is>
          <x:t xml:space="preserve">PDTFRP001303</x:t>
        </x:is>
      </x:c>
      <x:c r="B1888" t="inlineStr">
        <x:is>
          <x:t xml:space="preserve">CARRETE DN-100 X 303 MM</x:t>
        </x:is>
      </x:c>
      <x:c r="E1888" t="n">
        <x:v>0</x:v>
      </x:c>
    </x:row>
    <x:row r="1889">
      <x:c r="A1889" t="inlineStr">
        <x:is>
          <x:t xml:space="preserve">PDTFRP001304</x:t>
        </x:is>
      </x:c>
      <x:c r="B1889" t="inlineStr">
        <x:is>
          <x:t xml:space="preserve">CODO DN 100 X PL FCH-PI-PF-135</x:t>
        </x:is>
      </x:c>
      <x:c r="E1889" t="n">
        <x:v>0</x:v>
      </x:c>
    </x:row>
    <x:row r="1890">
      <x:c r="A1890" t="inlineStr">
        <x:is>
          <x:t xml:space="preserve">PDTFRP001305</x:t>
        </x:is>
      </x:c>
      <x:c r="B1890" t="inlineStr">
        <x:is>
          <x:t xml:space="preserve">CODO 90° DN 150 PARA 150 PSI S/CROQUIS FUL0722-NV0012</x:t>
        </x:is>
      </x:c>
      <x:c r="E1890" t="n">
        <x:v>0</x:v>
      </x:c>
    </x:row>
    <x:row r="1891">
      <x:c r="A1891" t="inlineStr">
        <x:is>
          <x:t xml:space="preserve">PDTFRP001306</x:t>
        </x:is>
      </x:c>
      <x:c r="B1891" t="inlineStr">
        <x:is>
          <x:t xml:space="preserve">STUB END DIAM 6  PLG C/FLANGE ANSI 160 CLASE 150 FUL0722-NV0012</x:t>
        </x:is>
      </x:c>
      <x:c r="E1891" t="n">
        <x:v>0</x:v>
      </x:c>
    </x:row>
    <x:row r="1892">
      <x:c r="A1892" t="inlineStr">
        <x:is>
          <x:t xml:space="preserve">PDTFRP001307</x:t>
        </x:is>
      </x:c>
      <x:c r="B1892" t="inlineStr">
        <x:is>
          <x:t xml:space="preserve">A51 FABRICACION DE PASAMURO EN FRP DIAM.150 MM X 6000 MM RESINA VINILESTER C/FLANGE ASME B16,5 Y ANI</x:t>
        </x:is>
      </x:c>
      <x:c r="E1892" t="n">
        <x:v>0</x:v>
      </x:c>
    </x:row>
    <x:row r="1893">
      <x:c r="A1893" t="inlineStr">
        <x:is>
          <x:t xml:space="preserve">PDTFRP001308</x:t>
        </x:is>
      </x:c>
      <x:c r="B1893" t="inlineStr">
        <x:is>
          <x:t xml:space="preserve">FLANGE ASTM 1A 182 SS316L ANSI B16,5  FF CLASS 150 20 PLG</x:t>
        </x:is>
      </x:c>
      <x:c r="E1893" t="n">
        <x:v>0</x:v>
      </x:c>
    </x:row>
    <x:row r="1894">
      <x:c r="A1894" t="inlineStr">
        <x:is>
          <x:t xml:space="preserve">PDTFRP001309</x:t>
        </x:is>
      </x:c>
      <x:c r="B1894" t="inlineStr">
        <x:is>
          <x:t xml:space="preserve">FLANGE ASTM A 182 SS316L ANSI B16,5  FF CLASS 150 18 PLG</x:t>
        </x:is>
      </x:c>
      <x:c r="E1894" t="n">
        <x:v>0</x:v>
      </x:c>
    </x:row>
    <x:row r="1895">
      <x:c r="A1895" t="inlineStr">
        <x:is>
          <x:t xml:space="preserve">PDTFRP001310</x:t>
        </x:is>
      </x:c>
      <x:c r="B1895" t="inlineStr">
        <x:is>
          <x:t xml:space="preserve">FLANGE ASTM A 182 SS316L ANSI B16,5  FF CLASS 150 10 PLG</x:t>
        </x:is>
      </x:c>
      <x:c r="E1895" t="n">
        <x:v>0</x:v>
      </x:c>
    </x:row>
    <x:row r="1896">
      <x:c r="A1896" t="inlineStr">
        <x:is>
          <x:t xml:space="preserve">PDTFRP001311</x:t>
        </x:is>
      </x:c>
      <x:c r="B1896" t="inlineStr">
        <x:is>
          <x:t xml:space="preserve">FLANGE ASTM A 182 SS316L ANSI B16,5  FF CLASS 150 6  PLG</x:t>
        </x:is>
      </x:c>
      <x:c r="E1896" t="n">
        <x:v>0</x:v>
      </x:c>
    </x:row>
    <x:row r="1897">
      <x:c r="A1897" t="inlineStr">
        <x:is>
          <x:t xml:space="preserve">PDTFRP001312</x:t>
        </x:is>
      </x:c>
      <x:c r="B1897" t="inlineStr">
        <x:is>
          <x:t xml:space="preserve">FLANGE ASTM A 182 SS316L ANSI B16,5  FF CLASS 150 4  PLG</x:t>
        </x:is>
      </x:c>
      <x:c r="E1897" t="n">
        <x:v>0</x:v>
      </x:c>
    </x:row>
    <x:row r="1898">
      <x:c r="A1898" t="inlineStr">
        <x:is>
          <x:t xml:space="preserve">PDTFRP001313</x:t>
        </x:is>
      </x:c>
      <x:c r="B1898" t="inlineStr">
        <x:is>
          <x:t xml:space="preserve">OV 5000606291 ESTANQUE DE ALM TK-2030 4500X7200 MM DUAL LAMINATE FRP-PP</x:t>
        </x:is>
      </x:c>
      <x:c r="E1898" t="n">
        <x:v>0</x:v>
      </x:c>
    </x:row>
    <x:row r="1899">
      <x:c r="A1899" t="inlineStr">
        <x:is>
          <x:t xml:space="preserve">PDTFRP001314</x:t>
        </x:is>
      </x:c>
      <x:c r="B1899" t="inlineStr">
        <x:is>
          <x:t xml:space="preserve">SPOOL SP10,SP10-2,SP11 Y SP11-2  PLANTA GASES 1 Y 2</x:t>
        </x:is>
      </x:c>
      <x:c r="E1899" t="n">
        <x:v>0</x:v>
      </x:c>
    </x:row>
    <x:row r="1900">
      <x:c r="A1900" t="inlineStr">
        <x:is>
          <x:t xml:space="preserve">PDTFRP001315</x:t>
        </x:is>
      </x:c>
      <x:c r="B1900" t="inlineStr">
        <x:is>
          <x:t xml:space="preserve">SPOOL P102SSPOOL P102A-P102B  SUCCION Y DESCARGA BBA CFM0922-OF0000 G-15961</x:t>
        </x:is>
      </x:c>
      <x:c r="E1900" t="n">
        <x:v>0</x:v>
      </x:c>
    </x:row>
    <x:row r="1901">
      <x:c r="A1901" t="inlineStr">
        <x:is>
          <x:t xml:space="preserve">PDTFRP001316</x:t>
        </x:is>
      </x:c>
      <x:c r="B1901" t="inlineStr">
        <x:is>
          <x:t xml:space="preserve">SPOOL P102S-P102D-102C-102B  SUCCION Y DESCARGA BBA CFM0922-OF0000 G-15988</x:t>
        </x:is>
      </x:c>
      <x:c r="E1901" t="n">
        <x:v>0</x:v>
      </x:c>
    </x:row>
    <x:row r="1902">
      <x:c r="A1902" t="inlineStr">
        <x:is>
          <x:t xml:space="preserve">PDTFRP001317</x:t>
        </x:is>
      </x:c>
      <x:c r="B1902" t="inlineStr">
        <x:is>
          <x:t xml:space="preserve">SPOOL P102A Y P102B SUCCION BBA CFM0922-NV000 G-16022</x:t>
        </x:is>
      </x:c>
      <x:c r="E1902" t="n">
        <x:v>0</x:v>
      </x:c>
    </x:row>
    <x:row r="1903">
      <x:c r="A1903" t="inlineStr">
        <x:is>
          <x:t xml:space="preserve">PDTFRP001318</x:t>
        </x:is>
      </x:c>
      <x:c r="B1903" t="inlineStr">
        <x:is>
          <x:t xml:space="preserve">SPOOL P102C-P101S-102C  SUCCION Y DESCARGA BBA CFM0922-OF0000 G-16031</x:t>
        </x:is>
      </x:c>
      <x:c r="E1903" t="n">
        <x:v>0</x:v>
      </x:c>
    </x:row>
    <x:row r="1904">
      <x:c r="A1904" t="inlineStr">
        <x:is>
          <x:t xml:space="preserve">PDTFRP001319</x:t>
        </x:is>
      </x:c>
      <x:c r="B1904" t="inlineStr">
        <x:is>
          <x:t xml:space="preserve">SPOOL P101B-P101D-P101A-P101C-P101S-P102S  SUCCION Y DESCARGA BBA CFM0922-OF0000 G-16042</x:t>
        </x:is>
      </x:c>
      <x:c r="E1904" t="n">
        <x:v>0</x:v>
      </x:c>
    </x:row>
    <x:row r="1905">
      <x:c r="A1905" t="inlineStr">
        <x:is>
          <x:t xml:space="preserve">PDTFRP001320</x:t>
        </x:is>
      </x:c>
      <x:c r="B1905" t="inlineStr">
        <x:is>
          <x:t xml:space="preserve">CARRETE DIA 16 PLG X 870 MM PLANO SIM-PA-2022-222 REV.0</x:t>
        </x:is>
      </x:c>
      <x:c r="E1905" t="n">
        <x:v>0</x:v>
      </x:c>
    </x:row>
    <x:row r="1906">
      <x:c r="A1906" t="inlineStr">
        <x:is>
          <x:t xml:space="preserve">PDTFRP001321</x:t>
        </x:is>
      </x:c>
      <x:c r="B1906" t="inlineStr">
        <x:is>
          <x:t xml:space="preserve">1230629 STUB END FRP DN 12 PLG INCLUYE FLANGE ANSI PP/AC.</x:t>
        </x:is>
      </x:c>
      <x:c r="E1906" t="n">
        <x:v>0</x:v>
      </x:c>
    </x:row>
    <x:row r="1907">
      <x:c r="A1907" t="inlineStr">
        <x:is>
          <x:t xml:space="preserve">PDTFRP001322</x:t>
        </x:is>
      </x:c>
      <x:c r="B1907" t="inlineStr">
        <x:is>
          <x:t xml:space="preserve">SPOOL P101A-P101B  SUCCION Y DESCARGA BBA CFM0922-OF0000 G-16063</x:t>
        </x:is>
      </x:c>
      <x:c r="E1907" t="n">
        <x:v>0</x:v>
      </x:c>
    </x:row>
    <x:row r="1908">
      <x:c r="A1908" t="inlineStr">
        <x:is>
          <x:t xml:space="preserve">PDTFRP001323</x:t>
        </x:is>
      </x:c>
      <x:c r="B1908" t="inlineStr">
        <x:is>
          <x:t xml:space="preserve">FLANGE CIEGO DN 10 FRP ANSI CLASE 150 INCLUYE AZA</x:t>
        </x:is>
      </x:c>
      <x:c r="E1908" t="n">
        <x:v>0</x:v>
      </x:c>
    </x:row>
    <x:row r="1909">
      <x:c r="A1909" t="inlineStr">
        <x:is>
          <x:t xml:space="preserve">PDTFRP001324</x:t>
        </x:is>
      </x:c>
      <x:c r="B1909" t="inlineStr">
        <x:is>
          <x:t xml:space="preserve">SPOOL P101C-P101D-P101P  SUCCION Y DESCARGA BBA CFM0922-OF0000 G-16087</x:t>
        </x:is>
      </x:c>
      <x:c r="E1909" t="n">
        <x:v>0</x:v>
      </x:c>
    </x:row>
    <x:row r="1910">
      <x:c r="A1910" t="inlineStr">
        <x:is>
          <x:t xml:space="preserve">PDTFRP001325</x:t>
        </x:is>
      </x:c>
      <x:c r="B1910" t="inlineStr">
        <x:is>
          <x:t xml:space="preserve">SPOOL P102A-P102B-P102C-P102D-P102S  SUCCION Y DESCARGA BBA CFM0922-OF0000 G-16100</x:t>
        </x:is>
      </x:c>
      <x:c r="E1910" t="n">
        <x:v>0</x:v>
      </x:c>
    </x:row>
    <x:row r="1911">
      <x:c r="A1911" t="inlineStr">
        <x:is>
          <x:t xml:space="preserve">PDTFRP001326</x:t>
        </x:is>
      </x:c>
      <x:c r="B1911" t="inlineStr">
        <x:is>
          <x:t xml:space="preserve">SPOOL  P102D-P101A-P101B-P101D-P101S  SUCCION Y DESCARGA BBA CFM0922-OF0000 G-16229</x:t>
        </x:is>
      </x:c>
      <x:c r="E1911" t="n">
        <x:v>0</x:v>
      </x:c>
    </x:row>
    <x:row r="1912">
      <x:c r="A1912" t="inlineStr">
        <x:is>
          <x:t xml:space="preserve">PDTFRP001327</x:t>
        </x:is>
      </x:c>
      <x:c r="B1912" t="inlineStr">
        <x:is>
          <x:t xml:space="preserve">SPOOL P101A-P101B-P101C-P101D-P101S  SUCCION Y DESCARGA BBA CFM0922-OF0000 G-16234</x:t>
        </x:is>
      </x:c>
      <x:c r="E1912" t="n">
        <x:v>0</x:v>
      </x:c>
    </x:row>
    <x:row r="1913">
      <x:c r="A1913" t="inlineStr">
        <x:is>
          <x:t xml:space="preserve">PDTFRP001328</x:t>
        </x:is>
      </x:c>
      <x:c r="B1913" t="inlineStr">
        <x:is>
          <x:t xml:space="preserve">SPOOL P101D-P101D PARTES A Y B  SUCCION Y DESCARGA BBA CFM0922-OF0000 G-16265</x:t>
        </x:is>
      </x:c>
      <x:c r="E1913" t="n">
        <x:v>0</x:v>
      </x:c>
    </x:row>
    <x:row r="1914">
      <x:c r="A1914" t="inlineStr">
        <x:is>
          <x:t xml:space="preserve">PDTFRP001329</x:t>
        </x:is>
      </x:c>
      <x:c r="B1914" t="inlineStr">
        <x:is>
          <x:t xml:space="preserve">4101765 CAÑERIA FRP 3 PLG X 6 MTS 150 PSI</x:t>
        </x:is>
      </x:c>
      <x:c r="E1914" t="n">
        <x:v>0</x:v>
      </x:c>
    </x:row>
    <x:row r="1915">
      <x:c r="A1915" t="inlineStr">
        <x:is>
          <x:t xml:space="preserve">PDTFRP001330</x:t>
        </x:is>
      </x:c>
      <x:c r="B1915" t="inlineStr">
        <x:is>
          <x:t xml:space="preserve">FABRICACION DE SPOOL 010 DIA 1000 MM EN FRP RESIVA VINILESTER PPT072FRP388</x:t>
        </x:is>
      </x:c>
      <x:c r="E1915" t="n">
        <x:v>0</x:v>
      </x:c>
    </x:row>
    <x:row r="1916">
      <x:c r="A1916" t="inlineStr">
        <x:is>
          <x:t xml:space="preserve">PDTFRP001331</x:t>
        </x:is>
      </x:c>
      <x:c r="B1916" t="inlineStr">
        <x:is>
          <x:t xml:space="preserve">FABRICACION DE SPOOL 030 DIA 1000 MM EN FRP RESIVA VINILESTER PPT072FRP389</x:t>
        </x:is>
      </x:c>
      <x:c r="E1916" t="n">
        <x:v>0</x:v>
      </x:c>
    </x:row>
    <x:row r="1917">
      <x:c r="A1917" t="inlineStr">
        <x:is>
          <x:t xml:space="preserve">PDTFRP001332</x:t>
        </x:is>
      </x:c>
      <x:c r="B1917" t="inlineStr">
        <x:is>
          <x:t xml:space="preserve">SPOOL 006 DIA 914,4 EN FRP RESINA VINILESTER PPT072FRP293</x:t>
        </x:is>
      </x:c>
      <x:c r="E1917" t="n">
        <x:v>0</x:v>
      </x:c>
    </x:row>
    <x:row r="1918">
      <x:c r="A1918" t="inlineStr">
        <x:is>
          <x:t xml:space="preserve">PDTFRP001333</x:t>
        </x:is>
      </x:c>
      <x:c r="B1918" t="inlineStr">
        <x:is>
          <x:t xml:space="preserve">DUCTOS PL C22206-600-OD-PL-06-001_B/0002_B/0004_B CENTINELA RLS0123-NV0005 G-16044</x:t>
        </x:is>
      </x:c>
      <x:c r="E1918" t="n">
        <x:v>0</x:v>
      </x:c>
    </x:row>
    <x:row r="1919">
      <x:c r="A1919" t="inlineStr">
        <x:is>
          <x:t xml:space="preserve">PDTFRP001334</x:t>
        </x:is>
      </x:c>
      <x:c r="B1919" t="inlineStr">
        <x:is>
          <x:t xml:space="preserve">DUCTOS PL C22206-600-OD-PL-06-0001_B/0002_B/0003_B CENTINELA RLS0123-NV0005 G-16045</x:t>
        </x:is>
      </x:c>
      <x:c r="E1919" t="n">
        <x:v>0</x:v>
      </x:c>
    </x:row>
    <x:row r="1920">
      <x:c r="A1920" t="inlineStr">
        <x:is>
          <x:t xml:space="preserve">PDTFRP001335</x:t>
        </x:is>
      </x:c>
      <x:c r="B1920" t="inlineStr">
        <x:is>
          <x:t xml:space="preserve">DUCTOS PL C22206-600-OD-PL-06-0002_B/0002_B/00043B CENTIELA RLS0123-NV0005 G-16177</x:t>
        </x:is>
      </x:c>
      <x:c r="E1920" t="n">
        <x:v>0</x:v>
      </x:c>
    </x:row>
    <x:row r="1921">
      <x:c r="A1921" t="inlineStr">
        <x:is>
          <x:t xml:space="preserve">PDTFRP001336</x:t>
        </x:is>
      </x:c>
      <x:c r="B1921" t="inlineStr">
        <x:is>
          <x:t xml:space="preserve">37424505CALERIA FIBRA DE VIDRIO 2 PLG FRP 150 PSI</x:t>
        </x:is>
      </x:c>
      <x:c r="E1921" t="n">
        <x:v>0</x:v>
      </x:c>
    </x:row>
    <x:row r="1922">
      <x:c r="A1922" t="inlineStr">
        <x:is>
          <x:t xml:space="preserve">PDTFRP001337</x:t>
        </x:is>
      </x:c>
      <x:c r="B1922" t="inlineStr">
        <x:is>
          <x:t xml:space="preserve">SOPORTES  S/PLANO C22206-600-OD-PL-06-0007_C EN FRP RLS0323-NV0009</x:t>
        </x:is>
      </x:c>
      <x:c r="E1922" t="n">
        <x:v>0</x:v>
      </x:c>
    </x:row>
    <x:row r="1923">
      <x:c r="A1923" t="inlineStr">
        <x:is>
          <x:t xml:space="preserve">PDTFRP001338</x:t>
        </x:is>
      </x:c>
      <x:c r="B1923" t="inlineStr">
        <x:is>
          <x:t xml:space="preserve">SPOOL RAJO INCA  0,90 WE 5009031879</x:t>
        </x:is>
      </x:c>
      <x:c r="E1923" t="n">
        <x:v>0</x:v>
      </x:c>
    </x:row>
    <x:row r="1924">
      <x:c r="A1924" t="inlineStr">
        <x:is>
          <x:t xml:space="preserve">PDTFRP001339</x:t>
        </x:is>
      </x:c>
      <x:c r="B1924" t="inlineStr">
        <x:is>
          <x:t xml:space="preserve">SPOOL RAJO INCA  0,90 WE 5009073564</x:t>
        </x:is>
      </x:c>
      <x:c r="E1924" t="n">
        <x:v>0</x:v>
      </x:c>
    </x:row>
    <x:row r="1925">
      <x:c r="A1925" t="inlineStr">
        <x:is>
          <x:t xml:space="preserve">PDTFRP001340</x:t>
        </x:is>
      </x:c>
      <x:c r="B1925" t="inlineStr">
        <x:is>
          <x:t xml:space="preserve">ESTANQUES RAJO INCA WE 5009033489</x:t>
        </x:is>
      </x:c>
      <x:c r="E1925" t="n">
        <x:v>0</x:v>
      </x:c>
    </x:row>
    <x:row r="1926">
      <x:c r="A1926" t="inlineStr">
        <x:is>
          <x:t xml:space="preserve">PDTFRP001341</x:t>
        </x:is>
      </x:c>
      <x:c r="B1926" t="inlineStr">
        <x:is>
          <x:t xml:space="preserve">FLANGE FULL FACE DFIAM 12 PLG EN FRP CON CUELLO RESINA VINILESTER PPT072FRP376 (4101316)</x:t>
        </x:is>
      </x:c>
      <x:c r="E1926" t="n">
        <x:v>0</x:v>
      </x:c>
    </x:row>
    <x:row r="1927">
      <x:c r="A1927" t="inlineStr">
        <x:is>
          <x:t xml:space="preserve">PDTFRP001342</x:t>
        </x:is>
      </x:c>
      <x:c r="B1927" t="inlineStr">
        <x:is>
          <x:t xml:space="preserve">ESTANQUE FRP OC-4502113552 WE 5009124582</x:t>
        </x:is>
      </x:c>
      <x:c r="E1927" t="n">
        <x:v>0</x:v>
      </x:c>
    </x:row>
    <x:row r="1928">
      <x:c r="A1928" t="inlineStr">
        <x:is>
          <x:t xml:space="preserve">PDTFRP001343</x:t>
        </x:is>
      </x:c>
      <x:c r="B1928" t="inlineStr">
        <x:is>
          <x:t xml:space="preserve">4207922 ESTANQUE PL4227V22410100REV3 FRP DIAM,6500,LONG 4000 MM</x:t>
        </x:is>
      </x:c>
      <x:c r="E1928" t="n">
        <x:v>0</x:v>
      </x:c>
    </x:row>
    <x:row r="1929">
      <x:c r="A1929" t="inlineStr">
        <x:is>
          <x:t xml:space="preserve">PDTFRP001344</x:t>
        </x:is>
      </x:c>
      <x:c r="B1929" t="inlineStr">
        <x:is>
          <x:t xml:space="preserve">CAÑERIA DIAM, 8PLG PN10 TIRA DE 6 MTS</x:t>
        </x:is>
      </x:c>
      <x:c r="E1929" t="n">
        <x:v>0</x:v>
      </x:c>
    </x:row>
    <x:row r="1930">
      <x:c r="A1930" t="inlineStr">
        <x:is>
          <x:t xml:space="preserve">PDTFRP001345</x:t>
        </x:is>
      </x:c>
      <x:c r="B1930" t="inlineStr">
        <x:is>
          <x:t xml:space="preserve">CAÑERIA DIAM, 18 PLG PN10 TIRA DE 6 MTS</x:t>
        </x:is>
      </x:c>
      <x:c r="E1930" t="n">
        <x:v>0</x:v>
      </x:c>
    </x:row>
    <x:row r="1931">
      <x:c r="A1931" t="inlineStr">
        <x:is>
          <x:t xml:space="preserve">PDTFRP001346</x:t>
        </x:is>
      </x:c>
      <x:c r="B1931" t="inlineStr">
        <x:is>
          <x:t xml:space="preserve">SPOOL RAJO INCA  0,90 WE 5009131101</x:t>
        </x:is>
      </x:c>
      <x:c r="E1931" t="n">
        <x:v>0</x:v>
      </x:c>
    </x:row>
    <x:row r="1932">
      <x:c r="A1932" t="inlineStr">
        <x:is>
          <x:t xml:space="preserve">PDTFRP001347</x:t>
        </x:is>
      </x:c>
      <x:c r="B1932" t="inlineStr">
        <x:is>
          <x:t xml:space="preserve">SPOOL RAJO INCA  0,90 WE 5009125548</x:t>
        </x:is>
      </x:c>
      <x:c r="E1932" t="n">
        <x:v>0</x:v>
      </x:c>
    </x:row>
    <x:row r="1933">
      <x:c r="A1933" t="inlineStr">
        <x:is>
          <x:t xml:space="preserve">PDTFRP001348</x:t>
        </x:is>
      </x:c>
      <x:c r="B1933" t="inlineStr">
        <x:is>
          <x:t xml:space="preserve">PROVISION SUMINISTRO TENIENTE</x:t>
        </x:is>
      </x:c>
      <x:c r="E1933" t="n">
        <x:v>9</x:v>
      </x:c>
    </x:row>
    <x:row r="1934">
      <x:c r="A1934" t="inlineStr">
        <x:is>
          <x:t xml:space="preserve">PDTFRP001349</x:t>
        </x:is>
      </x:c>
      <x:c r="B1934" t="inlineStr">
        <x:is>
          <x:t xml:space="preserve">ESTANQUES RAJO INCA WE 5009172084</x:t>
        </x:is>
      </x:c>
      <x:c r="E1934" t="n">
        <x:v>0</x:v>
      </x:c>
    </x:row>
    <x:row r="1935">
      <x:c r="A1935" t="inlineStr">
        <x:is>
          <x:t xml:space="preserve">PDTFRP001350</x:t>
        </x:is>
      </x:c>
      <x:c r="B1935" t="inlineStr">
        <x:is>
          <x:t xml:space="preserve">SUMINISTRO DE PIPING DOBLE LAMINA PP/FRP S/PLANO CLIENTE FUL0921-NV0008</x:t>
        </x:is>
      </x:c>
      <x:c r="E1935" t="n">
        <x:v>0</x:v>
      </x:c>
    </x:row>
    <x:row r="1936">
      <x:c r="A1936" t="inlineStr">
        <x:is>
          <x:t xml:space="preserve">PDTFRP001351</x:t>
        </x:is>
      </x:c>
      <x:c r="B1936" t="inlineStr">
        <x:is>
          <x:t xml:space="preserve">POS 150  CANT 1,0 CLP  14.025.000  HES 1002765824 SERVICIODE INGENIERIA</x:t>
        </x:is>
      </x:c>
      <x:c r="E1936" t="n">
        <x:v>0</x:v>
      </x:c>
    </x:row>
    <x:row r="1937">
      <x:c r="A1937" t="inlineStr">
        <x:is>
          <x:t xml:space="preserve">PDTFRP001352</x:t>
        </x:is>
      </x:c>
      <x:c r="B1937" t="inlineStr">
        <x:is>
          <x:t xml:space="preserve">4101384 CODO FRP 3 PLG 90° 150 PSI</x:t>
        </x:is>
      </x:c>
      <x:c r="E1937" t="n">
        <x:v>0</x:v>
      </x:c>
    </x:row>
    <x:row r="1938">
      <x:c r="A1938" t="inlineStr">
        <x:is>
          <x:t xml:space="preserve">PDTFRP001353</x:t>
        </x:is>
      </x:c>
      <x:c r="B1938" t="inlineStr">
        <x:is>
          <x:t xml:space="preserve">ING.ESTANQUE Y FUNDACIONES 10% TK OC 4502796403 HES 1001776606</x:t>
        </x:is>
      </x:c>
      <x:c r="E1938" t="n">
        <x:v>0</x:v>
      </x:c>
    </x:row>
    <x:row r="1939">
      <x:c r="A1939" t="inlineStr">
        <x:is>
          <x:t xml:space="preserve">PDTFRP001354</x:t>
        </x:is>
      </x:c>
      <x:c r="B1939" t="inlineStr">
        <x:is>
          <x:t xml:space="preserve">RECEPCION EN PLANTA INVENIO 30% TK OC 4502796403 HES 1001772148</x:t>
        </x:is>
      </x:c>
      <x:c r="E1939" t="n">
        <x:v>0</x:v>
      </x:c>
    </x:row>
    <x:row r="1940">
      <x:c r="A1940" t="inlineStr">
        <x:is>
          <x:t xml:space="preserve">PDTFRP001355</x:t>
        </x:is>
      </x:c>
      <x:c r="B1940" t="inlineStr">
        <x:is>
          <x:t xml:space="preserve">SEGMENTO DE DUCTO EN FRP VINILESTER DIAM 914 MM X LGO 500 MM  SPENCE RLS0223-NV0000</x:t>
        </x:is>
      </x:c>
      <x:c r="E1940" t="n">
        <x:v>0</x:v>
      </x:c>
    </x:row>
    <x:row r="1941">
      <x:c r="A1941" t="inlineStr">
        <x:is>
          <x:t xml:space="preserve">PDTFRP001356</x:t>
        </x:is>
      </x:c>
      <x:c r="B1941" t="inlineStr">
        <x:is>
          <x:t xml:space="preserve">4173330 FLANGE CUELLO EN FRP DN 4 PLG LGO 150 MM 150 PSI ANSI B.16,5 CL 150</x:t>
        </x:is>
      </x:c>
      <x:c r="E1941" t="n">
        <x:v>0</x:v>
      </x:c>
    </x:row>
    <x:row r="1942">
      <x:c r="A1942" t="inlineStr">
        <x:is>
          <x:t xml:space="preserve">PDTFRP001357</x:t>
        </x:is>
      </x:c>
      <x:c r="B1942" t="inlineStr">
        <x:is>
          <x:t xml:space="preserve">4173328 FLANGE CUELLO EN FRP DN 3 PLG LGO 150 MM 150 PSI ANSI B.16,5 CL 150</x:t>
        </x:is>
      </x:c>
      <x:c r="E1942" t="n">
        <x:v>0</x:v>
      </x:c>
    </x:row>
    <x:row r="1943">
      <x:c r="A1943" t="inlineStr">
        <x:is>
          <x:t xml:space="preserve">PDTFRP001358</x:t>
        </x:is>
      </x:c>
      <x:c r="B1943" t="inlineStr">
        <x:is>
          <x:t xml:space="preserve">FLANGE FULL FACE DE 4 PLG CUELLO 150 MM ANSI B16.5 RESINA VINILESTER C/GUSSET</x:t>
        </x:is>
      </x:c>
      <x:c r="E1943" t="n">
        <x:v>0</x:v>
      </x:c>
    </x:row>
    <x:row r="1944">
      <x:c r="A1944" t="inlineStr">
        <x:is>
          <x:t xml:space="preserve">PDTFRP001359</x:t>
        </x:is>
      </x:c>
      <x:c r="B1944" t="inlineStr">
        <x:is>
          <x:t xml:space="preserve">EP 3 REEMPLAZO ESTANQUE E1 ENTREGA EQUIPO FABRICADO EN DEPENDENCIA 40% OC 4502796403 HES 1001817146</x:t>
        </x:is>
      </x:c>
      <x:c r="E1944" t="n">
        <x:v>0</x:v>
      </x:c>
    </x:row>
    <x:row r="1945">
      <x:c r="A1945" t="inlineStr">
        <x:is>
          <x:t xml:space="preserve">PDTFRP001360</x:t>
        </x:is>
      </x:c>
      <x:c r="B1945" t="inlineStr">
        <x:is>
          <x:t xml:space="preserve">4212249 CUPULA CONJUNTO CAPT PP/FRV 4900X3635 MM</x:t>
        </x:is>
      </x:c>
      <x:c r="E1945" t="n">
        <x:v>0</x:v>
      </x:c>
    </x:row>
    <x:row r="1946">
      <x:c r="A1946" t="inlineStr">
        <x:is>
          <x:t xml:space="preserve">PDTFRP001361</x:t>
        </x:is>
      </x:c>
      <x:c r="B1946" t="inlineStr">
        <x:is>
          <x:t xml:space="preserve">ESTANQUE DESCARGA 350TK085</x:t>
        </x:is>
      </x:c>
      <x:c r="E1946" t="n">
        <x:v>0</x:v>
      </x:c>
    </x:row>
    <x:row r="1947">
      <x:c r="A1947" t="inlineStr">
        <x:is>
          <x:t xml:space="preserve">PDTFRP001362</x:t>
        </x:is>
      </x:c>
      <x:c r="B1947" t="inlineStr">
        <x:is>
          <x:t xml:space="preserve">CAÑERIA FRP DIAM 4 PLG RESINA VINILESTER STD</x:t>
        </x:is>
      </x:c>
      <x:c r="E1947" t="n">
        <x:v>0</x:v>
      </x:c>
    </x:row>
    <x:row r="1948">
      <x:c r="A1948" t="inlineStr">
        <x:is>
          <x:t xml:space="preserve">PDTFRP001363</x:t>
        </x:is>
      </x:c>
      <x:c r="B1948" t="inlineStr">
        <x:is>
          <x:t xml:space="preserve">CONJUNTO DE PLACAS RESINA VINILESTER BEAGLE OC-17015</x:t>
        </x:is>
      </x:c>
      <x:c r="E1948" t="n">
        <x:v>0</x:v>
      </x:c>
    </x:row>
    <x:row r="1949">
      <x:c r="A1949" t="inlineStr">
        <x:is>
          <x:t xml:space="preserve">PDTFRP001364</x:t>
        </x:is>
      </x:c>
      <x:c r="B1949" t="inlineStr">
        <x:is>
          <x:t xml:space="preserve">SPOOL SUCCION BBA P101A-P101B-P101S GCP5-T101N01  PPT073PPF370</x:t>
        </x:is>
      </x:c>
      <x:c r="E1949" t="n">
        <x:v>0</x:v>
      </x:c>
    </x:row>
    <x:row r="1950">
      <x:c r="A1950" t="inlineStr">
        <x:is>
          <x:t xml:space="preserve">PDTFRP001365</x:t>
        </x:is>
      </x:c>
      <x:c r="B1950" t="inlineStr">
        <x:is>
          <x:t xml:space="preserve">SPOOL DESCARGA  BBA P102A TRAMO 1 GCP5-T101N02  PPT073PPF371</x:t>
        </x:is>
      </x:c>
      <x:c r="E1950" t="n">
        <x:v>0</x:v>
      </x:c>
    </x:row>
    <x:row r="1951">
      <x:c r="A1951" t="inlineStr">
        <x:is>
          <x:t xml:space="preserve">PDTFRP001366</x:t>
        </x:is>
      </x:c>
      <x:c r="B1951" t="inlineStr">
        <x:is>
          <x:t xml:space="preserve">SPOOL DESCARGA  BBA P102A TRAMO 2 GCP5-T101N03  PPT073PPF372</x:t>
        </x:is>
      </x:c>
      <x:c r="E1951" t="n">
        <x:v>0</x:v>
      </x:c>
    </x:row>
    <x:row r="1952">
      <x:c r="A1952" t="inlineStr">
        <x:is>
          <x:t xml:space="preserve">PDTFRP001367</x:t>
        </x:is>
      </x:c>
      <x:c r="B1952" t="inlineStr">
        <x:is>
          <x:t xml:space="preserve">SPOOL DESCARGA  BBA P101B TRAMO 4 GCP5-T101N14  PPT073PPF383</x:t>
        </x:is>
      </x:c>
      <x:c r="E1952" t="n">
        <x:v>0</x:v>
      </x:c>
    </x:row>
    <x:row r="1953">
      <x:c r="A1953" t="inlineStr">
        <x:is>
          <x:t xml:space="preserve">PDTFRP001368</x:t>
        </x:is>
      </x:c>
      <x:c r="B1953" t="inlineStr">
        <x:is>
          <x:t xml:space="preserve">SPOOL SUCCION BBA P102A TRAMO 1  GCP5-T102N01  PPT073PPF391</x:t>
        </x:is>
      </x:c>
      <x:c r="E1953" t="n">
        <x:v>0</x:v>
      </x:c>
    </x:row>
    <x:row r="1954">
      <x:c r="A1954" t="inlineStr">
        <x:is>
          <x:t xml:space="preserve">PDTFRP001369</x:t>
        </x:is>
      </x:c>
      <x:c r="B1954" t="inlineStr">
        <x:is>
          <x:t xml:space="preserve">SPOOL DESCARGA BBA P102S  GCP5-T102N30</x:t>
        </x:is>
      </x:c>
      <x:c r="E1954" t="n">
        <x:v>0</x:v>
      </x:c>
    </x:row>
    <x:row r="1955">
      <x:c r="A1955" t="inlineStr">
        <x:is>
          <x:t xml:space="preserve">PDTFRP001370</x:t>
        </x:is>
      </x:c>
      <x:c r="B1955" t="inlineStr">
        <x:is>
          <x:t xml:space="preserve">SPOOL DESCARGA BBA P102A TRAMO 4 GCP5-T102N06</x:t>
        </x:is>
      </x:c>
      <x:c r="E1955" t="n">
        <x:v>0</x:v>
      </x:c>
    </x:row>
    <x:row r="1956">
      <x:c r="A1956" t="inlineStr">
        <x:is>
          <x:t xml:space="preserve">PDTFRP001371</x:t>
        </x:is>
      </x:c>
      <x:c r="B1956" t="inlineStr">
        <x:is>
          <x:t xml:space="preserve">SPOOL DESCARGA BBA P101S TRAMO 2 GCP5-T101N21</x:t>
        </x:is>
      </x:c>
      <x:c r="E1956" t="n">
        <x:v>0</x:v>
      </x:c>
    </x:row>
    <x:row r="1957">
      <x:c r="A1957" t="inlineStr">
        <x:is>
          <x:t xml:space="preserve">PDTFRP001372</x:t>
        </x:is>
      </x:c>
      <x:c r="B1957" t="inlineStr">
        <x:is>
          <x:t xml:space="preserve">SPOOL SUCCION BBA P1092B TRAMO 2 GCP5-T102N17</x:t>
        </x:is>
      </x:c>
      <x:c r="E1957" t="n">
        <x:v>0</x:v>
      </x:c>
    </x:row>
    <x:row r="1958">
      <x:c r="A1958" t="inlineStr">
        <x:is>
          <x:t xml:space="preserve">PDTFRP001373</x:t>
        </x:is>
      </x:c>
      <x:c r="B1958" t="inlineStr">
        <x:is>
          <x:t xml:space="preserve">SPOOL DESCARAGA BBA P102B TRAMO 12 GCP5-T102N18</x:t>
        </x:is>
      </x:c>
      <x:c r="E1958" t="n">
        <x:v>0</x:v>
      </x:c>
    </x:row>
    <x:row r="1959">
      <x:c r="A1959" t="inlineStr">
        <x:is>
          <x:t xml:space="preserve">PDTFRP001374</x:t>
        </x:is>
      </x:c>
      <x:c r="B1959" t="inlineStr">
        <x:is>
          <x:t xml:space="preserve">SPOOL DESCARGA BBA P102A GPC5-T101N05</x:t>
        </x:is>
      </x:c>
      <x:c r="E1959" t="n">
        <x:v>0</x:v>
      </x:c>
    </x:row>
    <x:row r="1960">
      <x:c r="A1960" t="inlineStr">
        <x:is>
          <x:t xml:space="preserve">PDTFRP001375</x:t>
        </x:is>
      </x:c>
      <x:c r="B1960" t="inlineStr">
        <x:is>
          <x:t xml:space="preserve">SPOOL DESCARGA BBA P102A TRAMO 2 GCP5-T102N04</x:t>
        </x:is>
      </x:c>
      <x:c r="E1960" t="n">
        <x:v>0</x:v>
      </x:c>
    </x:row>
    <x:row r="1961">
      <x:c r="A1961" t="inlineStr">
        <x:is>
          <x:t xml:space="preserve">PDTFRP001376</x:t>
        </x:is>
      </x:c>
      <x:c r="B1961" t="inlineStr">
        <x:is>
          <x:t xml:space="preserve">SPOOL DESCARGA BBA P102A TRAMO 5 GCP5-T102N07</x:t>
        </x:is>
      </x:c>
      <x:c r="E1961" t="n">
        <x:v>0</x:v>
      </x:c>
    </x:row>
    <x:row r="1962">
      <x:c r="A1962" t="inlineStr">
        <x:is>
          <x:t xml:space="preserve">PDTFRP001377</x:t>
        </x:is>
      </x:c>
      <x:c r="B1962" t="inlineStr">
        <x:is>
          <x:t xml:space="preserve">SPOOL DESCARGA BBA P102B TRAMO 2 GCP5-T102N19</x:t>
        </x:is>
      </x:c>
      <x:c r="E1962" t="n">
        <x:v>0</x:v>
      </x:c>
    </x:row>
    <x:row r="1963">
      <x:c r="A1963" t="inlineStr">
        <x:is>
          <x:t xml:space="preserve">PDTFRP001378</x:t>
        </x:is>
      </x:c>
      <x:c r="B1963" t="inlineStr">
        <x:is>
          <x:t xml:space="preserve">SPOOL DESCARGA BBA P102B TRAMO 3 GCP5-T102N20</x:t>
        </x:is>
      </x:c>
      <x:c r="E1963" t="n">
        <x:v>0</x:v>
      </x:c>
    </x:row>
    <x:row r="1964">
      <x:c r="A1964" t="inlineStr">
        <x:is>
          <x:t xml:space="preserve">PDTFRP001379</x:t>
        </x:is>
      </x:c>
      <x:c r="B1964" t="inlineStr">
        <x:is>
          <x:t xml:space="preserve">SPOOL DESCARGA BBA P102A TRAMO 1 GCP5-T102N03</x:t>
        </x:is>
      </x:c>
      <x:c r="E1964" t="n">
        <x:v>0</x:v>
      </x:c>
    </x:row>
    <x:row r="1965">
      <x:c r="A1965" t="inlineStr">
        <x:is>
          <x:t xml:space="preserve">PDTFRP001380</x:t>
        </x:is>
      </x:c>
      <x:c r="B1965" t="inlineStr">
        <x:is>
          <x:t xml:space="preserve">SPOOL DESCARGABBA P102A  TRAMO 3 GCP5-T102N05</x:t>
        </x:is>
      </x:c>
      <x:c r="E1965" t="n">
        <x:v>0</x:v>
      </x:c>
    </x:row>
    <x:row r="1966">
      <x:c r="A1966" t="inlineStr">
        <x:is>
          <x:t xml:space="preserve">PDTFRP001381</x:t>
        </x:is>
      </x:c>
      <x:c r="B1966" t="inlineStr">
        <x:is>
          <x:t xml:space="preserve">SPOOL SUCCION BBA P102B TRAMO 1 GCP5-T102N16</x:t>
        </x:is>
      </x:c>
      <x:c r="E1966" t="n">
        <x:v>0</x:v>
      </x:c>
    </x:row>
    <x:row r="1967">
      <x:c r="A1967" t="inlineStr">
        <x:is>
          <x:t xml:space="preserve">PDTFRP001382</x:t>
        </x:is>
      </x:c>
      <x:c r="B1967" t="inlineStr">
        <x:is>
          <x:t xml:space="preserve">SPOOL DESCARGA BBA P102S GCP5-T102N31</x:t>
        </x:is>
      </x:c>
      <x:c r="E1967" t="n">
        <x:v>0</x:v>
      </x:c>
    </x:row>
    <x:row r="1968">
      <x:c r="A1968" t="inlineStr">
        <x:is>
          <x:t xml:space="preserve">PDTFRP001383</x:t>
        </x:is>
      </x:c>
      <x:c r="B1968" t="inlineStr">
        <x:is>
          <x:t xml:space="preserve">SPOOL SUCCION BBA P102S GCP5-T102N32</x:t>
        </x:is>
      </x:c>
      <x:c r="E1968" t="n">
        <x:v>0</x:v>
      </x:c>
    </x:row>
    <x:row r="1969">
      <x:c r="A1969" t="inlineStr">
        <x:is>
          <x:t xml:space="preserve">PDTFRP001384</x:t>
        </x:is>
      </x:c>
      <x:c r="B1969" t="inlineStr">
        <x:is>
          <x:t xml:space="preserve">SPOOL DESCARGA  BBA P102A TRAMO 3 GCP5-T101N04  PPT073PPF373</x:t>
        </x:is>
      </x:c>
      <x:c r="E1969" t="n">
        <x:v>0</x:v>
      </x:c>
    </x:row>
    <x:row r="1970">
      <x:c r="A1970" t="inlineStr">
        <x:is>
          <x:t xml:space="preserve">PDTFRP001385</x:t>
        </x:is>
      </x:c>
      <x:c r="B1970" t="inlineStr">
        <x:is>
          <x:t xml:space="preserve">SPOOL DESCARGA  BBA P101B TRAMO 1 GCP5-T101N11  PPT073PPF380</x:t>
        </x:is>
      </x:c>
      <x:c r="E1970" t="n">
        <x:v>0</x:v>
      </x:c>
    </x:row>
    <x:row r="1971">
      <x:c r="A1971" t="inlineStr">
        <x:is>
          <x:t xml:space="preserve">PDTFRP001386</x:t>
        </x:is>
      </x:c>
      <x:c r="B1971" t="inlineStr">
        <x:is>
          <x:t xml:space="preserve">SPOOL DESCARGA  BBA P101B TRAMO 2 GCP5-T101N12  PPT073PPF381</x:t>
        </x:is>
      </x:c>
      <x:c r="E1971" t="n">
        <x:v>0</x:v>
      </x:c>
    </x:row>
    <x:row r="1972">
      <x:c r="A1972" t="inlineStr">
        <x:is>
          <x:t xml:space="preserve">PDTFRP001387</x:t>
        </x:is>
      </x:c>
      <x:c r="B1972" t="inlineStr">
        <x:is>
          <x:t xml:space="preserve">SPOOL DESCARGA  BBA P101B TRAMO 3 GCP5-T101N13  PPT073PPF382</x:t>
        </x:is>
      </x:c>
      <x:c r="E1972" t="n">
        <x:v>0</x:v>
      </x:c>
    </x:row>
    <x:row r="1973">
      <x:c r="A1973" t="inlineStr">
        <x:is>
          <x:t xml:space="preserve">PDTFRP001388</x:t>
        </x:is>
      </x:c>
      <x:c r="B1973" t="inlineStr">
        <x:is>
          <x:t xml:space="preserve">SPOOL DESCARGA  BBA P101S TRAMO 1 GCP5-T101N20  PPT073PPF389</x:t>
        </x:is>
      </x:c>
      <x:c r="E1973" t="n">
        <x:v>0</x:v>
      </x:c>
    </x:row>
    <x:row r="1974">
      <x:c r="A1974" t="inlineStr">
        <x:is>
          <x:t xml:space="preserve">PDTFRP001389</x:t>
        </x:is>
      </x:c>
      <x:c r="B1974" t="inlineStr">
        <x:is>
          <x:t xml:space="preserve">SPOOL SUCCION BBA P102A TRAMO 2  GCP5-T102N02  PPT073PPF392</x:t>
        </x:is>
      </x:c>
      <x:c r="E1974" t="n">
        <x:v>0</x:v>
      </x:c>
    </x:row>
    <x:row r="1975">
      <x:c r="A1975" t="inlineStr">
        <x:is>
          <x:t xml:space="preserve">PDTFRP001390</x:t>
        </x:is>
      </x:c>
      <x:c r="B1975" t="inlineStr">
        <x:is>
          <x:t xml:space="preserve">SPOOL DESCARGA BBA 102B  GCP5-T102N21</x:t>
        </x:is>
      </x:c>
      <x:c r="E1975" t="n">
        <x:v>0</x:v>
      </x:c>
    </x:row>
    <x:row r="1976">
      <x:c r="A1976" t="inlineStr">
        <x:is>
          <x:t xml:space="preserve">PDTFRP001391</x:t>
        </x:is>
      </x:c>
      <x:c r="B1976" t="inlineStr">
        <x:is>
          <x:t xml:space="preserve">SPOOL SUCCION BBA P102S GCP5-T102N33  PPT073PPF423</x:t>
        </x:is>
      </x:c>
      <x:c r="E1976" t="n">
        <x:v>0</x:v>
      </x:c>
    </x:row>
    <x:row r="1977">
      <x:c r="A1977" t="inlineStr">
        <x:is>
          <x:t xml:space="preserve">PDTFRP001392</x:t>
        </x:is>
      </x:c>
      <x:c r="B1977" t="inlineStr">
        <x:is>
          <x:t xml:space="preserve">TK V105 DIAM 3000 X 2950 MM DUAL LAMINATE PP-FRP  CFM0522-NV0005</x:t>
        </x:is>
      </x:c>
      <x:c r="E1977" t="n">
        <x:v>0</x:v>
      </x:c>
    </x:row>
    <x:row r="1978">
      <x:c r="A1978" t="inlineStr">
        <x:is>
          <x:t xml:space="preserve">PDTFRP001393</x:t>
        </x:is>
      </x:c>
      <x:c r="B1978" t="inlineStr">
        <x:is>
          <x:t xml:space="preserve">RETENCIONES OC-4502113552 TK RAJO INCA</x:t>
        </x:is>
      </x:c>
      <x:c r="E1978" t="n">
        <x:v>0</x:v>
      </x:c>
    </x:row>
    <x:row r="1979">
      <x:c r="A1979" t="inlineStr">
        <x:is>
          <x:t xml:space="preserve">PDTFRP001394</x:t>
        </x:is>
      </x:c>
      <x:c r="B1979" t="inlineStr">
        <x:is>
          <x:t xml:space="preserve">END CUP DIAM 5 PLG FRP VINILESTER</x:t>
        </x:is>
      </x:c>
      <x:c r="E1979" t="n">
        <x:v>0</x:v>
      </x:c>
    </x:row>
    <x:row r="1980">
      <x:c r="A1980" t="inlineStr">
        <x:is>
          <x:t xml:space="preserve">PDTFRP001395</x:t>
        </x:is>
      </x:c>
      <x:c r="B1980" t="inlineStr">
        <x:is>
          <x:t xml:space="preserve">END CUP DIAM 8 PLG CON BOQUILLA 2 PLG PN10 FRP VINILESTER</x:t>
        </x:is>
      </x:c>
      <x:c r="E1980" t="n">
        <x:v>0</x:v>
      </x:c>
    </x:row>
    <x:row r="1981">
      <x:c r="A1981" t="inlineStr">
        <x:is>
          <x:t xml:space="preserve">PDTFRP001396</x:t>
        </x:is>
      </x:c>
      <x:c r="B1981" t="inlineStr">
        <x:is>
          <x:t xml:space="preserve">DUCTOS CENTINELA OC-4510200930 F-19196</x:t>
        </x:is>
      </x:c>
      <x:c r="E1981" t="n">
        <x:v>0</x:v>
      </x:c>
    </x:row>
    <x:row r="1982">
      <x:c r="A1982" t="inlineStr">
        <x:is>
          <x:t xml:space="preserve">PDTFRP001397</x:t>
        </x:is>
      </x:c>
      <x:c r="B1982" t="inlineStr">
        <x:is>
          <x:t xml:space="preserve">DUCTOS CENTINELA OC-4510200930 F-19199</x:t>
        </x:is>
      </x:c>
      <x:c r="E1982" t="n">
        <x:v>0</x:v>
      </x:c>
    </x:row>
    <x:row r="1983">
      <x:c r="A1983" t="inlineStr">
        <x:is>
          <x:t xml:space="preserve">PDTFRP001398</x:t>
        </x:is>
      </x:c>
      <x:c r="B1983" t="inlineStr">
        <x:is>
          <x:t xml:space="preserve">MEZCLADOR ESTATICO PARA HIDROMETALURGIA PPT073PVF022</x:t>
        </x:is>
      </x:c>
      <x:c r="E1983" t="n">
        <x:v>0</x:v>
      </x:c>
    </x:row>
    <x:row r="1984">
      <x:c r="A1984" t="inlineStr">
        <x:is>
          <x:t xml:space="preserve">PDTFRP001399</x:t>
        </x:is>
      </x:c>
      <x:c r="B1984" t="inlineStr">
        <x:is>
          <x:t xml:space="preserve">SPOOL RAJO INCA  RETENCIONES 0,10 WE 5009584837  EDP Nº 6</x:t>
        </x:is>
      </x:c>
      <x:c r="E1984" t="n">
        <x:v>0</x:v>
      </x:c>
    </x:row>
    <x:row r="1985">
      <x:c r="A1985" t="inlineStr">
        <x:is>
          <x:t xml:space="preserve">PDTFRP001400</x:t>
        </x:is>
      </x:c>
      <x:c r="B1985" t="inlineStr">
        <x:is>
          <x:t xml:space="preserve">SERV.REPAR.DE CARA FLANGE  CFM0524-NV0000 ACCIONA</x:t>
        </x:is>
      </x:c>
      <x:c r="E1985" t="n">
        <x:v>0</x:v>
      </x:c>
    </x:row>
    <x:row r="1986">
      <x:c r="A1986" t="inlineStr">
        <x:is>
          <x:t xml:space="preserve">PDTFRP001401</x:t>
        </x:is>
      </x:c>
      <x:c r="B1986" t="inlineStr">
        <x:is>
          <x:t xml:space="preserve">SERV.REPAR.DE CARA FLANGE DIAM 8 PLG PPT060FRP005</x:t>
        </x:is>
      </x:c>
      <x:c r="E1986" t="n">
        <x:v>29</x:v>
      </x:c>
    </x:row>
    <x:row r="1987">
      <x:c r="A1987" t="inlineStr">
        <x:is>
          <x:t xml:space="preserve">PDTFRP001402</x:t>
        </x:is>
      </x:c>
      <x:c r="B1987" t="inlineStr">
        <x:is>
          <x:t xml:space="preserve">SERV.REPAR.DE CARA FLANGE DIAM 10 PLG PPT060FRP006</x:t>
        </x:is>
      </x:c>
      <x:c r="E1987" t="n">
        <x:v>0</x:v>
      </x:c>
    </x:row>
    <x:row r="1988">
      <x:c r="A1988" t="inlineStr">
        <x:is>
          <x:t xml:space="preserve">PDTFRP001403</x:t>
        </x:is>
      </x:c>
      <x:c r="B1988" t="inlineStr">
        <x:is>
          <x:t xml:space="preserve">SERV.REPAR.DE CARA FLANGE DIAM 12 PLG PPT060FRP007</x:t>
        </x:is>
      </x:c>
      <x:c r="E1988" t="n">
        <x:v>0</x:v>
      </x:c>
    </x:row>
    <x:row r="1989">
      <x:c r="A1989" t="inlineStr">
        <x:is>
          <x:t xml:space="preserve">PDTFRP001404</x:t>
        </x:is>
      </x:c>
      <x:c r="B1989" t="inlineStr">
        <x:is>
          <x:t xml:space="preserve">SERV.REPAR.DE CARA FLANGE DIAM 14 PLG PPT060FRP008</x:t>
        </x:is>
      </x:c>
      <x:c r="E1989" t="n">
        <x:v>0</x:v>
      </x:c>
    </x:row>
    <x:row r="1990">
      <x:c r="A1990" t="inlineStr">
        <x:is>
          <x:t xml:space="preserve">PDTFRP001405</x:t>
        </x:is>
      </x:c>
      <x:c r="B1990" t="inlineStr">
        <x:is>
          <x:t xml:space="preserve">SERV.REPAR.DE CARA FLANGE DIAM 16 PLG PPT060FRP009</x:t>
        </x:is>
      </x:c>
      <x:c r="E1990" t="n">
        <x:v>0</x:v>
      </x:c>
    </x:row>
    <x:row r="1991">
      <x:c r="A1991" t="inlineStr">
        <x:is>
          <x:t xml:space="preserve">PDTFRP001406</x:t>
        </x:is>
      </x:c>
      <x:c r="B1991" t="inlineStr">
        <x:is>
          <x:t xml:space="preserve">SERV.REPAR.DE CARA FLANGE DIAM 20 PLG PPT060FRP010</x:t>
        </x:is>
      </x:c>
      <x:c r="E1991" t="n">
        <x:v>0</x:v>
      </x:c>
    </x:row>
    <x:row r="1992">
      <x:c r="A1992" t="inlineStr">
        <x:is>
          <x:t xml:space="preserve">PDTFRP001407</x:t>
        </x:is>
      </x:c>
      <x:c r="B1992" t="inlineStr">
        <x:is>
          <x:t xml:space="preserve">CONJUNTO DE SPOOL SALFA RLS0124-NV0003</x:t>
        </x:is>
      </x:c>
      <x:c r="E1992" t="n">
        <x:v>0</x:v>
      </x:c>
    </x:row>
    <x:row r="1993">
      <x:c r="A1993" t="inlineStr">
        <x:is>
          <x:t xml:space="preserve">PDTFRP001408</x:t>
        </x:is>
      </x:c>
      <x:c r="B1993" t="inlineStr">
        <x:is>
          <x:t xml:space="preserve">END CUP DIAM 24 PLG X 1131 MM FRP PPT072FRP508</x:t>
        </x:is>
      </x:c>
      <x:c r="E1993" t="n">
        <x:v>0</x:v>
      </x:c>
    </x:row>
    <x:row r="1994">
      <x:c r="A1994" t="inlineStr">
        <x:is>
          <x:t xml:space="preserve">PDTFRP001409</x:t>
        </x:is>
      </x:c>
      <x:c r="B1994" t="inlineStr">
        <x:is>
          <x:t xml:space="preserve">FLANGE FULL FACE C/LARGO DIAM 24 PLG X 1000 MM PPT072FRP509</x:t>
        </x:is>
      </x:c>
      <x:c r="E1994" t="n">
        <x:v>0</x:v>
      </x:c>
    </x:row>
    <x:row r="1995">
      <x:c r="A1995" t="inlineStr">
        <x:is>
          <x:t xml:space="preserve">PDTFRP001410</x:t>
        </x:is>
      </x:c>
      <x:c r="B1995" t="inlineStr">
        <x:is>
          <x:t xml:space="preserve">FILTRO CANASTILLO FRP  PPT072FRP408</x:t>
        </x:is>
      </x:c>
      <x:c r="E1995" t="n">
        <x:v>0</x:v>
      </x:c>
    </x:row>
    <x:row r="1996">
      <x:c r="A1996" t="inlineStr">
        <x:is>
          <x:t xml:space="preserve">PDTFRP001411</x:t>
        </x:is>
      </x:c>
      <x:c r="B1996" t="inlineStr">
        <x:is>
          <x:t xml:space="preserve">DUCTO 36 PLG ENN FRP C/BARRERA CONDUCTIVA FLANGES FIJOS PPT072FRC000 (42182639S</x:t>
        </x:is>
      </x:c>
      <x:c r="E1996" t="n">
        <x:v>0</x:v>
      </x:c>
    </x:row>
    <x:row r="1997">
      <x:c r="A1997" t="inlineStr">
        <x:is>
          <x:t xml:space="preserve">PDTFRP001412</x:t>
        </x:is>
      </x:c>
      <x:c r="B1997" t="inlineStr">
        <x:is>
          <x:t xml:space="preserve">CAÑERIA EN FRP RESINA VINILESTER DIAM 18 PLG LGO 3000 MM PPT072FRP520</x:t>
        </x:is>
      </x:c>
      <x:c r="E1997" t="n">
        <x:v>0</x:v>
      </x:c>
    </x:row>
    <x:row r="1998">
      <x:c r="A1998" t="inlineStr">
        <x:is>
          <x:t xml:space="preserve">PDTFRP001413</x:t>
        </x:is>
      </x:c>
      <x:c r="B1998" t="inlineStr">
        <x:is>
          <x:t xml:space="preserve">TEE DUCTO N° 6 20PLG X 18 PLG X 1595 MM PP/FRP TREN B  PPT073PPF447</x:t>
        </x:is>
      </x:c>
      <x:c r="E1998" t="n">
        <x:v>0</x:v>
      </x:c>
    </x:row>
    <x:row r="1999">
      <x:c r="A1999" t="inlineStr">
        <x:is>
          <x:t xml:space="preserve">PDTFRP001414</x:t>
        </x:is>
      </x:c>
      <x:c r="B1999" t="inlineStr">
        <x:is>
          <x:t xml:space="preserve">SERV.REVEST.SOPORTES RELIPER CFM0424-NV0000</x:t>
        </x:is>
      </x:c>
      <x:c r="E1999" t="n">
        <x:v>0</x:v>
      </x:c>
    </x:row>
    <x:row r="2000">
      <x:c r="A2000" t="inlineStr">
        <x:is>
          <x:t xml:space="preserve">PDTFRP001415</x:t>
        </x:is>
      </x:c>
      <x:c r="B2000" t="inlineStr">
        <x:is>
          <x:t xml:space="preserve">BRIDAS CIEGAS DN150-DN450-DN900-DN25  CFM0324-NV0002</x:t>
        </x:is>
      </x:c>
      <x:c r="E2000" t="n">
        <x:v>0</x:v>
      </x:c>
    </x:row>
    <x:row r="2001">
      <x:c r="A2001" t="inlineStr">
        <x:is>
          <x:t xml:space="preserve">PDTFRP001416</x:t>
        </x:is>
      </x:c>
      <x:c r="B2001" t="inlineStr">
        <x:is>
          <x:t xml:space="preserve">SUMINISTROS LINEAS DE DRENAJE 90 Y 125 SALVADOR NV0724-NV0001 Y 02</x:t>
        </x:is>
      </x:c>
      <x:c r="E2001" t="n">
        <x:v>0</x:v>
      </x:c>
    </x:row>
    <x:row r="2002">
      <x:c r="A2002" t="inlineStr">
        <x:is>
          <x:t xml:space="preserve">PDTFRP001417</x:t>
        </x:is>
      </x:c>
      <x:c r="B2002" t="inlineStr">
        <x:is>
          <x:t xml:space="preserve">FABRICAR TAPA Y FONDO A 2 TK FIBRANOV OFI0424-NV0004</x:t>
        </x:is>
      </x:c>
      <x:c r="E2002" t="n">
        <x:v>0</x:v>
      </x:c>
    </x:row>
    <x:row r="2003">
      <x:c r="A2003" t="inlineStr">
        <x:is>
          <x:t xml:space="preserve">PDTFRP001418</x:t>
        </x:is>
      </x:c>
      <x:c r="B2003" t="inlineStr">
        <x:is>
          <x:t xml:space="preserve">DUCTO N° 2 C22206-600-OD-PL-0001_B FRP/PP PPT073PPF428</x:t>
        </x:is>
      </x:c>
      <x:c r="E2003" t="n">
        <x:v>0</x:v>
      </x:c>
    </x:row>
    <x:row r="2004">
      <x:c r="A2004" t="inlineStr">
        <x:is>
          <x:t xml:space="preserve">PDTFRP001419</x:t>
        </x:is>
      </x:c>
      <x:c r="B2004" t="inlineStr">
        <x:is>
          <x:t xml:space="preserve">CAÑERIA 5 PLG X 6000 MM EN FRP PPT072FRP536</x:t>
        </x:is>
      </x:c>
      <x:c r="E2004" t="n">
        <x:v>0</x:v>
      </x:c>
    </x:row>
    <x:row r="2005">
      <x:c r="A2005" t="inlineStr">
        <x:is>
          <x:t xml:space="preserve">PDTFRP001420</x:t>
        </x:is>
      </x:c>
      <x:c r="B2005" t="inlineStr">
        <x:is>
          <x:t xml:space="preserve">CODO 90ª 8 PLG RESINA VINILESTER STD  PPT072FRP530</x:t>
        </x:is>
      </x:c>
      <x:c r="E2005" t="n">
        <x:v>0</x:v>
      </x:c>
    </x:row>
    <x:row r="2006">
      <x:c r="A2006" t="inlineStr">
        <x:is>
          <x:t xml:space="preserve">PDTFRP001421</x:t>
        </x:is>
      </x:c>
      <x:c r="B2006" t="inlineStr">
        <x:is>
          <x:t xml:space="preserve">SPOOL FRP ACCIONA OC-2581 CFM0824-NV0013</x:t>
        </x:is>
      </x:c>
      <x:c r="E2006" t="n">
        <x:v>0</x:v>
      </x:c>
    </x:row>
    <x:row r="2007">
      <x:c r="A2007" t="inlineStr">
        <x:is>
          <x:t xml:space="preserve">PDTFRP001422</x:t>
        </x:is>
      </x:c>
      <x:c r="B2007" t="inlineStr">
        <x:is>
          <x:t xml:space="preserve">SPOOL S FRP 800X3504 ACCIONA OC 2499 CFM0824-NV0006</x:t>
        </x:is>
      </x:c>
      <x:c r="E2007" t="n">
        <x:v>0</x:v>
      </x:c>
    </x:row>
    <x:row r="2008">
      <x:c r="A2008" t="inlineStr">
        <x:is>
          <x:t xml:space="preserve">PDTFRP001423</x:t>
        </x:is>
      </x:c>
      <x:c r="B2008" t="inlineStr">
        <x:is>
          <x:t xml:space="preserve">BRIDA CIEGA  FRP DN1800 STD AWWA C-207 CLASE 150  OC 1819 ACCIONA</x:t>
        </x:is>
      </x:c>
      <x:c r="E2008" t="n">
        <x:v>0</x:v>
      </x:c>
    </x:row>
    <x:row r="2009">
      <x:c r="A2009" t="inlineStr">
        <x:is>
          <x:t xml:space="preserve">PDTFRP001424</x:t>
        </x:is>
      </x:c>
      <x:c r="B2009" t="inlineStr">
        <x:is>
          <x:t xml:space="preserve">ARMADO DE SPOOL PVDF REV FRP RRC0624-NV0002</x:t>
        </x:is>
      </x:c>
      <x:c r="E2009" t="n">
        <x:v>0</x:v>
      </x:c>
    </x:row>
    <x:row r="2010">
      <x:c r="A2010" t="inlineStr">
        <x:is>
          <x:t xml:space="preserve">PDTFRP001425</x:t>
        </x:is>
      </x:c>
      <x:c r="B2010" t="inlineStr">
        <x:is>
          <x:t xml:space="preserve">TOP COAT FR</x:t>
        </x:is>
      </x:c>
      <x:c r="E2010" t="n">
        <x:v>50</x:v>
      </x:c>
    </x:row>
    <x:row r="2011">
      <x:c r="A2011" t="inlineStr">
        <x:is>
          <x:t xml:space="preserve">PDTFRP001426</x:t>
        </x:is>
      </x:c>
      <x:c r="B2011" t="inlineStr">
        <x:is>
          <x:t xml:space="preserve">CANERIA 6PLGX6 MTS PN10 FRP BQ VINIESTER BE ISOFTALICA PPT072FRP550</x:t>
        </x:is>
      </x:c>
      <x:c r="E2011" t="n">
        <x:v>0</x:v>
      </x:c>
    </x:row>
    <x:row r="2012">
      <x:c r="A2012" t="inlineStr">
        <x:is>
          <x:t xml:space="preserve">PDTFRP001427</x:t>
        </x:is>
      </x:c>
      <x:c r="B2012" t="inlineStr">
        <x:is>
          <x:t xml:space="preserve">CANERIA 6PLGX6 MTS PN16 FRP BQ VINIESTER BE ISOFTALI PPT072FRP551</x:t>
        </x:is>
      </x:c>
      <x:c r="E2012" t="n">
        <x:v>0</x:v>
      </x:c>
    </x:row>
    <x:row r="2013">
      <x:c r="A2013" t="inlineStr">
        <x:is>
          <x:t xml:space="preserve">PDTFRP001428</x:t>
        </x:is>
      </x:c>
      <x:c r="B2013" t="inlineStr">
        <x:is>
          <x:t xml:space="preserve">CANERIA 8PLGX6 MTS PN10 FRP BQ VINIESTER BE ISOFTALI PPT072FRP552</x:t>
        </x:is>
      </x:c>
      <x:c r="E2013" t="n">
        <x:v>0</x:v>
      </x:c>
    </x:row>
    <x:row r="2014">
      <x:c r="A2014" t="inlineStr">
        <x:is>
          <x:t xml:space="preserve">PDTFRP001429</x:t>
        </x:is>
      </x:c>
      <x:c r="B2014" t="inlineStr">
        <x:is>
          <x:t xml:space="preserve">CANERIA 8PLGX6 MTS PN16 FRP BQ VINIESTER BE ISOFTALI PPT072FRP553</x:t>
        </x:is>
      </x:c>
      <x:c r="E2014" t="n">
        <x:v>0</x:v>
      </x:c>
    </x:row>
    <x:row r="2015">
      <x:c r="A2015" t="inlineStr">
        <x:is>
          <x:t xml:space="preserve">PDTFRP001430</x:t>
        </x:is>
      </x:c>
      <x:c r="B2015" t="inlineStr">
        <x:is>
          <x:t xml:space="preserve">CANERIA 10PLGX6 MTS PN10 FRP BQ VINIESTER BE ISOFTALI PPT072FRP554</x:t>
        </x:is>
      </x:c>
      <x:c r="E2015" t="n">
        <x:v>0</x:v>
      </x:c>
    </x:row>
    <x:row r="2016">
      <x:c r="A2016" t="inlineStr">
        <x:is>
          <x:t xml:space="preserve">PDTFRP001431</x:t>
        </x:is>
      </x:c>
      <x:c r="B2016" t="inlineStr">
        <x:is>
          <x:t xml:space="preserve">CANERIA 10PLGX6 MTS PN16 FRP BQ VINIESTER BE ISOFTALI PPT072FRP555</x:t>
        </x:is>
      </x:c>
      <x:c r="E2016" t="n">
        <x:v>0</x:v>
      </x:c>
    </x:row>
    <x:row r="2017">
      <x:c r="A2017" t="inlineStr">
        <x:is>
          <x:t xml:space="preserve">PDTFRP001432</x:t>
        </x:is>
      </x:c>
      <x:c r="B2017" t="inlineStr">
        <x:is>
          <x:t xml:space="preserve">GEL COAT RESINA VINILESTER RAL 1013</x:t>
        </x:is>
      </x:c>
      <x:c r="E2017" t="n">
        <x:v>50.58</x:v>
      </x:c>
    </x:row>
    <x:row r="2018">
      <x:c r="A2018" t="inlineStr">
        <x:is>
          <x:t xml:space="preserve">PDTFRP001433</x:t>
        </x:is>
      </x:c>
      <x:c r="B2018" t="inlineStr">
        <x:is>
          <x:t xml:space="preserve">DUCTO DN 300 FRP AVANCE 1000 MM  PPT072FRP557</x:t>
        </x:is>
      </x:c>
      <x:c r="E2018" t="n">
        <x:v>0</x:v>
      </x:c>
    </x:row>
    <x:row r="2019">
      <x:c r="A2019" t="inlineStr">
        <x:is>
          <x:t xml:space="preserve">PDTFRP001434</x:t>
        </x:is>
      </x:c>
      <x:c r="B2019" t="inlineStr">
        <x:is>
          <x:t xml:space="preserve">FLANGE CIEGO 20 PLG ANSI B16,5 PN 10 FRP VINILESTER PPT072FRP556</x:t>
        </x:is>
      </x:c>
      <x:c r="E2019" t="n">
        <x:v>0</x:v>
      </x:c>
    </x:row>
    <x:row r="2020">
      <x:c r="A2020" t="inlineStr">
        <x:is>
          <x:t xml:space="preserve">PDTFRP001435</x:t>
        </x:is>
      </x:c>
      <x:c r="B2020" t="inlineStr">
        <x:is>
          <x:t xml:space="preserve">codo 45| GRD DIAM 4 PLG FRP BQ VINILESTER PPT072FRP544</x:t>
        </x:is>
      </x:c>
      <x:c r="E2020" t="n">
        <x:v>0</x:v>
      </x:c>
    </x:row>
    <x:row r="2021">
      <x:c r="A2021" t="inlineStr">
        <x:is>
          <x:t xml:space="preserve">PDTFRP001436</x:t>
        </x:is>
      </x:c>
      <x:c r="B2021" t="inlineStr">
        <x:is>
          <x:t xml:space="preserve">codo 45 GRD DIAM 8 PLG FRP BQ VINILESTER PPT072FRP545</x:t>
        </x:is>
      </x:c>
      <x:c r="E2021" t="n">
        <x:v>0</x:v>
      </x:c>
    </x:row>
    <x:row r="2022">
      <x:c r="A2022" t="inlineStr">
        <x:is>
          <x:t xml:space="preserve">PDTFRP001437</x:t>
        </x:is>
      </x:c>
      <x:c r="B2022" t="inlineStr">
        <x:is>
          <x:t xml:space="preserve">FLANGE FF DIAM 4 PLG FRP VINILESTER ASTM C-582.ASME B16.5 PPT072FRP546</x:t>
        </x:is>
      </x:c>
      <x:c r="E2022" t="n">
        <x:v>2</x:v>
      </x:c>
    </x:row>
    <x:row r="2023">
      <x:c r="A2023" t="inlineStr">
        <x:is>
          <x:t xml:space="preserve">PDTFRP001438</x:t>
        </x:is>
      </x:c>
      <x:c r="B2023" t="inlineStr">
        <x:is>
          <x:t xml:space="preserve">TEE RECTA DIAM 4 PLG FRP VINILESTER BQ VELO C  PP072FRP547</x:t>
        </x:is>
      </x:c>
      <x:c r="E2023" t="n">
        <x:v>0</x:v>
      </x:c>
    </x:row>
    <x:row r="2024">
      <x:c r="A2024" t="inlineStr">
        <x:is>
          <x:t xml:space="preserve">PDTFRP001439</x:t>
        </x:is>
      </x:c>
      <x:c r="B2024" t="inlineStr">
        <x:is>
          <x:t xml:space="preserve">FABRICACIOCENTINELA RLS1124-NV0000 N DUCTOS FRP-PP TREN D</x:t>
        </x:is>
      </x:c>
      <x:c r="E2024" t="n">
        <x:v>2</x:v>
      </x:c>
    </x:row>
    <x:row r="2025">
      <x:c r="A2025" t="inlineStr">
        <x:is>
          <x:t xml:space="preserve">PDTFRP001440</x:t>
        </x:is>
      </x:c>
      <x:c r="B2025" t="inlineStr">
        <x:is>
          <x:t xml:space="preserve">SPOOL 2 TAMBOR 40-AD-001 PL/SCKETCH-DWG-00065 REV.0 PPT072FRP313</x:t>
        </x:is>
      </x:c>
      <x:c r="E2025" t="n">
        <x:v>1</x:v>
      </x:c>
    </x:row>
    <x:row r="2026">
      <x:c r="A2026" t="inlineStr">
        <x:is>
          <x:t xml:space="preserve">PDTFRP001441</x:t>
        </x:is>
      </x:c>
      <x:c r="B2026" t="inlineStr">
        <x:is>
          <x:t xml:space="preserve">FLANGE FIJO DIAM 914.4 MM AVANCE DE 500 MM FRP PL/IP-134-15-DW-MEC-003.L1-C PPT072FRP548</x:t>
        </x:is>
      </x:c>
      <x:c r="E2026" t="n">
        <x:v>1</x:v>
      </x:c>
    </x:row>
    <x:row r="2027">
      <x:c r="A2027" t="inlineStr">
        <x:is>
          <x:t xml:space="preserve">PDTFRP001442</x:t>
        </x:is>
      </x:c>
      <x:c r="B2027" t="inlineStr">
        <x:is>
          <x:t xml:space="preserve">TEE RECTA DIAM 4 PLG FRP VINILESTER BQ VELO C  PP072FRP547</x:t>
        </x:is>
      </x:c>
      <x:c r="E2027" t="n">
        <x:v>2</x:v>
      </x:c>
    </x:row>
    <x:row r="2028">
      <x:c r="A2028" t="inlineStr">
        <x:is>
          <x:t xml:space="preserve">PDTFRP001443</x:t>
        </x:is>
      </x:c>
      <x:c r="B2028" t="inlineStr">
        <x:is>
          <x:t xml:space="preserve">DUCTO DIAM 2000 X 3000 MM PN10 FRP NQ NILILESTER BE ISOFTALICA PPT072FRP559</x:t>
        </x:is>
      </x:c>
      <x:c r="E2028" t="n">
        <x:v>1</x:v>
      </x:c>
    </x:row>
    <x:row r="2029">
      <x:c r="A2029" t="inlineStr">
        <x:is>
          <x:t xml:space="preserve">PDTFRP001444</x:t>
        </x:is>
      </x:c>
      <x:c r="B2029" t="inlineStr">
        <x:is>
          <x:t xml:space="preserve">115321160 MANHOLE DIAM 32 PLG X 650 MM DL PE(HDPE)-FRP VINILESTER PPT073HDF000</x:t>
        </x:is>
      </x:c>
      <x:c r="E2029" t="n">
        <x:v>1</x:v>
      </x:c>
    </x:row>
    <x:row r="2030">
      <x:c r="A2030" t="inlineStr">
        <x:is>
          <x:t xml:space="preserve">PDTFRP001445</x:t>
        </x:is>
      </x:c>
      <x:c r="B2030" t="inlineStr">
        <x:is>
          <x:t xml:space="preserve">FLANGE CIEGO FRP  DN900 CON 100 MM ESP  PPT072FRP560</x:t>
        </x:is>
      </x:c>
      <x:c r="E2030" t="n">
        <x:v>1</x:v>
      </x:c>
    </x:row>
    <x:row r="2031">
      <x:c r="A2031" t="inlineStr">
        <x:is>
          <x:t xml:space="preserve">PDTFRP001446</x:t>
        </x:is>
      </x:c>
      <x:c r="B2031" t="inlineStr">
        <x:is>
          <x:t xml:space="preserve">BOQUILLA 24 IN FRP 600PP014 ( PPT072FRP561)</x:t>
        </x:is>
      </x:c>
      <x:c r="E2031" t="n">
        <x:v>2</x:v>
      </x:c>
    </x:row>
    <x:row r="2032">
      <x:c r="A2032" t="inlineStr">
        <x:is>
          <x:t xml:space="preserve">PDTFRP001447</x:t>
        </x:is>
      </x:c>
      <x:c r="B2032" t="inlineStr">
        <x:is>
          <x:t xml:space="preserve">FLANGE SLIP-ON FRP RLS1224-NV0000</x:t>
        </x:is>
      </x:c>
      <x:c r="E2032" t="n">
        <x:v>1</x:v>
      </x:c>
    </x:row>
    <x:row r="2033">
      <x:c r="A2033" t="inlineStr">
        <x:is>
          <x:t xml:space="preserve">PDTFRP001448</x:t>
        </x:is>
      </x:c>
      <x:c r="B2033" t="inlineStr">
        <x:is>
          <x:t xml:space="preserve">CAÑERIA DIAM 5 PLG X 6000 MM FRP BQ VINILESTER BE ISOFTALICA PPT072FRP567</x:t>
        </x:is>
      </x:c>
      <x:c r="E2033" t="n">
        <x:v>10</x:v>
      </x:c>
    </x:row>
    <x:row r="2034">
      <x:c r="A2034" t="inlineStr">
        <x:is>
          <x:t xml:space="preserve">PDTFRP001449</x:t>
        </x:is>
      </x:c>
      <x:c r="B2034" t="inlineStr">
        <x:is>
          <x:t xml:space="preserve">BRIDA (FLANGE FIJO) DIAM 16 PLG FRP BQ VINILESTER BE ISOFTALICA PPT072FRP568</x:t>
        </x:is>
      </x:c>
      <x:c r="E2034" t="n">
        <x:v>3</x:v>
      </x:c>
    </x:row>
    <x:row r="2035">
      <x:c r="A2035" t="inlineStr">
        <x:is>
          <x:t xml:space="preserve">PDTFRP001450</x:t>
        </x:is>
      </x:c>
      <x:c r="B2035" t="inlineStr">
        <x:is>
          <x:t xml:space="preserve">BRIDA (FLANGE FIJO) DIAM 5 PLG FRP BQ VINILESTER BE ISOFTALICA PPT072FRP569</x:t>
        </x:is>
      </x:c>
      <x:c r="E2035" t="n">
        <x:v>10</x:v>
      </x:c>
    </x:row>
    <x:row r="2036">
      <x:c r="A2036" t="inlineStr">
        <x:is>
          <x:t xml:space="preserve">PDTFRP001451</x:t>
        </x:is>
      </x:c>
      <x:c r="B2036" t="inlineStr">
        <x:is>
          <x:t xml:space="preserve">SPOOL DESCARGA BBA P111 JCC0225-NV0000</x:t>
        </x:is>
      </x:c>
      <x:c r="E2036" t="n">
        <x:v>2</x:v>
      </x:c>
    </x:row>
    <x:row r="2037">
      <x:c r="A2037" t="inlineStr">
        <x:is>
          <x:t xml:space="preserve">PDTFRP001452</x:t>
        </x:is>
      </x:c>
      <x:c r="B2037" t="inlineStr">
        <x:is>
          <x:t xml:space="preserve">SPOOL PVDF-FRP OTOVENT OC-4502374857</x:t>
        </x:is>
      </x:c>
      <x:c r="E2037" t="n">
        <x:v>17</x:v>
      </x:c>
    </x:row>
    <x:row r="2038">
      <x:c r="A2038" t="inlineStr">
        <x:is>
          <x:t xml:space="preserve">PDTFRP001453</x:t>
        </x:is>
      </x:c>
      <x:c r="B2038" t="inlineStr">
        <x:is>
          <x:t xml:space="preserve">11550080 SPOOL 001-B-1@2(DUCTO RECTO BYPASS AGLOMERADOR 40-AD-001)</x:t>
        </x:is>
      </x:c>
      <x:c r="E2038" t="n">
        <x:v>1</x:v>
      </x:c>
    </x:row>
    <x:row r="2039">
      <x:c r="A2039" t="inlineStr">
        <x:is>
          <x:t xml:space="preserve">PDTFRP001455</x:t>
        </x:is>
      </x:c>
      <x:c r="B2039" t="inlineStr">
        <x:is>
          <x:t xml:space="preserve">1607441 TAPA TORRE CONDENSADORA C/REV FRP/ECTFE PPT073ECF002</x:t>
        </x:is>
      </x:c>
      <x:c r="E2039" t="n">
        <x:v>1</x:v>
      </x:c>
    </x:row>
    <x:row r="2040">
      <x:c r="A2040" t="inlineStr">
        <x:is>
          <x:t xml:space="preserve">PDTFRP001456</x:t>
        </x:is>
      </x:c>
      <x:c r="B2040" t="inlineStr">
        <x:is>
          <x:t xml:space="preserve">SUMINISTRO ANILLOS SALVADOR JCC0224-NV0001</x:t>
        </x:is>
      </x:c>
      <x:c r="E2040" t="n">
        <x:v>7</x:v>
      </x:c>
    </x:row>
    <x:row r="2041">
      <x:c r="A2041" t="inlineStr">
        <x:is>
          <x:t xml:space="preserve">PDTFRPPOS001</x:t>
        </x:is>
      </x:c>
      <x:c r="B2041" t="inlineStr">
        <x:is>
          <x:t xml:space="preserve">POSTE ALUMBRADO 4 MTS  5-20 PT</x:t>
        </x:is>
      </x:c>
      <x:c r="E2041" t="n">
        <x:v>0</x:v>
      </x:c>
    </x:row>
    <x:row r="2042">
      <x:c r="A2042" t="inlineStr">
        <x:is>
          <x:t xml:space="preserve">PDTFRPPOS002</x:t>
        </x:is>
      </x:c>
      <x:c r="B2042" t="inlineStr">
        <x:is>
          <x:t xml:space="preserve">POSTE ALUMBRADO 6 MTS CON BRASO 6-PTB</x:t>
        </x:is>
      </x:c>
      <x:c r="E2042" t="n">
        <x:v>0</x:v>
      </x:c>
    </x:row>
    <x:row r="2043">
      <x:c r="A2043" t="inlineStr">
        <x:is>
          <x:t xml:space="preserve">PDTFRPPOS003</x:t>
        </x:is>
      </x:c>
      <x:c r="B2043" t="inlineStr">
        <x:is>
          <x:t xml:space="preserve">POSTE DE DISTRIBUCIÓN 10 MTS 10-350P</x:t>
        </x:is>
      </x:c>
      <x:c r="E2043" t="n">
        <x:v>0</x:v>
      </x:c>
    </x:row>
    <x:row r="2044">
      <x:c r="A2044" t="inlineStr">
        <x:is>
          <x:t xml:space="preserve">PDTFRPPOS004</x:t>
        </x:is>
      </x:c>
      <x:c r="B2044" t="inlineStr">
        <x:is>
          <x:t xml:space="preserve">CRUCETA PARA POSTE FRP 1000 MM</x:t>
        </x:is>
      </x:c>
      <x:c r="E2044" t="n">
        <x:v>0</x:v>
      </x:c>
    </x:row>
    <x:row r="2045">
      <x:c r="A2045" t="inlineStr">
        <x:is>
          <x:t xml:space="preserve">PDTFRPPOS005</x:t>
        </x:is>
      </x:c>
      <x:c r="B2045" t="inlineStr">
        <x:is>
          <x:t xml:space="preserve">CRUCETA PARA POSTE FRP 1200 MM</x:t>
        </x:is>
      </x:c>
      <x:c r="E2045" t="n">
        <x:v>0</x:v>
      </x:c>
    </x:row>
    <x:row r="2046">
      <x:c r="A2046" t="inlineStr">
        <x:is>
          <x:t xml:space="preserve">PDTFRPPOS006</x:t>
        </x:is>
      </x:c>
      <x:c r="B2046" t="inlineStr">
        <x:is>
          <x:t xml:space="preserve">POSTE DE DISTRIBUCIÓN 8.7 MTS 8.7-40P</x:t>
        </x:is>
      </x:c>
      <x:c r="E2046" t="n">
        <x:v>0</x:v>
      </x:c>
    </x:row>
    <x:row r="2047">
      <x:c r="A2047" t="inlineStr">
        <x:is>
          <x:t xml:space="preserve">PDTFRPPOS007</x:t>
        </x:is>
      </x:c>
      <x:c r="B2047" t="inlineStr">
        <x:is>
          <x:t xml:space="preserve">POSTE DE DISTRIBUCIÓN 10 MTS 10-35P SECCIONADO</x:t>
        </x:is>
      </x:c>
      <x:c r="E2047" t="n">
        <x:v>0</x:v>
      </x:c>
    </x:row>
    <x:row r="2048">
      <x:c r="A2048" t="inlineStr">
        <x:is>
          <x:t xml:space="preserve">PDTFRPPOS008</x:t>
        </x:is>
      </x:c>
      <x:c r="B2048" t="inlineStr">
        <x:is>
          <x:t xml:space="preserve">POSTE ALUMBRADO 5 MTS CON BRASO 5-PTB</x:t>
        </x:is>
      </x:c>
      <x:c r="E2048" t="n">
        <x:v>0</x:v>
      </x:c>
    </x:row>
    <x:row r="2049">
      <x:c r="A2049" t="inlineStr">
        <x:is>
          <x:t xml:space="preserve">PDTFRPPOS009</x:t>
        </x:is>
      </x:c>
      <x:c r="B2049" t="inlineStr">
        <x:is>
          <x:t xml:space="preserve">POSTE ALUMBRADO 6 MTS SIN BRASO 6-PT</x:t>
        </x:is>
      </x:c>
      <x:c r="E2049" t="n">
        <x:v>0</x:v>
      </x:c>
    </x:row>
    <x:row r="2050">
      <x:c r="A2050" t="inlineStr">
        <x:is>
          <x:t xml:space="preserve">PDTFRPPOS010</x:t>
        </x:is>
      </x:c>
      <x:c r="B2050" t="inlineStr">
        <x:is>
          <x:t xml:space="preserve">LUMINARIA 50W-12 HORAS L77-LS50</x:t>
        </x:is>
      </x:c>
      <x:c r="E2050" t="n">
        <x:v>0</x:v>
      </x:c>
    </x:row>
    <x:row r="2051">
      <x:c r="A2051" t="inlineStr">
        <x:is>
          <x:t xml:space="preserve">PDTFRPPOS011</x:t>
        </x:is>
      </x:c>
      <x:c r="B2051" t="inlineStr">
        <x:is>
          <x:t xml:space="preserve">POSTE FIBRA DE VIDRIO DE 5 MTS 200 KGF 6-20 PT</x:t>
        </x:is>
      </x:c>
      <x:c r="E2051" t="n">
        <x:v>0</x:v>
      </x:c>
    </x:row>
    <x:row r="2052">
      <x:c r="A2052" t="inlineStr">
        <x:is>
          <x:t xml:space="preserve">PDTFRPPOS012</x:t>
        </x:is>
      </x:c>
      <x:c r="B2052" t="inlineStr">
        <x:is>
          <x:t xml:space="preserve">POSTE FIBRA DE VIDRIO DE 10 MTS 200 KGF 10-20 PT</x:t>
        </x:is>
      </x:c>
      <x:c r="E2052" t="n">
        <x:v>0</x:v>
      </x:c>
    </x:row>
    <x:row r="2053">
      <x:c r="A2053" t="inlineStr">
        <x:is>
          <x:t xml:space="preserve">PDTFRPPOS013</x:t>
        </x:is>
      </x:c>
      <x:c r="B2053" t="inlineStr">
        <x:is>
          <x:t xml:space="preserve">POSTE FIBRA DE VIDRIO DE 12 MTS 200 KGF 12-20 PT</x:t>
        </x:is>
      </x:c>
      <x:c r="E2053" t="n">
        <x:v>0</x:v>
      </x:c>
    </x:row>
    <x:row r="2054">
      <x:c r="A2054" t="inlineStr">
        <x:is>
          <x:t xml:space="preserve">PDTFRPPOS014</x:t>
        </x:is>
      </x:c>
      <x:c r="B2054" t="inlineStr">
        <x:is>
          <x:t xml:space="preserve">BRAZO CORTO PARA POSTE PRFV 5 M 200MM X 62MM /300 MM X 78 MM  BC2006278300</x:t>
        </x:is>
      </x:c>
      <x:c r="E2054" t="n">
        <x:v>0</x:v>
      </x:c>
    </x:row>
    <x:row r="2055">
      <x:c r="A2055" t="inlineStr">
        <x:is>
          <x:t xml:space="preserve">PDTFRPPOS015</x:t>
        </x:is>
      </x:c>
      <x:c r="B2055" t="inlineStr">
        <x:is>
          <x:t xml:space="preserve">POSTE PRFV ILUMINACION CON BRIDA CODIGO 522104</x:t>
        </x:is>
      </x:c>
      <x:c r="E2055" t="n">
        <x:v>0</x:v>
      </x:c>
    </x:row>
    <x:row r="2056">
      <x:c r="A2056" t="inlineStr">
        <x:is>
          <x:t xml:space="preserve">PDTFRPPOS016</x:t>
        </x:is>
      </x:c>
      <x:c r="B2056" t="inlineStr">
        <x:is>
          <x:t xml:space="preserve">POSTE PRFV ALUMBRADO 5 MTS 250 KGF FLEXION,DIELECTRICO  CON CANASTILLO DE ANCLAJE ACERO GALVANIZADO</x:t>
        </x:is>
      </x:c>
      <x:c r="E2056" t="n">
        <x:v>0</x:v>
      </x:c>
    </x:row>
    <x:row r="2057">
      <x:c r="A2057" t="inlineStr">
        <x:is>
          <x:t xml:space="preserve">PDTFRPPOS017</x:t>
        </x:is>
      </x:c>
      <x:c r="B2057" t="inlineStr">
        <x:is>
          <x:t xml:space="preserve">POSTE P.R.F.V ILUMINACION 6 MTS CON BASE BRIDA,CARGA DE 250 KGF RUPTURA</x:t>
        </x:is>
      </x:c>
      <x:c r="E2057" t="n">
        <x:v>0</x:v>
      </x:c>
    </x:row>
    <x:row r="2058">
      <x:c r="A2058" t="inlineStr">
        <x:is>
          <x:t xml:space="preserve">PDTFRPPOS018</x:t>
        </x:is>
      </x:c>
      <x:c r="B2058" t="inlineStr">
        <x:is>
          <x:t xml:space="preserve">POSTE DE FRPV ILUMINACIÓN 8 METROS CON BASE BRIDA.200 KGF,IP65.IK10  DIELÉCTRICO COLOR GRIS</x:t>
        </x:is>
      </x:c>
      <x:c r="E2058" t="n">
        <x:v>0</x:v>
      </x:c>
    </x:row>
    <x:row r="2059">
      <x:c r="A2059" t="inlineStr">
        <x:is>
          <x:t xml:space="preserve">PDTFRPPOS019</x:t>
        </x:is>
      </x:c>
      <x:c r="B2059" t="inlineStr">
        <x:is>
          <x:t xml:space="preserve">BRAZO DE ACOPLE DOBLE 60X84X300</x:t>
        </x:is>
      </x:c>
      <x:c r="E2059" t="n">
        <x:v>0</x:v>
      </x:c>
    </x:row>
    <x:row r="2060">
      <x:c r="A2060" t="inlineStr">
        <x:is>
          <x:t xml:space="preserve">PDTFRPPOS020</x:t>
        </x:is>
      </x:c>
      <x:c r="B2060" t="inlineStr">
        <x:is>
          <x:t xml:space="preserve">POSTE DE FRPV ILUMINACIÓN 6 METROS CON BASE BRIDA.250 KGF</x:t>
        </x:is>
      </x:c>
      <x:c r="E2060" t="n">
        <x:v>0</x:v>
      </x:c>
    </x:row>
    <x:row r="2061">
      <x:c r="A2061" t="inlineStr">
        <x:is>
          <x:t xml:space="preserve">PDTFRPPOS021</x:t>
        </x:is>
      </x:c>
      <x:c r="B2061" t="inlineStr">
        <x:is>
          <x:t xml:space="preserve">CANASTILLO DE ANCLAJE ACERO GALVANIZADO PARA POSTE 5 MTS 200X200X12 MM</x:t>
        </x:is>
      </x:c>
      <x:c r="E2061" t="n">
        <x:v>0</x:v>
      </x:c>
    </x:row>
    <x:row r="2062">
      <x:c r="A2062" t="inlineStr">
        <x:is>
          <x:t xml:space="preserve">PDTFRPPOS022</x:t>
        </x:is>
      </x:c>
      <x:c r="B2062" t="inlineStr">
        <x:is>
          <x:t xml:space="preserve">PA0162 POSTE DE PRFV ILUMINACION  10 MTS</x:t>
        </x:is>
      </x:c>
      <x:c r="E2062" t="n">
        <x:v>0</x:v>
      </x:c>
    </x:row>
    <x:row r="2063">
      <x:c r="A2063" t="inlineStr">
        <x:is>
          <x:t xml:space="preserve">PDTFRPPOS023</x:t>
        </x:is>
      </x:c>
      <x:c r="B2063" t="inlineStr">
        <x:is>
          <x:t xml:space="preserve">PA0164 BRAZO PRFV DOBLE POLTRUIDO RECTANGULAR 50 X 100 X 1200 X 100</x:t>
        </x:is>
      </x:c>
      <x:c r="E2063" t="n">
        <x:v>0</x:v>
      </x:c>
    </x:row>
    <x:row r="2064">
      <x:c r="A2064" t="inlineStr">
        <x:is>
          <x:t xml:space="preserve">PDTFRPPOS024</x:t>
        </x:is>
      </x:c>
      <x:c r="B2064" t="inlineStr">
        <x:is>
          <x:t xml:space="preserve">PA0165 BRAZO PRFV  SIMPLE  POLTRUIDO  60 X 800 X 600</x:t>
        </x:is>
      </x:c>
      <x:c r="E2064" t="n">
        <x:v>0</x:v>
      </x:c>
    </x:row>
    <x:row r="2065">
      <x:c r="A2065" t="inlineStr">
        <x:is>
          <x:t xml:space="preserve">PDTFRPPOS025</x:t>
        </x:is>
      </x:c>
      <x:c r="B2065" t="inlineStr">
        <x:is>
          <x:t xml:space="preserve">PA0166 BRAZO PRFV  SIMPLE  POLTRUIDO  60 X 100 X 600  ABRAZADER ANCLAJE FRP</x:t>
        </x:is>
      </x:c>
      <x:c r="E2065" t="n">
        <x:v>0</x:v>
      </x:c>
    </x:row>
    <x:row r="2066">
      <x:c r="A2066" t="inlineStr">
        <x:is>
          <x:t xml:space="preserve">PDTFRPPOS026</x:t>
        </x:is>
      </x:c>
      <x:c r="B2066" t="inlineStr">
        <x:is>
          <x:t xml:space="preserve">PA0162 POSTE DE PRFV ILUMINACION 10 MTS</x:t>
        </x:is>
      </x:c>
      <x:c r="E2066" t="n">
        <x:v>0</x:v>
      </x:c>
    </x:row>
    <x:row r="2067">
      <x:c r="A2067" t="inlineStr">
        <x:is>
          <x:t xml:space="preserve">PDTFRPPOS027</x:t>
        </x:is>
      </x:c>
      <x:c r="B2067" t="inlineStr">
        <x:is>
          <x:t xml:space="preserve">PA0163 POSTE DE PRFV ILUMINACION 12 METROS</x:t>
        </x:is>
      </x:c>
      <x:c r="E2067" t="n">
        <x:v>0</x:v>
      </x:c>
    </x:row>
    <x:row r="2068">
      <x:c r="A2068" t="inlineStr">
        <x:is>
          <x:t xml:space="preserve">PDTFRPPOS028</x:t>
        </x:is>
      </x:c>
      <x:c r="B2068" t="inlineStr">
        <x:is>
          <x:t xml:space="preserve">PA0164 BRAZO PRFV DOBLE POLTRUIDO RECTANGULAR 50 X 100 X 1200 X 100</x:t>
        </x:is>
      </x:c>
      <x:c r="E2068" t="n">
        <x:v>0</x:v>
      </x:c>
    </x:row>
    <x:row r="2069">
      <x:c r="A2069" t="inlineStr">
        <x:is>
          <x:t xml:space="preserve">PDTFRPPOS029</x:t>
        </x:is>
      </x:c>
      <x:c r="B2069" t="inlineStr">
        <x:is>
          <x:t xml:space="preserve">PA0165 BRAZO PRFV  SIMPLE  POLTRUIDO  60 X 800 X 600</x:t>
        </x:is>
      </x:c>
      <x:c r="E2069" t="n">
        <x:v>0</x:v>
      </x:c>
    </x:row>
    <x:row r="2070">
      <x:c r="A2070" t="inlineStr">
        <x:is>
          <x:t xml:space="preserve">PDTFRPPOS030</x:t>
        </x:is>
      </x:c>
      <x:c r="B2070" t="inlineStr">
        <x:is>
          <x:t xml:space="preserve">PA0166 BRAZO PRFV  SIMPLE  POLTRUIDO  60 X 100 X 600  ABRAZADER ANCLAJE FRP</x:t>
        </x:is>
      </x:c>
      <x:c r="E2070" t="n">
        <x:v>0</x:v>
      </x:c>
    </x:row>
    <x:row r="2071">
      <x:c r="A2071" t="inlineStr">
        <x:is>
          <x:t xml:space="preserve">PDTFRPPOS031</x:t>
        </x:is>
      </x:c>
      <x:c r="B2071" t="inlineStr">
        <x:is>
          <x:t xml:space="preserve">POSTE PRFV ILUMINACION 10 MTS CON BASE BRIDA,IP55,IK10,DIELECTRICO,NORMA ANSI BLANCO</x:t>
        </x:is>
      </x:c>
      <x:c r="E2071" t="n">
        <x:v>0</x:v>
      </x:c>
    </x:row>
    <x:row r="2072">
      <x:c r="A2072" t="inlineStr">
        <x:is>
          <x:t xml:space="preserve">PDTFRPPOS032</x:t>
        </x:is>
      </x:c>
      <x:c r="B2072" t="inlineStr">
        <x:is>
          <x:t xml:space="preserve">POSTE PRFV ILUMINACION 10 MTS CON BASE BRIDA,IP55,IK10,DIELECTRICO,NORMA ANSI BLANCO</x:t>
        </x:is>
      </x:c>
      <x:c r="E2072" t="n">
        <x:v>0</x:v>
      </x:c>
    </x:row>
    <x:row r="2073">
      <x:c r="A2073" t="inlineStr">
        <x:is>
          <x:t xml:space="preserve">PDTFRPPOS033</x:t>
        </x:is>
      </x:c>
      <x:c r="B2073" t="inlineStr">
        <x:is>
          <x:t xml:space="preserve">BRAZO ACOPLE SIMPLE PRFV 84 X 500 X 60</x:t>
        </x:is>
      </x:c>
      <x:c r="E2073" t="n">
        <x:v>0</x:v>
      </x:c>
    </x:row>
    <x:row r="2074">
      <x:c r="A2074" t="inlineStr">
        <x:is>
          <x:t xml:space="preserve">PDTFRPPOS034</x:t>
        </x:is>
      </x:c>
      <x:c r="B2074" t="inlineStr">
        <x:is>
          <x:t xml:space="preserve">BRAZO PRFV ACOPLE ABRAZADERA 100 X 60 X 500</x:t>
        </x:is>
      </x:c>
      <x:c r="E2074" t="n">
        <x:v>0</x:v>
      </x:c>
    </x:row>
    <x:row r="2075">
      <x:c r="A2075" t="inlineStr">
        <x:is>
          <x:t xml:space="preserve">PDTFRPPOS035</x:t>
        </x:is>
      </x:c>
      <x:c r="B2075" t="inlineStr">
        <x:is>
          <x:t xml:space="preserve">038056 BRAZO ACOPLE DOBLE RECTANGULAR PRFV50,8X6,4X1200</x:t>
        </x:is>
      </x:c>
      <x:c r="E2075" t="n">
        <x:v>0</x:v>
      </x:c>
    </x:row>
    <x:row r="2076">
      <x:c r="A2076" t="inlineStr">
        <x:is>
          <x:t xml:space="preserve">PDTFRPPOS036</x:t>
        </x:is>
      </x:c>
      <x:c r="B2076" t="inlineStr">
        <x:is>
          <x:t xml:space="preserve">030418 POSTE DE PRFV ILUMINACION 7 MT,CON BASE BRIDA</x:t>
        </x:is>
      </x:c>
      <x:c r="E2076" t="n">
        <x:v>0</x:v>
      </x:c>
    </x:row>
    <x:row r="2077">
      <x:c r="A2077" t="inlineStr">
        <x:is>
          <x:t xml:space="preserve">PDTFRPPOS037</x:t>
        </x:is>
      </x:c>
      <x:c r="B2077" t="inlineStr">
        <x:is>
          <x:t xml:space="preserve">030417 POSTE DE PRFV ILUMINACION 5 MT,CON BASE BRIDA</x:t>
        </x:is>
      </x:c>
      <x:c r="E2077" t="n">
        <x:v>0</x:v>
      </x:c>
    </x:row>
    <x:row r="2078">
      <x:c r="A2078" t="inlineStr">
        <x:is>
          <x:t xml:space="preserve">PDTFRPPOS038</x:t>
        </x:is>
      </x:c>
      <x:c r="B2078" t="inlineStr">
        <x:is>
          <x:t xml:space="preserve">POSTE DE ILUMINACION DE 7 MTS INCLUYE CANASTILLO</x:t>
        </x:is>
      </x:c>
      <x:c r="E2078" t="n">
        <x:v>0</x:v>
      </x:c>
    </x:row>
    <x:row r="2079">
      <x:c r="A2079" t="inlineStr">
        <x:is>
          <x:t xml:space="preserve">PDTFRPPOS039</x:t>
        </x:is>
      </x:c>
      <x:c r="B2079" t="inlineStr">
        <x:is>
          <x:t xml:space="preserve">POSTE PRFV ILUMINACION 5 MTS CON BASE IP55 DIELECTRICO</x:t>
        </x:is>
      </x:c>
      <x:c r="E2079" t="n">
        <x:v>0</x:v>
      </x:c>
    </x:row>
    <x:row r="2080">
      <x:c r="A2080" t="inlineStr">
        <x:is>
          <x:t xml:space="preserve">PDTFRPPOS040</x:t>
        </x:is>
      </x:c>
      <x:c r="B2080" t="inlineStr">
        <x:is>
          <x:t xml:space="preserve">POSTE PRFV ILUMINACION 9 MTS CON BASE BRIDA 62 A 74 MM</x:t>
        </x:is>
      </x:c>
      <x:c r="E2080" t="n">
        <x:v>0</x:v>
      </x:c>
    </x:row>
    <x:row r="2081">
      <x:c r="A2081" t="inlineStr">
        <x:is>
          <x:t xml:space="preserve">PDTFRPPOS041</x:t>
        </x:is>
      </x:c>
      <x:c r="B2081" t="inlineStr">
        <x:is>
          <x:t xml:space="preserve">POS939  POSTE DE ILUMINACION 5 MTS</x:t>
        </x:is>
      </x:c>
      <x:c r="E2081" t="n">
        <x:v>0</x:v>
      </x:c>
    </x:row>
    <x:row r="2082">
      <x:c r="A2082" t="inlineStr">
        <x:is>
          <x:t xml:space="preserve">PDTFRPPOS042</x:t>
        </x:is>
      </x:c>
      <x:c r="B2082" t="inlineStr">
        <x:is>
          <x:t xml:space="preserve">POSTE DE PRFV ILUMINACION 20,5 MTS 350 KGF ENTERRAMIENTO CRUCETA INCORPORADA</x:t>
        </x:is>
      </x:c>
      <x:c r="E2082" t="n">
        <x:v>0</x:v>
      </x:c>
    </x:row>
    <x:row r="2083">
      <x:c r="A2083" t="inlineStr">
        <x:is>
          <x:t xml:space="preserve">PDTFRPPOS043</x:t>
        </x:is>
      </x:c>
      <x:c r="B2083" t="inlineStr">
        <x:is>
          <x:t xml:space="preserve">BRAZO ACOPLE DOBLE RECTANGULAR 1200 X 50 X 50 X 90</x:t>
        </x:is>
      </x:c>
      <x:c r="E2083" t="n">
        <x:v>0</x:v>
      </x:c>
    </x:row>
    <x:row r="2084">
      <x:c r="A2084" t="inlineStr">
        <x:is>
          <x:t xml:space="preserve">PDTFRPPOS044</x:t>
        </x:is>
      </x:c>
      <x:c r="B2084" t="inlineStr">
        <x:is>
          <x:t xml:space="preserve">POSTE PRFV ILUMINACION 08 MTS 90 MM CIMA FPPIB008900</x:t>
        </x:is>
      </x:c>
      <x:c r="E2084" t="n">
        <x:v>0</x:v>
      </x:c>
    </x:row>
    <x:row r="2085">
      <x:c r="A2085" t="inlineStr">
        <x:is>
          <x:t xml:space="preserve">PDTFRPPOS128</x:t>
        </x:is>
      </x:c>
      <x:c r="B2085" t="inlineStr">
        <x:is>
          <x:t xml:space="preserve">FPPANTJ00004</x:t>
        </x:is>
      </x:c>
      <x:c r="E2085" t="n">
        <x:v>0</x:v>
      </x:c>
    </x:row>
    <x:row r="2086">
      <x:c r="A2086" t="inlineStr">
        <x:is>
          <x:t xml:space="preserve">PDTFRPPOS129</x:t>
        </x:is>
      </x:c>
      <x:c r="B2086" t="inlineStr">
        <x:is>
          <x:t xml:space="preserve">BBPBRS600112</x:t>
        </x:is>
      </x:c>
      <x:c r="E2086" t="n">
        <x:v>0</x:v>
      </x:c>
    </x:row>
    <x:row r="2087">
      <x:c r="A2087" t="inlineStr">
        <x:is>
          <x:t xml:space="preserve">PDTFRPPOS130</x:t>
        </x:is>
      </x:c>
      <x:c r="B2087" t="inlineStr">
        <x:is>
          <x:t xml:space="preserve">FPPIB0070063</x:t>
        </x:is>
      </x:c>
      <x:c r="E2087" t="n">
        <x:v>0</x:v>
      </x:c>
    </x:row>
    <x:row r="2088">
      <x:c r="A2088" t="inlineStr">
        <x:is>
          <x:t xml:space="preserve">PDTFRPPOS131</x:t>
        </x:is>
      </x:c>
      <x:c r="B2088" t="inlineStr">
        <x:is>
          <x:t xml:space="preserve">FPBRSM060002</x:t>
        </x:is>
      </x:c>
      <x:c r="E2088" t="n">
        <x:v>0</x:v>
      </x:c>
    </x:row>
    <x:row r="2089">
      <x:c r="A2089" t="inlineStr">
        <x:is>
          <x:t xml:space="preserve">PDTFRPPOS132</x:t>
        </x:is>
      </x:c>
      <x:c r="B2089" t="inlineStr">
        <x:is>
          <x:t xml:space="preserve">FPBRPT100001</x:t>
        </x:is>
      </x:c>
      <x:c r="E2089" t="n">
        <x:v>0</x:v>
      </x:c>
    </x:row>
    <x:row r="2090">
      <x:c r="A2090" t="inlineStr">
        <x:is>
          <x:t xml:space="preserve">PDTFRPPOS133</x:t>
        </x:is>
      </x:c>
      <x:c r="B2090" t="inlineStr">
        <x:is>
          <x:t xml:space="preserve">FPPD10000000</x:t>
        </x:is>
      </x:c>
      <x:c r="E2090" t="n">
        <x:v>0</x:v>
      </x:c>
    </x:row>
    <x:row r="2091">
      <x:c r="A2091" t="inlineStr">
        <x:is>
          <x:t xml:space="preserve">PDTPEE001001</x:t>
        </x:is>
      </x:c>
      <x:c r="B2091" t="inlineStr">
        <x:is>
          <x:t xml:space="preserve">CONJUNTO CAMPANA DE PLOMO ELECTROLITICO  SEGUN PLANO 4500-SC-0009-DER-4000-2201-01/02-18</x:t>
        </x:is>
      </x:c>
      <x:c r="E2091" t="n">
        <x:v>0</x:v>
      </x:c>
    </x:row>
    <x:row r="2092">
      <x:c r="A2092" t="inlineStr">
        <x:is>
          <x:t xml:space="preserve">PDTPEE001002</x:t>
        </x:is>
      </x:c>
      <x:c r="B2092" t="inlineStr">
        <x:is>
          <x:t xml:space="preserve">VARILLA DE APOYO INFERIOR (CON PLOMO) CON DELANTAL /LOWER SUPPORT ROD</x:t>
        </x:is>
      </x:c>
      <x:c r="E2092" t="n">
        <x:v>0</x:v>
      </x:c>
    </x:row>
    <x:row r="2093">
      <x:c r="A2093" t="inlineStr">
        <x:is>
          <x:t xml:space="preserve">PDTPLA001001</x:t>
        </x:is>
      </x:c>
      <x:c r="B2093" t="inlineStr">
        <x:is>
          <x:t xml:space="preserve">CUCHILLO TEFLON PURO QUIBORAX</x:t>
        </x:is>
      </x:c>
      <x:c r="E2093" t="n">
        <x:v>0</x:v>
      </x:c>
    </x:row>
    <x:row r="2094">
      <x:c r="A2094" t="inlineStr">
        <x:is>
          <x:t xml:space="preserve">PDTPLA001002</x:t>
        </x:is>
      </x:c>
      <x:c r="B2094" t="inlineStr">
        <x:is>
          <x:t xml:space="preserve">LANSA CAJA DE REVOSE EN FRP VINILESTER</x:t>
        </x:is>
      </x:c>
      <x:c r="E2094" t="n">
        <x:v>0</x:v>
      </x:c>
    </x:row>
    <x:row r="2095">
      <x:c r="A2095" t="inlineStr">
        <x:is>
          <x:t xml:space="preserve">PDTPLA001003</x:t>
        </x:is>
      </x:c>
      <x:c r="B2095" t="inlineStr">
        <x:is>
          <x:t xml:space="preserve">CAJA DE REVOSE FRP VINILESTER</x:t>
        </x:is>
      </x:c>
      <x:c r="E2095" t="n">
        <x:v>0</x:v>
      </x:c>
    </x:row>
    <x:row r="2096">
      <x:c r="A2096" t="inlineStr">
        <x:is>
          <x:t xml:space="preserve">PDTPLA001004</x:t>
        </x:is>
      </x:c>
      <x:c r="B2096" t="inlineStr">
        <x:is>
          <x:t xml:space="preserve">SOPORTE CADENA MANTOS BLANCOS</x:t>
        </x:is>
      </x:c>
      <x:c r="E2096" t="n">
        <x:v>0</x:v>
      </x:c>
    </x:row>
    <x:row r="2097">
      <x:c r="A2097" t="inlineStr">
        <x:is>
          <x:t xml:space="preserve">PDTPLA001005</x:t>
        </x:is>
      </x:c>
      <x:c r="B2097" t="inlineStr">
        <x:is>
          <x:t xml:space="preserve">SOPRTE CELDA PESAJE LOMAS BAYAS</x:t>
        </x:is>
      </x:c>
      <x:c r="E2097" t="n">
        <x:v>0</x:v>
      </x:c>
    </x:row>
    <x:row r="2098">
      <x:c r="A2098" t="inlineStr">
        <x:is>
          <x:t xml:space="preserve">PDTPLA001006</x:t>
        </x:is>
      </x:c>
      <x:c r="B2098" t="inlineStr">
        <x:is>
          <x:t xml:space="preserve">PLACA  DE FRP PARA PLETINAS DE VENTANAS RESINA VINILESTER 1700MM X4000 MM</x:t>
        </x:is>
      </x:c>
      <x:c r="E2098" t="n">
        <x:v>0</x:v>
      </x:c>
    </x:row>
    <x:row r="2099">
      <x:c r="A2099" t="inlineStr">
        <x:is>
          <x:t xml:space="preserve">PDTPLA001007</x:t>
        </x:is>
      </x:c>
      <x:c r="B2099" t="inlineStr">
        <x:is>
          <x:t xml:space="preserve">DISCO POLIAMIDA TENIENTE</x:t>
        </x:is>
      </x:c>
      <x:c r="E2099" t="n">
        <x:v>0</x:v>
      </x:c>
    </x:row>
    <x:row r="2100">
      <x:c r="A2100" t="inlineStr">
        <x:is>
          <x:t xml:space="preserve">PDTPLA001008</x:t>
        </x:is>
      </x:c>
      <x:c r="B2100" t="inlineStr">
        <x:is>
          <x:t xml:space="preserve">CUCHILLO RASPADOR DE CATODO LOMAS BAYAS TRIXALON</x:t>
        </x:is>
      </x:c>
      <x:c r="E2100" t="n">
        <x:v>0</x:v>
      </x:c>
    </x:row>
    <x:row r="2101">
      <x:c r="A2101" t="inlineStr">
        <x:is>
          <x:t xml:space="preserve">PDTPLA001009</x:t>
        </x:is>
      </x:c>
      <x:c r="B2101" t="inlineStr">
        <x:is>
          <x:t xml:space="preserve">POSTE ALUMBRADO 5 MTS CON BRAZO 5-PTB</x:t>
        </x:is>
      </x:c>
      <x:c r="E2101" t="n">
        <x:v>0</x:v>
      </x:c>
    </x:row>
    <x:row r="2102">
      <x:c r="A2102" t="inlineStr">
        <x:is>
          <x:t xml:space="preserve">PDTPLA001010</x:t>
        </x:is>
      </x:c>
      <x:c r="B2102" t="inlineStr">
        <x:is>
          <x:t xml:space="preserve">POSTE ALUMBRADO 6 MTS CON BRAZO 6-PTB</x:t>
        </x:is>
      </x:c>
      <x:c r="E2102" t="n">
        <x:v>0</x:v>
      </x:c>
    </x:row>
    <x:row r="2103">
      <x:c r="A2103" t="inlineStr">
        <x:is>
          <x:t xml:space="preserve">PDTPLA001011</x:t>
        </x:is>
      </x:c>
      <x:c r="B2103" t="inlineStr">
        <x:is>
          <x:t xml:space="preserve">BASE POSTE FRP</x:t>
        </x:is>
      </x:c>
      <x:c r="E2103" t="n">
        <x:v>0</x:v>
      </x:c>
    </x:row>
    <x:row r="2104">
      <x:c r="A2104" t="inlineStr">
        <x:is>
          <x:t xml:space="preserve">PDTPLA001012</x:t>
        </x:is>
      </x:c>
      <x:c r="B2104" t="inlineStr">
        <x:is>
          <x:t xml:space="preserve">POSTE DISTRIBUCION 10 MTS 10-350P</x:t>
        </x:is>
      </x:c>
      <x:c r="E2104" t="n">
        <x:v>0</x:v>
      </x:c>
    </x:row>
    <x:row r="2105">
      <x:c r="A2105" t="inlineStr">
        <x:is>
          <x:t xml:space="preserve">PDTPLA001013</x:t>
        </x:is>
      </x:c>
      <x:c r="B2105" t="inlineStr">
        <x:is>
          <x:t xml:space="preserve">CRUSETA PARA POSTE FRP 1000</x:t>
        </x:is>
      </x:c>
      <x:c r="E2105" t="n">
        <x:v>0</x:v>
      </x:c>
    </x:row>
    <x:row r="2106">
      <x:c r="A2106" t="inlineStr">
        <x:is>
          <x:t xml:space="preserve">PDTPLA001014</x:t>
        </x:is>
      </x:c>
      <x:c r="B2106" t="inlineStr">
        <x:is>
          <x:t xml:space="preserve">CRUSETA PARA POSTE FRP 1200</x:t>
        </x:is>
      </x:c>
      <x:c r="E2106" t="n">
        <x:v>0</x:v>
      </x:c>
    </x:row>
    <x:row r="2107">
      <x:c r="A2107" t="inlineStr">
        <x:is>
          <x:t xml:space="preserve">PDTPLA001015</x:t>
        </x:is>
      </x:c>
      <x:c r="B2107" t="inlineStr">
        <x:is>
          <x:t xml:space="preserve">POSTE FRP PRUEBA</x:t>
        </x:is>
      </x:c>
      <x:c r="E2107" t="n">
        <x:v>0</x:v>
      </x:c>
    </x:row>
    <x:row r="2108">
      <x:c r="A2108" t="inlineStr">
        <x:is>
          <x:t xml:space="preserve">PDTPLA001016</x:t>
        </x:is>
      </x:c>
      <x:c r="B2108" t="inlineStr">
        <x:is>
          <x:t xml:space="preserve">POSTE DISTRIBUCION 8.7 MTS 8.7-40P</x:t>
        </x:is>
      </x:c>
      <x:c r="E2108" t="n">
        <x:v>0</x:v>
      </x:c>
    </x:row>
    <x:row r="2109">
      <x:c r="A2109" t="inlineStr">
        <x:is>
          <x:t xml:space="preserve">PDTPLA001017</x:t>
        </x:is>
      </x:c>
      <x:c r="B2109" t="inlineStr">
        <x:is>
          <x:t xml:space="preserve">POSTE DISTRIBUCION 10 MTS 10-35P SECCIONADO</x:t>
        </x:is>
      </x:c>
      <x:c r="E2109" t="n">
        <x:v>0</x:v>
      </x:c>
    </x:row>
    <x:row r="2110">
      <x:c r="A2110" t="inlineStr">
        <x:is>
          <x:t xml:space="preserve">PDTPLA001018</x:t>
        </x:is>
      </x:c>
      <x:c r="B2110" t="inlineStr">
        <x:is>
          <x:t xml:space="preserve">POSTE ALUMBRADO 5 MTS SIN BRAZO 5-PT</x:t>
        </x:is>
      </x:c>
      <x:c r="E2110" t="n">
        <x:v>0</x:v>
      </x:c>
    </x:row>
    <x:row r="2111">
      <x:c r="A2111" t="inlineStr">
        <x:is>
          <x:t xml:space="preserve">PDTPLA001019</x:t>
        </x:is>
      </x:c>
      <x:c r="B2111" t="inlineStr">
        <x:is>
          <x:t xml:space="preserve">POSTE ALUMBRADO 6 MTS SIN BRAZO 6-PT</x:t>
        </x:is>
      </x:c>
      <x:c r="E2111" t="n">
        <x:v>0</x:v>
      </x:c>
    </x:row>
    <x:row r="2112">
      <x:c r="A2112" t="inlineStr">
        <x:is>
          <x:t xml:space="preserve">PDTPLA001020</x:t>
        </x:is>
      </x:c>
      <x:c r="B2112" t="inlineStr">
        <x:is>
          <x:t xml:space="preserve">SOPORTE CADENA UHMW 76X57X46X33 EMMB 4052098</x:t>
        </x:is>
      </x:c>
      <x:c r="E2112" t="n">
        <x:v>0</x:v>
      </x:c>
    </x:row>
    <x:row r="2113">
      <x:c r="A2113" t="inlineStr">
        <x:is>
          <x:t xml:space="preserve">PDTPLA001021</x:t>
        </x:is>
      </x:c>
      <x:c r="B2113" t="inlineStr">
        <x:is>
          <x:t xml:space="preserve">SOPORTE CELDA PESAJE MATERIAL TRIXALON INCLUYE BUJE METALICO COD.351775</x:t>
        </x:is>
      </x:c>
      <x:c r="E2113" t="n">
        <x:v>0</x:v>
      </x:c>
    </x:row>
    <x:row r="2114">
      <x:c r="A2114" t="inlineStr">
        <x:is>
          <x:t xml:space="preserve">PDTPLA001022</x:t>
        </x:is>
      </x:c>
      <x:c r="B2114" t="inlineStr">
        <x:is>
          <x:t xml:space="preserve">RING JOPY J2756 CODIGO 1274595 ( ASIENTO VALVULA CHUQUICAMATA)</x:t>
        </x:is>
      </x:c>
      <x:c r="E2114" t="n">
        <x:v>0</x:v>
      </x:c>
    </x:row>
    <x:row r="2115">
      <x:c r="A2115" t="inlineStr">
        <x:is>
          <x:t xml:space="preserve">PDTPLA001023</x:t>
        </x:is>
      </x:c>
      <x:c r="B2115" t="inlineStr">
        <x:is>
          <x:t xml:space="preserve">DISCO DIAMANTE (100MM X 15MM PTFE)</x:t>
        </x:is>
      </x:c>
      <x:c r="E2115" t="n">
        <x:v>0</x:v>
      </x:c>
    </x:row>
    <x:row r="2116">
      <x:c r="A2116" t="inlineStr">
        <x:is>
          <x:t xml:space="preserve">PDTPLA001024</x:t>
        </x:is>
      </x:c>
      <x:c r="B2116" t="inlineStr">
        <x:is>
          <x:t xml:space="preserve">PIEZA NYLON SEGUIN PLANO G3577-T11-8900</x:t>
        </x:is>
      </x:c>
      <x:c r="E2116" t="n">
        <x:v>0</x:v>
      </x:c>
    </x:row>
    <x:row r="2117">
      <x:c r="A2117" t="inlineStr">
        <x:is>
          <x:t xml:space="preserve">PDTPLA001025</x:t>
        </x:is>
      </x:c>
      <x:c r="B2117" t="inlineStr">
        <x:is>
          <x:t xml:space="preserve">CORTINA LIMPIEZA PLANO CMP A-63-092 REV-4 MATERIAL PVC CODIGO 50125105</x:t>
        </x:is>
      </x:c>
      <x:c r="E2117" t="n">
        <x:v>0</x:v>
      </x:c>
    </x:row>
    <x:row r="2118">
      <x:c r="A2118" t="inlineStr">
        <x:is>
          <x:t xml:space="preserve">PDTPLA001026</x:t>
        </x:is>
      </x:c>
      <x:c r="B2118" t="inlineStr">
        <x:is>
          <x:t xml:space="preserve">JUEGO HOJAS RASPADOR (8 HOJAS POR JUEGO)PLANO PCONO20600 CODIGO 11012195</x:t>
        </x:is>
      </x:c>
      <x:c r="E2118" t="n">
        <x:v>0</x:v>
      </x:c>
    </x:row>
    <x:row r="2119">
      <x:c r="A2119" t="inlineStr">
        <x:is>
          <x:t xml:space="preserve">PDTPLA001027</x:t>
        </x:is>
      </x:c>
      <x:c r="B2119" t="inlineStr">
        <x:is>
          <x:t xml:space="preserve">CUCHILLO RASPADOR PARA MAQUINA DESPEGADORA DE CATODOS S/PLANO(DIVISIO RADOMIRO TOMIC) MUESTRA</x:t>
        </x:is>
      </x:c>
      <x:c r="E2119" t="n">
        <x:v>0</x:v>
      </x:c>
    </x:row>
    <x:row r="2120">
      <x:c r="A2120" t="inlineStr">
        <x:is>
          <x:t xml:space="preserve">PDTPLA001028</x:t>
        </x:is>
      </x:c>
      <x:c r="B2120" t="inlineStr">
        <x:is>
          <x:t xml:space="preserve">FUELLE TEFLON PARA FILTRO SUNDS DIAM.90 MM S/PLANO 88290008 CMPC</x:t>
        </x:is>
      </x:c>
      <x:c r="E2120" t="n">
        <x:v>0</x:v>
      </x:c>
    </x:row>
    <x:row r="2121">
      <x:c r="A2121" t="inlineStr">
        <x:is>
          <x:t xml:space="preserve">PDTPLA001029</x:t>
        </x:is>
      </x:c>
      <x:c r="B2121" t="inlineStr">
        <x:is>
          <x:t xml:space="preserve">KIT PLACA INFERIOR FILTRO SUNDS MATERIAL ECTFE CODIGO 88290050</x:t>
        </x:is>
      </x:c>
      <x:c r="E2121" t="n">
        <x:v>2</x:v>
      </x:c>
    </x:row>
    <x:row r="2122">
      <x:c r="A2122" t="inlineStr">
        <x:is>
          <x:t xml:space="preserve">PDTPLA001030</x:t>
        </x:is>
      </x:c>
      <x:c r="B2122" t="inlineStr">
        <x:is>
          <x:t xml:space="preserve">VACUM BOX SEAL STRIP 4034X180X50 MM UHME-PE CERAM-P</x:t>
        </x:is>
      </x:c>
      <x:c r="E2122" t="n">
        <x:v>0</x:v>
      </x:c>
    </x:row>
    <x:row r="2123">
      <x:c r="A2123" t="inlineStr">
        <x:is>
          <x:t xml:space="preserve">PDTPLA001031</x:t>
        </x:is>
      </x:c>
      <x:c r="B2123" t="inlineStr">
        <x:is>
          <x:t xml:space="preserve">JUEGO HOJA RASPADOR TRIXALON (6 TIPOS DE HOJA) CODIGO 11012194 PCONO20610 PELAMBRES</x:t>
        </x:is>
      </x:c>
      <x:c r="E2123" t="n">
        <x:v>0</x:v>
      </x:c>
    </x:row>
    <x:row r="2124">
      <x:c r="A2124" t="inlineStr">
        <x:is>
          <x:t xml:space="preserve">PDTPLA001032</x:t>
        </x:is>
      </x:c>
      <x:c r="B2124" t="inlineStr">
        <x:is>
          <x:t xml:space="preserve">BUJE TIPO CAMISA VASTAGO ACCIONAMIENTO SENSOR DE POSICION</x:t>
        </x:is>
      </x:c>
      <x:c r="E2124" t="n">
        <x:v>0</x:v>
      </x:c>
    </x:row>
    <x:row r="2125">
      <x:c r="A2125" t="inlineStr">
        <x:is>
          <x:t xml:space="preserve">PDTPLA001033</x:t>
        </x:is>
      </x:c>
      <x:c r="B2125" t="inlineStr">
        <x:is>
          <x:t xml:space="preserve">BUJE DI 45MM , DE 65MM ,LG 55 MM MAT,PVDF ESP. 10 MM PESTAÑA 4 MM CILINDROP PEINETA</x:t>
        </x:is>
      </x:c>
      <x:c r="E2125" t="n">
        <x:v>0</x:v>
      </x:c>
    </x:row>
    <x:row r="2126">
      <x:c r="A2126" t="inlineStr">
        <x:is>
          <x:t xml:space="preserve">PDTPLA001034</x:t>
        </x:is>
      </x:c>
      <x:c r="B2126" t="inlineStr">
        <x:is>
          <x:t xml:space="preserve">NIPLE3 PARA VALARGAMIENTO EN TOBERA FABRICADO EN PP DIAM 58 MM LGO 60 MM S/PLANO</x:t>
        </x:is>
      </x:c>
      <x:c r="E2126" t="n">
        <x:v>0</x:v>
      </x:c>
    </x:row>
    <x:row r="2127">
      <x:c r="A2127" t="inlineStr">
        <x:is>
          <x:t xml:space="preserve">PDTPLA001035</x:t>
        </x:is>
      </x:c>
      <x:c r="B2127" t="inlineStr">
        <x:is>
          <x:t xml:space="preserve">FUELLE EN TEFLON PURO CON FLANGE DE AC.INOX 316 SEGUN PLANO 200/04-5328 CC-88290029</x:t>
        </x:is>
      </x:c>
      <x:c r="E2127" t="n">
        <x:v>0</x:v>
      </x:c>
    </x:row>
    <x:row r="2128">
      <x:c r="A2128" t="inlineStr">
        <x:is>
          <x:t xml:space="preserve">PDTPLA001036</x:t>
        </x:is>
      </x:c>
      <x:c r="B2128" t="inlineStr">
        <x:is>
          <x:t xml:space="preserve">550 MCR PISTA  RODAMIENO EXTERIOR P/DISCO ROTATORIO DIAM.EXT.1166 MM DIAM.INT.1110 MM PL A2-MV-REV.0</x:t>
        </x:is>
      </x:c>
      <x:c r="E2128" t="n">
        <x:v>0</x:v>
      </x:c>
    </x:row>
    <x:row r="2129">
      <x:c r="A2129" t="inlineStr">
        <x:is>
          <x:t xml:space="preserve">PDTPLA001037</x:t>
        </x:is>
      </x:c>
      <x:c r="B2129" t="inlineStr">
        <x:is>
          <x:t xml:space="preserve">550 MCR PISTA  RODAMIENO INT. P/DISCO ROTATORIO DIAM.EXT.916 MM DIAM.INT.860 MM PL A2-MV-6192-4 R.0</x:t>
        </x:is>
      </x:c>
      <x:c r="E2129" t="n">
        <x:v>0</x:v>
      </x:c>
    </x:row>
    <x:row r="2130">
      <x:c r="A2130" t="inlineStr">
        <x:is>
          <x:t xml:space="preserve">PDTPLA001038</x:t>
        </x:is>
      </x:c>
      <x:c r="B2130" t="inlineStr">
        <x:is>
          <x:t xml:space="preserve">MIRILLA RECTANGULAR SEGUN PLANO 2019-025-01-21 MATERIAL ACRILICO DIM.140 X 415 X 50 MM</x:t>
        </x:is>
      </x:c>
      <x:c r="E2130" t="n">
        <x:v>0</x:v>
      </x:c>
    </x:row>
    <x:row r="2131">
      <x:c r="A2131" t="inlineStr">
        <x:is>
          <x:t xml:space="preserve">PDTPLA001039</x:t>
        </x:is>
      </x:c>
      <x:c r="B2131" t="inlineStr">
        <x:is>
          <x:t xml:space="preserve">MIRILLA CIRCUNFERENCIAL  SEGUN PLANO 2019-025-01-22 MATERIAL ACRILICO DIM.140 X 50 MM</x:t>
        </x:is>
      </x:c>
      <x:c r="E2131" t="n">
        <x:v>0</x:v>
      </x:c>
    </x:row>
    <x:row r="2132">
      <x:c r="A2132" t="inlineStr">
        <x:is>
          <x:t xml:space="preserve">PDTPLA001040</x:t>
        </x:is>
      </x:c>
      <x:c r="B2132" t="inlineStr">
        <x:is>
          <x:t xml:space="preserve">4005000 SOPORTE PLASTICO TRANSFERIDOR 60° PARA MAQUINA DESPAGADORA DE CATODOS 435669</x:t>
        </x:is>
      </x:c>
      <x:c r="E2132" t="n">
        <x:v>0</x:v>
      </x:c>
    </x:row>
    <x:row r="2133">
      <x:c r="A2133" t="inlineStr">
        <x:is>
          <x:t xml:space="preserve">PDTPLA001041</x:t>
        </x:is>
      </x:c>
      <x:c r="B2133" t="inlineStr">
        <x:is>
          <x:t xml:space="preserve">4052097 SOPORTE CADENA UHMW 76X57X46X43</x:t>
        </x:is>
      </x:c>
      <x:c r="E2133" t="n">
        <x:v>0</x:v>
      </x:c>
    </x:row>
    <x:row r="2134">
      <x:c r="A2134" t="inlineStr">
        <x:is>
          <x:t xml:space="preserve">PDTPLA001042</x:t>
        </x:is>
      </x:c>
      <x:c r="B2134" t="inlineStr">
        <x:is>
          <x:t xml:space="preserve">WEAR PLATE CERAM-P 330X250X50 MM S/PLANO</x:t>
        </x:is>
      </x:c>
      <x:c r="E2134" t="n">
        <x:v>0</x:v>
      </x:c>
    </x:row>
    <x:row r="2135">
      <x:c r="A2135" t="inlineStr">
        <x:is>
          <x:t xml:space="preserve">PDTPLA001043</x:t>
        </x:is>
      </x:c>
      <x:c r="B2135" t="inlineStr">
        <x:is>
          <x:t xml:space="preserve">TUBO FILTRADO CON 6 AGUJEROS (TUBO PEAD) S/PLANO CPM # C-71-348 REV-1 CODIGO 50122684</x:t>
        </x:is>
      </x:c>
      <x:c r="E2135" t="n">
        <x:v>0</x:v>
      </x:c>
    </x:row>
    <x:row r="2136">
      <x:c r="A2136" t="inlineStr">
        <x:is>
          <x:t xml:space="preserve">PDTPLA001044</x:t>
        </x:is>
      </x:c>
      <x:c r="B2136" t="inlineStr">
        <x:is>
          <x:t xml:space="preserve">1137858 SUJETADOR ESTACION DE MARTILLEO MATERIAL TRIXALON CODIGO 305391</x:t>
        </x:is>
      </x:c>
      <x:c r="E2136" t="n">
        <x:v>14</x:v>
      </x:c>
    </x:row>
    <x:row r="2137">
      <x:c r="A2137" t="inlineStr">
        <x:is>
          <x:t xml:space="preserve">PDTPLA001045</x:t>
        </x:is>
      </x:c>
      <x:c r="B2137" t="inlineStr">
        <x:is>
          <x:t xml:space="preserve">BOQUILLA ESPECIAL PARA ACOPLE DE MANGUERA DE 2 PLG X 225 MM EN POLIPROPILENO</x:t>
        </x:is>
      </x:c>
      <x:c r="E2137" t="n">
        <x:v>0</x:v>
      </x:c>
    </x:row>
    <x:row r="2138">
      <x:c r="A2138" t="inlineStr">
        <x:is>
          <x:t xml:space="preserve">PDTPLA001046</x:t>
        </x:is>
      </x:c>
      <x:c r="B2138" t="inlineStr">
        <x:is>
          <x:t xml:space="preserve">TUBO PORTA BOQUILLA FOGGINS DIAM.32 MM X 1760 MM POLIPROPILENO</x:t>
        </x:is>
      </x:c>
      <x:c r="E2138" t="n">
        <x:v>0</x:v>
      </x:c>
    </x:row>
    <x:row r="2139">
      <x:c r="A2139" t="inlineStr">
        <x:is>
          <x:t xml:space="preserve">PDTPLA001047</x:t>
        </x:is>
      </x:c>
      <x:c r="B2139" t="inlineStr">
        <x:is>
          <x:t xml:space="preserve">BOQUILLA FOGGING CON SALIDA 120° DIMENSIONES DIAM 21 X 32 MM POLIPROPILENO</x:t>
        </x:is>
      </x:c>
      <x:c r="E2139" t="n">
        <x:v>0</x:v>
      </x:c>
    </x:row>
    <x:row r="2140">
      <x:c r="A2140" t="inlineStr">
        <x:is>
          <x:t xml:space="preserve">PDTPLA001048</x:t>
        </x:is>
      </x:c>
      <x:c r="B2140" t="inlineStr">
        <x:is>
          <x:t xml:space="preserve">BOQUILLA PULVERISACION SPRAY STRIPPER  EN PVDF  INCLUYE ADAPTADOR</x:t>
        </x:is>
      </x:c>
      <x:c r="E2140" t="n">
        <x:v>0</x:v>
      </x:c>
    </x:row>
    <x:row r="2141">
      <x:c r="A2141" t="inlineStr">
        <x:is>
          <x:t xml:space="preserve">PDTPLA001049</x:t>
        </x:is>
      </x:c>
      <x:c r="B2141" t="inlineStr">
        <x:is>
          <x:t xml:space="preserve">JUNTA EXPANSION DIAM 3  PLG FLANGEADA NORMA  ANSI</x:t>
        </x:is>
      </x:c>
      <x:c r="E2141" t="n">
        <x:v>0</x:v>
      </x:c>
    </x:row>
    <x:row r="2142">
      <x:c r="A2142" t="inlineStr">
        <x:is>
          <x:t xml:space="preserve">PDTPLA001050</x:t>
        </x:is>
      </x:c>
      <x:c r="B2142" t="inlineStr">
        <x:is>
          <x:t xml:space="preserve">752947 ESTANQUE CILINDRICO VERTICAL PARA AGUA EN HDPE 20.000 LTS VENTEO PVC</x:t>
        </x:is>
      </x:c>
      <x:c r="E2142" t="n">
        <x:v>0</x:v>
      </x:c>
    </x:row>
    <x:row r="2143">
      <x:c r="A2143" t="inlineStr">
        <x:is>
          <x:t xml:space="preserve">PDTPLA001051</x:t>
        </x:is>
      </x:c>
      <x:c r="B2143" t="inlineStr">
        <x:is>
          <x:t xml:space="preserve">CHIMENEA DIAMETRO 200 MM X 10000 MM EN POLIPROPILENO S/PLANO (ENERCOM)</x:t>
        </x:is>
      </x:c>
      <x:c r="E2143" t="n">
        <x:v>0</x:v>
      </x:c>
    </x:row>
    <x:row r="2144">
      <x:c r="A2144" t="inlineStr">
        <x:is>
          <x:t xml:space="preserve">PDTPLA001052</x:t>
        </x:is>
      </x:c>
      <x:c r="B2144" t="inlineStr">
        <x:is>
          <x:t xml:space="preserve">37714170 REDUCCION CONCENTRICA 1.1/2 X 1 PLG AC CARB REVESTIDO PTFE 2,5 MM NORMA ANSI</x:t>
        </x:is>
      </x:c>
      <x:c r="E2144" t="n">
        <x:v>0</x:v>
      </x:c>
    </x:row>
    <x:row r="2145">
      <x:c r="A2145" t="inlineStr">
        <x:is>
          <x:t xml:space="preserve">PDTPLA001053</x:t>
        </x:is>
      </x:c>
      <x:c r="B2145" t="inlineStr">
        <x:is>
          <x:t xml:space="preserve">RODAMIENTO AXIAL INTERIOR 450MCR A4VP1X1829-7P60</x:t>
        </x:is>
      </x:c>
      <x:c r="E2145" t="n">
        <x:v>0</x:v>
      </x:c>
    </x:row>
    <x:row r="2146">
      <x:c r="A2146" t="inlineStr">
        <x:is>
          <x:t xml:space="preserve">PDTPLA001054</x:t>
        </x:is>
      </x:c>
      <x:c r="B2146" t="inlineStr">
        <x:is>
          <x:t xml:space="preserve">RODAMIENTO AXIAL EXTERIOR 450MCR A4VP1X1829-4P60</x:t>
        </x:is>
      </x:c>
      <x:c r="E2146" t="n">
        <x:v>0</x:v>
      </x:c>
    </x:row>
    <x:row r="2147">
      <x:c r="A2147" t="inlineStr">
        <x:is>
          <x:t xml:space="preserve">PDTPLA001055</x:t>
        </x:is>
      </x:c>
      <x:c r="B2147" t="inlineStr">
        <x:is>
          <x:t xml:space="preserve">RODAMIENTO AXIAL INTERIOR 450MCR A4VP1X1829-7P60 (REPOS)</x:t>
        </x:is>
      </x:c>
      <x:c r="E2147" t="n">
        <x:v>0</x:v>
      </x:c>
    </x:row>
    <x:row r="2148">
      <x:c r="A2148" t="inlineStr">
        <x:is>
          <x:t xml:space="preserve">PDTPLA001056</x:t>
        </x:is>
      </x:c>
      <x:c r="B2148" t="inlineStr">
        <x:is>
          <x:t xml:space="preserve">SEAL STRIP 3034X172X50 S/PLANO 55FTV-SK01 RIEL DOBLE</x:t>
        </x:is>
      </x:c>
      <x:c r="E2148" t="n">
        <x:v>0</x:v>
      </x:c>
    </x:row>
    <x:row r="2149">
      <x:c r="A2149" t="inlineStr">
        <x:is>
          <x:t xml:space="preserve">PDTPLA001057</x:t>
        </x:is>
      </x:c>
      <x:c r="B2149" t="inlineStr">
        <x:is>
          <x:t xml:space="preserve">PIPING DE CONEXION ESTACION DE ACIDULADO EN HDPE PE-100 SEGUN PLANO</x:t>
        </x:is>
      </x:c>
      <x:c r="E2149" t="n">
        <x:v>0</x:v>
      </x:c>
    </x:row>
    <x:row r="2150">
      <x:c r="A2150" t="inlineStr">
        <x:is>
          <x:t xml:space="preserve">PDTPLA001058</x:t>
        </x:is>
      </x:c>
      <x:c r="B2150" t="inlineStr">
        <x:is>
          <x:t xml:space="preserve">CARRETE EN POLIPROPILENO 1800MM DIAMETRO X 450 MM  PPT074PPO002</x:t>
        </x:is>
      </x:c>
      <x:c r="E2150" t="n">
        <x:v>0</x:v>
      </x:c>
    </x:row>
    <x:row r="2151">
      <x:c r="A2151" t="inlineStr">
        <x:is>
          <x:t xml:space="preserve">PDTPLA001059</x:t>
        </x:is>
      </x:c>
      <x:c r="B2151" t="inlineStr">
        <x:is>
          <x:t xml:space="preserve">BOQUILLA ATOMIZADOR PRINCIPAL LAVADOR FLUJO RADIAL UHMW BOQ.248X316 MM DIAM</x:t>
        </x:is>
      </x:c>
      <x:c r="E2151" t="n">
        <x:v>0</x:v>
      </x:c>
    </x:row>
    <x:row r="2152">
      <x:c r="A2152" t="inlineStr">
        <x:is>
          <x:t xml:space="preserve">PDTPLA001060</x:t>
        </x:is>
      </x:c>
      <x:c r="B2152" t="inlineStr">
        <x:is>
          <x:t xml:space="preserve">PPT090PPO023 TOBERA EN PP DIAM 32 MM  CHAGRES</x:t>
        </x:is>
      </x:c>
      <x:c r="E2152" t="n">
        <x:v>0</x:v>
      </x:c>
    </x:row>
    <x:row r="2153">
      <x:c r="A2153" t="inlineStr">
        <x:is>
          <x:t xml:space="preserve">PDTPLA001061</x:t>
        </x:is>
      </x:c>
      <x:c r="B2153" t="inlineStr">
        <x:is>
          <x:t xml:space="preserve">RECEPTACULO DUCHAS DE EMERGENCIA HDPE 1100 X 1000 X 80 MM TTE</x:t>
        </x:is>
      </x:c>
      <x:c r="E2153" t="n">
        <x:v>0</x:v>
      </x:c>
    </x:row>
    <x:row r="2154">
      <x:c r="A2154" t="inlineStr">
        <x:is>
          <x:t xml:space="preserve">PDTPLA001062</x:t>
        </x:is>
      </x:c>
      <x:c r="B2154" t="inlineStr">
        <x:is>
          <x:t xml:space="preserve">FABFRICACION DE MANTO DIAM.300 MM PP 6 MM MAT.CLIENTE</x:t>
        </x:is>
      </x:c>
      <x:c r="E2154" t="n">
        <x:v>0</x:v>
      </x:c>
    </x:row>
    <x:row r="2155">
      <x:c r="A2155" t="inlineStr">
        <x:is>
          <x:t xml:space="preserve">PDTPLA001063</x:t>
        </x:is>
      </x:c>
      <x:c r="B2155" t="inlineStr">
        <x:is>
          <x:t xml:space="preserve">INYECTOR 20 X 1835 PP PARA PRECIPITADOR M102 4197068</x:t>
        </x:is>
      </x:c>
      <x:c r="E2155" t="n">
        <x:v>0</x:v>
      </x:c>
    </x:row>
    <x:row r="2156">
      <x:c r="A2156" t="inlineStr">
        <x:is>
          <x:t xml:space="preserve">PDTPLA001064</x:t>
        </x:is>
      </x:c>
      <x:c r="B2156" t="inlineStr">
        <x:is>
          <x:t xml:space="preserve">4201080 CONJUNTO TOBERA PL PPT090PPO018-DWG-000</x:t>
        </x:is>
      </x:c>
      <x:c r="E2156" t="n">
        <x:v>0</x:v>
      </x:c>
    </x:row>
    <x:row r="2157">
      <x:c r="A2157" t="inlineStr">
        <x:is>
          <x:t xml:space="preserve">PDTPLA001065</x:t>
        </x:is>
      </x:c>
      <x:c r="B2157" t="inlineStr">
        <x:is>
          <x:t xml:space="preserve">D-CLD1507-THK-101 BLOQUE GUIA COLUMNA CENTRAL -THK 50 200X145X68</x:t>
        </x:is>
      </x:c>
      <x:c r="E2157" t="n">
        <x:v>0</x:v>
      </x:c>
    </x:row>
    <x:row r="2158">
      <x:c r="A2158" t="inlineStr">
        <x:is>
          <x:t xml:space="preserve">PDTPLA001066</x:t>
        </x:is>
      </x:c>
      <x:c r="B2158" t="inlineStr">
        <x:is>
          <x:t xml:space="preserve">TOBERA REBOSE PP DN40 PL.0700-07-46PL-00035  PPT090PPO025</x:t>
        </x:is>
      </x:c>
      <x:c r="E2158" t="n">
        <x:v>0</x:v>
      </x:c>
    </x:row>
    <x:row r="2159">
      <x:c r="A2159" t="inlineStr">
        <x:is>
          <x:t xml:space="preserve">PDTPLA001067</x:t>
        </x:is>
      </x:c>
      <x:c r="B2159" t="inlineStr">
        <x:is>
          <x:t xml:space="preserve">SOPORTE PARA TUBERIA INTERIOR DE CELDAS HDPE PL.EMMB-DWG-450-PD-1014</x:t>
        </x:is>
      </x:c>
      <x:c r="E2159" t="n">
        <x:v>0</x:v>
      </x:c>
    </x:row>
    <x:row r="2160">
      <x:c r="A2160" t="inlineStr">
        <x:is>
          <x:t xml:space="preserve">PDTPLA001068</x:t>
        </x:is>
      </x:c>
      <x:c r="B2160" t="inlineStr">
        <x:is>
          <x:t xml:space="preserve">FABRICACION DE DUCTO DI 1219 MM ECTFE S/MP</x:t>
        </x:is>
      </x:c>
      <x:c r="E2160" t="n">
        <x:v>0</x:v>
      </x:c>
    </x:row>
    <x:row r="2161">
      <x:c r="A2161" t="inlineStr">
        <x:is>
          <x:t xml:space="preserve">PDTPLA001069</x:t>
        </x:is>
      </x:c>
      <x:c r="B2161" t="inlineStr">
        <x:is>
          <x:t xml:space="preserve">116882 BUJE PORTARODAMIENTO PL.18-16-006/98 TRIXALON</x:t>
        </x:is>
      </x:c>
      <x:c r="E2161" t="n">
        <x:v>0</x:v>
      </x:c>
    </x:row>
    <x:row r="2162">
      <x:c r="A2162" t="inlineStr">
        <x:is>
          <x:t xml:space="preserve">PDTPLA001070</x:t>
        </x:is>
      </x:c>
      <x:c r="B2162" t="inlineStr">
        <x:is>
          <x:t xml:space="preserve">FABRICACION DUCTO DIAM 1380 ECTFE MAT.CLIENTE</x:t>
        </x:is>
      </x:c>
      <x:c r="E2162" t="n">
        <x:v>0</x:v>
      </x:c>
    </x:row>
    <x:row r="2163">
      <x:c r="A2163" t="inlineStr">
        <x:is>
          <x:t xml:space="preserve">PDTPLA001071</x:t>
        </x:is>
      </x:c>
      <x:c r="B2163" t="inlineStr">
        <x:is>
          <x:t xml:space="preserve">SEAL STRIP SEGMENT HBF-FH-001  ( PPT090CEP0059</x:t>
        </x:is>
      </x:c>
      <x:c r="E2163" t="n">
        <x:v>0</x:v>
      </x:c>
    </x:row>
    <x:row r="2164">
      <x:c r="A2164" t="inlineStr">
        <x:is>
          <x:t xml:space="preserve">PDTPLA001072</x:t>
        </x:is>
      </x:c>
      <x:c r="B2164" t="inlineStr">
        <x:is>
          <x:t xml:space="preserve">SEAL STRIP END PAD .  FEED SIDE HBF-FH-002 (PPT090CEP006)</x:t>
        </x:is>
      </x:c>
      <x:c r="E2164" t="n">
        <x:v>0</x:v>
      </x:c>
    </x:row>
    <x:row r="2165">
      <x:c r="A2165" t="inlineStr">
        <x:is>
          <x:t xml:space="preserve">PDTPLA001073</x:t>
        </x:is>
      </x:c>
      <x:c r="B2165" t="inlineStr">
        <x:is>
          <x:t xml:space="preserve">SEAL STRIP END PAD DISCHARGE SIDE HBF-FH-003 (PPT090CEP007)</x:t>
        </x:is>
      </x:c>
      <x:c r="E2165" t="n">
        <x:v>0</x:v>
      </x:c>
    </x:row>
    <x:row r="2166">
      <x:c r="A2166" t="inlineStr">
        <x:is>
          <x:t xml:space="preserve">PDTPLA001074</x:t>
        </x:is>
      </x:c>
      <x:c r="B2166" t="inlineStr">
        <x:is>
          <x:t xml:space="preserve">SEAL STRIP HALF MOON SLIDE HBF-FX-001(PPT090CEP008)</x:t>
        </x:is>
      </x:c>
      <x:c r="E2166" t="n">
        <x:v>1</x:v>
      </x:c>
    </x:row>
    <x:row r="2167">
      <x:c r="A2167" t="inlineStr">
        <x:is>
          <x:t xml:space="preserve">PDTPLA001075</x:t>
        </x:is>
      </x:c>
      <x:c r="B2167" t="inlineStr">
        <x:is>
          <x:t xml:space="preserve">ENSAYO TRACCION  MUESTRAS DE PE</x:t>
        </x:is>
      </x:c>
      <x:c r="E2167" t="n">
        <x:v>1</x:v>
      </x:c>
    </x:row>
    <x:row r="2168">
      <x:c r="A2168" t="inlineStr">
        <x:is>
          <x:t xml:space="preserve">PDTPLA001076</x:t>
        </x:is>
      </x:c>
      <x:c r="B2168" t="inlineStr">
        <x:is>
          <x:t xml:space="preserve">ENSAYO TRACCION MUESTRA DE FRP</x:t>
        </x:is>
      </x:c>
      <x:c r="E2168" t="n">
        <x:v>1</x:v>
      </x:c>
    </x:row>
    <x:row r="2169">
      <x:c r="A2169" t="inlineStr">
        <x:is>
          <x:t xml:space="preserve">PDTPLA001077</x:t>
        </x:is>
      </x:c>
      <x:c r="B2169" t="inlineStr">
        <x:is>
          <x:t xml:space="preserve">CORTE DE PROBETAS DE FRP</x:t>
        </x:is>
      </x:c>
      <x:c r="E2169" t="n">
        <x:v>0</x:v>
      </x:c>
    </x:row>
    <x:row r="2170">
      <x:c r="A2170" t="inlineStr">
        <x:is>
          <x:t xml:space="preserve">PDTPLA001078</x:t>
        </x:is>
      </x:c>
      <x:c r="B2170" t="inlineStr">
        <x:is>
          <x:t xml:space="preserve">116815 GOLILLA PLANA EMPUJE ARANDELA AUTOJET PPT090TFV006</x:t>
        </x:is>
      </x:c>
      <x:c r="E2170" t="n">
        <x:v>0</x:v>
      </x:c>
    </x:row>
    <x:row r="2171">
      <x:c r="A2171" t="inlineStr">
        <x:is>
          <x:t xml:space="preserve">PDTPLA001079</x:t>
        </x:is>
      </x:c>
      <x:c r="B2171" t="inlineStr">
        <x:is>
          <x:t xml:space="preserve">116826 ANILLO RETANCION V 11-810-15 PPT090TFV005</x:t>
        </x:is>
      </x:c>
      <x:c r="E2171" t="n">
        <x:v>0</x:v>
      </x:c>
    </x:row>
    <x:row r="2172">
      <x:c r="A2172" t="inlineStr">
        <x:is>
          <x:t xml:space="preserve">PDTPLA001080</x:t>
        </x:is>
      </x:c>
      <x:c r="B2172" t="inlineStr">
        <x:is>
          <x:t xml:space="preserve">116800 JUEGO RODAMIENTO TENSOR RANA INT AUTOJET 11-816-17</x:t>
        </x:is>
      </x:c>
      <x:c r="E2172" t="n">
        <x:v>22</x:v>
      </x:c>
    </x:row>
    <x:row r="2173">
      <x:c r="A2173" t="inlineStr">
        <x:is>
          <x:t xml:space="preserve">PDTPLA001081</x:t>
        </x:is>
      </x:c>
      <x:c r="B2173" t="inlineStr">
        <x:is>
          <x:t xml:space="preserve">116801 RODAMIENTO AUTOJET 11-810-23</x:t>
        </x:is>
      </x:c>
      <x:c r="E2173" t="n">
        <x:v>0</x:v>
      </x:c>
    </x:row>
    <x:row r="2174">
      <x:c r="A2174" t="inlineStr">
        <x:is>
          <x:t xml:space="preserve">PDTPLA001082</x:t>
        </x:is>
      </x:c>
      <x:c r="B2174" t="inlineStr">
        <x:is>
          <x:t xml:space="preserve">116802 RODAMIENTO EXTERIOR AUTOJET 11-810-22</x:t>
        </x:is>
      </x:c>
      <x:c r="E2174" t="n">
        <x:v>0</x:v>
      </x:c>
    </x:row>
    <x:row r="2175">
      <x:c r="A2175" t="inlineStr">
        <x:is>
          <x:t xml:space="preserve">PDTPLA001083</x:t>
        </x:is>
      </x:c>
      <x:c r="B2175" t="inlineStr">
        <x:is>
          <x:t xml:space="preserve">116843 JUEGO RODAMIENTO TENSOR RANA  EXT AUTOJET 11-816-17A</x:t>
        </x:is>
      </x:c>
      <x:c r="E2175" t="n">
        <x:v>0</x:v>
      </x:c>
    </x:row>
    <x:row r="2176">
      <x:c r="A2176" t="inlineStr">
        <x:is>
          <x:t xml:space="preserve">PDTPLA001084</x:t>
        </x:is>
      </x:c>
      <x:c r="B2176" t="inlineStr">
        <x:is>
          <x:t xml:space="preserve">CARRETE DIA 450 X 6000 MM LGO PN20 PE100 C/STUB EMB Y FLANGE AC.INOX 316</x:t>
        </x:is>
      </x:c>
      <x:c r="E2176" t="n">
        <x:v>0</x:v>
      </x:c>
    </x:row>
    <x:row r="2177">
      <x:c r="A2177" t="inlineStr">
        <x:is>
          <x:t xml:space="preserve">PDTPLA001085</x:t>
        </x:is>
      </x:c>
      <x:c r="B2177" t="inlineStr">
        <x:is>
          <x:t xml:space="preserve">STUB END HDPE  PE100 DIA 450 MM</x:t>
        </x:is>
      </x:c>
      <x:c r="E2177" t="n">
        <x:v>0</x:v>
      </x:c>
    </x:row>
    <x:row r="2178">
      <x:c r="A2178" t="inlineStr">
        <x:is>
          <x:t xml:space="preserve">PDTPLA001086</x:t>
        </x:is>
      </x:c>
      <x:c r="B2178" t="inlineStr">
        <x:is>
          <x:t xml:space="preserve">FLANGE AC.INOX 316 18 PLG CLASE 300 RFSO</x:t>
        </x:is>
      </x:c>
      <x:c r="E2178" t="n">
        <x:v>0</x:v>
      </x:c>
    </x:row>
    <x:row r="2179">
      <x:c r="A2179" t="inlineStr">
        <x:is>
          <x:t xml:space="preserve">PDTPLA001087</x:t>
        </x:is>
      </x:c>
      <x:c r="B2179" t="inlineStr">
        <x:is>
          <x:t xml:space="preserve">FABRICACION E INSTALACION DE CAMISAS DE POLIMERO A ROLLERS</x:t>
        </x:is>
      </x:c>
      <x:c r="E2179" t="n">
        <x:v>0</x:v>
      </x:c>
    </x:row>
    <x:row r="2180">
      <x:c r="A2180" t="inlineStr">
        <x:is>
          <x:t xml:space="preserve">PDTPLA001088</x:t>
        </x:is>
      </x:c>
      <x:c r="B2180" t="inlineStr">
        <x:is>
          <x:t xml:space="preserve">SERVICION DE ENSAYO DESGASTE 4 MUESTRAS DE POLIMERO (50UF)</x:t>
        </x:is>
      </x:c>
      <x:c r="E2180" t="n">
        <x:v>0</x:v>
      </x:c>
    </x:row>
    <x:row r="2181">
      <x:c r="A2181" t="inlineStr">
        <x:is>
          <x:t xml:space="preserve">PDTPLA001089</x:t>
        </x:is>
      </x:c>
      <x:c r="B2181" t="inlineStr">
        <x:is>
          <x:t xml:space="preserve">SERVICIO DE DIBUJO ,MEMORIA DE CALCULOS Y PLANOS DE FABRICACION OFI1221-NV0006</x:t>
        </x:is>
      </x:c>
      <x:c r="E2181" t="n">
        <x:v>0</x:v>
      </x:c>
    </x:row>
    <x:row r="2182">
      <x:c r="A2182" t="inlineStr">
        <x:is>
          <x:t xml:space="preserve">PDTPLA001090</x:t>
        </x:is>
      </x:c>
      <x:c r="B2182" t="inlineStr">
        <x:is>
          <x:t xml:space="preserve">PLACA FILTRO DECANTADOR INCLUYE MONTAJE</x:t>
        </x:is>
      </x:c>
      <x:c r="E2182" t="n">
        <x:v>0</x:v>
      </x:c>
    </x:row>
    <x:row r="2183">
      <x:c r="A2183" t="inlineStr">
        <x:is>
          <x:t xml:space="preserve">PDTPLA001091</x:t>
        </x:is>
      </x:c>
      <x:c r="B2183" t="inlineStr">
        <x:is>
          <x:t xml:space="preserve">PIEZAA DE AJUSTE DIA EXT 220 DIAM INT 150 ESP 60</x:t>
        </x:is>
      </x:c>
      <x:c r="E2183" t="n">
        <x:v>0</x:v>
      </x:c>
    </x:row>
    <x:row r="2184">
      <x:c r="A2184" t="inlineStr">
        <x:is>
          <x:t xml:space="preserve">PDTPLA001092</x:t>
        </x:is>
      </x:c>
      <x:c r="B2184" t="inlineStr">
        <x:is>
          <x:t xml:space="preserve">PIEZAS ESPECIALES DN80 PTFE 1 BOQUILLA DN80X1500 LGO Y CARETE REDUCTORDN80 A DN40 PPT090TPU011</x:t>
        </x:is>
      </x:c>
      <x:c r="E2184" t="n">
        <x:v>0</x:v>
      </x:c>
    </x:row>
    <x:row r="2185">
      <x:c r="A2185" t="inlineStr">
        <x:is>
          <x:t xml:space="preserve">PDTPLA001093</x:t>
        </x:is>
      </x:c>
      <x:c r="B2185" t="inlineStr">
        <x:is>
          <x:t xml:space="preserve">ENSAYO A MUESTRAS DE HDPE  OFI1222-NV0013</x:t>
        </x:is>
      </x:c>
      <x:c r="E2185" t="n">
        <x:v>0</x:v>
      </x:c>
    </x:row>
    <x:row r="2186">
      <x:c r="A2186" t="inlineStr">
        <x:is>
          <x:t xml:space="preserve">PDTPLA001094</x:t>
        </x:is>
      </x:c>
      <x:c r="B2186" t="inlineStr">
        <x:is>
          <x:t xml:space="preserve">19539 TOBERA APAGADO DE GASES LANZA 157MM X 759 MM PL 072-2013 REV.0</x:t>
        </x:is>
      </x:c>
      <x:c r="E2186" t="n">
        <x:v>0</x:v>
      </x:c>
    </x:row>
    <x:row r="2187">
      <x:c r="A2187" t="inlineStr">
        <x:is>
          <x:t xml:space="preserve">PDTPLA001095</x:t>
        </x:is>
      </x:c>
      <x:c r="B2187" t="inlineStr">
        <x:is>
          <x:t xml:space="preserve">19540 TOBERA APAGADO GASES PP/FRP Y PORTA TOBERA PTFE TORRE PAS Nª 2</x:t>
        </x:is>
      </x:c>
      <x:c r="E2187" t="n">
        <x:v>0</x:v>
      </x:c>
    </x:row>
    <x:row r="2188">
      <x:c r="A2188" t="inlineStr">
        <x:is>
          <x:t xml:space="preserve">PDTPLA001096</x:t>
        </x:is>
      </x:c>
      <x:c r="B2188" t="inlineStr">
        <x:is>
          <x:t xml:space="preserve">TAPON PARA TUBO COLECTOR DE PPEE DIAM.235 MM C/BASE ES DE 24 MM POLIPROPILENO PPT090PPO031</x:t>
        </x:is>
      </x:c>
      <x:c r="E2188" t="n">
        <x:v>0</x:v>
      </x:c>
    </x:row>
    <x:row r="2189">
      <x:c r="A2189" t="inlineStr">
        <x:is>
          <x:t xml:space="preserve">PDTPLA001097</x:t>
        </x:is>
      </x:c>
      <x:c r="B2189" t="inlineStr">
        <x:is>
          <x:t xml:space="preserve">TOBERA CENTRAL LAVADOR DE FLUJO RADIAL T112-122 DIA 288X588 MM 1390841</x:t>
        </x:is>
      </x:c>
      <x:c r="E2189" t="n">
        <x:v>0</x:v>
      </x:c>
    </x:row>
    <x:row r="2190">
      <x:c r="A2190" t="inlineStr">
        <x:is>
          <x:t xml:space="preserve">PDTPLA001098</x:t>
        </x:is>
      </x:c>
      <x:c r="B2190" t="inlineStr">
        <x:is>
          <x:t xml:space="preserve">VACUM BOX SEAL STRIP S/PLANO HBF-FH-42-001 REV0 DIMENS 4034 X 183 X 50 MM PPT090CEP001</x:t>
        </x:is>
      </x:c>
      <x:c r="E2190" t="n">
        <x:v>0</x:v>
      </x:c>
    </x:row>
    <x:row r="2191">
      <x:c r="A2191" t="inlineStr">
        <x:is>
          <x:t xml:space="preserve">PDTPLA001099</x:t>
        </x:is>
      </x:c>
      <x:c r="B2191" t="inlineStr">
        <x:is>
          <x:t xml:space="preserve">END SEAL STRIP 2000X154X63 MM S/PLANO F207-62 MKA</x:t>
        </x:is>
      </x:c>
      <x:c r="E2191" t="n">
        <x:v>0</x:v>
      </x:c>
    </x:row>
    <x:row r="2192">
      <x:c r="A2192" t="inlineStr">
        <x:is>
          <x:t xml:space="preserve">PDTPLA001100</x:t>
        </x:is>
      </x:c>
      <x:c r="B2192" t="inlineStr">
        <x:is>
          <x:t xml:space="preserve">CONJUNTO TOBERA INYECCION SIMONA 100409PP02 CODIGO 4115880</x:t>
        </x:is>
      </x:c>
      <x:c r="E2192" t="n">
        <x:v>0</x:v>
      </x:c>
    </x:row>
    <x:row r="2193">
      <x:c r="A2193" t="inlineStr">
        <x:is>
          <x:t xml:space="preserve">PDTPLA001101</x:t>
        </x:is>
      </x:c>
      <x:c r="B2193" t="inlineStr">
        <x:is>
          <x:t xml:space="preserve">CONJUNTO LANZA BOQILLA MINISTRO HALES 4 BOQUILLAS</x:t>
        </x:is>
      </x:c>
      <x:c r="E2193" t="n">
        <x:v>0</x:v>
      </x:c>
    </x:row>
    <x:row r="2194">
      <x:c r="A2194" t="inlineStr">
        <x:is>
          <x:t xml:space="preserve">PDTPLA001102</x:t>
        </x:is>
      </x:c>
      <x:c r="B2194" t="inlineStr">
        <x:is>
          <x:t xml:space="preserve">TOBERA PORTA INYECTOR DIA 90 MM LARGO 1735 MM</x:t>
        </x:is>
      </x:c>
      <x:c r="E2194" t="n">
        <x:v>0</x:v>
      </x:c>
    </x:row>
    <x:row r="2195">
      <x:c r="A2195" t="inlineStr">
        <x:is>
          <x:t xml:space="preserve">PDTPLA001103</x:t>
        </x:is>
      </x:c>
      <x:c r="B2195" t="inlineStr">
        <x:is>
          <x:t xml:space="preserve">KIT MIRILLAS MARCA MAXOS SELLOS</x:t>
        </x:is>
      </x:c>
      <x:c r="E2195" t="n">
        <x:v>0</x:v>
      </x:c>
    </x:row>
    <x:row r="2196">
      <x:c r="A2196" t="inlineStr">
        <x:is>
          <x:t xml:space="preserve">PDTPLA001104</x:t>
        </x:is>
      </x:c>
      <x:c r="B2196" t="inlineStr">
        <x:is>
          <x:t xml:space="preserve">4217006 PARRILLA DIFUSORA SUPERIOR A PPEE PP DIAM 4.320 MM</x:t>
        </x:is>
      </x:c>
      <x:c r="E2196" t="n">
        <x:v>0</x:v>
      </x:c>
    </x:row>
    <x:row r="2197">
      <x:c r="A2197" t="inlineStr">
        <x:is>
          <x:t xml:space="preserve">PDTPLA001105</x:t>
        </x:is>
      </x:c>
      <x:c r="B2197" t="inlineStr">
        <x:is>
          <x:t xml:space="preserve">4217007 PARRILLA DIF SUPERIOR B PPEE PP DIAM 6.460</x:t>
        </x:is>
      </x:c>
      <x:c r="E2197" t="n">
        <x:v>0</x:v>
      </x:c>
    </x:row>
    <x:row r="2198">
      <x:c r="A2198" t="inlineStr">
        <x:is>
          <x:t xml:space="preserve">PDTPLA001106</x:t>
        </x:is>
      </x:c>
      <x:c r="B2198" t="inlineStr">
        <x:is>
          <x:t xml:space="preserve">CONJUNTO RODETE Y EJE PP AC/INOX S/PL 310823RODIMSOP-DWG-000_CL</x:t>
        </x:is>
      </x:c>
      <x:c r="E2198" t="n">
        <x:v>0</x:v>
      </x:c>
    </x:row>
    <x:row r="2199">
      <x:c r="A2199" t="inlineStr">
        <x:is>
          <x:t xml:space="preserve">PDTPLA001107</x:t>
        </x:is>
      </x:c>
      <x:c r="B2199" t="inlineStr">
        <x:is>
          <x:t xml:space="preserve">4220211 CONTRAPESO ELECTRODOS PRECIPITADORES CJTO PLNPP080124DWG000</x:t>
        </x:is>
      </x:c>
      <x:c r="E2199" t="n">
        <x:v>0</x:v>
      </x:c>
    </x:row>
    <x:row r="2200">
      <x:c r="A2200" t="inlineStr">
        <x:is>
          <x:t xml:space="preserve">PDTPLA001108</x:t>
        </x:is>
      </x:c>
      <x:c r="B2200" t="inlineStr">
        <x:is>
          <x:t xml:space="preserve">PL DESGASTE T-88 UHMW 13MM ESP.X800X2000 MM 146340</x:t>
        </x:is>
      </x:c>
      <x:c r="E2200" t="n">
        <x:v>0</x:v>
      </x:c>
    </x:row>
    <x:row r="2201">
      <x:c r="A2201" t="inlineStr">
        <x:is>
          <x:t xml:space="preserve">PDTPLA001109</x:t>
        </x:is>
      </x:c>
      <x:c r="B2201" t="inlineStr">
        <x:is>
          <x:t xml:space="preserve">30031099 PROTECTOR PLASTICO DE HILO M10 AZUL</x:t>
        </x:is>
      </x:c>
      <x:c r="E2201" t="n">
        <x:v>0</x:v>
      </x:c>
    </x:row>
    <x:row r="2202">
      <x:c r="A2202" t="inlineStr">
        <x:is>
          <x:t xml:space="preserve">PDTPLA001110</x:t>
        </x:is>
      </x:c>
      <x:c r="B2202" t="inlineStr">
        <x:is>
          <x:t xml:space="preserve">SEAL STRIP 3030X70X50MM CLD 2432.00.03.10.20 PPT090CEP014</x:t>
        </x:is>
      </x:c>
      <x:c r="E2202" t="n">
        <x:v>176</x:v>
      </x:c>
    </x:row>
    <x:row r="2203">
      <x:c r="A2203" t="inlineStr">
        <x:is>
          <x:t xml:space="preserve">PDTPLA001111</x:t>
        </x:is>
      </x:c>
      <x:c r="B2203" t="inlineStr">
        <x:is>
          <x:t xml:space="preserve">END PAD HEAD END 315X170X53 CLD 2432.00.03.10.20 PPT090CEP015</x:t>
        </x:is>
      </x:c>
      <x:c r="E2203" t="n">
        <x:v>16</x:v>
      </x:c>
    </x:row>
    <x:row r="2204">
      <x:c r="A2204" t="inlineStr">
        <x:is>
          <x:t xml:space="preserve">PDTPLA001112</x:t>
        </x:is>
      </x:c>
      <x:c r="B2204" t="inlineStr">
        <x:is>
          <x:t xml:space="preserve">END PAD TAIL END 515X170X53 MM CLD 2432.00.03.10.20 PPT090CEP016</x:t>
        </x:is>
      </x:c>
      <x:c r="E2204" t="n">
        <x:v>16</x:v>
      </x:c>
    </x:row>
    <x:row r="2205">
      <x:c r="A2205" t="inlineStr">
        <x:is>
          <x:t xml:space="preserve">PDTPLA001113</x:t>
        </x:is>
      </x:c>
      <x:c r="B2205" t="inlineStr">
        <x:is>
          <x:t xml:space="preserve">END SLIDE R200X80 MM CLD 2432.00.03.10.20 PPT090CEP017</x:t>
        </x:is>
      </x:c>
      <x:c r="E2205" t="n">
        <x:v>32</x:v>
      </x:c>
    </x:row>
    <x:row r="2206">
      <x:c r="A2206" t="inlineStr">
        <x:is>
          <x:t xml:space="preserve">PDTPLA001114</x:t>
        </x:is>
      </x:c>
      <x:c r="B2206" t="inlineStr">
        <x:is>
          <x:t xml:space="preserve">JUEGO DE 3 PIEZAS PTFE PURO S/PLANO TECN.REUNIDAS</x:t>
        </x:is>
      </x:c>
      <x:c r="E2206" t="n">
        <x:v>1</x:v>
      </x:c>
    </x:row>
    <x:row r="2207">
      <x:c r="A2207" t="inlineStr">
        <x:is>
          <x:t xml:space="preserve">PDTPLA001115</x:t>
        </x:is>
      </x:c>
      <x:c r="B2207" t="inlineStr">
        <x:is>
          <x:t xml:space="preserve">D-30810-HBF-27 END PAD HEAD  (PPT090CEP015)</x:t>
        </x:is>
      </x:c>
      <x:c r="E2207" t="n">
        <x:v>2</x:v>
      </x:c>
    </x:row>
    <x:row r="2208">
      <x:c r="A2208" t="inlineStr">
        <x:is>
          <x:t xml:space="preserve">PDTPLA001116</x:t>
        </x:is>
      </x:c>
      <x:c r="B2208" t="inlineStr">
        <x:is>
          <x:t xml:space="preserve">D-8702-HBF-21 END SLIDE (PPT090CEP018)</x:t>
        </x:is>
      </x:c>
      <x:c r="E2208" t="n">
        <x:v>4</x:v>
      </x:c>
    </x:row>
    <x:row r="2209">
      <x:c r="A2209" t="inlineStr">
        <x:is>
          <x:t xml:space="preserve">PDTPLA001117</x:t>
        </x:is>
      </x:c>
      <x:c r="B2209" t="inlineStr">
        <x:is>
          <x:t xml:space="preserve">30031107 PROTECTOR PLASTICO HILO M36 AZUL</x:t>
        </x:is>
      </x:c>
      <x:c r="E2209" t="n">
        <x:v>248</x:v>
      </x:c>
    </x:row>
    <x:row r="2210">
      <x:c r="A2210" t="inlineStr">
        <x:is>
          <x:t xml:space="preserve">PDTPLA001118</x:t>
        </x:is>
      </x:c>
      <x:c r="B2210" t="inlineStr">
        <x:is>
          <x:t xml:space="preserve">30031101 PROTECTOR PLASTICO DE HILO M36 AZUL</x:t>
        </x:is>
      </x:c>
      <x:c r="E2210" t="n">
        <x:v>420</x:v>
      </x:c>
    </x:row>
    <x:row r="2211">
      <x:c r="A2211" t="inlineStr">
        <x:is>
          <x:t xml:space="preserve">PDTPLA001194</x:t>
        </x:is>
      </x:c>
      <x:c r="B2211" t="inlineStr">
        <x:is>
          <x:t xml:space="preserve">JUEGO VISERAS TIPO 1 Y 2 ACRILICO TRANSPARENTE 5 PIEZAS ORAFTI</x:t>
        </x:is>
      </x:c>
      <x:c r="E2211" t="n">
        <x:v>0</x:v>
      </x:c>
    </x:row>
    <x:row r="2212">
      <x:c r="A2212" t="inlineStr">
        <x:is>
          <x:t xml:space="preserve">PDTPLA001195</x:t>
        </x:is>
      </x:c>
      <x:c r="B2212" t="inlineStr">
        <x:is>
          <x:t xml:space="preserve">TRANSICION TF PE100 PN16 D= 110 X 4` HE HILO BSP PPT022BDPEDN4</x:t>
        </x:is>
      </x:c>
      <x:c r="E2212" t="n">
        <x:v>0</x:v>
      </x:c>
    </x:row>
    <x:row r="2213">
      <x:c r="A2213" t="inlineStr">
        <x:is>
          <x:t xml:space="preserve">PDTPLA001196</x:t>
        </x:is>
      </x:c>
      <x:c r="B2213" t="inlineStr">
        <x:is>
          <x:t xml:space="preserve">TAPA GORRO CALVANIZADO DN 110 HILO BSP PPT022ACERDN4</x:t>
        </x:is>
      </x:c>
      <x:c r="E2213" t="n">
        <x:v>0</x:v>
      </x:c>
    </x:row>
    <x:row r="2214">
      <x:c r="A2214" t="inlineStr">
        <x:is>
          <x:t xml:space="preserve">PDTPLA001197</x:t>
        </x:is>
      </x:c>
      <x:c r="B2214" t="inlineStr">
        <x:is>
          <x:t xml:space="preserve">SEAL STRIP 3030X190X50 PLANO 1-24-07-4-10 PPT090CEP020</x:t>
        </x:is>
      </x:c>
      <x:c r="E2214" t="n">
        <x:v>20</x:v>
      </x:c>
    </x:row>
    <x:row r="2215">
      <x:c r="A2215" t="inlineStr">
        <x:is>
          <x:t xml:space="preserve">PDTPLA001198</x:t>
        </x:is>
      </x:c>
      <x:c r="B2215" t="inlineStr">
        <x:is>
          <x:t xml:space="preserve">END PAD HEAD END 315X190X53 SEGUN PLANO 1-24-07-3-101 PPT090CEP021</x:t>
        </x:is>
      </x:c>
      <x:c r="E2215" t="n">
        <x:v>1</x:v>
      </x:c>
    </x:row>
    <x:row r="2216">
      <x:c r="A2216" t="inlineStr">
        <x:is>
          <x:t xml:space="preserve">PDTPLA001199</x:t>
        </x:is>
      </x:c>
      <x:c r="B2216" t="inlineStr">
        <x:is>
          <x:t xml:space="preserve">END PAD TAIL END 515X190X53 SEGUN PLANO 1-24-07-3-100 PPT090CEP022</x:t>
        </x:is>
      </x:c>
      <x:c r="E2216" t="n">
        <x:v>1</x:v>
      </x:c>
    </x:row>
    <x:row r="2217">
      <x:c r="A2217" t="inlineStr">
        <x:is>
          <x:t xml:space="preserve">PDTPLA001200</x:t>
        </x:is>
      </x:c>
      <x:c r="B2217" t="inlineStr">
        <x:is>
          <x:t xml:space="preserve">SEAL STRIP END PAD TAIL END (FEED)  PL-142-HBF-FH-42-002</x:t>
        </x:is>
      </x:c>
      <x:c r="E2217" t="n">
        <x:v>8</x:v>
      </x:c>
    </x:row>
    <x:row r="2218">
      <x:c r="A2218" t="inlineStr">
        <x:is>
          <x:t xml:space="preserve">PDTPRO001001</x:t>
        </x:is>
      </x:c>
      <x:c r="B2218" t="inlineStr">
        <x:is>
          <x:t xml:space="preserve">PROTECTOR DE FANGES TEFLON  CXLASE 150 DE 16</x:t>
        </x:is>
      </x:c>
      <x:c r="E2218" t="n">
        <x:v>0</x:v>
      </x:c>
    </x:row>
    <x:row r="2219">
      <x:c r="A2219" t="inlineStr">
        <x:is>
          <x:t xml:space="preserve">PDTPRO001002</x:t>
        </x:is>
      </x:c>
      <x:c r="B2219" t="inlineStr">
        <x:is>
          <x:t xml:space="preserve">PROTECTOR DE FANGES TEFLON  CLASE 150 DE 20 PLG</x:t>
        </x:is>
      </x:c>
      <x:c r="E2219" t="n">
        <x:v>0</x:v>
      </x:c>
    </x:row>
    <x:row r="2220">
      <x:c r="A2220" t="inlineStr">
        <x:is>
          <x:t xml:space="preserve">PDTPRO001003</x:t>
        </x:is>
      </x:c>
      <x:c r="B2220" t="inlineStr">
        <x:is>
          <x:t xml:space="preserve">PROTECTOR DE FANGES TEFLON  CLASE 150 DE 24 PLG</x:t>
        </x:is>
      </x:c>
      <x:c r="E2220" t="n">
        <x:v>0</x:v>
      </x:c>
    </x:row>
    <x:row r="2221">
      <x:c r="A2221" t="inlineStr">
        <x:is>
          <x:t xml:space="preserve">PDTPRO001004</x:t>
        </x:is>
      </x:c>
      <x:c r="B2221" t="inlineStr">
        <x:is>
          <x:t xml:space="preserve">PROTECTOR DE FANGES TEFLON  CLASE 150 DE 28 PLG</x:t>
        </x:is>
      </x:c>
      <x:c r="E2221" t="n">
        <x:v>0</x:v>
      </x:c>
    </x:row>
    <x:row r="2222">
      <x:c r="A2222" t="inlineStr">
        <x:is>
          <x:t xml:space="preserve">PDTPRO001005</x:t>
        </x:is>
      </x:c>
      <x:c r="B2222" t="inlineStr">
        <x:is>
          <x:t xml:space="preserve">PROTECTOR DE FANGES TEFLON  CLASE 150 DE 32 PLG</x:t>
        </x:is>
      </x:c>
      <x:c r="E2222" t="n">
        <x:v>0</x:v>
      </x:c>
    </x:row>
    <x:row r="2223">
      <x:c r="A2223" t="inlineStr">
        <x:is>
          <x:t xml:space="preserve">PDTSEF001001</x:t>
        </x:is>
      </x:c>
      <x:c r="B2223" t="inlineStr">
        <x:is>
          <x:t xml:space="preserve">KIT EMPAQUETADURA INVENIO ESTILO 430 SECCION 7/8 PLG GFO CANDELARIA 4029397 6 ANILLO X KIT 3,6 KG KI</x:t>
        </x:is>
      </x:c>
      <x:c r="E2223" t="n">
        <x:v>0</x:v>
      </x:c>
    </x:row>
    <x:row r="2224">
      <x:c r="A2224" t="inlineStr">
        <x:is>
          <x:t xml:space="preserve">PDTSEF001002</x:t>
        </x:is>
      </x:c>
      <x:c r="B2224" t="inlineStr">
        <x:is>
          <x:t xml:space="preserve">PLANCHA EMPAQUETADURA 1/8PLGX1850MMX3200MM  CMPC  91032580</x:t>
        </x:is>
      </x:c>
      <x:c r="E2224" t="n">
        <x:v>0</x:v>
      </x:c>
    </x:row>
    <x:row r="2225">
      <x:c r="A2225" t="inlineStr">
        <x:is>
          <x:t xml:space="preserve">PDTSEF001003</x:t>
        </x:is>
      </x:c>
      <x:c r="B2225" t="inlineStr">
        <x:is>
          <x:t xml:space="preserve">SUMINISTRO EPDM MAS COVERNIL AZUL 250X4000 MM PARA JUNTA EXPANSION</x:t>
        </x:is>
      </x:c>
      <x:c r="E2225" t="n">
        <x:v>0</x:v>
      </x:c>
    </x:row>
    <x:row r="2226">
      <x:c r="A2226" t="inlineStr">
        <x:is>
          <x:t xml:space="preserve">PDTSEF001004</x:t>
        </x:is>
      </x:c>
      <x:c r="B2226" t="inlineStr">
        <x:is>
          <x:t xml:space="preserve">4058688 CUBRE FLANGE DIAM 2 PLG CLASE 150 TELA COVERNIL NARANJO C/CINTA TRANSPARENTE</x:t>
        </x:is>
      </x:c>
      <x:c r="E2226" t="n">
        <x:v>0</x:v>
      </x:c>
    </x:row>
    <x:row r="2227">
      <x:c r="A2227" t="inlineStr">
        <x:is>
          <x:t xml:space="preserve">PDTSEF001005</x:t>
        </x:is>
      </x:c>
      <x:c r="B2227" t="inlineStr">
        <x:is>
          <x:t xml:space="preserve">4058689CUBRE FLANGE DIAM 4 PLG CLASE 150 TELA COVERNIL NARANJO C/CINTA TRANSPARENTE</x:t>
        </x:is>
      </x:c>
      <x:c r="E2227" t="n">
        <x:v>0</x:v>
      </x:c>
    </x:row>
    <x:row r="2228">
      <x:c r="A2228" t="inlineStr">
        <x:is>
          <x:t xml:space="preserve">PDTSEF001006</x:t>
        </x:is>
      </x:c>
      <x:c r="B2228" t="inlineStr">
        <x:is>
          <x:t xml:space="preserve">4058690 CUBRE FLANGE DIAM 6 PLG CLASE 150 TELA COVERNIL NARANJO C/CINTA TRANSPARENTE</x:t>
        </x:is>
      </x:c>
      <x:c r="E2228" t="n">
        <x:v>0</x:v>
      </x:c>
    </x:row>
    <x:row r="2229">
      <x:c r="A2229" t="inlineStr">
        <x:is>
          <x:t xml:space="preserve">PDTSEF001007</x:t>
        </x:is>
      </x:c>
      <x:c r="B2229" t="inlineStr">
        <x:is>
          <x:t xml:space="preserve">4058691 CUBRE FLANGE DIAM 10 PLG CLASE 150 TELA COVERNIL NARANJO C/CINTA TRANSPARENTE</x:t>
        </x:is>
      </x:c>
      <x:c r="E2229" t="n">
        <x:v>0</x:v>
      </x:c>
    </x:row>
    <x:row r="2230">
      <x:c r="A2230" t="inlineStr">
        <x:is>
          <x:t xml:space="preserve">PDTSEF001008</x:t>
        </x:is>
      </x:c>
      <x:c r="B2230" t="inlineStr">
        <x:is>
          <x:t xml:space="preserve">AISLACION TERMICA PARA POZOS DE DRENAJE (JUEGO) CODIGO 657775</x:t>
        </x:is>
      </x:c>
      <x:c r="E2230" t="n">
        <x:v>13</x:v>
      </x:c>
    </x:row>
    <x:row r="2231">
      <x:c r="A2231" t="inlineStr">
        <x:is>
          <x:t xml:space="preserve">PDTSEF001009</x:t>
        </x:is>
      </x:c>
      <x:c r="B2231" t="inlineStr">
        <x:is>
          <x:t xml:space="preserve">FABRICACION E INSTALACION  DE FUELLES PARA JUNTAS DE EXPANSION 700 MM S/PLANO IASER-ACF1-220-M-1705-</x:t>
        </x:is>
      </x:c>
      <x:c r="E2231" t="n">
        <x:v>0</x:v>
      </x:c>
    </x:row>
    <x:row r="2232">
      <x:c r="A2232" t="inlineStr">
        <x:is>
          <x:t xml:space="preserve">PDTSEF001010</x:t>
        </x:is>
      </x:c>
      <x:c r="B2232" t="inlineStr">
        <x:is>
          <x:t xml:space="preserve">CINTA DE ZETEX 2 PLG ANCHO X 1/4 PLG ESP, 1005812</x:t>
        </x:is>
      </x:c>
      <x:c r="E2232" t="n">
        <x:v>0</x:v>
      </x:c>
    </x:row>
    <x:row r="2233">
      <x:c r="A2233" t="inlineStr">
        <x:is>
          <x:t xml:space="preserve">PDTSEF001011</x:t>
        </x:is>
      </x:c>
      <x:c r="B2233" t="inlineStr">
        <x:is>
          <x:t xml:space="preserve">FABRICACION E INSTALACION DE 2 FUELLES PARA JUNTA DE EXPANSION  T 150° C</x:t>
        </x:is>
      </x:c>
      <x:c r="E2233" t="n">
        <x:v>0</x:v>
      </x:c>
    </x:row>
    <x:row r="2234">
      <x:c r="A2234" t="inlineStr">
        <x:is>
          <x:t xml:space="preserve">PDTSEF001012</x:t>
        </x:is>
      </x:c>
      <x:c r="B2234" t="inlineStr">
        <x:is>
          <x:t xml:space="preserve">TUBERIA AISLANTEALUMINIO PARA CAÑERIA 3/4 FORMATO 2 MTS</x:t>
        </x:is>
      </x:c>
      <x:c r="E2234" t="n">
        <x:v>0</x:v>
      </x:c>
    </x:row>
    <x:row r="2235">
      <x:c r="A2235" t="inlineStr">
        <x:is>
          <x:t xml:space="preserve">PDTSEF001013</x:t>
        </x:is>
      </x:c>
      <x:c r="B2235" t="inlineStr">
        <x:is>
          <x:t xml:space="preserve">TUBERIA AISLANTEALUMINIO PARA CAÑERIA 1 PLG FORMATO 2 MTS</x:t>
        </x:is>
      </x:c>
      <x:c r="E2235" t="n">
        <x:v>0</x:v>
      </x:c>
    </x:row>
    <x:row r="2236">
      <x:c r="A2236" t="inlineStr">
        <x:is>
          <x:t xml:space="preserve">PDTSEF001014</x:t>
        </x:is>
      </x:c>
      <x:c r="B2236" t="inlineStr">
        <x:is>
          <x:t xml:space="preserve">803552 EMPAQUETADURA NITRILO 36 PLG X 1 MT X 1/8 PLG ESP.</x:t>
        </x:is>
      </x:c>
      <x:c r="E2236" t="n">
        <x:v>0</x:v>
      </x:c>
    </x:row>
    <x:row r="2237">
      <x:c r="A2237" t="inlineStr">
        <x:is>
          <x:t xml:space="preserve">PDTSEF001015</x:t>
        </x:is>
      </x:c>
      <x:c r="B2237" t="inlineStr">
        <x:is>
          <x:t xml:space="preserve">10927388CUBRE VALVULA ANSI CL 150 10 PLG COVERNYL NARANJA C/VISOR NP CVINV10150</x:t>
        </x:is>
      </x:c>
      <x:c r="E2237" t="n">
        <x:v>0</x:v>
      </x:c>
    </x:row>
    <x:row r="2238">
      <x:c r="A2238" t="inlineStr">
        <x:is>
          <x:t xml:space="preserve">PDTSEF001016</x:t>
        </x:is>
      </x:c>
      <x:c r="B2238" t="inlineStr">
        <x:is>
          <x:t xml:space="preserve">10927387CUBRE VALVULA ANSI CL 150 12 PLG COVERNYL NARANJA C/VISOR NP CVINV12150</x:t>
        </x:is>
      </x:c>
      <x:c r="E2238" t="n">
        <x:v>0</x:v>
      </x:c>
    </x:row>
    <x:row r="2239">
      <x:c r="A2239" t="inlineStr">
        <x:is>
          <x:t xml:space="preserve">PDTSEF001017</x:t>
        </x:is>
      </x:c>
      <x:c r="B2239" t="inlineStr">
        <x:is>
          <x:t xml:space="preserve">10927385CUBRE VALVULA ANSI CL 150 3 PLG COVERNYL NARANJA C/VISOR NP CVINV03150</x:t>
        </x:is>
      </x:c>
      <x:c r="E2239" t="n">
        <x:v>0</x:v>
      </x:c>
    </x:row>
    <x:row r="2240">
      <x:c r="A2240" t="inlineStr">
        <x:is>
          <x:t xml:space="preserve">PDTSEF001018</x:t>
        </x:is>
      </x:c>
      <x:c r="B2240" t="inlineStr">
        <x:is>
          <x:t xml:space="preserve">10927371 CUBRE FLANGE  ANSI CL 150 12 PLG COVERNYL NARANJA C/VISOR NP CFINV12150</x:t>
        </x:is>
      </x:c>
      <x:c r="E2240" t="n">
        <x:v>0</x:v>
      </x:c>
    </x:row>
    <x:row r="2241">
      <x:c r="A2241" t="inlineStr">
        <x:is>
          <x:t xml:space="preserve">PDTSEF001019</x:t>
        </x:is>
      </x:c>
      <x:c r="B2241" t="inlineStr">
        <x:is>
          <x:t xml:space="preserve">10927368  CUBRE FLANGE  ANSI CL 150 10 PLG COVERNYL NARANJA C/VISOR NP CFINV10150</x:t>
        </x:is>
      </x:c>
      <x:c r="E2241" t="n">
        <x:v>0</x:v>
      </x:c>
    </x:row>
    <x:row r="2242">
      <x:c r="A2242" t="inlineStr">
        <x:is>
          <x:t xml:space="preserve">PDTSEF001020</x:t>
        </x:is>
      </x:c>
      <x:c r="B2242" t="inlineStr">
        <x:is>
          <x:t xml:space="preserve">10927367  CUBRE FLANGE  ANSI CL 150 1 PLG COVERNYL NARANJA C/VISOR NP CFINV01150</x:t>
        </x:is>
      </x:c>
      <x:c r="E2242" t="n">
        <x:v>0</x:v>
      </x:c>
    </x:row>
    <x:row r="2243">
      <x:c r="A2243" t="inlineStr">
        <x:is>
          <x:t xml:space="preserve">PDTSEF001021</x:t>
        </x:is>
      </x:c>
      <x:c r="B2243" t="inlineStr">
        <x:is>
          <x:t xml:space="preserve">10927366  CUBRE FLANGE  ANSI CL 150 3 PLG COVERNYL NARANJA C/VISOR NP CFINV03150</x:t>
        </x:is>
      </x:c>
      <x:c r="E2243" t="n">
        <x:v>0</x:v>
      </x:c>
    </x:row>
    <x:row r="2244">
      <x:c r="A2244" t="inlineStr">
        <x:is>
          <x:t xml:space="preserve">PDTSEF001022</x:t>
        </x:is>
      </x:c>
      <x:c r="B2244" t="inlineStr">
        <x:is>
          <x:t xml:space="preserve">10927365  CUBRE FLANGE  ANSI CL 150 2 PLG COVERNYL NARANJA C/VISOR NP CFINV02150</x:t>
        </x:is>
      </x:c>
      <x:c r="E2244" t="n">
        <x:v>0</x:v>
      </x:c>
    </x:row>
    <x:row r="2245">
      <x:c r="A2245" t="inlineStr">
        <x:is>
          <x:t xml:space="preserve">PDTSEF001023</x:t>
        </x:is>
      </x:c>
      <x:c r="B2245" t="inlineStr">
        <x:is>
          <x:t xml:space="preserve">109274424 CUBRE VALVULA ANSI CL 150 2 PLG COVERNYL NARANJA C/VISOR NP CVINV02150</x:t>
        </x:is>
      </x:c>
      <x:c r="E2245" t="n">
        <x:v>0</x:v>
      </x:c>
    </x:row>
    <x:row r="2246">
      <x:c r="A2246" t="inlineStr">
        <x:is>
          <x:t xml:space="preserve">PDTSEF001025</x:t>
        </x:is>
      </x:c>
      <x:c r="B2246" t="inlineStr">
        <x:is>
          <x:t xml:space="preserve">92798 EMPAQUETADURA SECCION CUADRADA ESTILO 55-55 3/4 X 112 PLG(CELULOSA)</x:t>
        </x:is>
      </x:c>
      <x:c r="E2246" t="n">
        <x:v>0</x:v>
      </x:c>
    </x:row>
    <x:row r="2247">
      <x:c r="A2247" t="inlineStr">
        <x:is>
          <x:t xml:space="preserve">PDTSEF001026</x:t>
        </x:is>
      </x:c>
      <x:c r="B2247" t="inlineStr">
        <x:is>
          <x:t xml:space="preserve">FUELLE JUNTA DE EXPANSION DIAM 700 X 500 MM</x:t>
        </x:is>
      </x:c>
      <x:c r="E2247" t="n">
        <x:v>0</x:v>
      </x:c>
    </x:row>
    <x:row r="2248">
      <x:c r="A2248" t="inlineStr">
        <x:is>
          <x:t xml:space="preserve">PDTSEF001027</x:t>
        </x:is>
      </x:c>
      <x:c r="B2248" t="inlineStr">
        <x:is>
          <x:t xml:space="preserve">CAUCHO EPDM ESPESOR 1/8” (3.2MM) ANCHO 1MT</x:t>
        </x:is>
      </x:c>
      <x:c r="E2248" t="n">
        <x:v>63</x:v>
      </x:c>
    </x:row>
    <x:row r="2249">
      <x:c r="A2249" t="inlineStr">
        <x:is>
          <x:t xml:space="preserve">PDTSEF001028</x:t>
        </x:is>
      </x:c>
      <x:c r="B2249" t="inlineStr">
        <x:is>
          <x:t xml:space="preserve">EPDM ESPESOR 1/4” (6.4MM) ANCHO 1MT</x:t>
        </x:is>
      </x:c>
      <x:c r="E2249" t="n">
        <x:v>50</x:v>
      </x:c>
    </x:row>
    <x:row r="2250">
      <x:c r="A2250" t="inlineStr">
        <x:is>
          <x:t xml:space="preserve">PDTSEF001029</x:t>
        </x:is>
      </x:c>
      <x:c r="B2250" t="inlineStr">
        <x:is>
          <x:t xml:space="preserve">11406252 KIT DE SISTEMA FIJACION Y SELLO SPOOL 030 DN1000</x:t>
        </x:is>
      </x:c>
      <x:c r="E2250" t="n">
        <x:v>21</x:v>
      </x:c>
    </x:row>
    <x:row r="2251">
      <x:c r="A2251" t="inlineStr">
        <x:is>
          <x:t xml:space="preserve">PDTSEF001030</x:t>
        </x:is>
      </x:c>
      <x:c r="B2251" t="inlineStr">
        <x:is>
          <x:t xml:space="preserve">11406346 KIT DE SISTEMA FIJACION Y SELLO SPOOL 030 DN1000</x:t>
        </x:is>
      </x:c>
      <x:c r="E2251" t="n">
        <x:v>0</x:v>
      </x:c>
    </x:row>
    <x:row r="2252">
      <x:c r="A2252" t="inlineStr">
        <x:is>
          <x:t xml:space="preserve">PDTSEF001031</x:t>
        </x:is>
      </x:c>
      <x:c r="B2252" t="inlineStr">
        <x:is>
          <x:t xml:space="preserve">11406316 KIT DE SISTEMA FIJACION Y SELLO SPOOL 010 DN1000</x:t>
        </x:is>
      </x:c>
      <x:c r="E2252" t="n">
        <x:v>0</x:v>
      </x:c>
    </x:row>
    <x:row r="2253">
      <x:c r="A2253" t="inlineStr">
        <x:is>
          <x:t xml:space="preserve">PDTSEF001033</x:t>
        </x:is>
      </x:c>
      <x:c r="B2253" t="inlineStr">
        <x:is>
          <x:t xml:space="preserve">11406326 KIT DE SISTEMA FIJACION Y SELLO SPOOL 010 DN1000</x:t>
        </x:is>
      </x:c>
      <x:c r="E2253" t="n">
        <x:v>0</x:v>
      </x:c>
    </x:row>
    <x:row r="2254">
      <x:c r="A2254" t="inlineStr">
        <x:is>
          <x:t xml:space="preserve">PDTSEF001034</x:t>
        </x:is>
      </x:c>
      <x:c r="B2254" t="inlineStr">
        <x:is>
          <x:t xml:space="preserve">EMPAQUETADURA PUERTA DE RETORTAC/ALMA DE SILICONA N° PARTE ET30JC1900 COD 107296</x:t>
        </x:is>
      </x:c>
      <x:c r="E2254" t="n">
        <x:v>208</x:v>
      </x:c>
    </x:row>
    <x:row r="2255">
      <x:c r="A2255" t="inlineStr">
        <x:is>
          <x:t xml:space="preserve">PDTSEF001035</x:t>
        </x:is>
      </x:c>
      <x:c r="B2255" t="inlineStr">
        <x:is>
          <x:t xml:space="preserve">BANDA ESPUMA ASFALTICA,WD 1900XLG 2000 MM POLIURETANO,COMPRIBABND CODIGO 1094578</x:t>
        </x:is>
      </x:c>
      <x:c r="E2255" t="n">
        <x:v>0</x:v>
      </x:c>
    </x:row>
    <x:row r="2256">
      <x:c r="A2256" t="inlineStr">
        <x:is>
          <x:t xml:space="preserve">PDTSEF001036</x:t>
        </x:is>
      </x:c>
      <x:c r="B2256" t="inlineStr">
        <x:is>
          <x:t xml:space="preserve">CONJUNTO DE MANTAS IGNIFUGAS  OC-4500069066 RLS0723-NV0005</x:t>
        </x:is>
      </x:c>
      <x:c r="E2256" t="n">
        <x:v>0</x:v>
      </x:c>
    </x:row>
    <x:row r="2257">
      <x:c r="A2257" t="inlineStr">
        <x:is>
          <x:t xml:space="preserve">PDTSEF001037</x:t>
        </x:is>
      </x:c>
      <x:c r="B2257" t="inlineStr">
        <x:is>
          <x:t xml:space="preserve">PL EPDM 1200 MM X 1 MTS X 6 MM ESP</x:t>
        </x:is>
      </x:c>
      <x:c r="E2257" t="n">
        <x:v>0</x:v>
      </x:c>
    </x:row>
    <x:row r="2258">
      <x:c r="A2258" t="inlineStr">
        <x:is>
          <x:t xml:space="preserve">PDTSEF001038</x:t>
        </x:is>
      </x:c>
      <x:c r="B2258" t="inlineStr">
        <x:is>
          <x:t xml:space="preserve">92796 EMPAQUETADURA INVENIO ESTILO 55.55 3/4 X 105 PLG</x:t>
        </x:is>
      </x:c>
      <x:c r="E2258" t="n">
        <x:v>0</x:v>
      </x:c>
    </x:row>
    <x:row r="2259">
      <x:c r="A2259" t="inlineStr">
        <x:is>
          <x:t xml:space="preserve">PDTSEF001039</x:t>
        </x:is>
      </x:c>
      <x:c r="B2259" t="inlineStr">
        <x:is>
          <x:t xml:space="preserve">FUELLE JUNTA DE EXPANSION PPT410TFB000 SFL0024-NV0027</x:t>
        </x:is>
      </x:c>
      <x:c r="E2259" t="n">
        <x:v>0</x:v>
      </x:c>
    </x:row>
    <x:row r="2260">
      <x:c r="A2260" t="inlineStr">
        <x:is>
          <x:t xml:space="preserve">PDTSEF001040</x:t>
        </x:is>
      </x:c>
      <x:c r="B2260" t="inlineStr">
        <x:is>
          <x:t xml:space="preserve">CONJUNTO NIVEL CALDERA FENCO CHAGRES</x:t>
        </x:is>
      </x:c>
      <x:c r="E2260" t="n">
        <x:v>0</x:v>
      </x:c>
    </x:row>
    <x:row r="2261">
      <x:c r="A2261" t="inlineStr">
        <x:is>
          <x:t xml:space="preserve">PDTSEF001041</x:t>
        </x:is>
      </x:c>
      <x:c r="B2261" t="inlineStr">
        <x:is>
          <x:t xml:space="preserve">KIT FLANGE CIEGO Y EMPAQ.DN25 PVC PN10 ASME 16,5 PPT022PVC025</x:t>
        </x:is>
      </x:c>
      <x:c r="E2261" t="n">
        <x:v>0</x:v>
      </x:c>
    </x:row>
    <x:row r="2262">
      <x:c r="A2262" t="inlineStr">
        <x:is>
          <x:t xml:space="preserve">PDTSEF001042</x:t>
        </x:is>
      </x:c>
      <x:c r="B2262" t="inlineStr">
        <x:is>
          <x:t xml:space="preserve">CONJUNTO MANTA IGNIFUGA OC-4500074905 RLS0424-NV0001 (1)</x:t>
        </x:is>
      </x:c>
      <x:c r="E2262" t="n">
        <x:v>0</x:v>
      </x:c>
    </x:row>
    <x:row r="2263">
      <x:c r="A2263" t="inlineStr">
        <x:is>
          <x:t xml:space="preserve">PDTSEF001043</x:t>
        </x:is>
      </x:c>
      <x:c r="B2263" t="inlineStr">
        <x:is>
          <x:t xml:space="preserve">CONJUNTO MANTA IGNIFUGA OC-4500074905 RLS0424-NV0001 (2)</x:t>
        </x:is>
      </x:c>
      <x:c r="E2263" t="n">
        <x:v>0</x:v>
      </x:c>
    </x:row>
    <x:row r="2264">
      <x:c r="A2264" t="inlineStr">
        <x:is>
          <x:t xml:space="preserve">PDTSEF001044</x:t>
        </x:is>
      </x:c>
      <x:c r="B2264" t="inlineStr">
        <x:is>
          <x:t xml:space="preserve">EPDM ESPESOR 3/16” (4.7MM) ANCHO 1MT</x:t>
        </x:is>
      </x:c>
      <x:c r="E2264" t="n">
        <x:v>41.8</x:v>
      </x:c>
    </x:row>
    <x:row r="2265">
      <x:c r="A2265" t="inlineStr">
        <x:is>
          <x:t xml:space="preserve">PDTSEF001045</x:t>
        </x:is>
      </x:c>
      <x:c r="B2265" t="inlineStr">
        <x:is>
          <x:t xml:space="preserve">EPDM ESPESOR 3/8” (9.6 MM) ANCHO 1MT</x:t>
        </x:is>
      </x:c>
      <x:c r="E2265" t="n">
        <x:v>49.5</x:v>
      </x:c>
    </x:row>
    <x:row r="2266">
      <x:c r="A2266" t="inlineStr">
        <x:is>
          <x:t xml:space="preserve">PDTSEF001046</x:t>
        </x:is>
      </x:c>
      <x:c r="B2266" t="inlineStr">
        <x:is>
          <x:t xml:space="preserve">BRIDA CIEGA MATERIAL PVC DN 1 PLG  ASME B16,5 PN 10 PTT060PVCDN1</x:t>
        </x:is>
      </x:c>
      <x:c r="E2266" t="n">
        <x:v>0</x:v>
      </x:c>
    </x:row>
    <x:row r="2267">
      <x:c r="A2267" t="inlineStr">
        <x:is>
          <x:t xml:space="preserve">PDTSEF001047</x:t>
        </x:is>
      </x:c>
      <x:c r="B2267" t="inlineStr">
        <x:is>
          <x:t xml:space="preserve">BRIDA CIEGA MATERIAL PVC DN 2 PLG  ASME B16,5 PN 10 PTT060PVCDN2</x:t>
        </x:is>
      </x:c>
      <x:c r="E2267" t="n">
        <x:v>0</x:v>
      </x:c>
    </x:row>
    <x:row r="2268">
      <x:c r="A2268" t="inlineStr">
        <x:is>
          <x:t xml:space="preserve">PDTSEF001048</x:t>
        </x:is>
      </x:c>
      <x:c r="B2268" t="inlineStr">
        <x:is>
          <x:t xml:space="preserve">FLANGE GIEGO PVC ANSI CLASE 150 DN 1.1/2</x:t>
        </x:is>
      </x:c>
      <x:c r="E2268" t="n">
        <x:v>0</x:v>
      </x:c>
    </x:row>
    <x:row r="2269">
      <x:c r="A2269" t="inlineStr">
        <x:is>
          <x:t xml:space="preserve">PDTSEF001049</x:t>
        </x:is>
      </x:c>
      <x:c r="B2269" t="inlineStr">
        <x:is>
          <x:t xml:space="preserve">4089996 MANTA TERMICA CALENTADOR AGUA PPT030MTT006</x:t>
        </x:is>
      </x:c>
      <x:c r="E2269" t="n">
        <x:v>0</x:v>
      </x:c>
    </x:row>
    <x:row r="2270">
      <x:c r="A2270" t="inlineStr">
        <x:is>
          <x:t xml:space="preserve">PDTSEF001050</x:t>
        </x:is>
      </x:c>
      <x:c r="B2270" t="inlineStr">
        <x:is>
          <x:t xml:space="preserve">4089990 MANTA TERMICA TUBO 8 PLG X 500 MM PPT030MTT000</x:t>
        </x:is>
      </x:c>
      <x:c r="E2270" t="n">
        <x:v>0</x:v>
      </x:c>
    </x:row>
    <x:row r="2271">
      <x:c r="A2271" t="inlineStr">
        <x:is>
          <x:t xml:space="preserve">PDTSEF001051</x:t>
        </x:is>
      </x:c>
      <x:c r="B2271" t="inlineStr">
        <x:is>
          <x:t xml:space="preserve">4089993 CODO TERMICO 90° 8 PLG PPT030MTT003</x:t>
        </x:is>
      </x:c>
      <x:c r="E2271" t="n">
        <x:v>0</x:v>
      </x:c>
    </x:row>
    <x:row r="2272">
      <x:c r="A2272" t="inlineStr">
        <x:is>
          <x:t xml:space="preserve">PDTSEF001052</x:t>
        </x:is>
      </x:c>
      <x:c r="B2272" t="inlineStr">
        <x:is>
          <x:t xml:space="preserve">4086780MANTA IGNIFUGA 2000MM X 2000 MM PPT030MIG000</x:t>
        </x:is>
      </x:c>
      <x:c r="E2272" t="n">
        <x:v>0</x:v>
      </x:c>
    </x:row>
    <x:row r="2273">
      <x:c r="A2273" t="inlineStr">
        <x:is>
          <x:t xml:space="preserve">PDTSEF001053</x:t>
        </x:is>
      </x:c>
      <x:c r="B2273" t="inlineStr">
        <x:is>
          <x:t xml:space="preserve">4089995 TEE TERMICA REDUCCION  8 X 6 PLG PPT030MTT005</x:t>
        </x:is>
      </x:c>
      <x:c r="E2273" t="n">
        <x:v>0</x:v>
      </x:c>
    </x:row>
    <x:row r="2274">
      <x:c r="A2274" t="inlineStr">
        <x:is>
          <x:t xml:space="preserve">PDTSEF001054</x:t>
        </x:is>
      </x:c>
      <x:c r="B2274" t="inlineStr">
        <x:is>
          <x:t xml:space="preserve">4089991 MANTA TERMICA TUBO 8 PLG X 1000 MM  PPT030MTT001</x:t>
        </x:is>
      </x:c>
      <x:c r="E2274" t="n">
        <x:v>0</x:v>
      </x:c>
    </x:row>
    <x:row r="2275">
      <x:c r="A2275" t="inlineStr">
        <x:is>
          <x:t xml:space="preserve">PDTSEF001055</x:t>
        </x:is>
      </x:c>
      <x:c r="B2275" t="inlineStr">
        <x:is>
          <x:t xml:space="preserve">4089994 TEE TERMICA 8 PLG PPT030MTT004</x:t>
        </x:is>
      </x:c>
      <x:c r="E2275" t="n">
        <x:v>0</x:v>
      </x:c>
    </x:row>
    <x:row r="2276">
      <x:c r="A2276" t="inlineStr">
        <x:is>
          <x:t xml:space="preserve">PDTSEF001056</x:t>
        </x:is>
      </x:c>
      <x:c r="B2276" t="inlineStr">
        <x:is>
          <x:t xml:space="preserve">4089992 MANTA TERMICA TUBO 2000 MM PPT030MTT002</x:t>
        </x:is>
      </x:c>
      <x:c r="E2276" t="n">
        <x:v>0</x:v>
      </x:c>
    </x:row>
    <x:row r="2277">
      <x:c r="A2277" t="inlineStr">
        <x:is>
          <x:t xml:space="preserve">PDTSEF001057</x:t>
        </x:is>
      </x:c>
      <x:c r="B2277" t="inlineStr">
        <x:is>
          <x:t xml:space="preserve">4089997 MANTA TERMICA INTERCAMBIADOR  DE CALOR PPT030MTT007</x:t>
        </x:is>
      </x:c>
      <x:c r="E2277" t="n">
        <x:v>8</x:v>
      </x:c>
    </x:row>
    <x:row r="2278">
      <x:c r="A2278" t="inlineStr">
        <x:is>
          <x:t xml:space="preserve">PDTSEF001058</x:t>
        </x:is>
      </x:c>
      <x:c r="B2278" t="inlineStr">
        <x:is>
          <x:t xml:space="preserve">COPLA TRANSICION PVC DN 32 X 1 PLG MARCA GF COD 721913108</x:t>
        </x:is>
      </x:c>
      <x:c r="E2278" t="n">
        <x:v>0</x:v>
      </x:c>
    </x:row>
    <x:row r="2279">
      <x:c r="A2279" t="inlineStr">
        <x:is>
          <x:t xml:space="preserve">PDTSEF001059</x:t>
        </x:is>
      </x:c>
      <x:c r="B2279" t="inlineStr">
        <x:is>
          <x:t xml:space="preserve">COPLA TRANSICION PVC DN 40 X 1 .1/4  PLG MARCA GF COD 72191309</x:t>
        </x:is>
      </x:c>
      <x:c r="E2279" t="n">
        <x:v>0</x:v>
      </x:c>
    </x:row>
    <x:row r="2280">
      <x:c r="A2280" t="inlineStr">
        <x:is>
          <x:t xml:space="preserve">PDTSEF001060</x:t>
        </x:is>
      </x:c>
      <x:c r="B2280" t="inlineStr">
        <x:is>
          <x:t xml:space="preserve">EMPAQUETADURA DE EPDM 6 MM Y KIT ELEMENTOS FIJACION FLANGE DN500  PPT22KITEPDKI</x:t>
        </x:is>
      </x:c>
      <x:c r="E2280" t="n">
        <x:v>0</x:v>
      </x:c>
    </x:row>
    <x:row r="2281">
      <x:c r="A2281" t="inlineStr">
        <x:is>
          <x:t xml:space="preserve">PDTSEF001061</x:t>
        </x:is>
      </x:c>
      <x:c r="B2281" t="inlineStr">
        <x:is>
          <x:t xml:space="preserve">VALVULA CONO MATERIAL PVC DN 4 PN 16 PTT022VALPDN4</x:t>
        </x:is>
      </x:c>
      <x:c r="E2281" t="n">
        <x:v>0</x:v>
      </x:c>
    </x:row>
    <x:row r="2282">
      <x:c r="A2282" t="inlineStr">
        <x:is>
          <x:t xml:space="preserve">PDTSEF001062</x:t>
        </x:is>
      </x:c>
      <x:c r="B2282" t="inlineStr">
        <x:is>
          <x:t xml:space="preserve">4217311 EMPAQUETADURA AJUSTE VITON B 6X800MM</x:t>
        </x:is>
      </x:c>
      <x:c r="E2282" t="n">
        <x:v>12</x:v>
      </x:c>
    </x:row>
    <x:row r="2283">
      <x:c r="A2283" t="inlineStr">
        <x:is>
          <x:t xml:space="preserve">PDTSEF001063</x:t>
        </x:is>
      </x:c>
      <x:c r="B2283" t="inlineStr">
        <x:is>
          <x:t xml:space="preserve">4217312 EMPAQUETADURA AJUSTE VITON B 6X1170 MM PTTP022VTB01</x:t>
        </x:is>
      </x:c>
      <x:c r="E2283" t="n">
        <x:v>24</x:v>
      </x:c>
    </x:row>
    <x:row r="2284">
      <x:c r="A2284" t="inlineStr">
        <x:is>
          <x:t xml:space="preserve">PDTSEF001064</x:t>
        </x:is>
      </x:c>
      <x:c r="B2284" t="inlineStr">
        <x:is>
          <x:t xml:space="preserve">VALVULA DE MARIPOSA DN4 C/ACTUADOR MODELO 567</x:t>
        </x:is>
      </x:c>
      <x:c r="E2284" t="n">
        <x:v>3</x:v>
      </x:c>
    </x:row>
    <x:row r="2285">
      <x:c r="A2285" t="inlineStr">
        <x:is>
          <x:t xml:space="preserve">PDTSEF001065</x:t>
        </x:is>
      </x:c>
      <x:c r="B2285" t="inlineStr">
        <x:is>
          <x:t xml:space="preserve">ROTAMETRO VAFM 1500L/H 335 PVC-U/EPDM D40DN32 COD:19933500 MARCA GF PPT199335000</x:t>
        </x:is>
      </x:c>
      <x:c r="E2285" t="n">
        <x:v>1</x:v>
      </x:c>
    </x:row>
    <x:row r="2286">
      <x:c r="A2286" t="inlineStr">
        <x:is>
          <x:t xml:space="preserve">PDTSEF001066</x:t>
        </x:is>
      </x:c>
      <x:c r="B2286" t="inlineStr">
        <x:is>
          <x:t xml:space="preserve">4029398 KIT EMPAQ.TRENZADA  430 3/4 6 ANILLOS</x:t>
        </x:is>
      </x:c>
      <x:c r="E2286" t="n">
        <x:v>3</x:v>
      </x:c>
    </x:row>
    <x:row r="2287">
      <x:c r="A2287" t="inlineStr">
        <x:is>
          <x:t xml:space="preserve">PDTSEF001067</x:t>
        </x:is>
      </x:c>
      <x:c r="B2287" t="inlineStr">
        <x:is>
          <x:t xml:space="preserve">EPDM ESPESOR 5/16” (7.9 MM) ANCHO 1MT</x:t>
        </x:is>
      </x:c>
      <x:c r="E2287" t="n">
        <x:v>0</x:v>
      </x:c>
    </x:row>
    <x:row r="2288">
      <x:c r="A2288" t="inlineStr">
        <x:is>
          <x:t xml:space="preserve">PDTVULACC001</x:t>
        </x:is>
      </x:c>
      <x:c r="B2288" t="inlineStr">
        <x:is>
          <x:t xml:space="preserve">ANILLO RETENEDOR 8 PLG WS8009E62  CORTE Y ZINCADO</x:t>
        </x:is>
      </x:c>
      <x:c r="E2288" t="n">
        <x:v>0</x:v>
      </x:c>
    </x:row>
    <x:row r="2289">
      <x:c r="A2289" t="inlineStr">
        <x:is>
          <x:t xml:space="preserve">PDTVULACC002</x:t>
        </x:is>
      </x:c>
      <x:c r="B2289" t="inlineStr">
        <x:is>
          <x:t xml:space="preserve">ANILLO RETENEDOR 3 PLG WS3009E62  CORTE Y ZINCADO</x:t>
        </x:is>
      </x:c>
      <x:c r="E2289" t="n">
        <x:v>0</x:v>
      </x:c>
    </x:row>
    <x:row r="2290">
      <x:c r="A2290" t="inlineStr">
        <x:is>
          <x:t xml:space="preserve">PDTVULACC003</x:t>
        </x:is>
      </x:c>
      <x:c r="B2290" t="inlineStr">
        <x:is>
          <x:t xml:space="preserve">ANILLO RETENEDOR 4 PLG WS4009E62  CORTE Y ZINCADO</x:t>
        </x:is>
      </x:c>
      <x:c r="E2290" t="n">
        <x:v>0</x:v>
      </x:c>
    </x:row>
    <x:row r="2291">
      <x:c r="A2291" t="inlineStr">
        <x:is>
          <x:t xml:space="preserve">PDTVULACC004</x:t>
        </x:is>
      </x:c>
      <x:c r="B2291" t="inlineStr">
        <x:is>
          <x:t xml:space="preserve">ANILLO RETENEDOR 10 PLG WS10009E62  CORTE Y ZINCADO</x:t>
        </x:is>
      </x:c>
      <x:c r="E2291" t="n">
        <x:v>0</x:v>
      </x:c>
    </x:row>
    <x:row r="2292">
      <x:c r="A2292" t="inlineStr">
        <x:is>
          <x:t xml:space="preserve">PDTVULACC005</x:t>
        </x:is>
      </x:c>
      <x:c r="B2292" t="inlineStr">
        <x:is>
          <x:t xml:space="preserve">ANILLO RETENEDOR 6 PLG WS6009E62  CORTE Y ZINCADO</x:t>
        </x:is>
      </x:c>
      <x:c r="E2292" t="n">
        <x:v>0</x:v>
      </x:c>
    </x:row>
    <x:row r="2293">
      <x:c r="A2293" t="inlineStr">
        <x:is>
          <x:t xml:space="preserve">PDTVULACC006</x:t>
        </x:is>
      </x:c>
      <x:c r="B2293" t="inlineStr">
        <x:is>
          <x:t xml:space="preserve">ANILLO RETENEDOR 12 PLG WS12009E62  CORTE Y ZINCADO</x:t>
        </x:is>
      </x:c>
      <x:c r="E2293" t="n">
        <x:v>0</x:v>
      </x:c>
    </x:row>
    <x:row r="2294">
      <x:c r="A2294" t="inlineStr">
        <x:is>
          <x:t xml:space="preserve">PDTVULACC007</x:t>
        </x:is>
      </x:c>
      <x:c r="B2294" t="inlineStr">
        <x:is>
          <x:t xml:space="preserve">ANILLO RETENEDOR 14 PLG WS14009E62  CORTE Y ZINCADO</x:t>
        </x:is>
      </x:c>
      <x:c r="E2294" t="n">
        <x:v>0</x:v>
      </x:c>
    </x:row>
    <x:row r="2295">
      <x:c r="A2295" t="inlineStr">
        <x:is>
          <x:t xml:space="preserve">PDTVULACC008</x:t>
        </x:is>
      </x:c>
      <x:c r="B2295" t="inlineStr">
        <x:is>
          <x:t xml:space="preserve">ALMA FLANGE ALIMENTACION A3-112-134224</x:t>
        </x:is>
      </x:c>
      <x:c r="E2295" t="n">
        <x:v>0</x:v>
      </x:c>
    </x:row>
    <x:row r="2296">
      <x:c r="A2296" t="inlineStr">
        <x:is>
          <x:t xml:space="preserve">PDTVULACC009</x:t>
        </x:is>
      </x:c>
      <x:c r="B2296" t="inlineStr">
        <x:is>
          <x:t xml:space="preserve">ANILLO RETENEDOR V.CUCHILLO 6 PLG WS6009E62</x:t>
        </x:is>
      </x:c>
      <x:c r="E2296" t="n">
        <x:v>0</x:v>
      </x:c>
    </x:row>
    <x:row r="2297">
      <x:c r="A2297" t="inlineStr">
        <x:is>
          <x:t xml:space="preserve">PDTVULACC010</x:t>
        </x:is>
      </x:c>
      <x:c r="B2297" t="inlineStr">
        <x:is>
          <x:t xml:space="preserve">ALMA FLANGE ALIMENTACION A3-112-1-134224  CODIGO XX15029CVXA1E02</x:t>
        </x:is>
      </x:c>
      <x:c r="E2297" t="n">
        <x:v>0</x:v>
      </x:c>
    </x:row>
    <x:row r="2298">
      <x:c r="A2298" t="inlineStr">
        <x:is>
          <x:t xml:space="preserve">PDTVULACC011</x:t>
        </x:is>
      </x:c>
      <x:c r="B2298" t="inlineStr">
        <x:is>
          <x:t xml:space="preserve">ANILLO RETENEDOR V.CUCHILLO 4 PLG  WHP 500 B CODIGO WHP4009A37</x:t>
        </x:is>
      </x:c>
      <x:c r="E2298" t="n">
        <x:v>0</x:v>
      </x:c>
    </x:row>
    <x:row r="2299">
      <x:c r="A2299" t="inlineStr">
        <x:is>
          <x:t xml:space="preserve">PDTVULECO001</x:t>
        </x:is>
      </x:c>
      <x:c r="B2299" t="inlineStr">
        <x:is>
          <x:t xml:space="preserve">BGH 6X8 EMPAQUETADURA TAPA P.RODAMIENTO B060707500</x:t>
        </x:is>
      </x:c>
      <x:c r="E2299" t="n">
        <x:v>0</x:v>
      </x:c>
    </x:row>
    <x:row r="2300">
      <x:c r="A2300" t="inlineStr">
        <x:is>
          <x:t xml:space="preserve">PDTVULECO002</x:t>
        </x:is>
      </x:c>
      <x:c r="B2300" t="inlineStr">
        <x:is>
          <x:t xml:space="preserve">EMPAQUETADURA DESCARGA P/BBA FLOTANTE CÓDIGO B563420041</x:t>
        </x:is>
      </x:c>
      <x:c r="E2300" t="n">
        <x:v>2</x:v>
      </x:c>
    </x:row>
    <x:row r="2301">
      <x:c r="A2301" t="inlineStr">
        <x:is>
          <x:t xml:space="preserve">PDTVULECO003</x:t>
        </x:is>
      </x:c>
      <x:c r="B2301" t="inlineStr">
        <x:is>
          <x:t xml:space="preserve">EMPAQUETADURA DURLONM 9000 138X111X1/16 WEM95AP520G00</x:t>
        </x:is>
      </x:c>
      <x:c r="E2301" t="n">
        <x:v>0</x:v>
      </x:c>
    </x:row>
    <x:row r="2302">
      <x:c r="A2302" t="inlineStr">
        <x:is>
          <x:t xml:space="preserve">PDTVULECO004</x:t>
        </x:is>
      </x:c>
      <x:c r="B2302" t="inlineStr">
        <x:is>
          <x:t xml:space="preserve">GASKET DISCHARGE ASH 2.1/2X2 G667 A410127062</x:t>
        </x:is>
      </x:c>
      <x:c r="E2302" t="n">
        <x:v>1</x:v>
      </x:c>
    </x:row>
    <x:row r="2303">
      <x:c r="A2303" t="inlineStr">
        <x:is>
          <x:t xml:space="preserve">PDTVULECO005</x:t>
        </x:is>
      </x:c>
      <x:c r="B2303" t="inlineStr">
        <x:is>
          <x:t xml:space="preserve">ANILLO SELLO VITON  DIAM 26/12X3.2 MM 7672AA0011</x:t>
        </x:is>
      </x:c>
      <x:c r="E2303" t="n">
        <x:v>0</x:v>
      </x:c>
    </x:row>
    <x:row r="2304">
      <x:c r="A2304" t="inlineStr">
        <x:is>
          <x:t xml:space="preserve">PDTVULECO006</x:t>
        </x:is>
      </x:c>
      <x:c r="B2304" t="inlineStr">
        <x:is>
          <x:t xml:space="preserve">EMPAQUETADURA FLG DIA6 PLG ESP. 3 MM NEOP 113EA0011</x:t>
        </x:is>
      </x:c>
      <x:c r="E2304" t="n">
        <x:v>0</x:v>
      </x:c>
    </x:row>
    <x:row r="2305">
      <x:c r="A2305" t="inlineStr">
        <x:is>
          <x:t xml:space="preserve">PDTVULECO007</x:t>
        </x:is>
      </x:c>
      <x:c r="B2305" t="inlineStr">
        <x:is>
          <x:t xml:space="preserve">EMPAQUETADURA TAPA PORTA ROD. L.IMPULSOR ASH 8ME A820155100</x:t>
        </x:is>
      </x:c>
      <x:c r="E2305" t="n">
        <x:v>4</x:v>
      </x:c>
    </x:row>
    <x:row r="2306">
      <x:c r="A2306" t="inlineStr">
        <x:is>
          <x:t xml:space="preserve">PDTVULECO008</x:t>
        </x:is>
      </x:c>
      <x:c r="B2306" t="inlineStr">
        <x:is>
          <x:t xml:space="preserve">BMA31-10 EMPHENOL CONNECTOR SEALING VITON</x:t>
        </x:is>
      </x:c>
      <x:c r="E2306" t="n">
        <x:v>0</x:v>
      </x:c>
    </x:row>
    <x:row r="2307">
      <x:c r="A2307" t="inlineStr">
        <x:is>
          <x:t xml:space="preserve">PDTVULECO009</x:t>
        </x:is>
      </x:c>
      <x:c r="B2307" t="inlineStr">
        <x:is>
          <x:t xml:space="preserve">EMPAQ.DESC.15-ME/MG 10X5X0.12 P/N 33997 A840127061</x:t>
        </x:is>
      </x:c>
      <x:c r="E2307" t="n">
        <x:v>0</x:v>
      </x:c>
    </x:row>
    <x:row r="2308">
      <x:c r="A2308" t="inlineStr">
        <x:is>
          <x:t xml:space="preserve">PDTVULTEF002</x:t>
        </x:is>
      </x:c>
      <x:c r="B2308" t="inlineStr">
        <x:is>
          <x:t xml:space="preserve">ASH 2X1.1/2 SRH ANILLO  HIDRAULICO 32 A400132001</x:t>
        </x:is>
      </x:c>
      <x:c r="E2308" t="n">
        <x:v>11</x:v>
      </x:c>
    </x:row>
    <x:row r="2309">
      <x:c r="A2309" t="inlineStr">
        <x:is>
          <x:t xml:space="preserve">PDTVULTEF003</x:t>
        </x:is>
      </x:c>
      <x:c r="B2309" t="inlineStr">
        <x:is>
          <x:t xml:space="preserve">ASH 2X1.1/2 SRC EMPAQUETADURA 43 A400143000</x:t>
        </x:is>
      </x:c>
      <x:c r="E2309" t="n">
        <x:v>0</x:v>
      </x:c>
    </x:row>
    <x:row r="2310">
      <x:c r="A2310" t="inlineStr">
        <x:is>
          <x:t xml:space="preserve">PDTVULTEF004</x:t>
        </x:is>
      </x:c>
      <x:c r="B2310" t="inlineStr">
        <x:is>
          <x:t xml:space="preserve">ASH 2.1/2X2 SRH ANILLO  HIDRAULICO 32 A410132001</x:t>
        </x:is>
      </x:c>
      <x:c r="E2310" t="n">
        <x:v>10</x:v>
      </x:c>
    </x:row>
    <x:row r="2311">
      <x:c r="A2311" t="inlineStr">
        <x:is>
          <x:t xml:space="preserve">PDTVULTEF005</x:t>
        </x:is>
      </x:c>
      <x:c r="B2311" t="inlineStr">
        <x:is>
          <x:t xml:space="preserve">BGH 3X4 ANILLO LINTERNA B030771100</x:t>
        </x:is>
      </x:c>
      <x:c r="E2311" t="n">
        <x:v>0</x:v>
      </x:c>
    </x:row>
    <x:row r="2312">
      <x:c r="A2312" t="inlineStr">
        <x:is>
          <x:t xml:space="preserve">PDTVULTEF006</x:t>
        </x:is>
      </x:c>
      <x:c r="B2312" t="inlineStr">
        <x:is>
          <x:t xml:space="preserve">ASH 4X3 SRC  ANILLO HIDRAULICO 32 A420132001</x:t>
        </x:is>
      </x:c>
      <x:c r="E2312" t="n">
        <x:v>39</x:v>
      </x:c>
    </x:row>
    <x:row r="2313">
      <x:c r="A2313" t="inlineStr">
        <x:is>
          <x:t xml:space="preserve">PDTVULTEF007</x:t>
        </x:is>
      </x:c>
      <x:c r="B2313" t="inlineStr">
        <x:is>
          <x:t xml:space="preserve">ASH 4X3 SRH EMPAQUETADURA 43 A420143000</x:t>
        </x:is>
      </x:c>
      <x:c r="E2313" t="n">
        <x:v>0</x:v>
      </x:c>
    </x:row>
    <x:row r="2314">
      <x:c r="A2314" t="inlineStr">
        <x:is>
          <x:t xml:space="preserve">PDTVULTEF008</x:t>
        </x:is>
      </x:c>
      <x:c r="B2314" t="inlineStr">
        <x:is>
          <x:t xml:space="preserve">ASH 5X4 ANILLO HIDRAULICO 32 A430132001</x:t>
        </x:is>
      </x:c>
      <x:c r="E2314" t="n">
        <x:v>8</x:v>
      </x:c>
    </x:row>
    <x:row r="2315">
      <x:c r="A2315" t="inlineStr">
        <x:is>
          <x:t xml:space="preserve">PDTVULTEF009</x:t>
        </x:is>
      </x:c>
      <x:c r="B2315" t="inlineStr">
        <x:is>
          <x:t xml:space="preserve">ASH 5X4 SRH EMPAQUETADURA 43 A430143000</x:t>
        </x:is>
      </x:c>
      <x:c r="E2315" t="n">
        <x:v>0</x:v>
      </x:c>
    </x:row>
    <x:row r="2316">
      <x:c r="A2316" t="inlineStr">
        <x:is>
          <x:t xml:space="preserve">PDTVULTEF010</x:t>
        </x:is>
      </x:c>
      <x:c r="B2316" t="inlineStr">
        <x:is>
          <x:t xml:space="preserve">ASH 5X4 SRH ANILLO HIDRAULICO 32 A430232001</x:t>
        </x:is>
      </x:c>
      <x:c r="E2316" t="n">
        <x:v>38</x:v>
      </x:c>
    </x:row>
    <x:row r="2317">
      <x:c r="A2317" t="inlineStr">
        <x:is>
          <x:t xml:space="preserve">PDTVULTEF011</x:t>
        </x:is>
      </x:c>
      <x:c r="B2317" t="inlineStr">
        <x:is>
          <x:t xml:space="preserve">ASH 6X6 SRC ANILLO HIDRAULICO 32 A440132001</x:t>
        </x:is>
      </x:c>
      <x:c r="E2317" t="n">
        <x:v>47</x:v>
      </x:c>
    </x:row>
    <x:row r="2318">
      <x:c r="A2318" t="inlineStr">
        <x:is>
          <x:t xml:space="preserve">PDTVULTEF012</x:t>
        </x:is>
      </x:c>
      <x:c r="B2318" t="inlineStr">
        <x:is>
          <x:t xml:space="preserve">ASH 6X6 SRH ANILLO HIDRAULICO 32 A440232001</x:t>
        </x:is>
      </x:c>
      <x:c r="E2318" t="n">
        <x:v>124</x:v>
      </x:c>
    </x:row>
    <x:row r="2319">
      <x:c r="A2319" t="inlineStr">
        <x:is>
          <x:t xml:space="preserve">PDTVULTEF013</x:t>
        </x:is>
      </x:c>
      <x:c r="B2319" t="inlineStr">
        <x:is>
          <x:t xml:space="preserve">ASH 6X6 SRH  EMPAQUETADURA 43 A440143000</x:t>
        </x:is>
      </x:c>
      <x:c r="E2319" t="n">
        <x:v>3</x:v>
      </x:c>
    </x:row>
    <x:row r="2320">
      <x:c r="A2320" t="inlineStr">
        <x:is>
          <x:t xml:space="preserve">PDTVULTEF014</x:t>
        </x:is>
      </x:c>
      <x:c r="B2320" t="inlineStr">
        <x:is>
          <x:t xml:space="preserve">ASH 8X8 SRC ANILLO HIDRAULICO 32 A450132001</x:t>
        </x:is>
      </x:c>
      <x:c r="E2320" t="n">
        <x:v>99</x:v>
      </x:c>
    </x:row>
    <x:row r="2321">
      <x:c r="A2321" t="inlineStr">
        <x:is>
          <x:t xml:space="preserve">PDTVULTEF015</x:t>
        </x:is>
      </x:c>
      <x:c r="B2321" t="inlineStr">
        <x:is>
          <x:t xml:space="preserve">ASH 8X8 SRH  EMPAQUETADURA 43 A450143000</x:t>
        </x:is>
      </x:c>
      <x:c r="E2321" t="n">
        <x:v>12</x:v>
      </x:c>
    </x:row>
    <x:row r="2322">
      <x:c r="A2322" t="inlineStr">
        <x:is>
          <x:t xml:space="preserve">PDTVULTEF016</x:t>
        </x:is>
      </x:c>
      <x:c r="B2322" t="inlineStr">
        <x:is>
          <x:t xml:space="preserve">ASH 10X10 SRC ANILLO HIDRAULICO 32 A460132001</x:t>
        </x:is>
      </x:c>
      <x:c r="E2322" t="n">
        <x:v>28</x:v>
      </x:c>
    </x:row>
    <x:row r="2323">
      <x:c r="A2323" t="inlineStr">
        <x:is>
          <x:t xml:space="preserve">PDTVULTEF017</x:t>
        </x:is>
      </x:c>
      <x:c r="B2323" t="inlineStr">
        <x:is>
          <x:t xml:space="preserve">ASH 10X10 SRC ANILLO HIDRAULICO 32 500 PSI A460132002</x:t>
        </x:is>
      </x:c>
      <x:c r="E2323" t="n">
        <x:v>0</x:v>
      </x:c>
    </x:row>
    <x:row r="2324">
      <x:c r="A2324" t="inlineStr">
        <x:is>
          <x:t xml:space="preserve">PDTVULTEF018</x:t>
        </x:is>
      </x:c>
      <x:c r="B2324" t="inlineStr">
        <x:is>
          <x:t xml:space="preserve">ASH 10X10 SRH  EMPAQUETADURA 43   A460143000</x:t>
        </x:is>
      </x:c>
      <x:c r="E2324" t="n">
        <x:v>24</x:v>
      </x:c>
    </x:row>
    <x:row r="2325">
      <x:c r="A2325" t="inlineStr">
        <x:is>
          <x:t xml:space="preserve">PDTVULTEF019</x:t>
        </x:is>
      </x:c>
      <x:c r="B2325" t="inlineStr">
        <x:is>
          <x:t xml:space="preserve">ASH 14X12 SRC ANILLO HIDRAULICO 32  A470132001</x:t>
        </x:is>
      </x:c>
      <x:c r="E2325" t="n">
        <x:v>52</x:v>
      </x:c>
    </x:row>
    <x:row r="2326">
      <x:c r="A2326" t="inlineStr">
        <x:is>
          <x:t xml:space="preserve">PDTVULTEF020</x:t>
        </x:is>
      </x:c>
      <x:c r="B2326" t="inlineStr">
        <x:is>
          <x:t xml:space="preserve">ASH 14X12 SRC EMPAQUETADURA 43 A470143000</x:t>
        </x:is>
      </x:c>
      <x:c r="E2326" t="n">
        <x:v>0</x:v>
      </x:c>
    </x:row>
    <x:row r="2327">
      <x:c r="A2327" t="inlineStr">
        <x:is>
          <x:t xml:space="preserve">PDTVULTEF021</x:t>
        </x:is>
      </x:c>
      <x:c r="B2327" t="inlineStr">
        <x:is>
          <x:t xml:space="preserve">ASH 16X14 SRH ANILLO HIDRAULICO 32  A480232001</x:t>
        </x:is>
      </x:c>
      <x:c r="E2327" t="n">
        <x:v>0</x:v>
      </x:c>
    </x:row>
    <x:row r="2328">
      <x:c r="A2328" t="inlineStr">
        <x:is>
          <x:t xml:space="preserve">PDTVULTEF022</x:t>
        </x:is>
      </x:c>
      <x:c r="B2328" t="inlineStr">
        <x:is>
          <x:t xml:space="preserve">ASH 16X14 SRC  EMPAQUETADURA 43 A480143000</x:t>
        </x:is>
      </x:c>
      <x:c r="E2328" t="n">
        <x:v>0</x:v>
      </x:c>
    </x:row>
    <x:row r="2329">
      <x:c r="A2329" t="inlineStr">
        <x:is>
          <x:t xml:space="preserve">PDTVULTEF023</x:t>
        </x:is>
      </x:c>
      <x:c r="B2329" t="inlineStr">
        <x:is>
          <x:t xml:space="preserve">ASH 18X16 SRH ANILLO HIDRAULICO 32  A490232001</x:t>
        </x:is>
      </x:c>
      <x:c r="E2329" t="n">
        <x:v>85</x:v>
      </x:c>
    </x:row>
    <x:row r="2330">
      <x:c r="A2330" t="inlineStr">
        <x:is>
          <x:t xml:space="preserve">PDTVULTEF024</x:t>
        </x:is>
      </x:c>
      <x:c r="B2330" t="inlineStr">
        <x:is>
          <x:t xml:space="preserve">ASH 18X16 SRC  EMPAQUETADURA 43 A490143000</x:t>
        </x:is>
      </x:c>
      <x:c r="E2330" t="n">
        <x:v>0</x:v>
      </x:c>
    </x:row>
    <x:row r="2331">
      <x:c r="A2331" t="inlineStr">
        <x:is>
          <x:t xml:space="preserve">PDTVULTEF025</x:t>
        </x:is>
      </x:c>
      <x:c r="B2331" t="inlineStr">
        <x:is>
          <x:t xml:space="preserve">ASH 26X24 SRC ANILLO HIDRAULICO N 32 A530132000</x:t>
        </x:is>
      </x:c>
      <x:c r="E2331" t="n">
        <x:v>11</x:v>
      </x:c>
    </x:row>
    <x:row r="2332">
      <x:c r="A2332" t="inlineStr">
        <x:is>
          <x:t xml:space="preserve">PDTVULTEF026</x:t>
        </x:is>
      </x:c>
      <x:c r="B2332" t="inlineStr">
        <x:is>
          <x:t xml:space="preserve">BGH 1.1/2X2 ANILLO LINTERNA B0103711000</x:t>
        </x:is>
      </x:c>
      <x:c r="E2332" t="n">
        <x:v>0</x:v>
      </x:c>
    </x:row>
    <x:row r="2333">
      <x:c r="A2333" t="inlineStr">
        <x:is>
          <x:t xml:space="preserve">PDTVULTEF027</x:t>
        </x:is>
      </x:c>
      <x:c r="B2333" t="inlineStr">
        <x:is>
          <x:t xml:space="preserve">BGH 2X2.1/2 ANILLO LINTERNA B0207711000</x:t>
        </x:is>
      </x:c>
      <x:c r="E2333" t="n">
        <x:v>0</x:v>
      </x:c>
    </x:row>
    <x:row r="2334">
      <x:c r="A2334" t="inlineStr">
        <x:is>
          <x:t xml:space="preserve">PDTVULTEF028</x:t>
        </x:is>
      </x:c>
      <x:c r="B2334" t="inlineStr">
        <x:is>
          <x:t xml:space="preserve">BGH 4X6 ANILLO LINTERNA B0407711000</x:t>
        </x:is>
      </x:c>
      <x:c r="E2334" t="n">
        <x:v>4</x:v>
      </x:c>
    </x:row>
    <x:row r="2335">
      <x:c r="A2335" t="inlineStr">
        <x:is>
          <x:t xml:space="preserve">PDTVULTEF030</x:t>
        </x:is>
      </x:c>
      <x:c r="B2335" t="inlineStr">
        <x:is>
          <x:t xml:space="preserve">RESTRICTOR ANILLO LINTERNA B118-1P50  A3-110-104001 R.5</x:t>
        </x:is>
      </x:c>
      <x:c r="E2335" t="n">
        <x:v>0</x:v>
      </x:c>
    </x:row>
    <x:row r="2336">
      <x:c r="A2336" t="inlineStr">
        <x:is>
          <x:t xml:space="preserve">PDTVULTEF031</x:t>
        </x:is>
      </x:c>
      <x:c r="B2336" t="inlineStr">
        <x:is>
          <x:t xml:space="preserve">100 DDA-SLM LANTER RING DDPT063P05</x:t>
        </x:is>
      </x:c>
      <x:c r="E2336" t="n">
        <x:v>0</x:v>
      </x:c>
    </x:row>
    <x:row r="2337">
      <x:c r="A2337" t="inlineStr">
        <x:is>
          <x:t xml:space="preserve">PDTVULTEF032</x:t>
        </x:is>
      </x:c>
      <x:c r="B2337" t="inlineStr">
        <x:is>
          <x:t xml:space="preserve">150 EA -SLM LANTER RING EPT063P05</x:t>
        </x:is>
      </x:c>
      <x:c r="E2337" t="n">
        <x:v>0</x:v>
      </x:c>
    </x:row>
    <x:row r="2338">
      <x:c r="A2338" t="inlineStr">
        <x:is>
          <x:t xml:space="preserve">PDTVULTEF033</x:t>
        </x:is>
      </x:c>
      <x:c r="B2338" t="inlineStr">
        <x:is>
          <x:t xml:space="preserve">RESTRICTOR ANILLO LINTERNA F118-1P50</x:t>
        </x:is>
      </x:c>
      <x:c r="E2338" t="n">
        <x:v>0</x:v>
      </x:c>
    </x:row>
    <x:row r="2339">
      <x:c r="A2339" t="inlineStr">
        <x:is>
          <x:t xml:space="preserve">PDTVULTEF034</x:t>
        </x:is>
      </x:c>
      <x:c r="B2339" t="inlineStr">
        <x:is>
          <x:t xml:space="preserve">200 FA-SLR LANTER RING FPT063P050</x:t>
        </x:is>
      </x:c>
      <x:c r="E2339" t="n">
        <x:v>0</x:v>
      </x:c>
    </x:row>
    <x:row r="2340">
      <x:c r="A2340" t="inlineStr">
        <x:is>
          <x:t xml:space="preserve">PDTVULTEF035</x:t>
        </x:is>
      </x:c>
      <x:c r="B2340" t="inlineStr">
        <x:is>
          <x:t xml:space="preserve">LANTERN RING 47137</x:t>
        </x:is>
      </x:c>
      <x:c r="E2340" t="n">
        <x:v>0</x:v>
      </x:c>
    </x:row>
    <x:row r="2341">
      <x:c r="A2341" t="inlineStr">
        <x:is>
          <x:t xml:space="preserve">PDTVULTEF036</x:t>
        </x:is>
      </x:c>
      <x:c r="B2341" t="inlineStr">
        <x:is>
          <x:t xml:space="preserve">RESTRICTOR ANILLO LINTERNA G118-1P50</x:t>
        </x:is>
      </x:c>
      <x:c r="E2341" t="n">
        <x:v>0</x:v>
      </x:c>
    </x:row>
    <x:row r="2342">
      <x:c r="A2342" t="inlineStr">
        <x:is>
          <x:t xml:space="preserve">PDTVULTEF037</x:t>
        </x:is>
      </x:c>
      <x:c r="B2342" t="inlineStr">
        <x:is>
          <x:t xml:space="preserve">GOLILLA BGV5000 40/50 IMPELLER WASHER V610046000</x:t>
        </x:is>
      </x:c>
      <x:c r="E2342" t="n">
        <x:v>0</x:v>
      </x:c>
    </x:row>
    <x:row r="2343">
      <x:c r="A2343" t="inlineStr">
        <x:is>
          <x:t xml:space="preserve">PDTVULTEF038</x:t>
        </x:is>
      </x:c>
      <x:c r="B2343" t="inlineStr">
        <x:is>
          <x:t xml:space="preserve">GOLILLA BGV5000 80  IMPELLER WASHER V630046000</x:t>
        </x:is>
      </x:c>
      <x:c r="E2343" t="n">
        <x:v>0</x:v>
      </x:c>
    </x:row>
    <x:row r="2344">
      <x:c r="A2344" t="inlineStr">
        <x:is>
          <x:t xml:space="preserve">PDTVULTEF039</x:t>
        </x:is>
      </x:c>
      <x:c r="B2344" t="inlineStr">
        <x:is>
          <x:t xml:space="preserve">ASH 2.1/2X2 SRH EMPAQUETADURA N 43 A410143000</x:t>
        </x:is>
      </x:c>
      <x:c r="E2344" t="n">
        <x:v>0</x:v>
      </x:c>
    </x:row>
    <x:row r="2345">
      <x:c r="A2345" t="inlineStr">
        <x:is>
          <x:t xml:space="preserve">PDTVULTEF040</x:t>
        </x:is>
      </x:c>
      <x:c r="B2345" t="inlineStr">
        <x:is>
          <x:t xml:space="preserve">ASH 18X16 SRH ANILLO HIDRAULICO 32  TRIXALON NEGRO  A490232004</x:t>
        </x:is>
      </x:c>
      <x:c r="E2345" t="n">
        <x:v>2</x:v>
      </x:c>
    </x:row>
    <x:row r="2346">
      <x:c r="A2346" t="inlineStr">
        <x:is>
          <x:t xml:space="preserve">PDTVULTEF041</x:t>
        </x:is>
      </x:c>
      <x:c r="B2346" t="inlineStr">
        <x:is>
          <x:t xml:space="preserve">ASH 16X14 ANILLO HIDRAULICO N 32 A480132000</x:t>
        </x:is>
      </x:c>
      <x:c r="E2346" t="n">
        <x:v>2</x:v>
      </x:c>
    </x:row>
    <x:row r="2347">
      <x:c r="A2347" t="inlineStr">
        <x:is>
          <x:t xml:space="preserve">PDTVULTEF042</x:t>
        </x:is>
      </x:c>
      <x:c r="B2347" t="inlineStr">
        <x:is>
          <x:t xml:space="preserve">BGH 6X8 ANILLO LINTERNA B060722000</x:t>
        </x:is>
      </x:c>
      <x:c r="E2347" t="n">
        <x:v>3</x:v>
      </x:c>
    </x:row>
    <x:row r="2348">
      <x:c r="A2348" t="inlineStr">
        <x:is>
          <x:t xml:space="preserve">PDTVULTEF043</x:t>
        </x:is>
      </x:c>
      <x:c r="B2348" t="inlineStr">
        <x:is>
          <x:t xml:space="preserve">BGH 8 X 10 ANILLO HIDRAULICO B070730000</x:t>
        </x:is>
      </x:c>
      <x:c r="E2348" t="n">
        <x:v>0</x:v>
      </x:c>
    </x:row>
    <x:row r="2349">
      <x:c r="A2349" t="inlineStr">
        <x:is>
          <x:t xml:space="preserve">PDTVULTRE001</x:t>
        </x:is>
      </x:c>
      <x:c r="B2349" t="inlineStr">
        <x:is>
          <x:t xml:space="preserve">ASH 2X1.1/2 SRC EMPAQUETADURA 35 A400135000</x:t>
        </x:is>
      </x:c>
      <x:c r="E2349" t="n">
        <x:v>0</x:v>
      </x:c>
    </x:row>
    <x:row r="2350">
      <x:c r="A2350" t="inlineStr">
        <x:is>
          <x:t xml:space="preserve">PDTVULTRE002</x:t>
        </x:is>
      </x:c>
      <x:c r="B2350" t="inlineStr">
        <x:is>
          <x:t xml:space="preserve">ASH 2X2 SRC EMPAQUETADURA 35 A410135000</x:t>
        </x:is>
      </x:c>
      <x:c r="E2350" t="n">
        <x:v>0</x:v>
      </x:c>
    </x:row>
    <x:row r="2351">
      <x:c r="A2351" t="inlineStr">
        <x:is>
          <x:t xml:space="preserve">PDTVULTRE003</x:t>
        </x:is>
      </x:c>
      <x:c r="B2351" t="inlineStr">
        <x:is>
          <x:t xml:space="preserve">ASH 2.1/2X2 SRH EMPAQUETADURA 35 A410235001</x:t>
        </x:is>
      </x:c>
      <x:c r="E2351" t="n">
        <x:v>0</x:v>
      </x:c>
    </x:row>
    <x:row r="2352">
      <x:c r="A2352" t="inlineStr">
        <x:is>
          <x:t xml:space="preserve">PDTVULTRE004</x:t>
        </x:is>
      </x:c>
      <x:c r="B2352" t="inlineStr">
        <x:is>
          <x:t xml:space="preserve">ASH 4X3 SRC  EMPAQUETADURA 35 A420135000</x:t>
        </x:is>
      </x:c>
      <x:c r="E2352" t="n">
        <x:v>9</x:v>
      </x:c>
    </x:row>
    <x:row r="2353">
      <x:c r="A2353" t="inlineStr">
        <x:is>
          <x:t xml:space="preserve">PDTVULTRE005</x:t>
        </x:is>
      </x:c>
      <x:c r="B2353" t="inlineStr">
        <x:is>
          <x:t xml:space="preserve">ASH 4X3 SRH  EMPAQUETADURA 35 A420235000</x:t>
        </x:is>
      </x:c>
      <x:c r="E2353" t="n">
        <x:v>4</x:v>
      </x:c>
    </x:row>
    <x:row r="2354">
      <x:c r="A2354" t="inlineStr">
        <x:is>
          <x:t xml:space="preserve">PDTVULTRE006</x:t>
        </x:is>
      </x:c>
      <x:c r="B2354" t="inlineStr">
        <x:is>
          <x:t xml:space="preserve">ASH 5X4 SRC  EMPAQUETADURA 35 A430135000</x:t>
        </x:is>
      </x:c>
      <x:c r="E2354" t="n">
        <x:v>0</x:v>
      </x:c>
    </x:row>
    <x:row r="2355">
      <x:c r="A2355" t="inlineStr">
        <x:is>
          <x:t xml:space="preserve">PDTVULTRE007</x:t>
        </x:is>
      </x:c>
      <x:c r="B2355" t="inlineStr">
        <x:is>
          <x:t xml:space="preserve">ASH 5X4 SRH  EMPAQUETADURA 35 A430235000</x:t>
        </x:is>
      </x:c>
      <x:c r="E2355" t="n">
        <x:v>34</x:v>
      </x:c>
    </x:row>
    <x:row r="2356">
      <x:c r="A2356" t="inlineStr">
        <x:is>
          <x:t xml:space="preserve">PDTVULTRE008</x:t>
        </x:is>
      </x:c>
      <x:c r="B2356" t="inlineStr">
        <x:is>
          <x:t xml:space="preserve">ASH 6X6 SRC  EMPAQUETADURA 35 A440135000</x:t>
        </x:is>
      </x:c>
      <x:c r="E2356" t="n">
        <x:v>2</x:v>
      </x:c>
    </x:row>
    <x:row r="2357">
      <x:c r="A2357" t="inlineStr">
        <x:is>
          <x:t xml:space="preserve">PDTVULTRE009</x:t>
        </x:is>
      </x:c>
      <x:c r="B2357" t="inlineStr">
        <x:is>
          <x:t xml:space="preserve">ASH 6X6 SRH  EMPAQUETADURA 35 A440235000</x:t>
        </x:is>
      </x:c>
      <x:c r="E2357" t="n">
        <x:v>0</x:v>
      </x:c>
    </x:row>
    <x:row r="2358">
      <x:c r="A2358" t="inlineStr">
        <x:is>
          <x:t xml:space="preserve">PDTVULTRE010</x:t>
        </x:is>
      </x:c>
      <x:c r="B2358" t="inlineStr">
        <x:is>
          <x:t xml:space="preserve">ASH 8X8 SRC  EMPAQUETADURA 35 A450135000</x:t>
        </x:is>
      </x:c>
      <x:c r="E2358" t="n">
        <x:v>21</x:v>
      </x:c>
    </x:row>
    <x:row r="2359">
      <x:c r="A2359" t="inlineStr">
        <x:is>
          <x:t xml:space="preserve">PDTVULTRE011</x:t>
        </x:is>
      </x:c>
      <x:c r="B2359" t="inlineStr">
        <x:is>
          <x:t xml:space="preserve">ASH 8X8 SRH  EMPAQUETADURA 35 A450235000</x:t>
        </x:is>
      </x:c>
      <x:c r="E2359" t="n">
        <x:v>26</x:v>
      </x:c>
    </x:row>
    <x:row r="2360">
      <x:c r="A2360" t="inlineStr">
        <x:is>
          <x:t xml:space="preserve">PDTVULTRE012</x:t>
        </x:is>
      </x:c>
      <x:c r="B2360" t="inlineStr">
        <x:is>
          <x:t xml:space="preserve">ASH 10X10 SRC  EMPAQUETADURA 35 A460135000</x:t>
        </x:is>
      </x:c>
      <x:c r="E2360" t="n">
        <x:v>1</x:v>
      </x:c>
    </x:row>
    <x:row r="2361">
      <x:c r="A2361" t="inlineStr">
        <x:is>
          <x:t xml:space="preserve">PDTVULTRE013</x:t>
        </x:is>
      </x:c>
      <x:c r="B2361" t="inlineStr">
        <x:is>
          <x:t xml:space="preserve">ASH 10X10 SRH  EMPAQUETADURA 35  500 PSI A460235001</x:t>
        </x:is>
      </x:c>
      <x:c r="E2361" t="n">
        <x:v>0</x:v>
      </x:c>
    </x:row>
    <x:row r="2362">
      <x:c r="A2362" t="inlineStr">
        <x:is>
          <x:t xml:space="preserve">PDTVULTRE014</x:t>
        </x:is>
      </x:c>
      <x:c r="B2362" t="inlineStr">
        <x:is>
          <x:t xml:space="preserve">ASH 10X10 SRH  EMPAQUETADURA 35 A460235000</x:t>
        </x:is>
      </x:c>
      <x:c r="E2362" t="n">
        <x:v>0</x:v>
      </x:c>
    </x:row>
    <x:row r="2363">
      <x:c r="A2363" t="inlineStr">
        <x:is>
          <x:t xml:space="preserve">PDTVULTRE015</x:t>
        </x:is>
      </x:c>
      <x:c r="B2363" t="inlineStr">
        <x:is>
          <x:t xml:space="preserve">ASH 14X12 SRH ANILLO HIDRAULICO 35  A470135000</x:t>
        </x:is>
      </x:c>
      <x:c r="E2363" t="n">
        <x:v>7</x:v>
      </x:c>
    </x:row>
    <x:row r="2364">
      <x:c r="A2364" t="inlineStr">
        <x:is>
          <x:t xml:space="preserve">PDTVULTRE016</x:t>
        </x:is>
      </x:c>
      <x:c r="B2364" t="inlineStr">
        <x:is>
          <x:t xml:space="preserve">ASH 14X12 SRH EMPAQUETADURA 35 A470235000</x:t>
        </x:is>
      </x:c>
      <x:c r="E2364" t="n">
        <x:v>0</x:v>
      </x:c>
    </x:row>
    <x:row r="2365">
      <x:c r="A2365" t="inlineStr">
        <x:is>
          <x:t xml:space="preserve">PDTVULTRE018</x:t>
        </x:is>
      </x:c>
      <x:c r="B2365" t="inlineStr">
        <x:is>
          <x:t xml:space="preserve">ASH 16X14 SRC EMPAQUETADURA 35 A480135000</x:t>
        </x:is>
      </x:c>
      <x:c r="E2365" t="n">
        <x:v>6</x:v>
      </x:c>
    </x:row>
    <x:row r="2366">
      <x:c r="A2366" t="inlineStr">
        <x:is>
          <x:t xml:space="preserve">PDTVULTRE019</x:t>
        </x:is>
      </x:c>
      <x:c r="B2366" t="inlineStr">
        <x:is>
          <x:t xml:space="preserve">ASH 18X16 SRC  EMPAQUETADURA 35 A490135000</x:t>
        </x:is>
      </x:c>
      <x:c r="E2366" t="n">
        <x:v>0</x:v>
      </x:c>
    </x:row>
    <x:row r="2367">
      <x:c r="A2367" t="inlineStr">
        <x:is>
          <x:t xml:space="preserve">PDTVULTRE020</x:t>
        </x:is>
      </x:c>
      <x:c r="B2367" t="inlineStr">
        <x:is>
          <x:t xml:space="preserve">ASH 18X16 SRH  EMPAQUETADURA 35 A490235000</x:t>
        </x:is>
      </x:c>
      <x:c r="E2367" t="n">
        <x:v>0</x:v>
      </x:c>
    </x:row>
    <x:row r="2368">
      <x:c r="A2368" t="inlineStr">
        <x:is>
          <x:t xml:space="preserve">PDTVULTRE021</x:t>
        </x:is>
      </x:c>
      <x:c r="B2368" t="inlineStr">
        <x:is>
          <x:t xml:space="preserve">ASH MCH 450 EMPAQUETADURA 35 A530235000</x:t>
        </x:is>
      </x:c>
      <x:c r="E2368" t="n">
        <x:v>0</x:v>
      </x:c>
    </x:row>
    <x:row r="2369">
      <x:c r="A2369" t="inlineStr">
        <x:is>
          <x:t xml:space="preserve">PDTVULTRE022</x:t>
        </x:is>
      </x:c>
      <x:c r="B2369" t="inlineStr">
        <x:is>
          <x:t xml:space="preserve">ASH MCH 450 EMPAQUETADURA 35 A532235000</x:t>
        </x:is>
      </x:c>
      <x:c r="E2369" t="n">
        <x:v>0</x:v>
      </x:c>
    </x:row>
    <x:row r="2370">
      <x:c r="A2370" t="inlineStr">
        <x:is>
          <x:t xml:space="preserve">PDTVULTRE023</x:t>
        </x:is>
      </x:c>
      <x:c r="B2370" t="inlineStr">
        <x:is>
          <x:t xml:space="preserve">ASH MCH  EMPAQUETADURA 35 A535135000</x:t>
        </x:is>
      </x:c>
      <x:c r="E2370" t="n">
        <x:v>10</x:v>
      </x:c>
    </x:row>
    <x:row r="2371">
      <x:c r="A2371" t="inlineStr">
        <x:is>
          <x:t xml:space="preserve">PDTVULTRE024</x:t>
        </x:is>
      </x:c>
      <x:c r="B2371" t="inlineStr">
        <x:is>
          <x:t xml:space="preserve">550 C EMPAQUETADURA PRENSA ML02163 A543135000 (UMC55111Q05)</x:t>
        </x:is>
      </x:c>
      <x:c r="E2371" t="n">
        <x:v>0</x:v>
      </x:c>
    </x:row>
    <x:row r="2372">
      <x:c r="A2372" t="inlineStr">
        <x:is>
          <x:t xml:space="preserve">PDTVULTRE025</x:t>
        </x:is>
      </x:c>
      <x:c r="B2372" t="inlineStr">
        <x:is>
          <x:t xml:space="preserve">ASH 8 MG EMPAQUETADURA N 35 A820235000</x:t>
        </x:is>
      </x:c>
      <x:c r="E2372" t="n">
        <x:v>2</x:v>
      </x:c>
    </x:row>
    <x:row r="2373">
      <x:c r="A2373" t="inlineStr">
        <x:is>
          <x:t xml:space="preserve">PDTVULTRE026</x:t>
        </x:is>
      </x:c>
      <x:c r="B2373" t="inlineStr">
        <x:is>
          <x:t xml:space="preserve">ASH 10 MQ EMPAQUETADURA N 35 A830135000</x:t>
        </x:is>
      </x:c>
      <x:c r="E2373" t="n">
        <x:v>0</x:v>
      </x:c>
    </x:row>
    <x:row r="2374">
      <x:c r="A2374" t="inlineStr">
        <x:is>
          <x:t xml:space="preserve">PDTVULTRE027</x:t>
        </x:is>
      </x:c>
      <x:c r="B2374" t="inlineStr">
        <x:is>
          <x:t xml:space="preserve">IMCTEC 14X12 EMPAQUETADURA N 35 A670135000</x:t>
        </x:is>
      </x:c>
      <x:c r="E2374" t="n">
        <x:v>0</x:v>
      </x:c>
    </x:row>
    <x:row r="2375">
      <x:c r="A2375" t="inlineStr">
        <x:is>
          <x:t xml:space="preserve">PDTVULTRE028</x:t>
        </x:is>
      </x:c>
      <x:c r="B2375" t="inlineStr">
        <x:is>
          <x:t xml:space="preserve">ASH MCC-150 EMPAQUETADURA N 35 A452135000</x:t>
        </x:is>
      </x:c>
      <x:c r="E2375" t="n">
        <x:v>2</x:v>
      </x:c>
    </x:row>
    <x:row r="2376">
      <x:c r="A2376" t="inlineStr">
        <x:is>
          <x:t xml:space="preserve">PDTVULTRE029</x:t>
        </x:is>
      </x:c>
      <x:c r="B2376" t="inlineStr">
        <x:is>
          <x:t xml:space="preserve">ASH MCH-150 EMPAQUETADURA N 35 A452235000</x:t>
        </x:is>
      </x:c>
      <x:c r="E2376" t="n">
        <x:v>0</x:v>
      </x:c>
    </x:row>
    <x:row r="2377">
      <x:c r="A2377" t="inlineStr">
        <x:is>
          <x:t xml:space="preserve">PDTVULTRE030</x:t>
        </x:is>
      </x:c>
      <x:c r="B2377" t="inlineStr">
        <x:is>
          <x:t xml:space="preserve">BGH 1.1/2X2 JUEGO PRENSA ESTOPA N 38  B010378000</x:t>
        </x:is>
      </x:c>
      <x:c r="E2377" t="n">
        <x:v>0</x:v>
      </x:c>
    </x:row>
    <x:row r="2378">
      <x:c r="A2378" t="inlineStr">
        <x:is>
          <x:t xml:space="preserve">PDTVULTRE031</x:t>
        </x:is>
      </x:c>
      <x:c r="B2378" t="inlineStr">
        <x:is>
          <x:t xml:space="preserve">BGH 2X2.1/2 JUEGO PRENSA ESTOPA N 38  B020738000</x:t>
        </x:is>
      </x:c>
      <x:c r="E2378" t="n">
        <x:v>0</x:v>
      </x:c>
    </x:row>
    <x:row r="2379">
      <x:c r="A2379" t="inlineStr">
        <x:is>
          <x:t xml:space="preserve">PDTVULTRE032</x:t>
        </x:is>
      </x:c>
      <x:c r="B2379" t="inlineStr">
        <x:is>
          <x:t xml:space="preserve">BGH 3X4 JUEGO PRENSA ESTOPA N 38 B030738000</x:t>
        </x:is>
      </x:c>
      <x:c r="E2379" t="n">
        <x:v>3</x:v>
      </x:c>
    </x:row>
    <x:row r="2380">
      <x:c r="A2380" t="inlineStr">
        <x:is>
          <x:t xml:space="preserve">PDTVULTRE033</x:t>
        </x:is>
      </x:c>
      <x:c r="B2380" t="inlineStr">
        <x:is>
          <x:t xml:space="preserve">BGH 4X6 JUEGO PRENSA ESTOPA N 38 B040738000</x:t>
        </x:is>
      </x:c>
      <x:c r="E2380" t="n">
        <x:v>0</x:v>
      </x:c>
    </x:row>
    <x:row r="2381">
      <x:c r="A2381" t="inlineStr">
        <x:is>
          <x:t xml:space="preserve">PDTVULTRE034</x:t>
        </x:is>
      </x:c>
      <x:c r="B2381" t="inlineStr">
        <x:is>
          <x:t xml:space="preserve">BGH 6X8 JUEGO PRENSA ESTOPA N 38 B060738000</x:t>
        </x:is>
      </x:c>
      <x:c r="E2381" t="n">
        <x:v>0</x:v>
      </x:c>
    </x:row>
    <x:row r="2382">
      <x:c r="A2382" t="inlineStr">
        <x:is>
          <x:t xml:space="preserve">PDTVULTRE035</x:t>
        </x:is>
      </x:c>
      <x:c r="B2382" t="inlineStr">
        <x:is>
          <x:t xml:space="preserve">SET EMPAQUETADURA (5 ANILLOS) A111Q05-SET</x:t>
        </x:is>
      </x:c>
      <x:c r="E2382" t="n">
        <x:v>5</x:v>
      </x:c>
    </x:row>
    <x:row r="2383">
      <x:c r="A2383" t="inlineStr">
        <x:is>
          <x:t xml:space="preserve">PDTVULTRE036</x:t>
        </x:is>
      </x:c>
      <x:c r="B2383" t="inlineStr">
        <x:is>
          <x:t xml:space="preserve">SET EMPAQUETADURA (1 ANILLOS) A111Q05</x:t>
        </x:is>
      </x:c>
      <x:c r="E2383" t="n">
        <x:v>0</x:v>
      </x:c>
    </x:row>
    <x:row r="2384">
      <x:c r="A2384" t="inlineStr">
        <x:is>
          <x:t xml:space="preserve">PDTVULTRE037</x:t>
        </x:is>
      </x:c>
      <x:c r="B2384" t="inlineStr">
        <x:is>
          <x:t xml:space="preserve">SET EMPAQUETADURA (5 ANILLOS) B111Q05-SET</x:t>
        </x:is>
      </x:c>
      <x:c r="E2384" t="n">
        <x:v>4</x:v>
      </x:c>
    </x:row>
    <x:row r="2385">
      <x:c r="A2385" t="inlineStr">
        <x:is>
          <x:t xml:space="preserve">PDTVULTRE038</x:t>
        </x:is>
      </x:c>
      <x:c r="B2385" t="inlineStr">
        <x:is>
          <x:t xml:space="preserve">SET EMPAQUETADURA (5 ANILLOS) C111Q05-SET</x:t>
        </x:is>
      </x:c>
      <x:c r="E2385" t="n">
        <x:v>21</x:v>
      </x:c>
    </x:row>
    <x:row r="2386">
      <x:c r="A2386" t="inlineStr">
        <x:is>
          <x:t xml:space="preserve">PDTVULTRE039</x:t>
        </x:is>
      </x:c>
      <x:c r="B2386" t="inlineStr">
        <x:is>
          <x:t xml:space="preserve">SET EMPAQUETADURA (1 ANILLOS) C111Q05</x:t>
        </x:is>
      </x:c>
      <x:c r="E2386" t="n">
        <x:v>6</x:v>
      </x:c>
    </x:row>
    <x:row r="2387">
      <x:c r="A2387" t="inlineStr">
        <x:is>
          <x:t xml:space="preserve">PDTVULTRE040</x:t>
        </x:is>
      </x:c>
      <x:c r="B2387" t="inlineStr">
        <x:is>
          <x:t xml:space="preserve">SET EMPAQUETADURA (5 ANILLOS) D111Q05-SET</x:t>
        </x:is>
      </x:c>
      <x:c r="E2387" t="n">
        <x:v>12</x:v>
      </x:c>
    </x:row>
    <x:row r="2388">
      <x:c r="A2388" t="inlineStr">
        <x:is>
          <x:t xml:space="preserve">PDTVULTRE041</x:t>
        </x:is>
      </x:c>
      <x:c r="B2388" t="inlineStr">
        <x:is>
          <x:t xml:space="preserve">100 DDA-SLM PACKING DDPT111Q05</x:t>
        </x:is>
      </x:c>
      <x:c r="E2388" t="n">
        <x:v>0</x:v>
      </x:c>
    </x:row>
    <x:row r="2389">
      <x:c r="A2389" t="inlineStr">
        <x:is>
          <x:t xml:space="preserve">PDTVULTRE042</x:t>
        </x:is>
      </x:c>
      <x:c r="B2389" t="inlineStr">
        <x:is>
          <x:t xml:space="preserve">SET EMPAQUETADURA (1 ANILLOS) E111Q05</x:t>
        </x:is>
      </x:c>
      <x:c r="E2389" t="n">
        <x:v>9</x:v>
      </x:c>
    </x:row>
    <x:row r="2390">
      <x:c r="A2390" t="inlineStr">
        <x:is>
          <x:t xml:space="preserve">PDTVULTRE043</x:t>
        </x:is>
      </x:c>
      <x:c r="B2390" t="inlineStr">
        <x:is>
          <x:t xml:space="preserve">SET EMPAQUETADURA (5 ANILLOS) E111Q05-SET</x:t>
        </x:is>
      </x:c>
      <x:c r="E2390" t="n">
        <x:v>54</x:v>
      </x:c>
    </x:row>
    <x:row r="2391">
      <x:c r="A2391" t="inlineStr">
        <x:is>
          <x:t xml:space="preserve">PDTVULTRE044</x:t>
        </x:is>
      </x:c>
      <x:c r="B2391" t="inlineStr">
        <x:is>
          <x:t xml:space="preserve">SET EMPAQUETADURA (5 ANILLOS) E111Q22-SET</x:t>
        </x:is>
      </x:c>
      <x:c r="E2391" t="n">
        <x:v>0</x:v>
      </x:c>
    </x:row>
    <x:row r="2392">
      <x:c r="A2392" t="inlineStr">
        <x:is>
          <x:t xml:space="preserve">PDTVULTRE045</x:t>
        </x:is>
      </x:c>
      <x:c r="B2392" t="inlineStr">
        <x:is>
          <x:t xml:space="preserve">150 EA-SLM PACKING EPT111Q05</x:t>
        </x:is>
      </x:c>
      <x:c r="E2392" t="n">
        <x:v>0</x:v>
      </x:c>
    </x:row>
    <x:row r="2393">
      <x:c r="A2393" t="inlineStr">
        <x:is>
          <x:t xml:space="preserve">PDTVULTRE046</x:t>
        </x:is>
      </x:c>
      <x:c r="B2393" t="inlineStr">
        <x:is>
          <x:t xml:space="preserve">SET EMPAQUETADURA (5 ANILLOS) F111Q05-SET</x:t>
        </x:is>
      </x:c>
      <x:c r="E2393" t="n">
        <x:v>30</x:v>
      </x:c>
    </x:row>
    <x:row r="2394">
      <x:c r="A2394" t="inlineStr">
        <x:is>
          <x:t xml:space="preserve">PDTVULTRE047</x:t>
        </x:is>
      </x:c>
      <x:c r="B2394" t="inlineStr">
        <x:is>
          <x:t xml:space="preserve">SET EMPAQUETADURA (5 ANILLOS) F111Q22-SET</x:t>
        </x:is>
      </x:c>
      <x:c r="E2394" t="n">
        <x:v>0</x:v>
      </x:c>
    </x:row>
    <x:row r="2395">
      <x:c r="A2395" t="inlineStr">
        <x:is>
          <x:t xml:space="preserve">PDTVULTRE048</x:t>
        </x:is>
      </x:c>
      <x:c r="B2395" t="inlineStr">
        <x:is>
          <x:t xml:space="preserve">PACKING (2 PACKING FOR SET) FPT111Q05-SET</x:t>
        </x:is>
      </x:c>
      <x:c r="E2395" t="n">
        <x:v>0</x:v>
      </x:c>
    </x:row>
    <x:row r="2396">
      <x:c r="A2396" t="inlineStr">
        <x:is>
          <x:t xml:space="preserve">PDTVULTRE049</x:t>
        </x:is>
      </x:c>
      <x:c r="B2396" t="inlineStr">
        <x:is>
          <x:t xml:space="preserve">SET EMPAQUETADURA (1 ANILLOS) G111Q05</x:t>
        </x:is>
      </x:c>
      <x:c r="E2396" t="n">
        <x:v>2</x:v>
      </x:c>
    </x:row>
    <x:row r="2397">
      <x:c r="A2397" t="inlineStr">
        <x:is>
          <x:t xml:space="preserve">PDTVULTRE050</x:t>
        </x:is>
      </x:c>
      <x:c r="B2397" t="inlineStr">
        <x:is>
          <x:t xml:space="preserve">SET EMPAQUETADURA (5 ANILLOS) G111Q22-SET</x:t>
        </x:is>
      </x:c>
      <x:c r="E2397" t="n">
        <x:v>0</x:v>
      </x:c>
    </x:row>
    <x:row r="2398">
      <x:c r="A2398" t="inlineStr">
        <x:is>
          <x:t xml:space="preserve">PDTVULTRE051</x:t>
        </x:is>
      </x:c>
      <x:c r="B2398" t="inlineStr">
        <x:is>
          <x:t xml:space="preserve">SET EMPAQUETADURA (4 ANILLOS) HG111Q22-SET</x:t>
        </x:is>
      </x:c>
      <x:c r="E2398" t="n">
        <x:v>0</x:v>
      </x:c>
    </x:row>
    <x:row r="2399">
      <x:c r="A2399" t="inlineStr">
        <x:is>
          <x:t xml:space="preserve">PDTVULTRE052</x:t>
        </x:is>
      </x:c>
      <x:c r="B2399" t="inlineStr">
        <x:is>
          <x:t xml:space="preserve">SET EMPAQUETADURA (5 ANILLOS) R111Q05-SET</x:t>
        </x:is>
      </x:c>
      <x:c r="E2399" t="n">
        <x:v>0</x:v>
      </x:c>
    </x:row>
    <x:row r="2400">
      <x:c r="A2400" t="inlineStr">
        <x:is>
          <x:t xml:space="preserve">PDTVULTRE053</x:t>
        </x:is>
      </x:c>
      <x:c r="B2400" t="inlineStr">
        <x:is>
          <x:t xml:space="preserve">SET EMPAQUETADURA (1 ANILLOS) S111Q05</x:t>
        </x:is>
      </x:c>
      <x:c r="E2400" t="n">
        <x:v>0</x:v>
      </x:c>
    </x:row>
    <x:row r="2401">
      <x:c r="A2401" t="inlineStr">
        <x:is>
          <x:t xml:space="preserve">PDTVULTRE054</x:t>
        </x:is>
      </x:c>
      <x:c r="B2401" t="inlineStr">
        <x:is>
          <x:t xml:space="preserve">SET EMPAQUETADURA (5 ANILLOS) S111Q05-SET</x:t>
        </x:is>
      </x:c>
      <x:c r="E2401" t="n">
        <x:v>0</x:v>
      </x:c>
    </x:row>
    <x:row r="2402">
      <x:c r="A2402" t="inlineStr">
        <x:is>
          <x:t xml:space="preserve">PDTVULTRE055</x:t>
        </x:is>
      </x:c>
      <x:c r="B2402" t="inlineStr">
        <x:is>
          <x:t xml:space="preserve">PACKING RING (400MCH) 4 ANILLOS TUMC111Q05</x:t>
        </x:is>
      </x:c>
      <x:c r="E2402" t="n">
        <x:v>0</x:v>
      </x:c>
    </x:row>
    <x:row r="2403">
      <x:c r="A2403" t="inlineStr">
        <x:is>
          <x:t xml:space="preserve">PDTVULTRE056</x:t>
        </x:is>
      </x:c>
      <x:c r="B2403" t="inlineStr">
        <x:is>
          <x:t xml:space="preserve">SET EMPAQUETADURA (5 ANILLOS) T111Q05-SET</x:t>
        </x:is>
      </x:c>
      <x:c r="E2403" t="n">
        <x:v>2</x:v>
      </x:c>
    </x:row>
    <x:row r="2404">
      <x:c r="A2404" t="inlineStr">
        <x:is>
          <x:t xml:space="preserve">PDTVULTRE057</x:t>
        </x:is>
      </x:c>
      <x:c r="B2404" t="inlineStr">
        <x:is>
          <x:t xml:space="preserve">SET EMPAQUETADURA (1 ANILLOS) U111Q05</x:t>
        </x:is>
      </x:c>
      <x:c r="E2404" t="n">
        <x:v>0</x:v>
      </x:c>
    </x:row>
    <x:row r="2405">
      <x:c r="A2405" t="inlineStr">
        <x:is>
          <x:t xml:space="preserve">PDTVULTRE058</x:t>
        </x:is>
      </x:c>
      <x:c r="B2405" t="inlineStr">
        <x:is>
          <x:t xml:space="preserve">SET EMPAQUETADURA (5 ANILLOS) U111Q05-SET</x:t>
        </x:is>
      </x:c>
      <x:c r="E2405" t="n">
        <x:v>82</x:v>
      </x:c>
    </x:row>
    <x:row r="2406">
      <x:c r="A2406" t="inlineStr">
        <x:is>
          <x:t xml:space="preserve">PDTVULTRE059</x:t>
        </x:is>
      </x:c>
      <x:c r="B2406" t="inlineStr">
        <x:is>
          <x:t xml:space="preserve">SET EMPAQUETADURA (5 ANILLOS) V111Q22-SET</x:t>
        </x:is>
      </x:c>
      <x:c r="E2406" t="n">
        <x:v>1</x:v>
      </x:c>
    </x:row>
    <x:row r="2407">
      <x:c r="A2407" t="inlineStr">
        <x:is>
          <x:t xml:space="preserve">PDTVULTRE060</x:t>
        </x:is>
      </x:c>
      <x:c r="B2407" t="inlineStr">
        <x:is>
          <x:t xml:space="preserve">ASH 20 MG EMPAQUETADURA N° 35 (4 ANILLOS) A850235000</x:t>
        </x:is>
      </x:c>
      <x:c r="E2407" t="n">
        <x:v>1</x:v>
      </x:c>
    </x:row>
    <x:row r="2408">
      <x:c r="A2408" t="inlineStr">
        <x:is>
          <x:t xml:space="preserve">PDTVULTRE061</x:t>
        </x:is>
      </x:c>
      <x:c r="B2408" t="inlineStr">
        <x:is>
          <x:t xml:space="preserve">ASH 15 MQ EMPAQUETADURA N 35 A840235000</x:t>
        </x:is>
      </x:c>
      <x:c r="E2408" t="n">
        <x:v>3</x:v>
      </x:c>
    </x:row>
    <x:row r="2409">
      <x:c r="A2409" t="inlineStr">
        <x:is>
          <x:t xml:space="preserve">PDTVULTRE062</x:t>
        </x:is>
      </x:c>
      <x:c r="B2409" t="inlineStr">
        <x:is>
          <x:t xml:space="preserve">MC-350 EMPAQUETADURA N 35 M120MC111Q05-SET</x:t>
        </x:is>
      </x:c>
      <x:c r="E2409" t="n">
        <x:v>22</x:v>
      </x:c>
    </x:row>
    <x:row r="2410">
      <x:c r="A2410" t="inlineStr">
        <x:is>
          <x:t xml:space="preserve">PDTVULTRE063</x:t>
        </x:is>
      </x:c>
      <x:c r="B2410" t="inlineStr">
        <x:is>
          <x:t xml:space="preserve">MC-350 EMPAQUETADURA N 35 M120MC111Q25</x:t>
        </x:is>
      </x:c>
      <x:c r="E2410" t="n">
        <x:v>0</x:v>
      </x:c>
    </x:row>
    <x:row r="2411">
      <x:c r="A2411" t="inlineStr">
        <x:is>
          <x:t xml:space="preserve">PDTVULTRE064</x:t>
        </x:is>
      </x:c>
      <x:c r="B2411" t="inlineStr">
        <x:is>
          <x:t xml:space="preserve">ASH 2.1/2X2 SRH EMPAQUETADURA N 35 A410235000</x:t>
        </x:is>
      </x:c>
      <x:c r="E2411" t="n">
        <x:v>3</x:v>
      </x:c>
    </x:row>
    <x:row r="2412">
      <x:c r="A2412" t="inlineStr">
        <x:is>
          <x:t xml:space="preserve">PDTVULTRE065</x:t>
        </x:is>
      </x:c>
      <x:c r="B2412" t="inlineStr">
        <x:is>
          <x:t xml:space="preserve">ASH 16X14 SRH  EMPAQUETADURA 35 A480235000</x:t>
        </x:is>
      </x:c>
      <x:c r="E2412" t="n">
        <x:v>12</x:v>
      </x:c>
    </x:row>
    <x:row r="2413">
      <x:c r="A2413" t="inlineStr">
        <x:is>
          <x:t xml:space="preserve">PDTVULTRE066</x:t>
        </x:is>
      </x:c>
      <x:c r="B2413" t="inlineStr">
        <x:is>
          <x:t xml:space="preserve">SET EMPAQUETADURAS V111Q25-SET (5 ANILLOS)</x:t>
        </x:is>
      </x:c>
      <x:c r="E2413" t="n">
        <x:v>0</x:v>
      </x:c>
    </x:row>
    <x:row r="2414">
      <x:c r="A2414" t="inlineStr">
        <x:is>
          <x:t xml:space="preserve">PDTVULTRE067</x:t>
        </x:is>
      </x:c>
      <x:c r="B2414" t="inlineStr">
        <x:is>
          <x:t xml:space="preserve">SET EMPAQUETADURAS G111QQ5-SET (5 ANILLOS)</x:t>
        </x:is>
      </x:c>
      <x:c r="E2414" t="n">
        <x:v>0</x:v>
      </x:c>
    </x:row>
    <x:row r="2415">
      <x:c r="A2415" t="inlineStr">
        <x:is>
          <x:t xml:space="preserve">PDTVULTRE068</x:t>
        </x:is>
      </x:c>
      <x:c r="B2415" t="inlineStr">
        <x:is>
          <x:t xml:space="preserve">SET EMPAQUETADURA ( 5 ANILLOS) G111Q05-SET</x:t>
        </x:is>
      </x:c>
      <x:c r="E2415" t="n">
        <x:v>20</x:v>
      </x:c>
    </x:row>
    <x:row r="2416">
      <x:c r="A2416" t="inlineStr">
        <x:is>
          <x:t xml:space="preserve">PDTVULTRE069</x:t>
        </x:is>
      </x:c>
      <x:c r="B2416" t="inlineStr">
        <x:is>
          <x:t xml:space="preserve">KIT EMPAQUETADURA GRAFITADA PARA BBA ASH 6X6 SRH  1218KT0031</x:t>
        </x:is>
      </x:c>
      <x:c r="E2416" t="n">
        <x:v>0</x:v>
      </x:c>
    </x:row>
    <x:row r="2417">
      <x:c r="A2417" t="inlineStr">
        <x:is>
          <x:t xml:space="preserve">PDTVULTRE070</x:t>
        </x:is>
      </x:c>
      <x:c r="B2417" t="inlineStr">
        <x:is>
          <x:t xml:space="preserve">EMPAQUETADURA PRENSA (1 ANILLO) D111Q21</x:t>
        </x:is>
      </x:c>
      <x:c r="E2417" t="n">
        <x:v>0</x:v>
      </x:c>
    </x:row>
    <x:row r="2418">
      <x:c r="A2418" t="inlineStr">
        <x:is>
          <x:t xml:space="preserve">PDTVULTRE071</x:t>
        </x:is>
      </x:c>
      <x:c r="B2418" t="inlineStr">
        <x:is>
          <x:t xml:space="preserve">PACKING RING ASH 10-ME 11624 CODIGO A830103500</x:t>
        </x:is>
      </x:c>
      <x:c r="E2418" t="n">
        <x:v>0</x:v>
      </x:c>
    </x:row>
    <x:row r="2419">
      <x:c r="A2419" t="inlineStr">
        <x:is>
          <x:t xml:space="preserve">PDTVULTRE072</x:t>
        </x:is>
      </x:c>
      <x:c r="B2419" t="inlineStr">
        <x:is>
          <x:t xml:space="preserve">ASH 20 MG EMPAQUETADURA N° 35 (4 ANILLOS) A850135000</x:t>
        </x:is>
      </x:c>
      <x:c r="E2419" t="n">
        <x:v>0</x:v>
      </x:c>
    </x:row>
    <x:row r="2420">
      <x:c r="A2420" t="inlineStr">
        <x:is>
          <x:t xml:space="preserve">PDTVULTRE073</x:t>
        </x:is>
      </x:c>
      <x:c r="B2420" t="inlineStr">
        <x:is>
          <x:t xml:space="preserve">EMPAQUETADURA IMMC 14X12 N° 35 3 ANILLOS S/PLANO MM00204 3/4X3/4X700 MM A673135000</x:t>
        </x:is>
      </x:c>
      <x:c r="E2420" t="n">
        <x:v>0</x:v>
      </x:c>
    </x:row>
    <x:row r="2421">
      <x:c r="A2421" t="inlineStr">
        <x:is>
          <x:t xml:space="preserve">PDTVULTRE074</x:t>
        </x:is>
      </x:c>
      <x:c r="B2421" t="inlineStr">
        <x:is>
          <x:t xml:space="preserve">PACKING CUT 45° 130X110X10 E13011010Q05</x:t>
        </x:is>
      </x:c>
      <x:c r="E2421" t="n">
        <x:v>0</x:v>
      </x:c>
    </x:row>
    <x:row r="2422">
      <x:c r="A2422" t="inlineStr">
        <x:is>
          <x:t xml:space="preserve">PDTVULTRE075</x:t>
        </x:is>
      </x:c>
      <x:c r="B2422" t="inlineStr">
        <x:is>
          <x:t xml:space="preserve">EMPAQUETADURA PRENSA (5 ANILLOS) U111Q25-SET (KEVLON)</x:t>
        </x:is>
      </x:c>
      <x:c r="E2422" t="n">
        <x:v>0</x:v>
      </x:c>
    </x:row>
    <x:row r="2423">
      <x:c r="A2423" t="inlineStr">
        <x:is>
          <x:t xml:space="preserve">PDTVULTRE076</x:t>
        </x:is>
      </x:c>
      <x:c r="B2423" t="inlineStr">
        <x:is>
          <x:t xml:space="preserve">KIT EMPAQUETADURA GRAFITADA BBA 5X4 SRH CODIGO 1218KT0021</x:t>
        </x:is>
      </x:c>
      <x:c r="E2423" t="n">
        <x:v>0</x:v>
      </x:c>
    </x:row>
    <x:row r="2424">
      <x:c r="A2424" t="inlineStr">
        <x:is>
          <x:t xml:space="preserve">PDTVULTRE077</x:t>
        </x:is>
      </x:c>
      <x:c r="B2424" t="inlineStr">
        <x:is>
          <x:t xml:space="preserve">KIT EMPAQUETADURA GRAFITADA BBA 8X8 SRH CODIGO 1218KT0041</x:t>
        </x:is>
      </x:c>
      <x:c r="E2424" t="n">
        <x:v>0</x:v>
      </x:c>
    </x:row>
    <x:row r="2425">
      <x:c r="A2425" t="inlineStr">
        <x:is>
          <x:t xml:space="preserve">PDTVULTRE078</x:t>
        </x:is>
      </x:c>
      <x:c r="B2425" t="inlineStr">
        <x:is>
          <x:t xml:space="preserve">KIT EMP GRAF BBA 5X4 SRC 1218KT0011</x:t>
        </x:is>
      </x:c>
      <x:c r="E2425" t="n">
        <x:v>0</x:v>
      </x:c>
    </x:row>
    <x:row r="2426">
      <x:c r="A2426" t="inlineStr">
        <x:is>
          <x:t xml:space="preserve">PDTVULTRE079</x:t>
        </x:is>
      </x:c>
      <x:c r="B2426" t="inlineStr">
        <x:is>
          <x:t xml:space="preserve">KIT EMPAQUETADURA GRAFITADA BBA 10X10 SRH CODIGO 1218KT0051</x:t>
        </x:is>
      </x:c>
      <x:c r="E2426" t="n">
        <x:v>0</x:v>
      </x:c>
    </x:row>
    <x:row r="2427">
      <x:c r="A2427" t="inlineStr">
        <x:is>
          <x:t xml:space="preserve">PDTVULTRE080</x:t>
        </x:is>
      </x:c>
      <x:c r="B2427" t="inlineStr">
        <x:is>
          <x:t xml:space="preserve">KIT EMPAQUETADURA GRAFITADA BBA 14X12 SRH CODIGO 1218KT0061</x:t>
        </x:is>
      </x:c>
      <x:c r="E2427" t="n">
        <x:v>0</x:v>
      </x:c>
    </x:row>
    <x:row r="2428">
      <x:c r="A2428" t="inlineStr">
        <x:is>
          <x:t xml:space="preserve">PDTVULTRE081</x:t>
        </x:is>
      </x:c>
      <x:c r="B2428" t="inlineStr">
        <x:is>
          <x:t xml:space="preserve">ASH MCC 200 EMPAQUETADURA N° 35 (16X16X508) A462135000</x:t>
        </x:is>
      </x:c>
      <x:c r="E2428" t="n">
        <x:v>2</x:v>
      </x:c>
    </x:row>
    <x:row r="2429">
      <x:c r="A2429" t="inlineStr">
        <x:is>
          <x:t xml:space="preserve">PDTVULTRE082</x:t>
        </x:is>
      </x:c>
      <x:c r="B2429" t="inlineStr">
        <x:is>
          <x:t xml:space="preserve">ASH 8 ME EMPAQUETADURA Nª 35 A820135000</x:t>
        </x:is>
      </x:c>
      <x:c r="E2429" t="n">
        <x:v>7</x:v>
      </x:c>
    </x:row>
    <x:row r="2430">
      <x:c r="A2430" t="inlineStr">
        <x:is>
          <x:t xml:space="preserve">PDTVULTRE083</x:t>
        </x:is>
      </x:c>
      <x:c r="B2430" t="inlineStr">
        <x:is>
          <x:t xml:space="preserve">PACKING EMPAQUETADURA D111Q05 (1 ANILLO)</x:t>
        </x:is>
      </x:c>
      <x:c r="E2430" t="n">
        <x:v>55</x:v>
      </x:c>
    </x:row>
    <x:row r="2431">
      <x:c r="A2431" t="inlineStr">
        <x:is>
          <x:t xml:space="preserve">PDVPLAEXT001</x:t>
        </x:is>
      </x:c>
      <x:c r="B2431" t="inlineStr">
        <x:is>
          <x:t xml:space="preserve">PLANCHA PVDF 3000X1500X10MM EXT LAMINA EN AMBOS LADO</x:t>
        </x:is>
      </x:c>
      <x:c r="E2431" t="n">
        <x:v>0</x:v>
      </x:c>
    </x:row>
    <x:row r="2432">
      <x:c r="A2432" t="inlineStr">
        <x:is>
          <x:t xml:space="preserve">PDVPLAEXT002</x:t>
        </x:is>
      </x:c>
      <x:c r="B2432" t="inlineStr">
        <x:is>
          <x:t xml:space="preserve">PLANCHA PVDF C/BACKING  2000MM X 1000MM X 3MM</x:t>
        </x:is>
      </x:c>
      <x:c r="E2432" t="n">
        <x:v>0</x:v>
      </x:c>
    </x:row>
    <x:row r="2433">
      <x:c r="A2433" t="inlineStr">
        <x:is>
          <x:t xml:space="preserve">PDVPLAEXT003</x:t>
        </x:is>
      </x:c>
      <x:c r="B2433" t="inlineStr">
        <x:is>
          <x:t xml:space="preserve">PLANCHA PVDF C/BACKING  3000MM X 1500MM X 3MM</x:t>
        </x:is>
      </x:c>
      <x:c r="E2433" t="n">
        <x:v>0</x:v>
      </x:c>
    </x:row>
    <x:row r="2434">
      <x:c r="A2434" t="inlineStr">
        <x:is>
          <x:t xml:space="preserve">PDVPLAEXT004</x:t>
        </x:is>
      </x:c>
      <x:c r="B2434" t="inlineStr">
        <x:is>
          <x:t xml:space="preserve">PLANCHA PVDF SIN BACKING  3000MM X 1200MM X 8MM</x:t>
        </x:is>
      </x:c>
      <x:c r="E2434" t="n">
        <x:v>0</x:v>
      </x:c>
    </x:row>
    <x:row r="2435">
      <x:c r="A2435" t="inlineStr">
        <x:is>
          <x:t xml:space="preserve">PDVPLAEXT005</x:t>
        </x:is>
      </x:c>
      <x:c r="B2435" t="inlineStr">
        <x:is>
          <x:t xml:space="preserve">BARRA DE PVDF DIAM.100 MM X 1000 MM LGO</x:t>
        </x:is>
      </x:c>
      <x:c r="E2435" t="n">
        <x:v>0</x:v>
      </x:c>
    </x:row>
    <x:row r="2436">
      <x:c r="A2436" t="inlineStr">
        <x:is>
          <x:t xml:space="preserve">PDVPLAEXT006</x:t>
        </x:is>
      </x:c>
      <x:c r="B2436" t="inlineStr">
        <x:is>
          <x:t xml:space="preserve">TUBO PVDF DE 32X2.4 SDR 21</x:t>
        </x:is>
      </x:c>
      <x:c r="E2436" t="n">
        <x:v>0</x:v>
      </x:c>
    </x:row>
    <x:row r="2437">
      <x:c r="A2437" t="inlineStr">
        <x:is>
          <x:t xml:space="preserve">PDVPLAEXT007</x:t>
        </x:is>
      </x:c>
      <x:c r="B2437" t="inlineStr">
        <x:is>
          <x:t xml:space="preserve">TUBO PVDF DE 40X2.4 SDR 21</x:t>
        </x:is>
      </x:c>
      <x:c r="E2437" t="n">
        <x:v>0</x:v>
      </x:c>
    </x:row>
    <x:row r="2438">
      <x:c r="A2438" t="inlineStr">
        <x:is>
          <x:t xml:space="preserve">PDVPLAEXT008</x:t>
        </x:is>
      </x:c>
      <x:c r="B2438" t="inlineStr">
        <x:is>
          <x:t xml:space="preserve">TUBO PVDF DE 90X2.8 SDR 33</x:t>
        </x:is>
      </x:c>
      <x:c r="E2438" t="n">
        <x:v>0</x:v>
      </x:c>
    </x:row>
    <x:row r="2439">
      <x:c r="A2439" t="inlineStr">
        <x:is>
          <x:t xml:space="preserve">PDVPLAEXT009</x:t>
        </x:is>
      </x:c>
      <x:c r="B2439" t="inlineStr">
        <x:is>
          <x:t xml:space="preserve">TUBO PVDF DE 160X3 SDR 33</x:t>
        </x:is>
      </x:c>
      <x:c r="E2439" t="n">
        <x:v>0</x:v>
      </x:c>
    </x:row>
    <x:row r="2440">
      <x:c r="A2440" t="inlineStr">
        <x:is>
          <x:t xml:space="preserve">PDVPLAEXT010</x:t>
        </x:is>
      </x:c>
      <x:c r="B2440" t="inlineStr">
        <x:is>
          <x:t xml:space="preserve">TUBO PVDF DE 315X4 VENT</x:t>
        </x:is>
      </x:c>
      <x:c r="E2440" t="n">
        <x:v>0</x:v>
      </x:c>
    </x:row>
    <x:row r="2441">
      <x:c r="A2441" t="inlineStr">
        <x:is>
          <x:t xml:space="preserve">PDVPLAEXT011</x:t>
        </x:is>
      </x:c>
      <x:c r="B2441" t="inlineStr">
        <x:is>
          <x:t xml:space="preserve">TUBO PVDF DE 200X3 VENT</x:t>
        </x:is>
      </x:c>
      <x:c r="E2441" t="n">
        <x:v>0</x:v>
      </x:c>
    </x:row>
    <x:row r="2442">
      <x:c r="A2442" t="inlineStr">
        <x:is>
          <x:t xml:space="preserve">PDVPLAEXT012</x:t>
        </x:is>
      </x:c>
      <x:c r="B2442" t="inlineStr">
        <x:is>
          <x:t xml:space="preserve">TUBO PVDF DE 63X3 SDR 21</x:t>
        </x:is>
      </x:c>
      <x:c r="E2442" t="n">
        <x:v>0</x:v>
      </x:c>
    </x:row>
    <x:row r="2443">
      <x:c r="A2443" t="inlineStr">
        <x:is>
          <x:t xml:space="preserve">PDVPLAEXT013</x:t>
        </x:is>
      </x:c>
      <x:c r="B2443" t="inlineStr">
        <x:is>
          <x:t xml:space="preserve">TUBO PVDF DE 110X3.4 SDR 33</x:t>
        </x:is>
      </x:c>
      <x:c r="E2443" t="n">
        <x:v>0</x:v>
      </x:c>
    </x:row>
    <x:row r="2444">
      <x:c r="A2444" t="inlineStr">
        <x:is>
          <x:t xml:space="preserve">PDVPLAEXT014</x:t>
        </x:is>
      </x:c>
      <x:c r="B2444" t="inlineStr">
        <x:is>
          <x:t xml:space="preserve">TUBO PVDF DE 50X3 SDR 21</x:t>
        </x:is>
      </x:c>
      <x:c r="E2444" t="n">
        <x:v>0</x:v>
      </x:c>
    </x:row>
    <x:row r="2445">
      <x:c r="A2445" t="inlineStr">
        <x:is>
          <x:t xml:space="preserve">PDVPLAEXT015</x:t>
        </x:is>
      </x:c>
      <x:c r="B2445" t="inlineStr">
        <x:is>
          <x:t xml:space="preserve">TUBO PVDF DE 250X3 VENT</x:t>
        </x:is>
      </x:c>
      <x:c r="E2445" t="n">
        <x:v>0</x:v>
      </x:c>
    </x:row>
    <x:row r="2446">
      <x:c r="A2446" t="inlineStr">
        <x:is>
          <x:t xml:space="preserve">PDVPLAEXT016</x:t>
        </x:is>
      </x:c>
      <x:c r="B2446" t="inlineStr">
        <x:is>
          <x:t xml:space="preserve">TUBO PVDF DE 355  VENT</x:t>
        </x:is>
      </x:c>
      <x:c r="E2446" t="n">
        <x:v>0</x:v>
      </x:c>
    </x:row>
    <x:row r="2447">
      <x:c r="A2447" t="inlineStr">
        <x:is>
          <x:t xml:space="preserve">PDVPLAEXT017</x:t>
        </x:is>
      </x:c>
      <x:c r="B2447" t="inlineStr">
        <x:is>
          <x:t xml:space="preserve">STUB END PVDF 25X2.4 SDR 21</x:t>
        </x:is>
      </x:c>
      <x:c r="E2447" t="n">
        <x:v>0</x:v>
      </x:c>
    </x:row>
    <x:row r="2448">
      <x:c r="A2448" t="inlineStr">
        <x:is>
          <x:t xml:space="preserve">PDVPLAEXT018</x:t>
        </x:is>
      </x:c>
      <x:c r="B2448" t="inlineStr">
        <x:is>
          <x:t xml:space="preserve">STUB END PVDF 50X3.4</x:t>
        </x:is>
      </x:c>
      <x:c r="E2448" t="n">
        <x:v>0</x:v>
      </x:c>
    </x:row>
    <x:row r="2449">
      <x:c r="A2449" t="inlineStr">
        <x:is>
          <x:t xml:space="preserve">PDVPLAEXT019</x:t>
        </x:is>
      </x:c>
      <x:c r="B2449" t="inlineStr">
        <x:is>
          <x:t xml:space="preserve">STUB END PVDF 63X3.4</x:t>
        </x:is>
      </x:c>
      <x:c r="E2449" t="n">
        <x:v>0</x:v>
      </x:c>
    </x:row>
    <x:row r="2450">
      <x:c r="A2450" t="inlineStr">
        <x:is>
          <x:t xml:space="preserve">PDVPLAEXT020</x:t>
        </x:is>
      </x:c>
      <x:c r="B2450" t="inlineStr">
        <x:is>
          <x:t xml:space="preserve">STUB END PVDF 90X3.4  VENT</x:t>
        </x:is>
      </x:c>
      <x:c r="E2450" t="n">
        <x:v>0</x:v>
      </x:c>
    </x:row>
    <x:row r="2451">
      <x:c r="A2451" t="inlineStr">
        <x:is>
          <x:t xml:space="preserve">PDVPLAEXT021</x:t>
        </x:is>
      </x:c>
      <x:c r="B2451" t="inlineStr">
        <x:is>
          <x:t xml:space="preserve">STUB END PVDF 110X3.4 SDR 21</x:t>
        </x:is>
      </x:c>
      <x:c r="E2451" t="n">
        <x:v>0</x:v>
      </x:c>
    </x:row>
    <x:row r="2452">
      <x:c r="A2452" t="inlineStr">
        <x:is>
          <x:t xml:space="preserve">PDVPLAEXT022</x:t>
        </x:is>
      </x:c>
      <x:c r="B2452" t="inlineStr">
        <x:is>
          <x:t xml:space="preserve">STUB END PVDF 160X5</x:t>
        </x:is>
      </x:c>
      <x:c r="E2452" t="n">
        <x:v>0</x:v>
      </x:c>
    </x:row>
    <x:row r="2453">
      <x:c r="A2453" t="inlineStr">
        <x:is>
          <x:t xml:space="preserve">PDVPLAEXT023</x:t>
        </x:is>
      </x:c>
      <x:c r="B2453" t="inlineStr">
        <x:is>
          <x:t xml:space="preserve">STUB END PVDF 200X6.2 SDR 33</x:t>
        </x:is>
      </x:c>
      <x:c r="E2453" t="n">
        <x:v>0</x:v>
      </x:c>
    </x:row>
    <x:row r="2454">
      <x:c r="A2454" t="inlineStr">
        <x:is>
          <x:t xml:space="preserve">PDVPLAEXT024</x:t>
        </x:is>
      </x:c>
      <x:c r="B2454" t="inlineStr">
        <x:is>
          <x:t xml:space="preserve">STUB END PVDF 50X3.0 SDR 21</x:t>
        </x:is>
      </x:c>
      <x:c r="E2454" t="n">
        <x:v>0</x:v>
      </x:c>
    </x:row>
    <x:row r="2455">
      <x:c r="A2455" t="inlineStr">
        <x:is>
          <x:t xml:space="preserve">PDVPLAEXT025</x:t>
        </x:is>
      </x:c>
      <x:c r="B2455" t="inlineStr">
        <x:is>
          <x:t xml:space="preserve">CODO PVDF 90° 50X3.0 VENT</x:t>
        </x:is>
      </x:c>
      <x:c r="E2455" t="n">
        <x:v>0</x:v>
      </x:c>
    </x:row>
    <x:row r="2456">
      <x:c r="A2456" t="inlineStr">
        <x:is>
          <x:t xml:space="preserve">PDVPLAEXT026</x:t>
        </x:is>
      </x:c>
      <x:c r="B2456" t="inlineStr">
        <x:is>
          <x:t xml:space="preserve">CODO PVDF 90° 90X4.3 SDR 11</x:t>
        </x:is>
      </x:c>
      <x:c r="E2456" t="n">
        <x:v>0</x:v>
      </x:c>
    </x:row>
    <x:row r="2457">
      <x:c r="A2457" t="inlineStr">
        <x:is>
          <x:t xml:space="preserve">PDVPLAEXT027</x:t>
        </x:is>
      </x:c>
      <x:c r="B2457" t="inlineStr">
        <x:is>
          <x:t xml:space="preserve">CODO PVDF 90° 200X3.5 VENT SDR 21</x:t>
        </x:is>
      </x:c>
      <x:c r="E2457" t="n">
        <x:v>0</x:v>
      </x:c>
    </x:row>
    <x:row r="2458">
      <x:c r="A2458" t="inlineStr">
        <x:is>
          <x:t xml:space="preserve">PDVPLAEXT028</x:t>
        </x:is>
      </x:c>
      <x:c r="B2458" t="inlineStr">
        <x:is>
          <x:t xml:space="preserve">CODO PVDF 90° 250X3 SOC</x:t>
        </x:is>
      </x:c>
      <x:c r="E2458" t="n">
        <x:v>0</x:v>
      </x:c>
    </x:row>
    <x:row r="2459">
      <x:c r="A2459" t="inlineStr">
        <x:is>
          <x:t xml:space="preserve">PDVPLAEXT029</x:t>
        </x:is>
      </x:c>
      <x:c r="B2459" t="inlineStr">
        <x:is>
          <x:t xml:space="preserve">CODO PVDF 90° 63X3 SDR 21</x:t>
        </x:is>
      </x:c>
      <x:c r="E2459" t="n">
        <x:v>1</x:v>
      </x:c>
    </x:row>
    <x:row r="2460">
      <x:c r="A2460" t="inlineStr">
        <x:is>
          <x:t xml:space="preserve">PDVPLAEXT030</x:t>
        </x:is>
      </x:c>
      <x:c r="B2460" t="inlineStr">
        <x:is>
          <x:t xml:space="preserve">CODO PVDF 90° 250X33</x:t>
        </x:is>
      </x:c>
      <x:c r="E2460" t="n">
        <x:v>0</x:v>
      </x:c>
    </x:row>
    <x:row r="2461">
      <x:c r="A2461" t="inlineStr">
        <x:is>
          <x:t xml:space="preserve">PDVPLAEXT031</x:t>
        </x:is>
      </x:c>
      <x:c r="B2461" t="inlineStr">
        <x:is>
          <x:t xml:space="preserve">CODO PVDF 45° 315X9.7 VENT SDR 33</x:t>
        </x:is>
      </x:c>
      <x:c r="E2461" t="n">
        <x:v>0</x:v>
      </x:c>
    </x:row>
    <x:row r="2462">
      <x:c r="A2462" t="inlineStr">
        <x:is>
          <x:t xml:space="preserve">PDVPLAEXT032</x:t>
        </x:is>
      </x:c>
      <x:c r="B2462" t="inlineStr">
        <x:is>
          <x:t xml:space="preserve">TEE PVDF 32X3.0 SDR 21</x:t>
        </x:is>
      </x:c>
      <x:c r="E2462" t="n">
        <x:v>0</x:v>
      </x:c>
    </x:row>
    <x:row r="2463">
      <x:c r="A2463" t="inlineStr">
        <x:is>
          <x:t xml:space="preserve">PDVPLAEXT033</x:t>
        </x:is>
      </x:c>
      <x:c r="B2463" t="inlineStr">
        <x:is>
          <x:t xml:space="preserve">TEE PVDF 50X3.0 SDR 21</x:t>
        </x:is>
      </x:c>
      <x:c r="E2463" t="n">
        <x:v>0</x:v>
      </x:c>
    </x:row>
    <x:row r="2464">
      <x:c r="A2464" t="inlineStr">
        <x:is>
          <x:t xml:space="preserve">PDVPLAEXT034</x:t>
        </x:is>
      </x:c>
      <x:c r="B2464" t="inlineStr">
        <x:is>
          <x:t xml:space="preserve">REDUCCION PVDF 63X32</x:t>
        </x:is>
      </x:c>
      <x:c r="E2464" t="n">
        <x:v>0</x:v>
      </x:c>
    </x:row>
    <x:row r="2465">
      <x:c r="A2465" t="inlineStr">
        <x:is>
          <x:t xml:space="preserve">PDVPLAEXT035</x:t>
        </x:is>
      </x:c>
      <x:c r="B2465" t="inlineStr">
        <x:is>
          <x:t xml:space="preserve">REDUCCION PVDF 50X40</x:t>
        </x:is>
      </x:c>
      <x:c r="E2465" t="n">
        <x:v>0</x:v>
      </x:c>
    </x:row>
    <x:row r="2466">
      <x:c r="A2466" t="inlineStr">
        <x:is>
          <x:t xml:space="preserve">PDVPLAEXT036</x:t>
        </x:is>
      </x:c>
      <x:c r="B2466" t="inlineStr">
        <x:is>
          <x:t xml:space="preserve">PLANCHA EN MT2 DE PVDF 1500MM X 3MM ESPESOR C/BACKING</x:t>
        </x:is>
      </x:c>
      <x:c r="E2466" t="n">
        <x:v>0</x:v>
      </x:c>
    </x:row>
    <x:row r="2467">
      <x:c r="A2467" t="inlineStr">
        <x:is>
          <x:t xml:space="preserve">PDVPLAEXT037</x:t>
        </x:is>
      </x:c>
      <x:c r="B2467" t="inlineStr">
        <x:is>
          <x:t xml:space="preserve">PLANCHA DE PVDF 25.000MM X 1000 X 2MM ESPESOR C/BACKING. (REF: 30615100002)</x:t>
        </x:is>
      </x:c>
      <x:c r="E2467" t="n">
        <x:v>0</x:v>
      </x:c>
    </x:row>
    <x:row r="2468">
      <x:c r="A2468" t="inlineStr">
        <x:is>
          <x:t xml:space="preserve">PDVPLAEXT038</x:t>
        </x:is>
      </x:c>
      <x:c r="B2468" t="inlineStr">
        <x:is>
          <x:t xml:space="preserve">PLANCHA (ROLLO) DE PVDF 25.000MM X 1500 X 3MM ESPESOR C/BACKING. (REF: 37615150003)</x:t>
        </x:is>
      </x:c>
      <x:c r="E2468" t="n">
        <x:v>33</x:v>
      </x:c>
    </x:row>
    <x:row r="2469">
      <x:c r="A2469" t="inlineStr">
        <x:is>
          <x:t xml:space="preserve">PDVPLAEXT039</x:t>
        </x:is>
      </x:c>
      <x:c r="B2469" t="inlineStr">
        <x:is>
          <x:t xml:space="preserve">PLANCHA PVDF SIN BACKING  2000MM X 1000MM X 3MM (COD: 30600201003)</x:t>
        </x:is>
      </x:c>
      <x:c r="E2469" t="n">
        <x:v>0</x:v>
      </x:c>
    </x:row>
    <x:row r="2470">
      <x:c r="A2470" t="inlineStr">
        <x:is>
          <x:t xml:space="preserve">PDVSTBS33200</x:t>
        </x:is>
      </x:c>
      <x:c r="B2470" t="inlineStr">
        <x:is>
          <x:t xml:space="preserve">STUB END PVDF OD 200MM SDR33 -</x:t>
        </x:is>
      </x:c>
      <x:c r="E2470" t="n">
        <x:v>0</x:v>
      </x:c>
    </x:row>
    <x:row r="2471">
      <x:c r="A2471" t="inlineStr">
        <x:is>
          <x:t xml:space="preserve">PDVSTBS3390M</x:t>
        </x:is>
      </x:c>
      <x:c r="B2471" t="inlineStr">
        <x:is>
          <x:t xml:space="preserve">STUB END PVDF OD 90MM SDR33 -</x:t>
        </x:is>
      </x:c>
      <x:c r="E2471" t="n">
        <x:v>0</x:v>
      </x:c>
    </x:row>
    <x:row r="2472">
      <x:c r="A2472" t="inlineStr">
        <x:is>
          <x:t xml:space="preserve">PDVTUB0BQ160</x:t>
        </x:is>
      </x:c>
      <x:c r="B2472" t="inlineStr">
        <x:is>
          <x:t xml:space="preserve">PDVF TUBO 160mm BQ</x:t>
        </x:is>
      </x:c>
      <x:c r="E2472" t="n">
        <x:v>0</x:v>
      </x:c>
    </x:row>
    <x:row r="2473">
      <x:c r="A2473" t="inlineStr">
        <x:is>
          <x:t xml:space="preserve">PDVTUB0BQ200</x:t>
        </x:is>
      </x:c>
      <x:c r="B2473" t="inlineStr">
        <x:is>
          <x:t xml:space="preserve">PDVF TUBO 200mm BQ</x:t>
        </x:is>
      </x:c>
      <x:c r="E2473" t="n">
        <x:v>0</x:v>
      </x:c>
    </x:row>
    <x:row r="2474">
      <x:c r="A2474" t="inlineStr">
        <x:is>
          <x:t xml:space="preserve">PDVTUB0BQ250</x:t>
        </x:is>
      </x:c>
      <x:c r="B2474" t="inlineStr">
        <x:is>
          <x:t xml:space="preserve">PDVF TUBO 250mm BQ</x:t>
        </x:is>
      </x:c>
      <x:c r="E2474" t="n">
        <x:v>0</x:v>
      </x:c>
    </x:row>
    <x:row r="2475">
      <x:c r="A2475" t="inlineStr">
        <x:is>
          <x:t xml:space="preserve">PDVTUBPIP001</x:t>
        </x:is>
      </x:c>
      <x:c r="B2475" t="inlineStr">
        <x:is>
          <x:t xml:space="preserve">PDVF TUBO 110mm</x:t>
        </x:is>
      </x:c>
      <x:c r="E2475" t="n">
        <x:v>0</x:v>
      </x:c>
    </x:row>
    <x:row r="2476">
      <x:c r="A2476" t="inlineStr">
        <x:is>
          <x:t xml:space="preserve">PDVTUBPIP002</x:t>
        </x:is>
      </x:c>
      <x:c r="B2476" t="inlineStr">
        <x:is>
          <x:t xml:space="preserve">PDVF TUBO 20mm</x:t>
        </x:is>
      </x:c>
      <x:c r="E2476" t="n">
        <x:v>0</x:v>
      </x:c>
    </x:row>
    <x:row r="2477">
      <x:c r="A2477" t="inlineStr">
        <x:is>
          <x:t xml:space="preserve">PDVTUBPIP003</x:t>
        </x:is>
      </x:c>
      <x:c r="B2477" t="inlineStr">
        <x:is>
          <x:t xml:space="preserve">PDVF TUBO 200mm</x:t>
        </x:is>
      </x:c>
      <x:c r="E2477" t="n">
        <x:v>0</x:v>
      </x:c>
    </x:row>
    <x:row r="2478">
      <x:c r="A2478" t="inlineStr">
        <x:is>
          <x:t xml:space="preserve">PDVTUBPIP004</x:t>
        </x:is>
      </x:c>
      <x:c r="B2478" t="inlineStr">
        <x:is>
          <x:t xml:space="preserve">PDVF TUBO 32mm</x:t>
        </x:is>
      </x:c>
      <x:c r="E2478" t="n">
        <x:v>0</x:v>
      </x:c>
    </x:row>
    <x:row r="2479">
      <x:c r="A2479" t="inlineStr">
        <x:is>
          <x:t xml:space="preserve">PDVTUBPIP005</x:t>
        </x:is>
      </x:c>
      <x:c r="B2479" t="inlineStr">
        <x:is>
          <x:t xml:space="preserve">PDVF TUBO 355mm</x:t>
        </x:is>
      </x:c>
      <x:c r="E2479" t="n">
        <x:v>0</x:v>
      </x:c>
    </x:row>
    <x:row r="2480">
      <x:c r="A2480" t="inlineStr">
        <x:is>
          <x:t xml:space="preserve">PDVTUBPIP006</x:t>
        </x:is>
      </x:c>
      <x:c r="B2480" t="inlineStr">
        <x:is>
          <x:t xml:space="preserve">PDVF TUBO 40mm</x:t>
        </x:is>
      </x:c>
      <x:c r="E2480" t="n">
        <x:v>0</x:v>
      </x:c>
    </x:row>
    <x:row r="2481">
      <x:c r="A2481" t="inlineStr">
        <x:is>
          <x:t xml:space="preserve">PDVTUBPIP007</x:t>
        </x:is>
      </x:c>
      <x:c r="B2481" t="inlineStr">
        <x:is>
          <x:t xml:space="preserve">PDVF TUBO 50mm</x:t>
        </x:is>
      </x:c>
      <x:c r="E2481" t="n">
        <x:v>0</x:v>
      </x:c>
    </x:row>
    <x:row r="2482">
      <x:c r="A2482" t="inlineStr">
        <x:is>
          <x:t xml:space="preserve">PDVTUBPIP008</x:t>
        </x:is>
      </x:c>
      <x:c r="B2482" t="inlineStr">
        <x:is>
          <x:t xml:space="preserve">PDVF TUBO 60mm</x:t>
        </x:is>
      </x:c>
      <x:c r="E2482" t="n">
        <x:v>0</x:v>
      </x:c>
    </x:row>
    <x:row r="2483">
      <x:c r="A2483" t="inlineStr">
        <x:is>
          <x:t xml:space="preserve">PDVTUBPIP009</x:t>
        </x:is>
      </x:c>
      <x:c r="B2483" t="inlineStr">
        <x:is>
          <x:t xml:space="preserve">PDVF TUBO 90mm</x:t>
        </x:is>
      </x:c>
      <x:c r="E2483" t="n">
        <x:v>0</x:v>
      </x:c>
    </x:row>
    <x:row r="2484">
      <x:c r="A2484" t="inlineStr">
        <x:is>
          <x:t xml:space="preserve">PDVTUBPIP110</x:t>
        </x:is>
      </x:c>
      <x:c r="B2484" t="inlineStr">
        <x:is>
          <x:t xml:space="preserve">PDVF TUBO 110mm</x:t>
        </x:is>
      </x:c>
      <x:c r="E2484" t="n">
        <x:v>0</x:v>
      </x:c>
    </x:row>
    <x:row r="2485">
      <x:c r="A2485" t="inlineStr">
        <x:is>
          <x:t xml:space="preserve">PDVTUBPIP200</x:t>
        </x:is>
      </x:c>
      <x:c r="B2485" t="inlineStr">
        <x:is>
          <x:t xml:space="preserve">PDVF TUBO 200mm</x:t>
        </x:is>
      </x:c>
      <x:c r="E2485" t="n">
        <x:v>0</x:v>
      </x:c>
    </x:row>
    <x:row r="2486">
      <x:c r="A2486" t="inlineStr">
        <x:is>
          <x:t xml:space="preserve">PDVTUBPIP355</x:t>
        </x:is>
      </x:c>
      <x:c r="B2486" t="inlineStr">
        <x:is>
          <x:t xml:space="preserve">PDVF TUBO 355mm</x:t>
        </x:is>
      </x:c>
      <x:c r="E2486" t="n">
        <x:v>0</x:v>
      </x:c>
    </x:row>
    <x:row r="2487">
      <x:c r="A2487" t="inlineStr">
        <x:is>
          <x:t xml:space="preserve">PDVTUBXBQ001</x:t>
        </x:is>
      </x:c>
      <x:c r="B2487" t="inlineStr">
        <x:is>
          <x:t xml:space="preserve">PDVF TUBO 160mm BQ</x:t>
        </x:is>
      </x:c>
      <x:c r="E2487" t="n">
        <x:v>0</x:v>
      </x:c>
    </x:row>
    <x:row r="2488">
      <x:c r="A2488" t="inlineStr">
        <x:is>
          <x:t xml:space="preserve">PDVTUBXBQ002</x:t>
        </x:is>
      </x:c>
      <x:c r="B2488" t="inlineStr">
        <x:is>
          <x:t xml:space="preserve">PDVF TUBO 200mm BQ</x:t>
        </x:is>
      </x:c>
      <x:c r="E2488" t="n">
        <x:v>0</x:v>
      </x:c>
    </x:row>
    <x:row r="2489">
      <x:c r="A2489" t="inlineStr">
        <x:is>
          <x:t xml:space="preserve">PDVTUBXBQ003</x:t>
        </x:is>
      </x:c>
      <x:c r="B2489" t="inlineStr">
        <x:is>
          <x:t xml:space="preserve">PDVF TUBO 250mm BQ</x:t>
        </x:is>
      </x:c>
      <x:c r="E2489" t="n">
        <x:v>0</x:v>
      </x:c>
    </x:row>
    <x:row r="2490">
      <x:c r="A2490" t="inlineStr">
        <x:is>
          <x:t xml:space="preserve">PDVTUBXBQ004</x:t>
        </x:is>
      </x:c>
      <x:c r="B2490" t="inlineStr">
        <x:is>
          <x:t xml:space="preserve">PDVF TUBO 40mm BQ</x:t>
        </x:is>
      </x:c>
      <x:c r="E2490" t="n">
        <x:v>0</x:v>
      </x:c>
    </x:row>
    <x:row r="2491">
      <x:c r="A2491" t="inlineStr">
        <x:is>
          <x:t xml:space="preserve">PDVTUBXBQ005</x:t>
        </x:is>
      </x:c>
      <x:c r="B2491" t="inlineStr">
        <x:is>
          <x:t xml:space="preserve">PDVF TUBO 50mm BQ</x:t>
        </x:is>
      </x:c>
      <x:c r="E2491" t="n">
        <x:v>0</x:v>
      </x:c>
    </x:row>
    <x:row r="2492">
      <x:c r="A2492" t="inlineStr">
        <x:is>
          <x:t xml:space="preserve">PDVTUBXBQ006</x:t>
        </x:is>
      </x:c>
      <x:c r="B2492" t="inlineStr">
        <x:is>
          <x:t xml:space="preserve">PDVF TUBO 60mm BQ</x:t>
        </x:is>
      </x:c>
      <x:c r="E2492" t="n">
        <x:v>0</x:v>
      </x:c>
    </x:row>
    <x:row r="2493">
      <x:c r="A2493" t="inlineStr">
        <x:is>
          <x:t xml:space="preserve">PDVTUBXBQ007</x:t>
        </x:is>
      </x:c>
      <x:c r="B2493" t="inlineStr">
        <x:is>
          <x:t xml:space="preserve">PDVF TUBO 90mm BQ</x:t>
        </x:is>
      </x:c>
      <x:c r="E2493" t="n">
        <x:v>0</x:v>
      </x:c>
    </x:row>
    <x:row r="2494">
      <x:c r="A2494" t="inlineStr">
        <x:is>
          <x:t xml:space="preserve">PDVTUBXBQ008</x:t>
        </x:is>
      </x:c>
      <x:c r="B2494" t="inlineStr">
        <x:is>
          <x:t xml:space="preserve">TUBERIA PVDF NATURAL C/BACKING 125X3,0</x:t>
        </x:is>
      </x:c>
      <x:c r="E2494" t="n">
        <x:v>0</x:v>
      </x:c>
    </x:row>
    <x:row r="2495">
      <x:c r="A2495" t="inlineStr">
        <x:is>
          <x:t xml:space="preserve">PLAACE001001</x:t>
        </x:is>
      </x:c>
      <x:c r="B2495" t="inlineStr">
        <x:is>
          <x:t xml:space="preserve">PLANCHA DE ACERO A36 3000X1000X2 MM</x:t>
        </x:is>
      </x:c>
      <x:c r="E2495" t="n">
        <x:v>0</x:v>
      </x:c>
    </x:row>
    <x:row r="2496">
      <x:c r="A2496" t="inlineStr">
        <x:is>
          <x:t xml:space="preserve">PLAACE001002</x:t>
        </x:is>
      </x:c>
      <x:c r="B2496" t="inlineStr">
        <x:is>
          <x:t xml:space="preserve">PLANCHA DE ACERO A36 3000X1000X10 MM</x:t>
        </x:is>
      </x:c>
      <x:c r="E2496" t="n">
        <x:v>0</x:v>
      </x:c>
    </x:row>
    <x:row r="2497">
      <x:c r="A2497" t="inlineStr">
        <x:is>
          <x:t xml:space="preserve">PLAACE001003</x:t>
        </x:is>
      </x:c>
      <x:c r="B2497" t="inlineStr">
        <x:is>
          <x:t xml:space="preserve">PLANCHA DE ACERO A36 1500X1500X6 MM</x:t>
        </x:is>
      </x:c>
      <x:c r="E2497" t="n">
        <x:v>0</x:v>
      </x:c>
    </x:row>
    <x:row r="2498">
      <x:c r="A2498" t="inlineStr">
        <x:is>
          <x:t xml:space="preserve">PLAACE001004</x:t>
        </x:is>
      </x:c>
      <x:c r="B2498" t="inlineStr">
        <x:is>
          <x:t xml:space="preserve">PLANCHA DE ACERO A36 3000X1000X4 MM</x:t>
        </x:is>
      </x:c>
      <x:c r="E2498" t="n">
        <x:v>0</x:v>
      </x:c>
    </x:row>
    <x:row r="2499">
      <x:c r="A2499" t="inlineStr">
        <x:is>
          <x:t xml:space="preserve">PLAACE001005</x:t>
        </x:is>
      </x:c>
      <x:c r="B2499" t="inlineStr">
        <x:is>
          <x:t xml:space="preserve">PLANCHA DE ACERO A36 3000X1000X5 MM</x:t>
        </x:is>
      </x:c>
      <x:c r="E2499" t="n">
        <x:v>0</x:v>
      </x:c>
    </x:row>
    <x:row r="2500">
      <x:c r="A2500" t="inlineStr">
        <x:is>
          <x:t xml:space="preserve">PLAACE001006</x:t>
        </x:is>
      </x:c>
      <x:c r="B2500" t="inlineStr">
        <x:is>
          <x:t xml:space="preserve">PLANCHA DE ACERO INOXIDABLE 3000X1500X5 MM</x:t>
        </x:is>
      </x:c>
      <x:c r="E2500" t="n">
        <x:v>0</x:v>
      </x:c>
    </x:row>
    <x:row r="2501">
      <x:c r="A2501" t="inlineStr">
        <x:is>
          <x:t xml:space="preserve">PLAACE001007</x:t>
        </x:is>
      </x:c>
      <x:c r="B2501" t="inlineStr">
        <x:is>
          <x:t xml:space="preserve">PLANCHA DE ACERO INOXIDABLE 3000X1100X4 MM</x:t>
        </x:is>
      </x:c>
      <x:c r="E2501" t="n">
        <x:v>0</x:v>
      </x:c>
    </x:row>
    <x:row r="2502">
      <x:c r="A2502" t="inlineStr">
        <x:is>
          <x:t xml:space="preserve">PLAACE001008</x:t>
        </x:is>
      </x:c>
      <x:c r="B2502" t="inlineStr">
        <x:is>
          <x:t xml:space="preserve">PLANCHA L/C INOX 316L 10X1500X1500 T1</x:t>
        </x:is>
      </x:c>
      <x:c r="E2502" t="n">
        <x:v>0</x:v>
      </x:c>
    </x:row>
    <x:row r="2503">
      <x:c r="A2503" t="inlineStr">
        <x:is>
          <x:t xml:space="preserve">PLAACE001009</x:t>
        </x:is>
      </x:c>
      <x:c r="B2503" t="inlineStr">
        <x:is>
          <x:t xml:space="preserve">PLANCHA L/C INOX 316L 20X1500X1500 T1</x:t>
        </x:is>
      </x:c>
      <x:c r="E2503" t="n">
        <x:v>0</x:v>
      </x:c>
    </x:row>
    <x:row r="2504">
      <x:c r="A2504" t="inlineStr">
        <x:is>
          <x:t xml:space="preserve">PLAACE001010</x:t>
        </x:is>
      </x:c>
      <x:c r="B2504" t="inlineStr">
        <x:is>
          <x:t xml:space="preserve">PLANCHA DE ACERO A36 -- 2000 X 1000 X 20 MM</x:t>
        </x:is>
      </x:c>
      <x:c r="E2504" t="n">
        <x:v>0</x:v>
      </x:c>
    </x:row>
    <x:row r="2505">
      <x:c r="A2505" t="inlineStr">
        <x:is>
          <x:t xml:space="preserve">PLAACE001011</x:t>
        </x:is>
      </x:c>
      <x:c r="B2505" t="inlineStr">
        <x:is>
          <x:t xml:space="preserve">PLANCHA L/C INOX 304L -- 1000 X 1000 X 20MM</x:t>
        </x:is>
      </x:c>
      <x:c r="E2505" t="n">
        <x:v>1</x:v>
      </x:c>
    </x:row>
    <x:row r="2506">
      <x:c r="A2506" t="inlineStr">
        <x:is>
          <x:t xml:space="preserve">PLABAR001001</x:t>
        </x:is>
      </x:c>
      <x:c r="B2506" t="inlineStr">
        <x:is>
          <x:t xml:space="preserve">BARRA HDPE BLANCA 250 MM DIAM.</x:t>
        </x:is>
      </x:c>
      <x:c r="E2506" t="n">
        <x:v>0</x:v>
      </x:c>
    </x:row>
    <x:row r="2507">
      <x:c r="A2507" t="inlineStr">
        <x:is>
          <x:t xml:space="preserve">PLABAR001002</x:t>
        </x:is>
      </x:c>
      <x:c r="B2507" t="inlineStr">
        <x:is>
          <x:t xml:space="preserve">BARRA UHMW DIAM.100 MM</x:t>
        </x:is>
      </x:c>
      <x:c r="E2507" t="n">
        <x:v>2.5</x:v>
      </x:c>
    </x:row>
    <x:row r="2508">
      <x:c r="A2508" t="inlineStr">
        <x:is>
          <x:t xml:space="preserve">PLABAR001003</x:t>
        </x:is>
      </x:c>
      <x:c r="B2508" t="inlineStr">
        <x:is>
          <x:t xml:space="preserve">BARRA PLY DIAM 30 MM (INDUPAQ)</x:t>
        </x:is>
      </x:c>
      <x:c r="E2508" t="n">
        <x:v>0</x:v>
      </x:c>
    </x:row>
    <x:row r="2509">
      <x:c r="A2509" t="inlineStr">
        <x:is>
          <x:t xml:space="preserve">PLABAR001004</x:t>
        </x:is>
      </x:c>
      <x:c r="B2509" t="inlineStr">
        <x:is>
          <x:t xml:space="preserve">BARRA HDPE NEGRA 110 MM DIAM.</x:t>
        </x:is>
      </x:c>
      <x:c r="E2509" t="n">
        <x:v>0</x:v>
      </x:c>
    </x:row>
    <x:row r="2510">
      <x:c r="A2510" t="inlineStr">
        <x:is>
          <x:t xml:space="preserve">PLABAR001006</x:t>
        </x:is>
      </x:c>
      <x:c r="B2510" t="inlineStr">
        <x:is>
          <x:t xml:space="preserve">BARRA DE UHMW BLANCO 100 MM DIAM X 2000 MM LG</x:t>
        </x:is>
      </x:c>
      <x:c r="E2510" t="n">
        <x:v>5</x:v>
      </x:c>
    </x:row>
    <x:row r="2511">
      <x:c r="A2511" t="inlineStr">
        <x:is>
          <x:t xml:space="preserve">PLABAR001022</x:t>
        </x:is>
      </x:c>
      <x:c r="B2511" t="inlineStr">
        <x:is>
          <x:t xml:space="preserve">BARRA HDPE BLANCA XXX MM DIAM.</x:t>
        </x:is>
      </x:c>
      <x:c r="E2511" t="n">
        <x:v>0</x:v>
      </x:c>
    </x:row>
    <x:row r="2512">
      <x:c r="A2512" t="inlineStr">
        <x:is>
          <x:t xml:space="preserve">PLACER001001</x:t>
        </x:is>
      </x:c>
      <x:c r="B2512" t="inlineStr">
        <x:is>
          <x:t xml:space="preserve">PLANCHA DE CERAM-P 1000 X4000 X 55 MM</x:t>
        </x:is>
      </x:c>
      <x:c r="E2512" t="n">
        <x:v>0</x:v>
      </x:c>
    </x:row>
    <x:row r="2513">
      <x:c r="A2513" t="inlineStr">
        <x:is>
          <x:t xml:space="preserve">PLACER001002</x:t>
        </x:is>
      </x:c>
      <x:c r="B2513" t="inlineStr">
        <x:is>
          <x:t xml:space="preserve">PLANCHA DE CERAM-P 2000 X4080 X 55 MM</x:t>
        </x:is>
      </x:c>
      <x:c r="E2513" t="n">
        <x:v>7.56</x:v>
      </x:c>
    </x:row>
    <x:row r="2514">
      <x:c r="A2514" t="inlineStr">
        <x:is>
          <x:t xml:space="preserve">PLACER001003</x:t>
        </x:is>
      </x:c>
      <x:c r="B2514" t="inlineStr">
        <x:is>
          <x:t xml:space="preserve">PLANCHA DE CERAM-P 1000 X2000 X 80 MM</x:t>
        </x:is>
      </x:c>
      <x:c r="E2514" t="n">
        <x:v>9.300000000000001</x:v>
      </x:c>
    </x:row>
    <x:row r="2515">
      <x:c r="A2515" t="inlineStr">
        <x:is>
          <x:t xml:space="preserve">PLACER001004</x:t>
        </x:is>
      </x:c>
      <x:c r="B2515" t="inlineStr">
        <x:is>
          <x:t xml:space="preserve">PLANCHA DE CERAM-P 3000 X1200 X 55 MM</x:t>
        </x:is>
      </x:c>
      <x:c r="E2515" t="n">
        <x:v>0</x:v>
      </x:c>
    </x:row>
    <x:row r="2516">
      <x:c r="A2516" t="inlineStr">
        <x:is>
          <x:t xml:space="preserve">PLACER001005</x:t>
        </x:is>
      </x:c>
      <x:c r="B2516" t="inlineStr">
        <x:is>
          <x:t xml:space="preserve">PLANCHA DE CERAM-P 1000X1000 DESP. EN MTRS 2</x:t>
        </x:is>
      </x:c>
      <x:c r="E2516" t="n">
        <x:v>1.27</x:v>
      </x:c>
    </x:row>
    <x:row r="2517">
      <x:c r="A2517" t="inlineStr">
        <x:is>
          <x:t xml:space="preserve">PLAECT001001</x:t>
        </x:is>
      </x:c>
      <x:c r="B2517" t="inlineStr">
        <x:is>
          <x:t xml:space="preserve">PLANCHA ECTFE C/BACKING NATURAL 3000X1500X2.3 MM</x:t>
        </x:is>
      </x:c>
      <x:c r="E2517" t="n">
        <x:v>4</x:v>
      </x:c>
    </x:row>
    <x:row r="2518">
      <x:c r="A2518" t="inlineStr">
        <x:is>
          <x:t xml:space="preserve">PLAECT001002</x:t>
        </x:is>
      </x:c>
      <x:c r="B2518" t="inlineStr">
        <x:is>
          <x:t xml:space="preserve">PLANCHA FEP 1.5 ANCHOx2,3 mm ESP.C/BAKING</x:t>
        </x:is>
      </x:c>
      <x:c r="E2518" t="n">
        <x:v>0</x:v>
      </x:c>
    </x:row>
    <x:row r="2519">
      <x:c r="A2519" t="inlineStr">
        <x:is>
          <x:t xml:space="preserve">PLAECT001003</x:t>
        </x:is>
      </x:c>
      <x:c r="B2519" t="inlineStr">
        <x:is>
          <x:t xml:space="preserve">PLANCHA FEP 1.25 MT ANCHOx2,3 mm ESP.C/BAKING</x:t>
        </x:is>
      </x:c>
      <x:c r="E2519" t="n">
        <x:v>0</x:v>
      </x:c>
    </x:row>
    <x:row r="2520">
      <x:c r="A2520" t="inlineStr">
        <x:is>
          <x:t xml:space="preserve">PLAECT001004</x:t>
        </x:is>
      </x:c>
      <x:c r="B2520" t="inlineStr">
        <x:is>
          <x:t xml:space="preserve">40600301523 - Placa 3000X1500X2,3 ECTFENatur. Protect-Foil- Bothside</x:t>
        </x:is>
      </x:c>
      <x:c r="E2520" t="n">
        <x:v>1</x:v>
      </x:c>
    </x:row>
    <x:row r="2521">
      <x:c r="A2521" t="inlineStr">
        <x:is>
          <x:t xml:space="preserve">PLAHDP001001</x:t>
        </x:is>
      </x:c>
      <x:c r="B2521" t="inlineStr">
        <x:is>
          <x:t xml:space="preserve">PLANCHA HDPE BLANCA 1200X3000X5 MM</x:t>
        </x:is>
      </x:c>
      <x:c r="E2521" t="n">
        <x:v>0</x:v>
      </x:c>
    </x:row>
    <x:row r="2522">
      <x:c r="A2522" t="inlineStr">
        <x:is>
          <x:t xml:space="preserve">PLAHDP001002</x:t>
        </x:is>
      </x:c>
      <x:c r="B2522" t="inlineStr">
        <x:is>
          <x:t xml:space="preserve">PLANCHA UHMW 1200X3000X3/4</x:t>
        </x:is>
      </x:c>
      <x:c r="E2522" t="n">
        <x:v>0</x:v>
      </x:c>
    </x:row>
    <x:row r="2523">
      <x:c r="A2523" t="inlineStr">
        <x:is>
          <x:t xml:space="preserve">PLAHDP001003</x:t>
        </x:is>
      </x:c>
      <x:c r="B2523" t="inlineStr">
        <x:is>
          <x:t xml:space="preserve">PLANCHA HDPE BLANCA 1200X3000X1/4 MMM</x:t>
        </x:is>
      </x:c>
      <x:c r="E2523" t="n">
        <x:v>0</x:v>
      </x:c>
    </x:row>
    <x:row r="2524">
      <x:c r="A2524" t="inlineStr">
        <x:is>
          <x:t xml:space="preserve">PLAHDP001004</x:t>
        </x:is>
      </x:c>
      <x:c r="B2524" t="inlineStr">
        <x:is>
          <x:t xml:space="preserve">PLANCHA HDPE BLANCA 1200X3000X3/4 MM</x:t>
        </x:is>
      </x:c>
      <x:c r="E2524" t="n">
        <x:v>0</x:v>
      </x:c>
    </x:row>
    <x:row r="2525">
      <x:c r="A2525" t="inlineStr">
        <x:is>
          <x:t xml:space="preserve">PLAHDP001005</x:t>
        </x:is>
      </x:c>
      <x:c r="B2525" t="inlineStr">
        <x:is>
          <x:t xml:space="preserve">PLANCHA HDPE BLANCA 1200X3000X5/8 MM</x:t>
        </x:is>
      </x:c>
      <x:c r="E2525" t="n">
        <x:v>0</x:v>
      </x:c>
    </x:row>
    <x:row r="2526">
      <x:c r="A2526" t="inlineStr">
        <x:is>
          <x:t xml:space="preserve">PLAHDP001006</x:t>
        </x:is>
      </x:c>
      <x:c r="B2526" t="inlineStr">
        <x:is>
          <x:t xml:space="preserve">PLANCHA HDPE NEGRA 1200X3000X5/8</x:t>
        </x:is>
      </x:c>
      <x:c r="E2526" t="n">
        <x:v>0</x:v>
      </x:c>
    </x:row>
    <x:row r="2527">
      <x:c r="A2527" t="inlineStr">
        <x:is>
          <x:t xml:space="preserve">PLAHDP001007</x:t>
        </x:is>
      </x:c>
      <x:c r="B2527" t="inlineStr">
        <x:is>
          <x:t xml:space="preserve">PLANCHA HDPE NEGRA 1200X3000X3/8</x:t>
        </x:is>
      </x:c>
      <x:c r="E2527" t="n">
        <x:v>0</x:v>
      </x:c>
    </x:row>
    <x:row r="2528">
      <x:c r="A2528" t="inlineStr">
        <x:is>
          <x:t xml:space="preserve">PLAHDP001008</x:t>
        </x:is>
      </x:c>
      <x:c r="B2528" t="inlineStr">
        <x:is>
          <x:t xml:space="preserve">PLANCHA HDPE BLANCA 1200X3000X1/2</x:t>
        </x:is>
      </x:c>
      <x:c r="E2528" t="n">
        <x:v>0</x:v>
      </x:c>
    </x:row>
    <x:row r="2529">
      <x:c r="A2529" t="inlineStr">
        <x:is>
          <x:t xml:space="preserve">PLAHDP001009</x:t>
        </x:is>
      </x:c>
      <x:c r="B2529" t="inlineStr">
        <x:is>
          <x:t xml:space="preserve">PLANCHA HDPE NEGRA 1200X3000X1/2</x:t>
        </x:is>
      </x:c>
      <x:c r="E2529" t="n">
        <x:v>0</x:v>
      </x:c>
    </x:row>
    <x:row r="2530">
      <x:c r="A2530" t="inlineStr">
        <x:is>
          <x:t xml:space="preserve">PLAHDP001010</x:t>
        </x:is>
      </x:c>
      <x:c r="B2530" t="inlineStr">
        <x:is>
          <x:t xml:space="preserve">PLANCHA HDPE NEGRA 1200X3000X3/4</x:t>
        </x:is>
      </x:c>
      <x:c r="E2530" t="n">
        <x:v>0</x:v>
      </x:c>
    </x:row>
    <x:row r="2531">
      <x:c r="A2531" t="inlineStr">
        <x:is>
          <x:t xml:space="preserve">PLAHDP001011</x:t>
        </x:is>
      </x:c>
      <x:c r="B2531" t="inlineStr">
        <x:is>
          <x:t xml:space="preserve">PLANCHA HDPE NEGRA 1200X3000X1 PLG</x:t>
        </x:is>
      </x:c>
      <x:c r="E2531" t="n">
        <x:v>0</x:v>
      </x:c>
    </x:row>
    <x:row r="2532">
      <x:c r="A2532" t="inlineStr">
        <x:is>
          <x:t xml:space="preserve">PLAHDP001012</x:t>
        </x:is>
      </x:c>
      <x:c r="B2532" t="inlineStr">
        <x:is>
          <x:t xml:space="preserve">PLANCHA DE PE NATURAL 3000X1500X15 MM</x:t>
        </x:is>
      </x:c>
      <x:c r="E2532" t="n">
        <x:v>0</x:v>
      </x:c>
    </x:row>
    <x:row r="2533">
      <x:c r="A2533" t="inlineStr">
        <x:is>
          <x:t xml:space="preserve">PLAHDP001013</x:t>
        </x:is>
      </x:c>
      <x:c r="B2533" t="inlineStr">
        <x:is>
          <x:t xml:space="preserve">PLANCHA PE 100 NEGRO 4000 X 2000 X 30 MM</x:t>
        </x:is>
      </x:c>
      <x:c r="E2533" t="n">
        <x:v>0</x:v>
      </x:c>
    </x:row>
    <x:row r="2534">
      <x:c r="A2534" t="inlineStr">
        <x:is>
          <x:t xml:space="preserve">PLAHDP001014</x:t>
        </x:is>
      </x:c>
      <x:c r="B2534" t="inlineStr">
        <x:is>
          <x:t xml:space="preserve">PLANCHA HDPE NEGRA 1500X3000X8MM</x:t>
        </x:is>
      </x:c>
      <x:c r="E2534" t="n">
        <x:v>0</x:v>
      </x:c>
    </x:row>
    <x:row r="2535">
      <x:c r="A2535" t="inlineStr">
        <x:is>
          <x:t xml:space="preserve">PLAHDP001015</x:t>
        </x:is>
      </x:c>
      <x:c r="B2535" t="inlineStr">
        <x:is>
          <x:t xml:space="preserve">PLANCHA HDPE NEGRA 1500X3000X6MM</x:t>
        </x:is>
      </x:c>
      <x:c r="E2535" t="n">
        <x:v>0</x:v>
      </x:c>
    </x:row>
    <x:row r="2536">
      <x:c r="A2536" t="inlineStr">
        <x:is>
          <x:t xml:space="preserve">PLAHDP001016</x:t>
        </x:is>
      </x:c>
      <x:c r="B2536" t="inlineStr">
        <x:is>
          <x:t xml:space="preserve">PLANCHA HDPE NEGRA 1500X3000X10MM</x:t>
        </x:is>
      </x:c>
      <x:c r="E2536" t="n">
        <x:v>0</x:v>
      </x:c>
    </x:row>
    <x:row r="2537">
      <x:c r="A2537" t="inlineStr">
        <x:is>
          <x:t xml:space="preserve">PLAHDP001017</x:t>
        </x:is>
      </x:c>
      <x:c r="B2537" t="inlineStr">
        <x:is>
          <x:t xml:space="preserve">PLANCHA HDPE NEGRA 1500X3000X12MM</x:t>
        </x:is>
      </x:c>
      <x:c r="E2537" t="n">
        <x:v>0</x:v>
      </x:c>
    </x:row>
    <x:row r="2538">
      <x:c r="A2538" t="inlineStr">
        <x:is>
          <x:t xml:space="preserve">PLAHDP001018</x:t>
        </x:is>
      </x:c>
      <x:c r="B2538" t="inlineStr">
        <x:is>
          <x:t xml:space="preserve">PLANCHA HDPE NEGRA 1500X3000X15MM</x:t>
        </x:is>
      </x:c>
      <x:c r="E2538" t="n">
        <x:v>0</x:v>
      </x:c>
    </x:row>
    <x:row r="2539">
      <x:c r="A2539" t="inlineStr">
        <x:is>
          <x:t xml:space="preserve">PLAHDP001019</x:t>
        </x:is>
      </x:c>
      <x:c r="B2539" t="inlineStr">
        <x:is>
          <x:t xml:space="preserve">PLANCHA HDPE NEGRA 1500X3000X20MM</x:t>
        </x:is>
      </x:c>
      <x:c r="E2539" t="n">
        <x:v>0</x:v>
      </x:c>
    </x:row>
    <x:row r="2540">
      <x:c r="A2540" t="inlineStr">
        <x:is>
          <x:t xml:space="preserve">PLAHDP001020</x:t>
        </x:is>
      </x:c>
      <x:c r="B2540" t="inlineStr">
        <x:is>
          <x:t xml:space="preserve">PLANCHA HDPE NEGRA 1500X3000X25MM</x:t>
        </x:is>
      </x:c>
      <x:c r="E2540" t="n">
        <x:v>0</x:v>
      </x:c>
    </x:row>
    <x:row r="2541">
      <x:c r="A2541" t="inlineStr">
        <x:is>
          <x:t xml:space="preserve">PLAHDP001021</x:t>
        </x:is>
      </x:c>
      <x:c r="B2541" t="inlineStr">
        <x:is>
          <x:t xml:space="preserve">PLANCHA HDPE NEGRA 3000 x 1500 x 40MM</x:t>
        </x:is>
      </x:c>
      <x:c r="E2541" t="n">
        <x:v>0</x:v>
      </x:c>
    </x:row>
    <x:row r="2542">
      <x:c r="A2542" t="inlineStr">
        <x:is>
          <x:t xml:space="preserve">PLAHDP001022</x:t>
        </x:is>
      </x:c>
      <x:c r="B2542" t="inlineStr">
        <x:is>
          <x:t xml:space="preserve">PLANCHA HDPE NEGRA 3000 x 1500 x 5 MM CON BACKING</x:t>
        </x:is>
      </x:c>
      <x:c r="E2542" t="n">
        <x:v>1</x:v>
      </x:c>
    </x:row>
    <x:row r="2543">
      <x:c r="A2543" t="inlineStr">
        <x:is>
          <x:t xml:space="preserve">PLAPVC001001</x:t>
        </x:is>
      </x:c>
      <x:c r="B2543" t="inlineStr">
        <x:is>
          <x:t xml:space="preserve">PLANCHA DE PVC 2000X1200X10 MM</x:t>
        </x:is>
      </x:c>
      <x:c r="E2543" t="n">
        <x:v>0</x:v>
      </x:c>
    </x:row>
    <x:row r="2544">
      <x:c r="A2544" t="inlineStr">
        <x:is>
          <x:t xml:space="preserve">PLAPVC001002</x:t>
        </x:is>
      </x:c>
      <x:c r="B2544" t="inlineStr">
        <x:is>
          <x:t xml:space="preserve">PLANCHA DE PVC 3000X1500X3 MM</x:t>
        </x:is>
      </x:c>
      <x:c r="E2544" t="n">
        <x:v>0</x:v>
      </x:c>
    </x:row>
    <x:row r="2545">
      <x:c r="A2545" t="inlineStr">
        <x:is>
          <x:t xml:space="preserve">PLASUPLIN001</x:t>
        </x:is>
      </x:c>
      <x:c r="B2545" t="inlineStr">
        <x:is>
          <x:t xml:space="preserve">PLANCHA DE SUPERLINER AZUL(CHINO) 6000X1200X15 MM</x:t>
        </x:is>
      </x:c>
      <x:c r="E2545" t="n">
        <x:v>0</x:v>
      </x:c>
    </x:row>
    <x:row r="2546">
      <x:c r="A2546" t="inlineStr">
        <x:is>
          <x:t xml:space="preserve">PLASUPLIN002</x:t>
        </x:is>
      </x:c>
      <x:c r="B2546" t="inlineStr">
        <x:is>
          <x:t xml:space="preserve">PERNOS CAPED BOLT 3/8</x:t>
        </x:is>
      </x:c>
      <x:c r="E2546" t="n">
        <x:v>0</x:v>
      </x:c>
    </x:row>
    <x:row r="2547">
      <x:c r="A2547" t="inlineStr">
        <x:is>
          <x:t xml:space="preserve">PLASUPLIN003</x:t>
        </x:is>
      </x:c>
      <x:c r="B2547" t="inlineStr">
        <x:is>
          <x:t xml:space="preserve">PLANCHA TIVAR 88 3000X1200X3/8 PLG</x:t>
        </x:is>
      </x:c>
      <x:c r="E2547" t="n">
        <x:v>0</x:v>
      </x:c>
    </x:row>
    <x:row r="2548">
      <x:c r="A2548" t="inlineStr">
        <x:is>
          <x:t xml:space="preserve">PLASUPLIN004</x:t>
        </x:is>
      </x:c>
      <x:c r="B2548" t="inlineStr">
        <x:is>
          <x:t xml:space="preserve">PLANCHA TIVAR 88 3000X1200X1/2 PLG</x:t>
        </x:is>
      </x:c>
      <x:c r="E2548" t="n">
        <x:v>0</x:v>
      </x:c>
    </x:row>
    <x:row r="2549">
      <x:c r="A2549" t="inlineStr">
        <x:is>
          <x:t xml:space="preserve">PLASUPLIN005</x:t>
        </x:is>
      </x:c>
      <x:c r="B2549" t="inlineStr">
        <x:is>
          <x:t xml:space="preserve">PLANCHA SUPERLINER AZUL 1200x3000x1/2</x:t>
        </x:is>
      </x:c>
      <x:c r="E2549" t="n">
        <x:v>0</x:v>
      </x:c>
    </x:row>
    <x:row r="2550">
      <x:c r="A2550" t="inlineStr">
        <x:is>
          <x:t xml:space="preserve">PLASUPLIN006</x:t>
        </x:is>
      </x:c>
      <x:c r="B2550" t="inlineStr">
        <x:is>
          <x:t xml:space="preserve">PLANCHA SUPERLINER AZUL 1200x3000x 3/4</x:t>
        </x:is>
      </x:c>
      <x:c r="E2550" t="n">
        <x:v>0</x:v>
      </x:c>
    </x:row>
    <x:row r="2551">
      <x:c r="A2551" t="inlineStr">
        <x:is>
          <x:t xml:space="preserve">PLASUPLIN007</x:t>
        </x:is>
      </x:c>
      <x:c r="B2551" t="inlineStr">
        <x:is>
          <x:t xml:space="preserve">PLANCHA DE SUPERLINER AZUL (CHINO) 6000 X 1200 X 12 MM</x:t>
        </x:is>
      </x:c>
      <x:c r="E2551" t="n">
        <x:v>0</x:v>
      </x:c>
    </x:row>
    <x:row r="2552">
      <x:c r="A2552" t="inlineStr">
        <x:is>
          <x:t xml:space="preserve">PLASUPLIN008</x:t>
        </x:is>
      </x:c>
      <x:c r="B2552" t="inlineStr">
        <x:is>
          <x:t xml:space="preserve">PLANCHA DE SUPERLINER AZUL (CHINO) 6000 X 1200 X 19 MM</x:t>
        </x:is>
      </x:c>
      <x:c r="E2552" t="n">
        <x:v>0</x:v>
      </x:c>
    </x:row>
    <x:row r="2553">
      <x:c r="A2553" t="inlineStr">
        <x:is>
          <x:t xml:space="preserve">PLASUPLIN009</x:t>
        </x:is>
      </x:c>
      <x:c r="B2553" t="inlineStr">
        <x:is>
          <x:t xml:space="preserve">PLANCHA DE SUPERLINER AZUL PE-UHMW  3000 X 1200 X 6 MM (1/4PLG)</x:t>
        </x:is>
      </x:c>
      <x:c r="E2553" t="n">
        <x:v>0</x:v>
      </x:c>
    </x:row>
    <x:row r="2554">
      <x:c r="A2554" t="inlineStr">
        <x:is>
          <x:t xml:space="preserve">PLASUPLIN010</x:t>
        </x:is>
      </x:c>
      <x:c r="B2554" t="inlineStr">
        <x:is>
          <x:t xml:space="preserve">PLANCHA DE SUPERLINER PE-1000 AZUL  3000 X 1200 X 8 MM (010025851 SIMONA)</x:t>
        </x:is>
      </x:c>
      <x:c r="E2554" t="n">
        <x:v>0</x:v>
      </x:c>
    </x:row>
    <x:row r="2555">
      <x:c r="A2555" t="inlineStr">
        <x:is>
          <x:t xml:space="preserve">PLASUPLIN011</x:t>
        </x:is>
      </x:c>
      <x:c r="B2555" t="inlineStr">
        <x:is>
          <x:t xml:space="preserve">PLANCHA PE-1000 SUPERLINING AZUL 3000MM X 1200MM X 10MM  (010025852 SIMONA)</x:t>
        </x:is>
      </x:c>
      <x:c r="E2555" t="n">
        <x:v>0</x:v>
      </x:c>
    </x:row>
    <x:row r="2556">
      <x:c r="A2556" t="inlineStr">
        <x:is>
          <x:t xml:space="preserve">PLASUPLIN12M</x:t>
        </x:is>
      </x:c>
      <x:c r="B2556" t="inlineStr">
        <x:is>
          <x:t xml:space="preserve">PLANCHA PE-100 SUPÉRLINING 3000 X 1250 X 12MM -</x:t>
        </x:is>
      </x:c>
      <x:c r="E2556" t="n">
        <x:v>0</x:v>
      </x:c>
    </x:row>
    <x:row r="2557">
      <x:c r="A2557" t="inlineStr">
        <x:is>
          <x:t xml:space="preserve">PLASUPLIN20M</x:t>
        </x:is>
      </x:c>
      <x:c r="B2557" t="inlineStr">
        <x:is>
          <x:t xml:space="preserve">PLANCHA PE-100 SUPÉRLINING 3000 X 1250 X 20MM -</x:t>
        </x:is>
      </x:c>
      <x:c r="E2557" t="n">
        <x:v>0</x:v>
      </x:c>
    </x:row>
    <x:row r="2558">
      <x:c r="A2558" t="inlineStr">
        <x:is>
          <x:t xml:space="preserve">PLATEFEXP3MM</x:t>
        </x:is>
      </x:c>
      <x:c r="B2558" t="inlineStr">
        <x:is>
          <x:t xml:space="preserve">PLANCHA TEFLON EXPANDIDO 60 X 60 X 1/8</x:t>
        </x:is>
      </x:c>
      <x:c r="E2558" t="n">
        <x:v>0</x:v>
      </x:c>
    </x:row>
    <x:row r="2559">
      <x:c r="A2559" t="inlineStr">
        <x:is>
          <x:t xml:space="preserve">PLATEFPUR001</x:t>
        </x:is>
      </x:c>
      <x:c r="B2559" t="inlineStr">
        <x:is>
          <x:t xml:space="preserve">ROLLO DE TEFLON PURO 0.4 MM X 1000 MM ANCHO ROLLO</x:t>
        </x:is>
      </x:c>
      <x:c r="E2559" t="n">
        <x:v>0</x:v>
      </x:c>
    </x:row>
    <x:row r="2560">
      <x:c r="A2560" t="inlineStr">
        <x:is>
          <x:t xml:space="preserve">PLATEFPUR002</x:t>
        </x:is>
      </x:c>
      <x:c r="B2560" t="inlineStr">
        <x:is>
          <x:t xml:space="preserve">PLANCHA DE TEFLON PURO 1200 X 1200 X 1/4</x:t>
        </x:is>
      </x:c>
      <x:c r="E2560" t="n">
        <x:v>0</x:v>
      </x:c>
    </x:row>
    <x:row r="2561">
      <x:c r="A2561" t="inlineStr">
        <x:is>
          <x:t xml:space="preserve">PLATEFPUR003</x:t>
        </x:is>
      </x:c>
      <x:c r="B2561" t="inlineStr">
        <x:is>
          <x:t xml:space="preserve">PLANCHA DE TEFLON PURO 1200 X 1200 X 1/2</x:t>
        </x:is>
      </x:c>
      <x:c r="E2561" t="n">
        <x:v>0</x:v>
      </x:c>
    </x:row>
    <x:row r="2562">
      <x:c r="A2562" t="inlineStr">
        <x:is>
          <x:t xml:space="preserve">PLATEFPUR004</x:t>
        </x:is>
      </x:c>
      <x:c r="B2562" t="inlineStr">
        <x:is>
          <x:t xml:space="preserve">PLANCHA DE TEFLON PURO 500X500X1/2</x:t>
        </x:is>
      </x:c>
      <x:c r="E2562" t="n">
        <x:v>0</x:v>
      </x:c>
    </x:row>
    <x:row r="2563">
      <x:c r="A2563" t="inlineStr">
        <x:is>
          <x:t xml:space="preserve">PPBBARDIN001</x:t>
        </x:is>
      </x:c>
      <x:c r="B2563" t="inlineStr">
        <x:is>
          <x:t xml:space="preserve">BARRA POLIPROPILENO DIAM.100MM X 1000 MM LGO</x:t>
        </x:is>
      </x:c>
      <x:c r="E2563" t="n">
        <x:v>0</x:v>
      </x:c>
    </x:row>
    <x:row r="2564">
      <x:c r="A2564" t="inlineStr">
        <x:is>
          <x:t xml:space="preserve">PPBBARDIN002</x:t>
        </x:is>
      </x:c>
      <x:c r="B2564" t="inlineStr">
        <x:is>
          <x:t xml:space="preserve">BARRA DE POLIPROPILENO DIAMETRO 200</x:t>
        </x:is>
      </x:c>
      <x:c r="E2564" t="n">
        <x:v>0</x:v>
      </x:c>
    </x:row>
    <x:row r="2565">
      <x:c r="A2565" t="inlineStr">
        <x:is>
          <x:t xml:space="preserve">PPBBARDIN003</x:t>
        </x:is>
      </x:c>
      <x:c r="B2565" t="inlineStr">
        <x:is>
          <x:t xml:space="preserve">PP BARRA DIAM. 140 MM X 1000 MM LGO</x:t>
        </x:is>
      </x:c>
      <x:c r="C2565" t="inlineStr">
        <x:is>
          <x:t xml:space="preserve">PP BARRA</x:t>
        </x:is>
      </x:c>
      <x:c r="E2565" t="n">
        <x:v>0</x:v>
      </x:c>
    </x:row>
    <x:row r="2566">
      <x:c r="A2566" t="inlineStr">
        <x:is>
          <x:t xml:space="preserve">PPBBARDIN004</x:t>
        </x:is>
      </x:c>
      <x:c r="B2566" t="inlineStr">
        <x:is>
          <x:t xml:space="preserve">PP BARRA DIAM. 35 MM X 1000 MM LGO</x:t>
        </x:is>
      </x:c>
      <x:c r="C2566" t="inlineStr">
        <x:is>
          <x:t xml:space="preserve">PP BARRA</x:t>
        </x:is>
      </x:c>
      <x:c r="E2566" t="n">
        <x:v>0</x:v>
      </x:c>
    </x:row>
    <x:row r="2567">
      <x:c r="A2567" t="inlineStr">
        <x:is>
          <x:t xml:space="preserve">PPBBARDIN005</x:t>
        </x:is>
      </x:c>
      <x:c r="B2567" t="inlineStr">
        <x:is>
          <x:t xml:space="preserve">PP BARRA DIAM. 40 MM X 1000 MM LGO</x:t>
        </x:is>
      </x:c>
      <x:c r="C2567" t="inlineStr">
        <x:is>
          <x:t xml:space="preserve">PP BARRA</x:t>
        </x:is>
      </x:c>
      <x:c r="E2567" t="n">
        <x:v>0</x:v>
      </x:c>
    </x:row>
    <x:row r="2568">
      <x:c r="A2568" t="inlineStr">
        <x:is>
          <x:t xml:space="preserve">PPBBARDIN006</x:t>
        </x:is>
      </x:c>
      <x:c r="B2568" t="inlineStr">
        <x:is>
          <x:t xml:space="preserve">PP BARRA DIAM. 50 MM X 1000 MM LGO</x:t>
        </x:is>
      </x:c>
      <x:c r="C2568" t="inlineStr">
        <x:is>
          <x:t xml:space="preserve">PP BARRA</x:t>
        </x:is>
      </x:c>
      <x:c r="E2568" t="n">
        <x:v>0</x:v>
      </x:c>
    </x:row>
    <x:row r="2569">
      <x:c r="A2569" t="inlineStr">
        <x:is>
          <x:t xml:space="preserve">PPBBARDIN007</x:t>
        </x:is>
      </x:c>
      <x:c r="B2569" t="inlineStr">
        <x:is>
          <x:t xml:space="preserve">PP BARRA DIAM. 80 MM X 1000 MM LGO</x:t>
        </x:is>
      </x:c>
      <x:c r="C2569" t="inlineStr">
        <x:is>
          <x:t xml:space="preserve">PP BARRA</x:t>
        </x:is>
      </x:c>
      <x:c r="E2569" t="n">
        <x:v>0</x:v>
      </x:c>
    </x:row>
    <x:row r="2570">
      <x:c r="A2570" t="inlineStr">
        <x:is>
          <x:t xml:space="preserve">PPBBARDIN008</x:t>
        </x:is>
      </x:c>
      <x:c r="B2570" t="inlineStr">
        <x:is>
          <x:t xml:space="preserve">11800016010 - PP BARRA DIAM. 160 MM X 1000 MM LGO</x:t>
        </x:is>
      </x:c>
      <x:c r="C2570" t="inlineStr">
        <x:is>
          <x:t xml:space="preserve">PP BARRA</x:t>
        </x:is>
      </x:c>
      <x:c r="E2570" t="n">
        <x:v>0</x:v>
      </x:c>
    </x:row>
    <x:row r="2571">
      <x:c r="A2571" t="inlineStr">
        <x:is>
          <x:t xml:space="preserve">PPBBARDIN009</x:t>
        </x:is>
      </x:c>
      <x:c r="B2571" t="inlineStr">
        <x:is>
          <x:t xml:space="preserve">11800011010 - PP BARRA DIAM. 110 MM X 2000 MM LGO</x:t>
        </x:is>
      </x:c>
      <x:c r="C2571" t="inlineStr">
        <x:is>
          <x:t xml:space="preserve">PP BARRA</x:t>
        </x:is>
      </x:c>
      <x:c r="E2571" t="n">
        <x:v>0</x:v>
      </x:c>
    </x:row>
    <x:row r="2572">
      <x:c r="A2572" t="inlineStr">
        <x:is>
          <x:t xml:space="preserve">PPBBARDIN010</x:t>
        </x:is>
      </x:c>
      <x:c r="B2572" t="inlineStr">
        <x:is>
          <x:t xml:space="preserve">11800018010 - PP BARRA DIAM. 180 MM X 1000 MM LGO</x:t>
        </x:is>
      </x:c>
      <x:c r="C2572" t="inlineStr">
        <x:is>
          <x:t xml:space="preserve">PP BARRA</x:t>
        </x:is>
      </x:c>
      <x:c r="E2572" t="n">
        <x:v>0</x:v>
      </x:c>
    </x:row>
    <x:row r="2573">
      <x:c r="A2573" t="inlineStr">
        <x:is>
          <x:t xml:space="preserve">PPBBARDIN011</x:t>
        </x:is>
      </x:c>
      <x:c r="B2573" t="inlineStr">
        <x:is>
          <x:t xml:space="preserve">11800020010 - PP BARRA DIAM. 200 MM X 1000 MM LGO</x:t>
        </x:is>
      </x:c>
      <x:c r="C2573" t="inlineStr">
        <x:is>
          <x:t xml:space="preserve">PP BARRA</x:t>
        </x:is>
      </x:c>
      <x:c r="E2573" t="n">
        <x:v>7</x:v>
      </x:c>
    </x:row>
    <x:row r="2574">
      <x:c r="A2574" t="inlineStr">
        <x:is>
          <x:t xml:space="preserve">PPBBARDIN020</x:t>
        </x:is>
      </x:c>
      <x:c r="B2574" t="inlineStr">
        <x:is>
          <x:t xml:space="preserve">11800025010 - PP BARRA DIAM. 250 MM X 1000 MM LGO</x:t>
        </x:is>
      </x:c>
      <x:c r="C2574" t="inlineStr">
        <x:is>
          <x:t xml:space="preserve">PP BARRA</x:t>
        </x:is>
      </x:c>
      <x:c r="E2574" t="n">
        <x:v>0</x:v>
      </x:c>
    </x:row>
    <x:row r="2575">
      <x:c r="A2575" t="inlineStr">
        <x:is>
          <x:t xml:space="preserve">PPBBARDIN025</x:t>
        </x:is>
      </x:c>
      <x:c r="B2575" t="inlineStr">
        <x:is>
          <x:t xml:space="preserve">11800030010 - PP BARRA DIAM. 300 MM X 1000 MM LGO</x:t>
        </x:is>
      </x:c>
      <x:c r="C2575" t="inlineStr">
        <x:is>
          <x:t xml:space="preserve">PP BARRA</x:t>
        </x:is>
      </x:c>
      <x:c r="E2575" t="n">
        <x:v>6.8</x:v>
      </x:c>
    </x:row>
    <x:row r="2576">
      <x:c r="A2576" t="inlineStr">
        <x:is>
          <x:t xml:space="preserve">PPBBARDIN026</x:t>
        </x:is>
      </x:c>
      <x:c r="B2576" t="inlineStr">
        <x:is>
          <x:t xml:space="preserve">11800002510 - PP BARRA DIAM. 25 MM X 1000 MM LGO</x:t>
        </x:is>
      </x:c>
      <x:c r="C2576" t="inlineStr">
        <x:is>
          <x:t xml:space="preserve">PP BARRA</x:t>
        </x:is>
      </x:c>
      <x:c r="E2576" t="n">
        <x:v>0</x:v>
      </x:c>
    </x:row>
    <x:row r="2577">
      <x:c r="A2577" t="inlineStr">
        <x:is>
          <x:t xml:space="preserve">PPBBARDIN027</x:t>
        </x:is>
      </x:c>
      <x:c r="B2577" t="inlineStr">
        <x:is>
          <x:t xml:space="preserve">11800004510 - PP BARRA DIAM. 45 MM X 1000 MM LGO</x:t>
        </x:is>
      </x:c>
      <x:c r="C2577" t="inlineStr">
        <x:is>
          <x:t xml:space="preserve">PP BARRA</x:t>
        </x:is>
      </x:c>
      <x:c r="E2577" t="n">
        <x:v>0</x:v>
      </x:c>
    </x:row>
    <x:row r="2578">
      <x:c r="A2578" t="inlineStr">
        <x:is>
          <x:t xml:space="preserve">PPBBARDIN028</x:t>
        </x:is>
      </x:c>
      <x:c r="B2578" t="inlineStr">
        <x:is>
          <x:t xml:space="preserve">11800031510 - PP BARRA DIAM. 315 MM X 1000 MM LGO</x:t>
        </x:is>
      </x:c>
      <x:c r="C2578" t="inlineStr">
        <x:is>
          <x:t xml:space="preserve">PP BARRA</x:t>
        </x:is>
      </x:c>
      <x:c r="E2578" t="n">
        <x:v>0</x:v>
      </x:c>
    </x:row>
    <x:row r="2579">
      <x:c r="A2579" t="inlineStr">
        <x:is>
          <x:t xml:space="preserve">PPBBARDIN029</x:t>
        </x:is>
      </x:c>
      <x:c r="B2579" t="inlineStr">
        <x:is>
          <x:t xml:space="preserve">PP BARRA DE 300MM  DIA. X 1450 MM LGO POLIPROPILENO</x:t>
        </x:is>
      </x:c>
      <x:c r="C2579" t="inlineStr">
        <x:is>
          <x:t xml:space="preserve">PP BARRA</x:t>
        </x:is>
      </x:c>
      <x:c r="E2579" t="n">
        <x:v>0</x:v>
      </x:c>
    </x:row>
    <x:row r="2580">
      <x:c r="A2580" t="inlineStr">
        <x:is>
          <x:t xml:space="preserve">PPBBARDIN35M</x:t>
        </x:is>
      </x:c>
      <x:c r="B2580" t="inlineStr">
        <x:is>
          <x:t xml:space="preserve">BARRA MACIZA PP-H AlphaPlus. GRIS 35MM SEGÚN DIN-</x:t>
        </x:is>
      </x:c>
      <x:c r="E2580" t="n">
        <x:v>0</x:v>
      </x:c>
    </x:row>
    <x:row r="2581">
      <x:c r="A2581" t="inlineStr">
        <x:is>
          <x:t xml:space="preserve">PPBBARDIN45M</x:t>
        </x:is>
      </x:c>
      <x:c r="B2581" t="inlineStr">
        <x:is>
          <x:t xml:space="preserve">BARRA MACIZA PP-H AlphaPlus. GRIS 45MM SEGÚN DIN-</x:t>
        </x:is>
      </x:c>
      <x:c r="E2581" t="n">
        <x:v>0</x:v>
      </x:c>
    </x:row>
    <x:row r="2582">
      <x:c r="A2582" t="inlineStr">
        <x:is>
          <x:t xml:space="preserve">PPC45GS11001</x:t>
        </x:is>
      </x:c>
      <x:c r="B2582" t="inlineStr">
        <x:is>
          <x:t xml:space="preserve">CODO POLIPROPILENO 45 GRD 90 SDR11</x:t>
        </x:is>
      </x:c>
      <x:c r="E2582" t="n">
        <x:v>0</x:v>
      </x:c>
    </x:row>
    <x:row r="2583">
      <x:c r="A2583" t="inlineStr">
        <x:is>
          <x:t xml:space="preserve">PPC45GS11110</x:t>
        </x:is>
      </x:c>
      <x:c r="B2583" t="inlineStr">
        <x:is>
          <x:t xml:space="preserve">PP-CODO45-110X9.9SDR11</x:t>
        </x:is>
      </x:c>
      <x:c r="C2583" t="inlineStr">
        <x:is>
          <x:t xml:space="preserve">PP-CODO45</x:t>
        </x:is>
      </x:c>
      <x:c r="D2583" t="inlineStr">
        <x:is>
          <x:t xml:space="preserve">SDR11</x:t>
        </x:is>
      </x:c>
      <x:c r="E2583" t="n">
        <x:v>0</x:v>
      </x:c>
    </x:row>
    <x:row r="2584">
      <x:c r="A2584" t="inlineStr">
        <x:is>
          <x:t xml:space="preserve">PPC45GS17002</x:t>
        </x:is>
      </x:c>
      <x:c r="B2584" t="inlineStr">
        <x:is>
          <x:t xml:space="preserve">CODO POLIPROPILENO 250X14.8 SDR 17</x:t>
        </x:is>
      </x:c>
      <x:c r="E2584" t="n">
        <x:v>0</x:v>
      </x:c>
    </x:row>
    <x:row r="2585">
      <x:c r="A2585" t="inlineStr">
        <x:is>
          <x:t xml:space="preserve">PPC45GS17090</x:t>
        </x:is>
      </x:c>
      <x:c r="B2585" t="inlineStr">
        <x:is>
          <x:t xml:space="preserve">PP-CODO45-90X5.4SDR17</x:t>
        </x:is>
      </x:c>
      <x:c r="C2585" t="inlineStr">
        <x:is>
          <x:t xml:space="preserve">PP-CODO45</x:t>
        </x:is>
      </x:c>
      <x:c r="D2585" t="inlineStr">
        <x:is>
          <x:t xml:space="preserve">SDR17</x:t>
        </x:is>
      </x:c>
      <x:c r="E2585" t="n">
        <x:v>0</x:v>
      </x:c>
    </x:row>
    <x:row r="2586">
      <x:c r="A2586" t="inlineStr">
        <x:is>
          <x:t xml:space="preserve">PPC45GS17250</x:t>
        </x:is>
      </x:c>
      <x:c r="B2586" t="inlineStr">
        <x:is>
          <x:t xml:space="preserve">PP-CODO45-250X14.8SDR17</x:t>
        </x:is>
      </x:c>
      <x:c r="C2586" t="inlineStr">
        <x:is>
          <x:t xml:space="preserve">PP-CODO45</x:t>
        </x:is>
      </x:c>
      <x:c r="D2586" t="inlineStr">
        <x:is>
          <x:t xml:space="preserve">SDR17</x:t>
        </x:is>
      </x:c>
      <x:c r="E2586" t="n">
        <x:v>0</x:v>
      </x:c>
    </x:row>
    <x:row r="2587">
      <x:c r="A2587" t="inlineStr">
        <x:is>
          <x:t xml:space="preserve">PPC45GS17500</x:t>
        </x:is>
      </x:c>
      <x:c r="B2587" t="inlineStr">
        <x:is>
          <x:t xml:space="preserve">CODO 45ª 500X28,3 SDR17 PPGRIS</x:t>
        </x:is>
      </x:c>
      <x:c r="C2587" t="inlineStr">
        <x:is>
          <x:t xml:space="preserve">PP-CODO</x:t>
        </x:is>
      </x:c>
      <x:c r="D2587" t="inlineStr">
        <x:is>
          <x:t xml:space="preserve">SDR17</x:t>
        </x:is>
      </x:c>
      <x:c r="E2587" t="n">
        <x:v>0</x:v>
      </x:c>
    </x:row>
    <x:row r="2588">
      <x:c r="A2588" t="inlineStr">
        <x:is>
          <x:t xml:space="preserve">PPC90G0FP63X</x:t>
        </x:is>
      </x:c>
      <x:c r="B2588" t="inlineStr">
        <x:is>
          <x:t xml:space="preserve">PP-CODO90-63X10FP</x:t>
        </x:is>
      </x:c>
      <x:c r="C2588" t="inlineStr">
        <x:is>
          <x:t xml:space="preserve">PP-CODO90</x:t>
        </x:is>
      </x:c>
      <x:c r="E2588" t="n">
        <x:v>0</x:v>
      </x:c>
    </x:row>
    <x:row r="2589">
      <x:c r="A2589" t="inlineStr">
        <x:is>
          <x:t xml:space="preserve">PPC90GS11110</x:t>
        </x:is>
      </x:c>
      <x:c r="B2589" t="inlineStr">
        <x:is>
          <x:t xml:space="preserve">PP-CODO90-110X10SDR11</x:t>
        </x:is>
      </x:c>
      <x:c r="C2589" t="inlineStr">
        <x:is>
          <x:t xml:space="preserve">PP-CODO90</x:t>
        </x:is>
      </x:c>
      <x:c r="D2589" t="inlineStr">
        <x:is>
          <x:t xml:space="preserve">SDR11</x:t>
        </x:is>
      </x:c>
      <x:c r="E2589" t="n">
        <x:v>0</x:v>
      </x:c>
    </x:row>
    <x:row r="2590">
      <x:c r="A2590" t="inlineStr">
        <x:is>
          <x:t xml:space="preserve">PPC90GS11140</x:t>
        </x:is>
      </x:c>
      <x:c r="B2590" t="inlineStr">
        <x:is>
          <x:t xml:space="preserve">PP-CODO90-140X12.8SDR11</x:t>
        </x:is>
      </x:c>
      <x:c r="C2590" t="inlineStr">
        <x:is>
          <x:t xml:space="preserve">PP-CODO90</x:t>
        </x:is>
      </x:c>
      <x:c r="D2590" t="inlineStr">
        <x:is>
          <x:t xml:space="preserve">SDR11</x:t>
        </x:is>
      </x:c>
      <x:c r="E2590" t="n">
        <x:v>0</x:v>
      </x:c>
    </x:row>
    <x:row r="2591">
      <x:c r="A2591" t="inlineStr">
        <x:is>
          <x:t xml:space="preserve">PPC90GS11160</x:t>
        </x:is>
      </x:c>
      <x:c r="B2591" t="inlineStr">
        <x:is>
          <x:t xml:space="preserve">PP-CODO90-160X14.6SDR11</x:t>
        </x:is>
      </x:c>
      <x:c r="C2591" t="inlineStr">
        <x:is>
          <x:t xml:space="preserve">PP-CODO90</x:t>
        </x:is>
      </x:c>
      <x:c r="D2591" t="inlineStr">
        <x:is>
          <x:t xml:space="preserve">SDR11</x:t>
        </x:is>
      </x:c>
      <x:c r="E2591" t="n">
        <x:v>0</x:v>
      </x:c>
    </x:row>
    <x:row r="2592">
      <x:c r="A2592" t="inlineStr">
        <x:is>
          <x:t xml:space="preserve">PPC90GS11200</x:t>
        </x:is>
      </x:c>
      <x:c r="B2592" t="inlineStr">
        <x:is>
          <x:t xml:space="preserve">PP-CODO90-200X18.2SDR11</x:t>
        </x:is>
      </x:c>
      <x:c r="C2592" t="inlineStr">
        <x:is>
          <x:t xml:space="preserve">PP-CODO90</x:t>
        </x:is>
      </x:c>
      <x:c r="D2592" t="inlineStr">
        <x:is>
          <x:t xml:space="preserve">SDR11</x:t>
        </x:is>
      </x:c>
      <x:c r="E2592" t="n">
        <x:v>0</x:v>
      </x:c>
    </x:row>
    <x:row r="2593">
      <x:c r="A2593" t="inlineStr">
        <x:is>
          <x:t xml:space="preserve">PPC90GS11250</x:t>
        </x:is>
      </x:c>
      <x:c r="B2593" t="inlineStr">
        <x:is>
          <x:t xml:space="preserve">PP-CODO90-250X22.7SDR11</x:t>
        </x:is>
      </x:c>
      <x:c r="C2593" t="inlineStr">
        <x:is>
          <x:t xml:space="preserve">PP-CODO90</x:t>
        </x:is>
      </x:c>
      <x:c r="D2593" t="inlineStr">
        <x:is>
          <x:t xml:space="preserve">SDR11</x:t>
        </x:is>
      </x:c>
      <x:c r="E2593" t="n">
        <x:v>0</x:v>
      </x:c>
    </x:row>
    <x:row r="2594">
      <x:c r="A2594" t="inlineStr">
        <x:is>
          <x:t xml:space="preserve">PPC90GS11315</x:t>
        </x:is>
      </x:c>
      <x:c r="B2594" t="inlineStr">
        <x:is>
          <x:t xml:space="preserve">PP-CODO90-315X28.6SDR11</x:t>
        </x:is>
      </x:c>
      <x:c r="C2594" t="inlineStr">
        <x:is>
          <x:t xml:space="preserve">PP-CODO90</x:t>
        </x:is>
      </x:c>
      <x:c r="D2594" t="inlineStr">
        <x:is>
          <x:t xml:space="preserve">SDR11</x:t>
        </x:is>
      </x:c>
      <x:c r="E2594" t="n">
        <x:v>0</x:v>
      </x:c>
    </x:row>
    <x:row r="2595">
      <x:c r="A2595" t="inlineStr">
        <x:is>
          <x:t xml:space="preserve">PPC90GS1132X</x:t>
        </x:is>
      </x:c>
      <x:c r="B2595" t="inlineStr">
        <x:is>
          <x:t xml:space="preserve">PP-CODO 90-32X3.7SDR11</x:t>
        </x:is>
      </x:c>
      <x:c r="C2595" t="inlineStr">
        <x:is>
          <x:t xml:space="preserve">PP-CODO90</x:t>
        </x:is>
      </x:c>
      <x:c r="D2595" t="inlineStr">
        <x:is>
          <x:t xml:space="preserve">SDR11</x:t>
        </x:is>
      </x:c>
      <x:c r="E2595" t="n">
        <x:v>0</x:v>
      </x:c>
    </x:row>
    <x:row r="2596">
      <x:c r="A2596" t="inlineStr">
        <x:is>
          <x:t xml:space="preserve">PPC90GS1140X</x:t>
        </x:is>
      </x:c>
      <x:c r="B2596" t="inlineStr">
        <x:is>
          <x:t xml:space="preserve">PP-CODO90-40X3.7SDR11</x:t>
        </x:is>
      </x:c>
      <x:c r="C2596" t="inlineStr">
        <x:is>
          <x:t xml:space="preserve">PP-CODO90</x:t>
        </x:is>
      </x:c>
      <x:c r="D2596" t="inlineStr">
        <x:is>
          <x:t xml:space="preserve">SDR11</x:t>
        </x:is>
      </x:c>
      <x:c r="E2596" t="n">
        <x:v>0</x:v>
      </x:c>
    </x:row>
    <x:row r="2597">
      <x:c r="A2597" t="inlineStr">
        <x:is>
          <x:t xml:space="preserve">PPC90GS1150X</x:t>
        </x:is>
      </x:c>
      <x:c r="B2597" t="inlineStr">
        <x:is>
          <x:t xml:space="preserve">PP-CODO90-50X4.6SDR11</x:t>
        </x:is>
      </x:c>
      <x:c r="C2597" t="inlineStr">
        <x:is>
          <x:t xml:space="preserve">PP-CODO90</x:t>
        </x:is>
      </x:c>
      <x:c r="D2597" t="inlineStr">
        <x:is>
          <x:t xml:space="preserve">SDR11</x:t>
        </x:is>
      </x:c>
      <x:c r="E2597" t="n">
        <x:v>0</x:v>
      </x:c>
    </x:row>
    <x:row r="2598">
      <x:c r="A2598" t="inlineStr">
        <x:is>
          <x:t xml:space="preserve">PPC90GS1163X</x:t>
        </x:is>
      </x:c>
      <x:c r="B2598" t="inlineStr">
        <x:is>
          <x:t xml:space="preserve">PP-CODO90-63X5.8SDR11</x:t>
        </x:is>
      </x:c>
      <x:c r="C2598" t="inlineStr">
        <x:is>
          <x:t xml:space="preserve">PP-CODO90</x:t>
        </x:is>
      </x:c>
      <x:c r="D2598" t="inlineStr">
        <x:is>
          <x:t xml:space="preserve">SDR11</x:t>
        </x:is>
      </x:c>
      <x:c r="E2598" t="n">
        <x:v>0</x:v>
      </x:c>
    </x:row>
    <x:row r="2599">
      <x:c r="A2599" t="inlineStr">
        <x:is>
          <x:t xml:space="preserve">PPC90GS1175X</x:t>
        </x:is>
      </x:c>
      <x:c r="B2599" t="inlineStr">
        <x:is>
          <x:t xml:space="preserve">PP-CODO90-75X6.9SDR11</x:t>
        </x:is>
      </x:c>
      <x:c r="C2599" t="inlineStr">
        <x:is>
          <x:t xml:space="preserve">PP-CODO90</x:t>
        </x:is>
      </x:c>
      <x:c r="D2599" t="inlineStr">
        <x:is>
          <x:t xml:space="preserve">SDR11</x:t>
        </x:is>
      </x:c>
      <x:c r="E2599" t="n">
        <x:v>0</x:v>
      </x:c>
    </x:row>
    <x:row r="2600">
      <x:c r="A2600" t="inlineStr">
        <x:is>
          <x:t xml:space="preserve">PPC90GS1190X</x:t>
        </x:is>
      </x:c>
      <x:c r="B2600" t="inlineStr">
        <x:is>
          <x:t xml:space="preserve">PP-CODO90-90X8.2SDR11</x:t>
        </x:is>
      </x:c>
      <x:c r="C2600" t="inlineStr">
        <x:is>
          <x:t xml:space="preserve">PP-CODO90</x:t>
        </x:is>
      </x:c>
      <x:c r="D2600" t="inlineStr">
        <x:is>
          <x:t xml:space="preserve">SDR11</x:t>
        </x:is>
      </x:c>
      <x:c r="E2600" t="n">
        <x:v>0</x:v>
      </x:c>
    </x:row>
    <x:row r="2601">
      <x:c r="A2601" t="inlineStr">
        <x:is>
          <x:t xml:space="preserve">PPC90GS17110</x:t>
        </x:is>
      </x:c>
      <x:c r="B2601" t="inlineStr">
        <x:is>
          <x:t xml:space="preserve">PP-CODO90-110X6.6SDR17</x:t>
        </x:is>
      </x:c>
      <x:c r="C2601" t="inlineStr">
        <x:is>
          <x:t xml:space="preserve">PP-CODO90</x:t>
        </x:is>
      </x:c>
      <x:c r="D2601" t="inlineStr">
        <x:is>
          <x:t xml:space="preserve">SDR17</x:t>
        </x:is>
      </x:c>
      <x:c r="E2601" t="n">
        <x:v>0</x:v>
      </x:c>
    </x:row>
    <x:row r="2602">
      <x:c r="A2602" t="inlineStr">
        <x:is>
          <x:t xml:space="preserve">PPC90GS17125</x:t>
        </x:is>
      </x:c>
      <x:c r="B2602" t="inlineStr">
        <x:is>
          <x:t xml:space="preserve">PP-CODO90-125X7.4SDR17</x:t>
        </x:is>
      </x:c>
      <x:c r="C2602" t="inlineStr">
        <x:is>
          <x:t xml:space="preserve">PP-CODO90</x:t>
        </x:is>
      </x:c>
      <x:c r="D2602" t="inlineStr">
        <x:is>
          <x:t xml:space="preserve">SDR17</x:t>
        </x:is>
      </x:c>
      <x:c r="E2602" t="n">
        <x:v>0</x:v>
      </x:c>
    </x:row>
    <x:row r="2603">
      <x:c r="A2603" t="inlineStr">
        <x:is>
          <x:t xml:space="preserve">PPC90GS17160</x:t>
        </x:is>
      </x:c>
      <x:c r="B2603" t="inlineStr">
        <x:is>
          <x:t xml:space="preserve">PP-CODO90-160X9.5SDR17</x:t>
        </x:is>
      </x:c>
      <x:c r="C2603" t="inlineStr">
        <x:is>
          <x:t xml:space="preserve">PP-CODO90</x:t>
        </x:is>
      </x:c>
      <x:c r="D2603" t="inlineStr">
        <x:is>
          <x:t xml:space="preserve">SDR17</x:t>
        </x:is>
      </x:c>
      <x:c r="E2603" t="n">
        <x:v>0</x:v>
      </x:c>
    </x:row>
    <x:row r="2604">
      <x:c r="A2604" t="inlineStr">
        <x:is>
          <x:t xml:space="preserve">PPC90GS17200</x:t>
        </x:is>
      </x:c>
      <x:c r="B2604" t="inlineStr">
        <x:is>
          <x:t xml:space="preserve">PP-CODO90-200X11.9SDR17</x:t>
        </x:is>
      </x:c>
      <x:c r="C2604" t="inlineStr">
        <x:is>
          <x:t xml:space="preserve">PP-CODO90</x:t>
        </x:is>
      </x:c>
      <x:c r="D2604" t="inlineStr">
        <x:is>
          <x:t xml:space="preserve">SDR17</x:t>
        </x:is>
      </x:c>
      <x:c r="E2604" t="n">
        <x:v>0</x:v>
      </x:c>
    </x:row>
    <x:row r="2605">
      <x:c r="A2605" t="inlineStr">
        <x:is>
          <x:t xml:space="preserve">PPC90GS17250</x:t>
        </x:is>
      </x:c>
      <x:c r="B2605" t="inlineStr">
        <x:is>
          <x:t xml:space="preserve">PP-CODO90-250X14.8 SDR17</x:t>
        </x:is>
      </x:c>
      <x:c r="C2605" t="inlineStr">
        <x:is>
          <x:t xml:space="preserve">PP-CODO90</x:t>
        </x:is>
      </x:c>
      <x:c r="D2605" t="inlineStr">
        <x:is>
          <x:t xml:space="preserve">SDR17</x:t>
        </x:is>
      </x:c>
      <x:c r="E2605" t="n">
        <x:v>0</x:v>
      </x:c>
    </x:row>
    <x:row r="2606">
      <x:c r="A2606" t="inlineStr">
        <x:is>
          <x:t xml:space="preserve">PPC90GS1750M</x:t>
        </x:is>
      </x:c>
      <x:c r="B2606" t="inlineStr">
        <x:is>
          <x:t xml:space="preserve">PP-CODO90-50MM SDR17</x:t>
        </x:is>
      </x:c>
      <x:c r="C2606" t="inlineStr">
        <x:is>
          <x:t xml:space="preserve">PP-CODO90</x:t>
        </x:is>
      </x:c>
      <x:c r="D2606" t="inlineStr">
        <x:is>
          <x:t xml:space="preserve">SDR17</x:t>
        </x:is>
      </x:c>
      <x:c r="E2606" t="n">
        <x:v>0</x:v>
      </x:c>
    </x:row>
    <x:row r="2607">
      <x:c r="A2607" t="inlineStr">
        <x:is>
          <x:t xml:space="preserve">PPC90GS1763X</x:t>
        </x:is>
      </x:c>
      <x:c r="B2607" t="inlineStr">
        <x:is>
          <x:t xml:space="preserve">PP-CODO90-63MM SDR17</x:t>
        </x:is>
      </x:c>
      <x:c r="C2607" t="inlineStr">
        <x:is>
          <x:t xml:space="preserve">PP-CODO90</x:t>
        </x:is>
      </x:c>
      <x:c r="D2607" t="inlineStr">
        <x:is>
          <x:t xml:space="preserve">SDR17</x:t>
        </x:is>
      </x:c>
      <x:c r="E2607" t="n">
        <x:v>0</x:v>
      </x:c>
    </x:row>
    <x:row r="2608">
      <x:c r="A2608" t="inlineStr">
        <x:is>
          <x:t xml:space="preserve">PPC90GS1790X</x:t>
        </x:is>
      </x:c>
      <x:c r="B2608" t="inlineStr">
        <x:is>
          <x:t xml:space="preserve">PP-CODO90-90MM SDR17</x:t>
        </x:is>
      </x:c>
      <x:c r="C2608" t="inlineStr">
        <x:is>
          <x:t xml:space="preserve">PP-CODO90</x:t>
        </x:is>
      </x:c>
      <x:c r="D2608" t="inlineStr">
        <x:is>
          <x:t xml:space="preserve">SDR17</x:t>
        </x:is>
      </x:c>
      <x:c r="E2608" t="n">
        <x:v>0</x:v>
      </x:c>
    </x:row>
    <x:row r="2609">
      <x:c r="A2609" t="inlineStr">
        <x:is>
          <x:t xml:space="preserve">PPC90GS33110</x:t>
        </x:is>
      </x:c>
      <x:c r="B2609" t="inlineStr">
        <x:is>
          <x:t xml:space="preserve">PP-CODO90-110X3.4 SDR33</x:t>
        </x:is>
      </x:c>
      <x:c r="C2609" t="inlineStr">
        <x:is>
          <x:t xml:space="preserve">PP-CODO90</x:t>
        </x:is>
      </x:c>
      <x:c r="D2609" t="inlineStr">
        <x:is>
          <x:t xml:space="preserve">SDR33</x:t>
        </x:is>
      </x:c>
      <x:c r="E2609" t="n">
        <x:v>5</x:v>
      </x:c>
    </x:row>
    <x:row r="2610">
      <x:c r="A2610" t="inlineStr">
        <x:is>
          <x:t xml:space="preserve">PPC90GS33125</x:t>
        </x:is>
      </x:c>
      <x:c r="B2610" t="inlineStr">
        <x:is>
          <x:t xml:space="preserve">PP-CODO90-125X3.9 SDR33</x:t>
        </x:is>
      </x:c>
      <x:c r="C2610" t="inlineStr">
        <x:is>
          <x:t xml:space="preserve">PP-CODO90</x:t>
        </x:is>
      </x:c>
      <x:c r="D2610" t="inlineStr">
        <x:is>
          <x:t xml:space="preserve">SDR33</x:t>
        </x:is>
      </x:c>
      <x:c r="E2610" t="n">
        <x:v>3</x:v>
      </x:c>
    </x:row>
    <x:row r="2611">
      <x:c r="A2611" t="inlineStr">
        <x:is>
          <x:t xml:space="preserve">PPC90GS33160</x:t>
        </x:is>
      </x:c>
      <x:c r="B2611" t="inlineStr">
        <x:is>
          <x:t xml:space="preserve">PP-CODO90-160MM SDR33</x:t>
        </x:is>
      </x:c>
      <x:c r="C2611" t="inlineStr">
        <x:is>
          <x:t xml:space="preserve">PP-CODO90</x:t>
        </x:is>
      </x:c>
      <x:c r="D2611" t="inlineStr">
        <x:is>
          <x:t xml:space="preserve">SDR33</x:t>
        </x:is>
      </x:c>
      <x:c r="E2611" t="n">
        <x:v>30</x:v>
      </x:c>
    </x:row>
    <x:row r="2612">
      <x:c r="A2612" t="inlineStr">
        <x:is>
          <x:t xml:space="preserve">PPC90GS33200</x:t>
        </x:is>
      </x:c>
      <x:c r="B2612" t="inlineStr">
        <x:is>
          <x:t xml:space="preserve">PP-CODO90-200MM SDR33</x:t>
        </x:is>
      </x:c>
      <x:c r="C2612" t="inlineStr">
        <x:is>
          <x:t xml:space="preserve">PP-CODO90</x:t>
        </x:is>
      </x:c>
      <x:c r="D2612" t="inlineStr">
        <x:is>
          <x:t xml:space="preserve">SDR33</x:t>
        </x:is>
      </x:c>
      <x:c r="E2612" t="n">
        <x:v>27</x:v>
      </x:c>
    </x:row>
    <x:row r="2613">
      <x:c r="A2613" t="inlineStr">
        <x:is>
          <x:t xml:space="preserve">PPC90GS33250</x:t>
        </x:is>
      </x:c>
      <x:c r="B2613" t="inlineStr">
        <x:is>
          <x:t xml:space="preserve">PP-CODO90-250X7.7 SDR33</x:t>
        </x:is>
      </x:c>
      <x:c r="C2613" t="inlineStr">
        <x:is>
          <x:t xml:space="preserve">PP-CODO90</x:t>
        </x:is>
      </x:c>
      <x:c r="D2613" t="inlineStr">
        <x:is>
          <x:t xml:space="preserve">SDR33</x:t>
        </x:is>
      </x:c>
      <x:c r="E2613" t="n">
        <x:v>3</x:v>
      </x:c>
    </x:row>
    <x:row r="2614">
      <x:c r="A2614" t="inlineStr">
        <x:is>
          <x:t xml:space="preserve">PPC90GS33315</x:t>
        </x:is>
      </x:c>
      <x:c r="B2614" t="inlineStr">
        <x:is>
          <x:t xml:space="preserve">PP-CODO90-315X9.7 SDR33</x:t>
        </x:is>
      </x:c>
      <x:c r="C2614" t="inlineStr">
        <x:is>
          <x:t xml:space="preserve">PP-CODO90</x:t>
        </x:is>
      </x:c>
      <x:c r="D2614" t="inlineStr">
        <x:is>
          <x:t xml:space="preserve">SDR33</x:t>
        </x:is>
      </x:c>
      <x:c r="E2614" t="n">
        <x:v>0</x:v>
      </x:c>
    </x:row>
    <x:row r="2615">
      <x:c r="A2615" t="inlineStr">
        <x:is>
          <x:t xml:space="preserve">PPC90GS33355</x:t>
        </x:is>
      </x:c>
      <x:c r="B2615" t="inlineStr">
        <x:is>
          <x:t xml:space="preserve">PP-CODO90-355MM SDR33</x:t>
        </x:is>
      </x:c>
      <x:c r="C2615" t="inlineStr">
        <x:is>
          <x:t xml:space="preserve">PP-CODO90</x:t>
        </x:is>
      </x:c>
      <x:c r="D2615" t="inlineStr">
        <x:is>
          <x:t xml:space="preserve">SDR33</x:t>
        </x:is>
      </x:c>
      <x:c r="E2615" t="n">
        <x:v>0</x:v>
      </x:c>
    </x:row>
    <x:row r="2616">
      <x:c r="A2616" t="inlineStr">
        <x:is>
          <x:t xml:space="preserve">PPC90GS33400</x:t>
        </x:is>
      </x:c>
      <x:c r="B2616" t="inlineStr">
        <x:is>
          <x:t xml:space="preserve">PP-CODO90-400MM SDR33</x:t>
        </x:is>
      </x:c>
      <x:c r="C2616" t="inlineStr">
        <x:is>
          <x:t xml:space="preserve">PP-CODO90</x:t>
        </x:is>
      </x:c>
      <x:c r="D2616" t="inlineStr">
        <x:is>
          <x:t xml:space="preserve">SDR33</x:t>
        </x:is>
      </x:c>
      <x:c r="E2616" t="n">
        <x:v>0</x:v>
      </x:c>
    </x:row>
    <x:row r="2617">
      <x:c r="A2617" t="inlineStr">
        <x:is>
          <x:t xml:space="preserve">PPC90GS33450</x:t>
        </x:is>
      </x:c>
      <x:c r="B2617" t="inlineStr">
        <x:is>
          <x:t xml:space="preserve">CODO POLIPROPILENO 90 GRD 450X13.8 SDR 33</x:t>
        </x:is>
      </x:c>
      <x:c r="C2617" t="inlineStr">
        <x:is>
          <x:t xml:space="preserve">PP-CODO90</x:t>
        </x:is>
      </x:c>
      <x:c r="D2617" t="inlineStr">
        <x:is>
          <x:t xml:space="preserve">SDR33</x:t>
        </x:is>
      </x:c>
      <x:c r="E2617" t="n">
        <x:v>0</x:v>
      </x:c>
    </x:row>
    <x:row r="2618">
      <x:c r="A2618" t="inlineStr">
        <x:is>
          <x:t xml:space="preserve">PPC90GS33500</x:t>
        </x:is>
      </x:c>
      <x:c r="B2618" t="inlineStr">
        <x:is>
          <x:t xml:space="preserve">PP-CODO90-500MM SDR33</x:t>
        </x:is>
      </x:c>
      <x:c r="C2618" t="inlineStr">
        <x:is>
          <x:t xml:space="preserve">PP-CODO90</x:t>
        </x:is>
      </x:c>
      <x:c r="D2618" t="inlineStr">
        <x:is>
          <x:t xml:space="preserve">SDR33</x:t>
        </x:is>
      </x:c>
      <x:c r="E2618" t="n">
        <x:v>0</x:v>
      </x:c>
    </x:row>
    <x:row r="2619">
      <x:c r="A2619" t="inlineStr">
        <x:is>
          <x:t xml:space="preserve">PPC90GSOC200</x:t>
        </x:is>
      </x:c>
      <x:c r="B2619" t="inlineStr">
        <x:is>
          <x:t xml:space="preserve">PP-CODO90-200XSOC</x:t>
        </x:is>
      </x:c>
      <x:c r="C2619" t="inlineStr">
        <x:is>
          <x:t xml:space="preserve">PP-CODO90</x:t>
        </x:is>
      </x:c>
      <x:c r="E2619" t="n">
        <x:v>0</x:v>
      </x:c>
    </x:row>
    <x:row r="2620">
      <x:c r="A2620" t="inlineStr">
        <x:is>
          <x:t xml:space="preserve">PPEPLA001001</x:t>
        </x:is>
      </x:c>
      <x:c r="B2620" t="inlineStr">
        <x:is>
          <x:t xml:space="preserve">CODO PE 90° 110 ELECTROFUCION</x:t>
        </x:is>
      </x:c>
      <x:c r="E2620" t="n">
        <x:v>0</x:v>
      </x:c>
    </x:row>
    <x:row r="2621">
      <x:c r="A2621" t="inlineStr">
        <x:is>
          <x:t xml:space="preserve">PPEPLA001002</x:t>
        </x:is>
      </x:c>
      <x:c r="B2621" t="inlineStr">
        <x:is>
          <x:t xml:space="preserve">CODO 90° PE P100 63X3.5</x:t>
        </x:is>
      </x:c>
      <x:c r="E2621" t="n">
        <x:v>0</x:v>
      </x:c>
    </x:row>
    <x:row r="2622">
      <x:c r="A2622" t="inlineStr">
        <x:is>
          <x:t xml:space="preserve">PPEPLA001003</x:t>
        </x:is>
      </x:c>
      <x:c r="B2622" t="inlineStr">
        <x:is>
          <x:t xml:space="preserve">CODO 90° PE P100 110X3.5</x:t>
        </x:is>
      </x:c>
      <x:c r="E2622" t="n">
        <x:v>0</x:v>
      </x:c>
    </x:row>
    <x:row r="2623">
      <x:c r="A2623" t="inlineStr">
        <x:is>
          <x:t xml:space="preserve">PPEPLA001004</x:t>
        </x:is>
      </x:c>
      <x:c r="B2623" t="inlineStr">
        <x:is>
          <x:t xml:space="preserve">CODO 45° PE P100 160X3.5</x:t>
        </x:is>
      </x:c>
      <x:c r="E2623" t="n">
        <x:v>0</x:v>
      </x:c>
    </x:row>
    <x:row r="2624">
      <x:c r="A2624" t="inlineStr">
        <x:is>
          <x:t xml:space="preserve">PPEPLA001005</x:t>
        </x:is>
      </x:c>
      <x:c r="B2624" t="inlineStr">
        <x:is>
          <x:t xml:space="preserve">STUB END PE P100 110X6 HDPE</x:t>
        </x:is>
      </x:c>
      <x:c r="E2624" t="n">
        <x:v>0</x:v>
      </x:c>
    </x:row>
    <x:row r="2625">
      <x:c r="A2625" t="inlineStr">
        <x:is>
          <x:t xml:space="preserve">PPEPLA001006</x:t>
        </x:is>
      </x:c>
      <x:c r="B2625" t="inlineStr">
        <x:is>
          <x:t xml:space="preserve">STUB END PE P100 90X3.58 SDR11</x:t>
        </x:is>
      </x:c>
      <x:c r="E2625" t="n">
        <x:v>0</x:v>
      </x:c>
    </x:row>
    <x:row r="2626">
      <x:c r="A2626" t="inlineStr">
        <x:is>
          <x:t xml:space="preserve">PPEPLA001007</x:t>
        </x:is>
      </x:c>
      <x:c r="B2626" t="inlineStr">
        <x:is>
          <x:t xml:space="preserve">TEE PE P100 110X110 SDR 17 HDPE</x:t>
        </x:is>
      </x:c>
      <x:c r="E2626" t="n">
        <x:v>0</x:v>
      </x:c>
    </x:row>
    <x:row r="2627">
      <x:c r="A2627" t="inlineStr">
        <x:is>
          <x:t xml:space="preserve">PPEPLA001008</x:t>
        </x:is>
      </x:c>
      <x:c r="B2627" t="inlineStr">
        <x:is>
          <x:t xml:space="preserve">TEE PE P100 110X110 SDR 11 HDPE</x:t>
        </x:is>
      </x:c>
      <x:c r="E2627" t="n">
        <x:v>0</x:v>
      </x:c>
    </x:row>
    <x:row r="2628">
      <x:c r="A2628" t="inlineStr">
        <x:is>
          <x:t xml:space="preserve">PPEPLA001009</x:t>
        </x:is>
      </x:c>
      <x:c r="B2628" t="inlineStr">
        <x:is>
          <x:t xml:space="preserve">TEE PE P100 125X110</x:t>
        </x:is>
      </x:c>
      <x:c r="E2628" t="n">
        <x:v>0</x:v>
      </x:c>
    </x:row>
    <x:row r="2629">
      <x:c r="A2629" t="inlineStr">
        <x:is>
          <x:t xml:space="preserve">PPEPLA001010</x:t>
        </x:is>
      </x:c>
      <x:c r="B2629" t="inlineStr">
        <x:is>
          <x:t xml:space="preserve">Tee 90° ELECTROFUSION PE100 PN16 d= 63 mm</x:t>
        </x:is>
      </x:c>
      <x:c r="E2629" t="n">
        <x:v>0</x:v>
      </x:c>
    </x:row>
    <x:row r="2630">
      <x:c r="A2630" t="inlineStr">
        <x:is>
          <x:t xml:space="preserve">PPEPLA001011</x:t>
        </x:is>
      </x:c>
      <x:c r="B2630" t="inlineStr">
        <x:is>
          <x:t xml:space="preserve">Coplas ELECTROFUSION PE100 PN16 d= 63 mm</x:t>
        </x:is>
      </x:c>
      <x:c r="E2630" t="n">
        <x:v>0</x:v>
      </x:c>
    </x:row>
    <x:row r="2631">
      <x:c r="A2631" t="inlineStr">
        <x:is>
          <x:t xml:space="preserve">PPFFGCANS063</x:t>
        </x:is>
      </x:c>
      <x:c r="B2631" t="inlineStr">
        <x:is>
          <x:t xml:space="preserve">PP FLANGE CIEGO 63 ANSI</x:t>
        </x:is>
      </x:c>
      <x:c r="C2631" t="inlineStr">
        <x:is>
          <x:t xml:space="preserve">PP FLANGE CIEGO</x:t>
        </x:is>
      </x:c>
      <x:c r="D2631" t="inlineStr">
        <x:is>
          <x:t xml:space="preserve">ANSI</x:t>
        </x:is>
      </x:c>
      <x:c r="E2631" t="n">
        <x:v>1</x:v>
      </x:c>
    </x:row>
    <x:row r="2632">
      <x:c r="A2632" t="inlineStr">
        <x:is>
          <x:t xml:space="preserve">PPFFGCANS160</x:t>
        </x:is>
      </x:c>
      <x:c r="B2632" t="inlineStr">
        <x:is>
          <x:t xml:space="preserve">PP FLANGE CIEGO 160 ANSI</x:t>
        </x:is>
      </x:c>
      <x:c r="C2632" t="inlineStr">
        <x:is>
          <x:t xml:space="preserve">PP FLANGE CIEGO</x:t>
        </x:is>
      </x:c>
      <x:c r="D2632" t="inlineStr">
        <x:is>
          <x:t xml:space="preserve">ANSI</x:t>
        </x:is>
      </x:c>
      <x:c r="E2632" t="n">
        <x:v>4</x:v>
      </x:c>
    </x:row>
    <x:row r="2633">
      <x:c r="A2633" t="inlineStr">
        <x:is>
          <x:t xml:space="preserve">PPFFGCANS200</x:t>
        </x:is>
      </x:c>
      <x:c r="B2633" t="inlineStr">
        <x:is>
          <x:t xml:space="preserve">PP FLANGE CIEGO 200 ANSI</x:t>
        </x:is>
      </x:c>
      <x:c r="C2633" t="inlineStr">
        <x:is>
          <x:t xml:space="preserve">PP FLANGE CIEGO</x:t>
        </x:is>
      </x:c>
      <x:c r="D2633" t="inlineStr">
        <x:is>
          <x:t xml:space="preserve">ANSI</x:t>
        </x:is>
      </x:c>
      <x:c r="E2633" t="n">
        <x:v>0</x:v>
      </x:c>
    </x:row>
    <x:row r="2634">
      <x:c r="A2634" t="inlineStr">
        <x:is>
          <x:t xml:space="preserve">PPFFLAANS001</x:t>
        </x:is>
      </x:c>
      <x:c r="B2634" t="inlineStr">
        <x:is>
          <x:t xml:space="preserve">FLANGE PP/Ac ANSI 250.10 PLG CIEGO</x:t>
        </x:is>
      </x:c>
      <x:c r="E2634" t="n">
        <x:v>0</x:v>
      </x:c>
    </x:row>
    <x:row r="2635">
      <x:c r="A2635" t="inlineStr">
        <x:is>
          <x:t xml:space="preserve">PPFFLAANS002</x:t>
        </x:is>
      </x:c>
      <x:c r="B2635" t="inlineStr">
        <x:is>
          <x:t xml:space="preserve">FLANGE PP/Ac ANSI 500 PN10</x:t>
        </x:is>
      </x:c>
      <x:c r="E2635" t="n">
        <x:v>0</x:v>
      </x:c>
    </x:row>
    <x:row r="2636">
      <x:c r="A2636" t="inlineStr">
        <x:is>
          <x:t xml:space="preserve">PPFFLAANS003</x:t>
        </x:is>
      </x:c>
      <x:c r="B2636" t="inlineStr">
        <x:is>
          <x:t xml:space="preserve">PP FLANGE CIEGO ANSI DN110</x:t>
        </x:is>
      </x:c>
      <x:c r="C2636" t="inlineStr">
        <x:is>
          <x:t xml:space="preserve">PP FLANGE CIEGO</x:t>
        </x:is>
      </x:c>
      <x:c r="D2636" t="inlineStr">
        <x:is>
          <x:t xml:space="preserve">ANSI</x:t>
        </x:is>
      </x:c>
      <x:c r="E2636" t="n">
        <x:v>0</x:v>
      </x:c>
    </x:row>
    <x:row r="2637">
      <x:c r="A2637" t="inlineStr">
        <x:is>
          <x:t xml:space="preserve">PPFFLAANS020</x:t>
        </x:is>
      </x:c>
      <x:c r="B2637" t="inlineStr">
        <x:is>
          <x:t xml:space="preserve">PP FLANGE 20 ANSI</x:t>
        </x:is>
      </x:c>
      <x:c r="C2637" t="inlineStr">
        <x:is>
          <x:t xml:space="preserve">PP FLANGE</x:t>
        </x:is>
      </x:c>
      <x:c r="D2637" t="inlineStr">
        <x:is>
          <x:t xml:space="preserve">ANSI</x:t>
        </x:is>
      </x:c>
      <x:c r="E2637" t="n">
        <x:v>0</x:v>
      </x:c>
    </x:row>
    <x:row r="2638">
      <x:c r="A2638" t="inlineStr">
        <x:is>
          <x:t xml:space="preserve">PPFFLAANS025</x:t>
        </x:is>
      </x:c>
      <x:c r="B2638" t="inlineStr">
        <x:is>
          <x:t xml:space="preserve">PP FLANGE 25 ANSI</x:t>
        </x:is>
      </x:c>
      <x:c r="C2638" t="inlineStr">
        <x:is>
          <x:t xml:space="preserve">PP FLANGE</x:t>
        </x:is>
      </x:c>
      <x:c r="D2638" t="inlineStr">
        <x:is>
          <x:t xml:space="preserve">ANSI</x:t>
        </x:is>
      </x:c>
      <x:c r="E2638" t="n">
        <x:v>0</x:v>
      </x:c>
    </x:row>
    <x:row r="2639">
      <x:c r="A2639" t="inlineStr">
        <x:is>
          <x:t xml:space="preserve">PPFFLAANS032</x:t>
        </x:is>
      </x:c>
      <x:c r="B2639" t="inlineStr">
        <x:is>
          <x:t xml:space="preserve">PP FLANGE 32 ANSI</x:t>
        </x:is>
      </x:c>
      <x:c r="C2639" t="inlineStr">
        <x:is>
          <x:t xml:space="preserve">PP FLANGE</x:t>
        </x:is>
      </x:c>
      <x:c r="D2639" t="inlineStr">
        <x:is>
          <x:t xml:space="preserve">ANSI</x:t>
        </x:is>
      </x:c>
      <x:c r="E2639" t="n">
        <x:v>1</x:v>
      </x:c>
    </x:row>
    <x:row r="2640">
      <x:c r="A2640" t="inlineStr">
        <x:is>
          <x:t xml:space="preserve">PPFFLAANS050</x:t>
        </x:is>
      </x:c>
      <x:c r="B2640" t="inlineStr">
        <x:is>
          <x:t xml:space="preserve">PP FLANGE 50 ANSI</x:t>
        </x:is>
      </x:c>
      <x:c r="C2640" t="inlineStr">
        <x:is>
          <x:t xml:space="preserve">PP FLANGE</x:t>
        </x:is>
      </x:c>
      <x:c r="D2640" t="inlineStr">
        <x:is>
          <x:t xml:space="preserve">ANSI</x:t>
        </x:is>
      </x:c>
      <x:c r="E2640" t="n">
        <x:v>0</x:v>
      </x:c>
    </x:row>
    <x:row r="2641">
      <x:c r="A2641" t="inlineStr">
        <x:is>
          <x:t xml:space="preserve">PPFFLAANS063</x:t>
        </x:is>
      </x:c>
      <x:c r="B2641" t="inlineStr">
        <x:is>
          <x:t xml:space="preserve">PP FLANGE 63 ANSI</x:t>
        </x:is>
      </x:c>
      <x:c r="C2641" t="inlineStr">
        <x:is>
          <x:t xml:space="preserve">PP FLANGE</x:t>
        </x:is>
      </x:c>
      <x:c r="D2641" t="inlineStr">
        <x:is>
          <x:t xml:space="preserve">ANSI</x:t>
        </x:is>
      </x:c>
      <x:c r="E2641" t="n">
        <x:v>95</x:v>
      </x:c>
    </x:row>
    <x:row r="2642">
      <x:c r="A2642" t="inlineStr">
        <x:is>
          <x:t xml:space="preserve">PPFFLAANS075</x:t>
        </x:is>
      </x:c>
      <x:c r="B2642" t="inlineStr">
        <x:is>
          <x:t xml:space="preserve">PP FLANGE 75 ANSI</x:t>
        </x:is>
      </x:c>
      <x:c r="C2642" t="inlineStr">
        <x:is>
          <x:t xml:space="preserve">PP FLANGE</x:t>
        </x:is>
      </x:c>
      <x:c r="D2642" t="inlineStr">
        <x:is>
          <x:t xml:space="preserve">ANSI</x:t>
        </x:is>
      </x:c>
      <x:c r="E2642" t="n">
        <x:v>0</x:v>
      </x:c>
    </x:row>
    <x:row r="2643">
      <x:c r="A2643" t="inlineStr">
        <x:is>
          <x:t xml:space="preserve">PPFFLAANS090</x:t>
        </x:is>
      </x:c>
      <x:c r="B2643" t="inlineStr">
        <x:is>
          <x:t xml:space="preserve">PP FLANGE 90 ANSI</x:t>
        </x:is>
      </x:c>
      <x:c r="C2643" t="inlineStr">
        <x:is>
          <x:t xml:space="preserve">PP FLANGE</x:t>
        </x:is>
      </x:c>
      <x:c r="D2643" t="inlineStr">
        <x:is>
          <x:t xml:space="preserve">ANSI</x:t>
        </x:is>
      </x:c>
      <x:c r="E2643" t="n">
        <x:v>0</x:v>
      </x:c>
    </x:row>
    <x:row r="2644">
      <x:c r="A2644" t="inlineStr">
        <x:is>
          <x:t xml:space="preserve">PPFFLAANS110</x:t>
        </x:is>
      </x:c>
      <x:c r="B2644" t="inlineStr">
        <x:is>
          <x:t xml:space="preserve">PP FLANGE 110 ANSI</x:t>
        </x:is>
      </x:c>
      <x:c r="C2644" t="inlineStr">
        <x:is>
          <x:t xml:space="preserve">PP FLANGE</x:t>
        </x:is>
      </x:c>
      <x:c r="D2644" t="inlineStr">
        <x:is>
          <x:t xml:space="preserve">ANSI</x:t>
        </x:is>
      </x:c>
      <x:c r="E2644" t="n">
        <x:v>12</x:v>
      </x:c>
    </x:row>
    <x:row r="2645">
      <x:c r="A2645" t="inlineStr">
        <x:is>
          <x:t xml:space="preserve">PPFFLAANS125</x:t>
        </x:is>
      </x:c>
      <x:c r="B2645" t="inlineStr">
        <x:is>
          <x:t xml:space="preserve">PP FLANGE 125 ANSI</x:t>
        </x:is>
      </x:c>
      <x:c r="C2645" t="inlineStr">
        <x:is>
          <x:t xml:space="preserve">PP FLANGE</x:t>
        </x:is>
      </x:c>
      <x:c r="D2645" t="inlineStr">
        <x:is>
          <x:t xml:space="preserve">ANSI</x:t>
        </x:is>
      </x:c>
      <x:c r="E2645" t="n">
        <x:v>16</x:v>
      </x:c>
    </x:row>
    <x:row r="2646">
      <x:c r="A2646" t="inlineStr">
        <x:is>
          <x:t xml:space="preserve">PPFFLAANS160</x:t>
        </x:is>
      </x:c>
      <x:c r="B2646" t="inlineStr">
        <x:is>
          <x:t xml:space="preserve">PP FLANGE 160 ANSI</x:t>
        </x:is>
      </x:c>
      <x:c r="C2646" t="inlineStr">
        <x:is>
          <x:t xml:space="preserve">PP FLANGE</x:t>
        </x:is>
      </x:c>
      <x:c r="D2646" t="inlineStr">
        <x:is>
          <x:t xml:space="preserve">ANSI</x:t>
        </x:is>
      </x:c>
      <x:c r="E2646" t="n">
        <x:v>11</x:v>
      </x:c>
    </x:row>
    <x:row r="2647">
      <x:c r="A2647" t="inlineStr">
        <x:is>
          <x:t xml:space="preserve">PPFFLAANS200</x:t>
        </x:is>
      </x:c>
      <x:c r="B2647" t="inlineStr">
        <x:is>
          <x:t xml:space="preserve">PP FLANGE 200 ANSI</x:t>
        </x:is>
      </x:c>
      <x:c r="C2647" t="inlineStr">
        <x:is>
          <x:t xml:space="preserve">PP FLANGE</x:t>
        </x:is>
      </x:c>
      <x:c r="D2647" t="inlineStr">
        <x:is>
          <x:t xml:space="preserve">ANSI</x:t>
        </x:is>
      </x:c>
      <x:c r="E2647" t="n">
        <x:v>43</x:v>
      </x:c>
    </x:row>
    <x:row r="2648">
      <x:c r="A2648" t="inlineStr">
        <x:is>
          <x:t xml:space="preserve">PPFFLAANS250</x:t>
        </x:is>
      </x:c>
      <x:c r="B2648" t="inlineStr">
        <x:is>
          <x:t xml:space="preserve">PP FLANGE 250 ANSI</x:t>
        </x:is>
      </x:c>
      <x:c r="C2648" t="inlineStr">
        <x:is>
          <x:t xml:space="preserve">PP FLANGE</x:t>
        </x:is>
      </x:c>
      <x:c r="D2648" t="inlineStr">
        <x:is>
          <x:t xml:space="preserve">ANSI</x:t>
        </x:is>
      </x:c>
      <x:c r="E2648" t="n">
        <x:v>6</x:v>
      </x:c>
    </x:row>
    <x:row r="2649">
      <x:c r="A2649" t="inlineStr">
        <x:is>
          <x:t xml:space="preserve">PPFFLAANS315</x:t>
        </x:is>
      </x:c>
      <x:c r="B2649" t="inlineStr">
        <x:is>
          <x:t xml:space="preserve">PP FLANGE 315 ANSI</x:t>
        </x:is>
      </x:c>
      <x:c r="C2649" t="inlineStr">
        <x:is>
          <x:t xml:space="preserve">PP FLANGE</x:t>
        </x:is>
      </x:c>
      <x:c r="D2649" t="inlineStr">
        <x:is>
          <x:t xml:space="preserve">ANSI</x:t>
        </x:is>
      </x:c>
      <x:c r="E2649" t="n">
        <x:v>0</x:v>
      </x:c>
    </x:row>
    <x:row r="2650">
      <x:c r="A2650" t="inlineStr">
        <x:is>
          <x:t xml:space="preserve">PPFFLAANS355</x:t>
        </x:is>
      </x:c>
      <x:c r="B2650" t="inlineStr">
        <x:is>
          <x:t xml:space="preserve">FLANGE PP-FRP NEGRO ANSI 355 14 PLG</x:t>
        </x:is>
      </x:c>
      <x:c r="E2650" t="n">
        <x:v>16</x:v>
      </x:c>
    </x:row>
    <x:row r="2651">
      <x:c r="A2651" t="inlineStr">
        <x:is>
          <x:t xml:space="preserve">PPFFLAANS400</x:t>
        </x:is>
      </x:c>
      <x:c r="B2651" t="inlineStr">
        <x:is>
          <x:t xml:space="preserve">PP FLANGE 400 ANSI</x:t>
        </x:is>
      </x:c>
      <x:c r="C2651" t="inlineStr">
        <x:is>
          <x:t xml:space="preserve">PP FLANGE</x:t>
        </x:is>
      </x:c>
      <x:c r="D2651" t="inlineStr">
        <x:is>
          <x:t xml:space="preserve">ANSI</x:t>
        </x:is>
      </x:c>
      <x:c r="E2651" t="n">
        <x:v>4</x:v>
      </x:c>
    </x:row>
    <x:row r="2652">
      <x:c r="A2652" t="inlineStr">
        <x:is>
          <x:t xml:space="preserve">PPFFLAANS450</x:t>
        </x:is>
      </x:c>
      <x:c r="B2652" t="inlineStr">
        <x:is>
          <x:t xml:space="preserve">PP FLANGE 450 ANSI</x:t>
        </x:is>
      </x:c>
      <x:c r="C2652" t="inlineStr">
        <x:is>
          <x:t xml:space="preserve">PP FLANGE</x:t>
        </x:is>
      </x:c>
      <x:c r="D2652" t="inlineStr">
        <x:is>
          <x:t xml:space="preserve">ANSI</x:t>
        </x:is>
      </x:c>
      <x:c r="E2652" t="n">
        <x:v>0</x:v>
      </x:c>
    </x:row>
    <x:row r="2653">
      <x:c r="A2653" t="inlineStr">
        <x:is>
          <x:t xml:space="preserve">PPFFLAANS500</x:t>
        </x:is>
      </x:c>
      <x:c r="B2653" t="inlineStr">
        <x:is>
          <x:t xml:space="preserve">PP FLANGE 500 ANSI - 20 PULGADAS</x:t>
        </x:is>
      </x:c>
      <x:c r="C2653" t="inlineStr">
        <x:is>
          <x:t xml:space="preserve">PP FLANGE</x:t>
        </x:is>
      </x:c>
      <x:c r="D2653" t="inlineStr">
        <x:is>
          <x:t xml:space="preserve">ANSI</x:t>
        </x:is>
      </x:c>
      <x:c r="E2653" t="n">
        <x:v>0</x:v>
      </x:c>
    </x:row>
    <x:row r="2654">
      <x:c r="A2654" t="inlineStr">
        <x:is>
          <x:t xml:space="preserve">PPFFLADIN001</x:t>
        </x:is>
      </x:c>
      <x:c r="B2654" t="inlineStr">
        <x:is>
          <x:t xml:space="preserve">FLANGE PP/Ac-DIN 50-1.1/2 CIEGO</x:t>
        </x:is>
      </x:c>
      <x:c r="E2654" t="n">
        <x:v>0</x:v>
      </x:c>
    </x:row>
    <x:row r="2655">
      <x:c r="A2655" t="inlineStr">
        <x:is>
          <x:t xml:space="preserve">PPFFLADIN002</x:t>
        </x:is>
      </x:c>
      <x:c r="B2655" t="inlineStr">
        <x:is>
          <x:t xml:space="preserve">FLANGE PP/Ac-DIN 114-5 PLG MOP-16 BAR</x:t>
        </x:is>
      </x:c>
      <x:c r="E2655" t="n">
        <x:v>0</x:v>
      </x:c>
    </x:row>
    <x:row r="2656">
      <x:c r="A2656" t="inlineStr">
        <x:is>
          <x:t xml:space="preserve">PPFFLADIN003</x:t>
        </x:is>
      </x:c>
      <x:c r="B2656" t="inlineStr">
        <x:is>
          <x:t xml:space="preserve">FLANGE RESPALDO 110 MM DIN REVESTIDO HDPE S/PLANO</x:t>
        </x:is>
      </x:c>
      <x:c r="E2656" t="n">
        <x:v>0</x:v>
      </x:c>
    </x:row>
    <x:row r="2657">
      <x:c r="A2657" t="inlineStr">
        <x:is>
          <x:t xml:space="preserve">PPFFLADIN063</x:t>
        </x:is>
      </x:c>
      <x:c r="B2657" t="inlineStr">
        <x:is>
          <x:t xml:space="preserve">PP FLANGE 63 DIN</x:t>
        </x:is>
      </x:c>
      <x:c r="C2657" t="inlineStr">
        <x:is>
          <x:t xml:space="preserve">PP FLANGE</x:t>
        </x:is>
      </x:c>
      <x:c r="D2657" t="inlineStr">
        <x:is>
          <x:t xml:space="preserve">DIN</x:t>
        </x:is>
      </x:c>
      <x:c r="E2657" t="n">
        <x:v>0</x:v>
      </x:c>
    </x:row>
    <x:row r="2658">
      <x:c r="A2658" t="inlineStr">
        <x:is>
          <x:t xml:space="preserve">PPFFLADIN110</x:t>
        </x:is>
      </x:c>
      <x:c r="B2658" t="inlineStr">
        <x:is>
          <x:t xml:space="preserve">PP FLANGE 110 DIN</x:t>
        </x:is>
      </x:c>
      <x:c r="C2658" t="inlineStr">
        <x:is>
          <x:t xml:space="preserve">PP FLANGE</x:t>
        </x:is>
      </x:c>
      <x:c r="D2658" t="inlineStr">
        <x:is>
          <x:t xml:space="preserve">DIN</x:t>
        </x:is>
      </x:c>
      <x:c r="E2658" t="n">
        <x:v>0</x:v>
      </x:c>
    </x:row>
    <x:row r="2659">
      <x:c r="A2659" t="inlineStr">
        <x:is>
          <x:t xml:space="preserve">PPFFLADIN125</x:t>
        </x:is>
      </x:c>
      <x:c r="B2659" t="inlineStr">
        <x:is>
          <x:t xml:space="preserve">PP FLANGE 125 DIN</x:t>
        </x:is>
      </x:c>
      <x:c r="C2659" t="inlineStr">
        <x:is>
          <x:t xml:space="preserve">PP FLANGE</x:t>
        </x:is>
      </x:c>
      <x:c r="D2659" t="inlineStr">
        <x:is>
          <x:t xml:space="preserve">DIN</x:t>
        </x:is>
      </x:c>
      <x:c r="E2659" t="n">
        <x:v>76</x:v>
      </x:c>
    </x:row>
    <x:row r="2660">
      <x:c r="A2660" t="inlineStr">
        <x:is>
          <x:t xml:space="preserve">PPFFLADIN140</x:t>
        </x:is>
      </x:c>
      <x:c r="B2660" t="inlineStr">
        <x:is>
          <x:t xml:space="preserve">PP FLANGE 140 DIN</x:t>
        </x:is>
      </x:c>
      <x:c r="C2660" t="inlineStr">
        <x:is>
          <x:t xml:space="preserve">PP FLANGE</x:t>
        </x:is>
      </x:c>
      <x:c r="D2660" t="inlineStr">
        <x:is>
          <x:t xml:space="preserve">DIN</x:t>
        </x:is>
      </x:c>
      <x:c r="E2660" t="n">
        <x:v>4</x:v>
      </x:c>
    </x:row>
    <x:row r="2661">
      <x:c r="A2661" t="inlineStr">
        <x:is>
          <x:t xml:space="preserve">PPFFLADIN160</x:t>
        </x:is>
      </x:c>
      <x:c r="B2661" t="inlineStr">
        <x:is>
          <x:t xml:space="preserve">PP FLANGE 160 DIN</x:t>
        </x:is>
      </x:c>
      <x:c r="C2661" t="inlineStr">
        <x:is>
          <x:t xml:space="preserve">PP FLANGE</x:t>
        </x:is>
      </x:c>
      <x:c r="D2661" t="inlineStr">
        <x:is>
          <x:t xml:space="preserve">DIN</x:t>
        </x:is>
      </x:c>
      <x:c r="E2661" t="n">
        <x:v>10</x:v>
      </x:c>
    </x:row>
    <x:row r="2662">
      <x:c r="A2662" t="inlineStr">
        <x:is>
          <x:t xml:space="preserve">PPFFLADIN200</x:t>
        </x:is>
      </x:c>
      <x:c r="B2662" t="inlineStr">
        <x:is>
          <x:t xml:space="preserve">PP FLANGE 200 DIN</x:t>
        </x:is>
      </x:c>
      <x:c r="C2662" t="inlineStr">
        <x:is>
          <x:t xml:space="preserve">PP FLANGE</x:t>
        </x:is>
      </x:c>
      <x:c r="D2662" t="inlineStr">
        <x:is>
          <x:t xml:space="preserve">DIN</x:t>
        </x:is>
      </x:c>
      <x:c r="E2662" t="n">
        <x:v>39</x:v>
      </x:c>
    </x:row>
    <x:row r="2663">
      <x:c r="A2663" t="inlineStr">
        <x:is>
          <x:t xml:space="preserve">PPFFLADIN250</x:t>
        </x:is>
      </x:c>
      <x:c r="B2663" t="inlineStr">
        <x:is>
          <x:t xml:space="preserve">PP FLANGE 250 DIN</x:t>
        </x:is>
      </x:c>
      <x:c r="C2663" t="inlineStr">
        <x:is>
          <x:t xml:space="preserve">PP FLANGE</x:t>
        </x:is>
      </x:c>
      <x:c r="D2663" t="inlineStr">
        <x:is>
          <x:t xml:space="preserve">DIN</x:t>
        </x:is>
      </x:c>
      <x:c r="E2663" t="n">
        <x:v>0</x:v>
      </x:c>
    </x:row>
    <x:row r="2664">
      <x:c r="A2664" t="inlineStr">
        <x:is>
          <x:t xml:space="preserve">PPFFLADIN315</x:t>
        </x:is>
      </x:c>
      <x:c r="B2664" t="inlineStr">
        <x:is>
          <x:t xml:space="preserve">PP FLANGE 315 DIN</x:t>
        </x:is>
      </x:c>
      <x:c r="C2664" t="inlineStr">
        <x:is>
          <x:t xml:space="preserve">PP FLANGE</x:t>
        </x:is>
      </x:c>
      <x:c r="D2664" t="inlineStr">
        <x:is>
          <x:t xml:space="preserve">DIN</x:t>
        </x:is>
      </x:c>
      <x:c r="E2664" t="n">
        <x:v>0</x:v>
      </x:c>
    </x:row>
    <x:row r="2665">
      <x:c r="A2665" t="inlineStr">
        <x:is>
          <x:t xml:space="preserve">PPFFLADIN355</x:t>
        </x:is>
      </x:c>
      <x:c r="B2665" t="inlineStr">
        <x:is>
          <x:t xml:space="preserve">PP FLANGE 355 DIN</x:t>
        </x:is>
      </x:c>
      <x:c r="C2665" t="inlineStr">
        <x:is>
          <x:t xml:space="preserve">PP FLANGE</x:t>
        </x:is>
      </x:c>
      <x:c r="D2665" t="inlineStr">
        <x:is>
          <x:t xml:space="preserve">DIN</x:t>
        </x:is>
      </x:c>
      <x:c r="E2665" t="n">
        <x:v>0</x:v>
      </x:c>
    </x:row>
    <x:row r="2666">
      <x:c r="A2666" t="inlineStr">
        <x:is>
          <x:t xml:space="preserve">PPFFLADIN400</x:t>
        </x:is>
      </x:c>
      <x:c r="B2666" t="inlineStr">
        <x:is>
          <x:t xml:space="preserve">PP FLANGE 400 DIN</x:t>
        </x:is>
      </x:c>
      <x:c r="C2666" t="inlineStr">
        <x:is>
          <x:t xml:space="preserve">PP FLANGE</x:t>
        </x:is>
      </x:c>
      <x:c r="D2666" t="inlineStr">
        <x:is>
          <x:t xml:space="preserve">DIN</x:t>
        </x:is>
      </x:c>
      <x:c r="E2666" t="n">
        <x:v>0</x:v>
      </x:c>
    </x:row>
    <x:row r="2667">
      <x:c r="A2667" t="inlineStr">
        <x:is>
          <x:t xml:space="preserve">PPFFLADIN450</x:t>
        </x:is>
      </x:c>
      <x:c r="B2667" t="inlineStr">
        <x:is>
          <x:t xml:space="preserve">PP FLANGE 450 DIN</x:t>
        </x:is>
      </x:c>
      <x:c r="C2667" t="inlineStr">
        <x:is>
          <x:t xml:space="preserve">PP FLANGE</x:t>
        </x:is>
      </x:c>
      <x:c r="D2667" t="inlineStr">
        <x:is>
          <x:t xml:space="preserve">DIN</x:t>
        </x:is>
      </x:c>
      <x:c r="E2667" t="n">
        <x:v>0</x:v>
      </x:c>
    </x:row>
    <x:row r="2668">
      <x:c r="A2668" t="inlineStr">
        <x:is>
          <x:t xml:space="preserve">PPFFLADIN500</x:t>
        </x:is>
      </x:c>
      <x:c r="B2668" t="inlineStr">
        <x:is>
          <x:t xml:space="preserve">PP FLANGE 500 DIN</x:t>
        </x:is>
      </x:c>
      <x:c r="C2668" t="inlineStr">
        <x:is>
          <x:t xml:space="preserve">PP FLANGE</x:t>
        </x:is>
      </x:c>
      <x:c r="D2668" t="inlineStr">
        <x:is>
          <x:t xml:space="preserve">DIN</x:t>
        </x:is>
      </x:c>
      <x:c r="E2668" t="n">
        <x:v>0</x:v>
      </x:c>
    </x:row>
    <x:row r="2669">
      <x:c r="A2669" t="inlineStr">
        <x:is>
          <x:t xml:space="preserve">PPFFLADINO25</x:t>
        </x:is>
      </x:c>
      <x:c r="B2669" t="inlineStr">
        <x:is>
          <x:t xml:space="preserve">PP FLANGE 25 DIN</x:t>
        </x:is>
      </x:c>
      <x:c r="C2669" t="inlineStr">
        <x:is>
          <x:t xml:space="preserve">PP FLANGE</x:t>
        </x:is>
      </x:c>
      <x:c r="D2669" t="inlineStr">
        <x:is>
          <x:t xml:space="preserve">DIN</x:t>
        </x:is>
      </x:c>
      <x:c r="E2669" t="n">
        <x:v>0</x:v>
      </x:c>
    </x:row>
    <x:row r="2670">
      <x:c r="A2670" t="inlineStr">
        <x:is>
          <x:t xml:space="preserve">PPFFLADINO32</x:t>
        </x:is>
      </x:c>
      <x:c r="B2670" t="inlineStr">
        <x:is>
          <x:t xml:space="preserve">PP FLANGE 32 DIN</x:t>
        </x:is>
      </x:c>
      <x:c r="C2670" t="inlineStr">
        <x:is>
          <x:t xml:space="preserve">PP FLANGE</x:t>
        </x:is>
      </x:c>
      <x:c r="D2670" t="inlineStr">
        <x:is>
          <x:t xml:space="preserve">DIN</x:t>
        </x:is>
      </x:c>
      <x:c r="E2670" t="n">
        <x:v>0</x:v>
      </x:c>
    </x:row>
    <x:row r="2671">
      <x:c r="A2671" t="inlineStr">
        <x:is>
          <x:t xml:space="preserve">PPFFLADINO40</x:t>
        </x:is>
      </x:c>
      <x:c r="B2671" t="inlineStr">
        <x:is>
          <x:t xml:space="preserve">PP FLANGE 40 DIN</x:t>
        </x:is>
      </x:c>
      <x:c r="C2671" t="inlineStr">
        <x:is>
          <x:t xml:space="preserve">PP FLANGE</x:t>
        </x:is>
      </x:c>
      <x:c r="D2671" t="inlineStr">
        <x:is>
          <x:t xml:space="preserve">DIN</x:t>
        </x:is>
      </x:c>
      <x:c r="E2671" t="n">
        <x:v>0</x:v>
      </x:c>
    </x:row>
    <x:row r="2672">
      <x:c r="A2672" t="inlineStr">
        <x:is>
          <x:t xml:space="preserve">PPFFLADINO44</x:t>
        </x:is>
      </x:c>
      <x:c r="B2672" t="inlineStr">
        <x:is>
          <x:t xml:space="preserve">PP FLANGE 44 DIN</x:t>
        </x:is>
      </x:c>
      <x:c r="C2672" t="inlineStr">
        <x:is>
          <x:t xml:space="preserve">PP FLANGE</x:t>
        </x:is>
      </x:c>
      <x:c r="D2672" t="inlineStr">
        <x:is>
          <x:t xml:space="preserve">DIN</x:t>
        </x:is>
      </x:c>
      <x:c r="E2672" t="n">
        <x:v>0</x:v>
      </x:c>
    </x:row>
    <x:row r="2673">
      <x:c r="A2673" t="inlineStr">
        <x:is>
          <x:t xml:space="preserve">PPFFLADINO50</x:t>
        </x:is>
      </x:c>
      <x:c r="B2673" t="inlineStr">
        <x:is>
          <x:t xml:space="preserve">PP FLANGE 50 DIN</x:t>
        </x:is>
      </x:c>
      <x:c r="C2673" t="inlineStr">
        <x:is>
          <x:t xml:space="preserve">PP FLANGE</x:t>
        </x:is>
      </x:c>
      <x:c r="D2673" t="inlineStr">
        <x:is>
          <x:t xml:space="preserve">DIN</x:t>
        </x:is>
      </x:c>
      <x:c r="E2673" t="n">
        <x:v>0</x:v>
      </x:c>
    </x:row>
    <x:row r="2674">
      <x:c r="A2674" t="inlineStr">
        <x:is>
          <x:t xml:space="preserve">PPFFLADINO63</x:t>
        </x:is>
      </x:c>
      <x:c r="B2674" t="inlineStr">
        <x:is>
          <x:t xml:space="preserve">PP FLANGE 63 DIN</x:t>
        </x:is>
      </x:c>
      <x:c r="C2674" t="inlineStr">
        <x:is>
          <x:t xml:space="preserve">PP FLANGE</x:t>
        </x:is>
      </x:c>
      <x:c r="D2674" t="inlineStr">
        <x:is>
          <x:t xml:space="preserve">DIN</x:t>
        </x:is>
      </x:c>
      <x:c r="E2674" t="n">
        <x:v>0</x:v>
      </x:c>
    </x:row>
    <x:row r="2675">
      <x:c r="A2675" t="inlineStr">
        <x:is>
          <x:t xml:space="preserve">PPFFLADINO75</x:t>
        </x:is>
      </x:c>
      <x:c r="B2675" t="inlineStr">
        <x:is>
          <x:t xml:space="preserve">PP FLANGE 75 DIN</x:t>
        </x:is>
      </x:c>
      <x:c r="C2675" t="inlineStr">
        <x:is>
          <x:t xml:space="preserve">PP FLANGE</x:t>
        </x:is>
      </x:c>
      <x:c r="D2675" t="inlineStr">
        <x:is>
          <x:t xml:space="preserve">DIN</x:t>
        </x:is>
      </x:c>
      <x:c r="E2675" t="n">
        <x:v>0</x:v>
      </x:c>
    </x:row>
    <x:row r="2676">
      <x:c r="A2676" t="inlineStr">
        <x:is>
          <x:t xml:space="preserve">PPFFLADINO90</x:t>
        </x:is>
      </x:c>
      <x:c r="B2676" t="inlineStr">
        <x:is>
          <x:t xml:space="preserve">PP FLANGE 90 DIN</x:t>
        </x:is>
      </x:c>
      <x:c r="C2676" t="inlineStr">
        <x:is>
          <x:t xml:space="preserve">PP FLANGE</x:t>
        </x:is>
      </x:c>
      <x:c r="D2676" t="inlineStr">
        <x:is>
          <x:t xml:space="preserve">DIN</x:t>
        </x:is>
      </x:c>
      <x:c r="E2676" t="n">
        <x:v>0</x:v>
      </x:c>
    </x:row>
    <x:row r="2677">
      <x:c r="A2677" t="inlineStr">
        <x:is>
          <x:t xml:space="preserve">PPP90GSOC001</x:t>
        </x:is>
      </x:c>
      <x:c r="B2677" t="inlineStr">
        <x:is>
          <x:t xml:space="preserve">CODO POLIPROPILENO 200XSOC VENT</x:t>
        </x:is>
      </x:c>
      <x:c r="E2677" t="n">
        <x:v>0</x:v>
      </x:c>
    </x:row>
    <x:row r="2678">
      <x:c r="A2678" t="inlineStr">
        <x:is>
          <x:t xml:space="preserve">PPPPLA001001</x:t>
        </x:is>
      </x:c>
      <x:c r="B2678" t="inlineStr">
        <x:is>
          <x:t xml:space="preserve">PLANCHAS DE POLIPROPILENO PP SIN BACKING 3000X1500X3 MM</x:t>
        </x:is>
      </x:c>
      <x:c r="E2678" t="n">
        <x:v>0</x:v>
      </x:c>
    </x:row>
    <x:row r="2679">
      <x:c r="A2679" t="inlineStr">
        <x:is>
          <x:t xml:space="preserve">PPPPLA001002</x:t>
        </x:is>
      </x:c>
      <x:c r="B2679" t="inlineStr">
        <x:is>
          <x:t xml:space="preserve">PLANCHAS DE POLIPROPILENO PP SIN BACKING 3000X1500X5 MM</x:t>
        </x:is>
      </x:c>
      <x:c r="E2679" t="n">
        <x:v>0</x:v>
      </x:c>
    </x:row>
    <x:row r="2680">
      <x:c r="A2680" t="inlineStr">
        <x:is>
          <x:t xml:space="preserve">PPPPLA001003</x:t>
        </x:is>
      </x:c>
      <x:c r="B2680" t="inlineStr">
        <x:is>
          <x:t xml:space="preserve">PLANCHAS DE POLIPROPILENO PP SIN BACKING 3000X1500X15 MM</x:t>
        </x:is>
      </x:c>
      <x:c r="E2680" t="n">
        <x:v>0</x:v>
      </x:c>
    </x:row>
    <x:row r="2681">
      <x:c r="A2681" t="inlineStr">
        <x:is>
          <x:t xml:space="preserve">PPPPLA001004</x:t>
        </x:is>
      </x:c>
      <x:c r="B2681" t="inlineStr">
        <x:is>
          <x:t xml:space="preserve">PLANCHAS DE POLIPROPILENO PP SIN BACKING 3000X1500X5/8 PLG</x:t>
        </x:is>
      </x:c>
      <x:c r="E2681" t="n">
        <x:v>0</x:v>
      </x:c>
    </x:row>
    <x:row r="2682">
      <x:c r="A2682" t="inlineStr">
        <x:is>
          <x:t xml:space="preserve">PPPPLA001005</x:t>
        </x:is>
      </x:c>
      <x:c r="B2682" t="inlineStr">
        <x:is>
          <x:t xml:space="preserve">PLANCHAS DE POLIPROPILENO PP SIN BACKING 3000X1500X3/4 PLG</x:t>
        </x:is>
      </x:c>
      <x:c r="E2682" t="n">
        <x:v>3</x:v>
      </x:c>
    </x:row>
    <x:row r="2683">
      <x:c r="A2683" t="inlineStr">
        <x:is>
          <x:t xml:space="preserve">PPPPLA001006</x:t>
        </x:is>
      </x:c>
      <x:c r="B2683" t="inlineStr">
        <x:is>
          <x:t xml:space="preserve">PLANCHAS DE POLIPROPILENO PP SIN BACKING 3000X1500X25mm</x:t>
        </x:is>
      </x:c>
      <x:c r="E2683" t="n">
        <x:v>0</x:v>
      </x:c>
    </x:row>
    <x:row r="2684">
      <x:c r="A2684" t="inlineStr">
        <x:is>
          <x:t xml:space="preserve">PPPPLA001007</x:t>
        </x:is>
      </x:c>
      <x:c r="B2684" t="inlineStr">
        <x:is>
          <x:t xml:space="preserve">PLANCHAS DE POLIPROPILENO PP SIN BACKING 3000X1500X10 MM</x:t>
        </x:is>
      </x:c>
      <x:c r="E2684" t="n">
        <x:v>17.5</x:v>
      </x:c>
    </x:row>
    <x:row r="2685">
      <x:c r="A2685" t="inlineStr">
        <x:is>
          <x:t xml:space="preserve">PPPPLA001008</x:t>
        </x:is>
      </x:c>
      <x:c r="B2685" t="inlineStr">
        <x:is>
          <x:t xml:space="preserve">PLANCHAS DE POLIPROPILENO PP CON BACKING 20000X1500X3 MM (ROLLO)</x:t>
        </x:is>
      </x:c>
      <x:c r="E2685" t="n">
        <x:v>0</x:v>
      </x:c>
    </x:row>
    <x:row r="2686">
      <x:c r="A2686" t="inlineStr">
        <x:is>
          <x:t xml:space="preserve">PPPPLA001009</x:t>
        </x:is>
      </x:c>
      <x:c r="B2686" t="inlineStr">
        <x:is>
          <x:t xml:space="preserve">PLANCHAS DE POLIPROPILENO PP CON BACKING 3000X1500X3 MM</x:t>
        </x:is>
      </x:c>
      <x:c r="E2686" t="n">
        <x:v>0</x:v>
      </x:c>
    </x:row>
    <x:row r="2687">
      <x:c r="A2687" t="inlineStr">
        <x:is>
          <x:t xml:space="preserve">PPPPLA001010</x:t>
        </x:is>
      </x:c>
      <x:c r="B2687" t="inlineStr">
        <x:is>
          <x:t xml:space="preserve">PLANCHAS DE POLIPROPILENO PP CON BACKING 3000X1500X5 MM</x:t>
        </x:is>
      </x:c>
      <x:c r="E2687" t="n">
        <x:v>0</x:v>
      </x:c>
    </x:row>
    <x:row r="2688">
      <x:c r="A2688" t="inlineStr">
        <x:is>
          <x:t xml:space="preserve">PPPPLA001011</x:t>
        </x:is>
      </x:c>
      <x:c r="B2688" t="inlineStr">
        <x:is>
          <x:t xml:space="preserve">PLANCHAS DE POLIPROPILENO PP CON BACKING 3000X1500X12 MM</x:t>
        </x:is>
      </x:c>
      <x:c r="E2688" t="n">
        <x:v>0</x:v>
      </x:c>
    </x:row>
    <x:row r="2689">
      <x:c r="A2689" t="inlineStr">
        <x:is>
          <x:t xml:space="preserve">PPPPLA001012</x:t>
        </x:is>
      </x:c>
      <x:c r="B2689" t="inlineStr">
        <x:is>
          <x:t xml:space="preserve">PLANCHAS DE POLIPROPILENO PP CON BACKING 3000X1500X20 MM</x:t>
        </x:is>
      </x:c>
      <x:c r="E2689" t="n">
        <x:v>0</x:v>
      </x:c>
    </x:row>
    <x:row r="2690">
      <x:c r="A2690" t="inlineStr">
        <x:is>
          <x:t xml:space="preserve">PPPPLA001013</x:t>
        </x:is>
      </x:c>
      <x:c r="B2690" t="inlineStr">
        <x:is>
          <x:t xml:space="preserve">PLANCHAS DE POLIPROPILENO PP SIN BACKING 3000X1500X12 MM</x:t>
        </x:is>
      </x:c>
      <x:c r="E2690" t="n">
        <x:v>0</x:v>
      </x:c>
    </x:row>
    <x:row r="2691">
      <x:c r="A2691" t="inlineStr">
        <x:is>
          <x:t xml:space="preserve">PPPPLA001014</x:t>
        </x:is>
      </x:c>
      <x:c r="B2691" t="inlineStr">
        <x:is>
          <x:t xml:space="preserve">PLANCHAS DE POLIPROPILENO PP SIN BACKING 3000X1500X20 MM</x:t>
        </x:is>
      </x:c>
      <x:c r="E2691" t="n">
        <x:v>0</x:v>
      </x:c>
    </x:row>
    <x:row r="2692">
      <x:c r="A2692" t="inlineStr">
        <x:is>
          <x:t xml:space="preserve">PPPPLA001015</x:t>
        </x:is>
      </x:c>
      <x:c r="B2692" t="inlineStr">
        <x:is>
          <x:t xml:space="preserve">PLANCHAS DE POLIPROPILENO PP SIN BACKING 2000 X 1000 X 40 MM</x:t>
        </x:is>
      </x:c>
      <x:c r="E2692" t="n">
        <x:v>0</x:v>
      </x:c>
    </x:row>
    <x:row r="2693">
      <x:c r="A2693" t="inlineStr">
        <x:is>
          <x:t xml:space="preserve">PPPPLA001016</x:t>
        </x:is>
      </x:c>
      <x:c r="B2693" t="inlineStr">
        <x:is>
          <x:t xml:space="preserve">PLANCHAS DE POLIPROPILENO PP CON BACKING 3000X1500X 6 MM</x:t>
        </x:is>
      </x:c>
      <x:c r="E2693" t="n">
        <x:v>2.85</x:v>
      </x:c>
    </x:row>
    <x:row r="2694">
      <x:c r="A2694" t="inlineStr">
        <x:is>
          <x:t xml:space="preserve">PPPPLA001017</x:t>
        </x:is>
      </x:c>
      <x:c r="B2694" t="inlineStr">
        <x:is>
          <x:t xml:space="preserve">PL. PP S/BACKING 2000X1000X50 MM</x:t>
        </x:is>
      </x:c>
      <x:c r="E2694" t="n">
        <x:v>0</x:v>
      </x:c>
    </x:row>
    <x:row r="2695">
      <x:c r="A2695" t="inlineStr">
        <x:is>
          <x:t xml:space="preserve">PPPPLA001018</x:t>
        </x:is>
      </x:c>
      <x:c r="B2695" t="inlineStr">
        <x:is>
          <x:t xml:space="preserve">PLANCHAS DE POLIPROPILENO PP CON BACKING 3000 X 1500 X 4 MM</x:t>
        </x:is>
      </x:c>
      <x:c r="E2695" t="n">
        <x:v>0.7</x:v>
      </x:c>
    </x:row>
    <x:row r="2696">
      <x:c r="A2696" t="inlineStr">
        <x:is>
          <x:t xml:space="preserve">PPPPLA001019</x:t>
        </x:is>
      </x:c>
      <x:c r="B2696" t="inlineStr">
        <x:is>
          <x:t xml:space="preserve">PLANCHA DE POLIPROPILENO PP CON BACKING EXTERIOR 25000 X 1500 X 3 MM (ROLLO)</x:t>
        </x:is>
      </x:c>
      <x:c r="E2696" t="n">
        <x:v>25</x:v>
      </x:c>
    </x:row>
    <x:row r="2697">
      <x:c r="A2697" t="inlineStr">
        <x:is>
          <x:t xml:space="preserve">PPPPLAHUE040</x:t>
        </x:is>
      </x:c>
      <x:c r="B2697" t="inlineStr">
        <x:is>
          <x:t xml:space="preserve">PP PLANCHA CAMARA HUECA 40mm</x:t>
        </x:is>
      </x:c>
      <x:c r="E2697" t="n">
        <x:v>0</x:v>
      </x:c>
    </x:row>
    <x:row r="2698">
      <x:c r="A2698" t="inlineStr">
        <x:is>
          <x:t xml:space="preserve">PPPRED001001</x:t>
        </x:is>
      </x:c>
      <x:c r="B2698" t="inlineStr">
        <x:is>
          <x:t xml:space="preserve">REDUCCION DE POLIPROPILENO 32 XD 25 SDR11</x:t>
        </x:is>
      </x:c>
      <x:c r="E2698" t="n">
        <x:v>0</x:v>
      </x:c>
    </x:row>
    <x:row r="2699">
      <x:c r="A2699" t="inlineStr">
        <x:is>
          <x:t xml:space="preserve">PPPRED001002</x:t>
        </x:is>
      </x:c>
      <x:c r="B2699" t="inlineStr">
        <x:is>
          <x:t xml:space="preserve">REDUCCION DE POLIPROPILENO 50X40</x:t>
        </x:is>
      </x:c>
      <x:c r="E2699" t="n">
        <x:v>0</x:v>
      </x:c>
    </x:row>
    <x:row r="2700">
      <x:c r="A2700" t="inlineStr">
        <x:is>
          <x:t xml:space="preserve">PPPRED001003</x:t>
        </x:is>
      </x:c>
      <x:c r="B2700" t="inlineStr">
        <x:is>
          <x:t xml:space="preserve">REDUCCION DE POLIPROPILENO 63X32</x:t>
        </x:is>
      </x:c>
      <x:c r="E2700" t="n">
        <x:v>0</x:v>
      </x:c>
    </x:row>
    <x:row r="2701">
      <x:c r="A2701" t="inlineStr">
        <x:is>
          <x:t xml:space="preserve">PPPRED001004</x:t>
        </x:is>
      </x:c>
      <x:c r="B2701" t="inlineStr">
        <x:is>
          <x:t xml:space="preserve">REDUCCION DE POLIPROPILENO 90X75</x:t>
        </x:is>
      </x:c>
      <x:c r="E2701" t="n">
        <x:v>0</x:v>
      </x:c>
    </x:row>
    <x:row r="2702">
      <x:c r="A2702" t="inlineStr">
        <x:is>
          <x:t xml:space="preserve">PPPRED001005</x:t>
        </x:is>
      </x:c>
      <x:c r="B2702" t="inlineStr">
        <x:is>
          <x:t xml:space="preserve">REDUCCION DE POLIPROPILENO 110X63X10 SDR17</x:t>
        </x:is>
      </x:c>
      <x:c r="E2702" t="n">
        <x:v>0</x:v>
      </x:c>
    </x:row>
    <x:row r="2703">
      <x:c r="A2703" t="inlineStr">
        <x:is>
          <x:t xml:space="preserve">PPPRED001006</x:t>
        </x:is>
      </x:c>
      <x:c r="B2703" t="inlineStr">
        <x:is>
          <x:t xml:space="preserve">REDUCCION DE POLIPROPILENO 110X90X10</x:t>
        </x:is>
      </x:c>
      <x:c r="E2703" t="n">
        <x:v>0</x:v>
      </x:c>
    </x:row>
    <x:row r="2704">
      <x:c r="A2704" t="inlineStr">
        <x:is>
          <x:t xml:space="preserve">PPPRED001007</x:t>
        </x:is>
      </x:c>
      <x:c r="B2704" t="inlineStr">
        <x:is>
          <x:t xml:space="preserve">REDUCCION DE POLIPROPILENO 140X160 SDR11</x:t>
        </x:is>
      </x:c>
      <x:c r="E2704" t="n">
        <x:v>0</x:v>
      </x:c>
    </x:row>
    <x:row r="2705">
      <x:c r="A2705" t="inlineStr">
        <x:is>
          <x:t xml:space="preserve">PPPRED001008</x:t>
        </x:is>
      </x:c>
      <x:c r="B2705" t="inlineStr">
        <x:is>
          <x:t xml:space="preserve">REDUCCION EXENTRICA DE POLIPROPILENO 140X160 SDR11</x:t>
        </x:is>
      </x:c>
      <x:c r="E2705" t="n">
        <x:v>0</x:v>
      </x:c>
    </x:row>
    <x:row r="2706">
      <x:c r="A2706" t="inlineStr">
        <x:is>
          <x:t xml:space="preserve">PPPRED001009</x:t>
        </x:is>
      </x:c>
      <x:c r="B2706" t="inlineStr">
        <x:is>
          <x:t xml:space="preserve">REDUCCION DE POLIPROPILENO 90 X75</x:t>
        </x:is>
      </x:c>
      <x:c r="E2706" t="n">
        <x:v>0</x:v>
      </x:c>
    </x:row>
    <x:row r="2707">
      <x:c r="A2707" t="inlineStr">
        <x:is>
          <x:t xml:space="preserve">PPPRED001010</x:t>
        </x:is>
      </x:c>
      <x:c r="B2707" t="inlineStr">
        <x:is>
          <x:t xml:space="preserve">REDUCCION DE POLIPROPILENO 160X110X5 MM</x:t>
        </x:is>
      </x:c>
      <x:c r="E2707" t="n">
        <x:v>0</x:v>
      </x:c>
    </x:row>
    <x:row r="2708">
      <x:c r="A2708" t="inlineStr">
        <x:is>
          <x:t xml:space="preserve">PPPRED001011</x:t>
        </x:is>
      </x:c>
      <x:c r="B2708" t="inlineStr">
        <x:is>
          <x:t xml:space="preserve">REDUCCION DE POLIPROPILENO 200X160 SDR11</x:t>
        </x:is>
      </x:c>
      <x:c r="E2708" t="n">
        <x:v>0</x:v>
      </x:c>
    </x:row>
    <x:row r="2709">
      <x:c r="A2709" t="inlineStr">
        <x:is>
          <x:t xml:space="preserve">PPPRED001012</x:t>
        </x:is>
      </x:c>
      <x:c r="B2709" t="inlineStr">
        <x:is>
          <x:t xml:space="preserve">REDUCCION DE POLIPROPILENO 200X160X11 MM SDR33</x:t>
        </x:is>
      </x:c>
      <x:c r="E2709" t="n">
        <x:v>0</x:v>
      </x:c>
    </x:row>
    <x:row r="2710">
      <x:c r="A2710" t="inlineStr">
        <x:is>
          <x:t xml:space="preserve">PPPRED001013</x:t>
        </x:is>
      </x:c>
      <x:c r="B2710" t="inlineStr">
        <x:is>
          <x:t xml:space="preserve">REDUCCION DE POLIPROPILENO 250/200 SDR11 ISOS5 PPR GRIS</x:t>
        </x:is>
      </x:c>
      <x:c r="E2710" t="n">
        <x:v>0</x:v>
      </x:c>
    </x:row>
    <x:row r="2711">
      <x:c r="A2711" t="inlineStr">
        <x:is>
          <x:t xml:space="preserve">PPPRED001014</x:t>
        </x:is>
      </x:c>
      <x:c r="B2711" t="inlineStr">
        <x:is>
          <x:t xml:space="preserve">REDUCCION PP 50X63 SDR11</x:t>
        </x:is>
      </x:c>
      <x:c r="E2711" t="n">
        <x:v>0</x:v>
      </x:c>
    </x:row>
    <x:row r="2712">
      <x:c r="A2712" t="inlineStr">
        <x:is>
          <x:t xml:space="preserve">PPPRED001015</x:t>
        </x:is>
      </x:c>
      <x:c r="B2712" t="inlineStr">
        <x:is>
          <x:t xml:space="preserve">REDUCCION PP 63 X 90</x:t>
        </x:is>
      </x:c>
      <x:c r="E2712" t="n">
        <x:v>0</x:v>
      </x:c>
    </x:row>
    <x:row r="2713">
      <x:c r="A2713" t="inlineStr">
        <x:is>
          <x:t xml:space="preserve">PPPRED001016</x:t>
        </x:is>
      </x:c>
      <x:c r="B2713" t="inlineStr">
        <x:is>
          <x:t xml:space="preserve">REDUCCION PP 250X160X11 MM</x:t>
        </x:is>
      </x:c>
      <x:c r="E2713" t="n">
        <x:v>0</x:v>
      </x:c>
    </x:row>
    <x:row r="2714">
      <x:c r="A2714" t="inlineStr">
        <x:is>
          <x:t xml:space="preserve">PPPRED001017</x:t>
        </x:is>
      </x:c>
      <x:c r="B2714" t="inlineStr">
        <x:is>
          <x:t xml:space="preserve">REDUCCION EXENTRICA PP  300X200</x:t>
        </x:is>
      </x:c>
      <x:c r="E2714" t="n">
        <x:v>0</x:v>
      </x:c>
    </x:row>
    <x:row r="2715">
      <x:c r="A2715" t="inlineStr">
        <x:is>
          <x:t xml:space="preserve">PPPRED001018</x:t>
        </x:is>
      </x:c>
      <x:c r="B2715" t="inlineStr">
        <x:is>
          <x:t xml:space="preserve">REDUCCION DE POLIPROPILENO EXCENTRICA 63/50 SDR11 ISOS5 PPRGris L.Largo,Termo.</x:t>
        </x:is>
      </x:c>
      <x:c r="E2715" t="n">
        <x:v>0</x:v>
      </x:c>
    </x:row>
    <x:row r="2716">
      <x:c r="A2716" t="inlineStr">
        <x:is>
          <x:t xml:space="preserve">PPPRED001019</x:t>
        </x:is>
      </x:c>
      <x:c r="B2716" t="inlineStr">
        <x:is>
          <x:t xml:space="preserve">REDUCCION CONCENTRICA 315/250 SDR17 PPR GRIS</x:t>
        </x:is>
      </x:c>
      <x:c r="E2716" t="n">
        <x:v>0</x:v>
      </x:c>
    </x:row>
    <x:row r="2717">
      <x:c r="A2717" t="inlineStr">
        <x:is>
          <x:t xml:space="preserve">PPPRED001020</x:t>
        </x:is>
      </x:c>
      <x:c r="B2717" t="inlineStr">
        <x:is>
          <x:t xml:space="preserve">REDUCCION CONCENTRICA 250/200 SDR17 PPR GRIS</x:t>
        </x:is>
      </x:c>
      <x:c r="E2717" t="n">
        <x:v>0</x:v>
      </x:c>
    </x:row>
    <x:row r="2718">
      <x:c r="A2718" t="inlineStr">
        <x:is>
          <x:t xml:space="preserve">PPPRED001021</x:t>
        </x:is>
      </x:c>
      <x:c r="B2718" t="inlineStr">
        <x:is>
          <x:t xml:space="preserve">REDUCCION CONCENTRICA 250/160 SDR17 PPR GRIS</x:t>
        </x:is>
      </x:c>
      <x:c r="E2718" t="n">
        <x:v>0</x:v>
      </x:c>
    </x:row>
    <x:row r="2719">
      <x:c r="A2719" t="inlineStr">
        <x:is>
          <x:t xml:space="preserve">PPPRED001022</x:t>
        </x:is>
      </x:c>
      <x:c r="B2719" t="inlineStr">
        <x:is>
          <x:t xml:space="preserve">REDUCCION CONCENTRICA 315/225 SDR33 PPR GRIS</x:t>
        </x:is>
      </x:c>
      <x:c r="E2719" t="n">
        <x:v>0</x:v>
      </x:c>
    </x:row>
    <x:row r="2720">
      <x:c r="A2720" t="inlineStr">
        <x:is>
          <x:t xml:space="preserve">PPPSTBS17001</x:t>
        </x:is>
      </x:c>
      <x:c r="B2720" t="inlineStr">
        <x:is>
          <x:t xml:space="preserve">STUB END POLIPROPILENO 250 X 22.7 SDR17</x:t>
        </x:is>
      </x:c>
      <x:c r="E2720" t="n">
        <x:v>0</x:v>
      </x:c>
    </x:row>
    <x:row r="2721">
      <x:c r="A2721" t="inlineStr">
        <x:is>
          <x:t xml:space="preserve">PPPSTBS33001</x:t>
        </x:is>
      </x:c>
      <x:c r="B2721" t="inlineStr">
        <x:is>
          <x:t xml:space="preserve">STUB END  POLIPROPILENO 600 X 10</x:t>
        </x:is>
      </x:c>
      <x:c r="E2721" t="n">
        <x:v>0</x:v>
      </x:c>
    </x:row>
    <x:row r="2722">
      <x:c r="A2722" t="inlineStr">
        <x:is>
          <x:t xml:space="preserve">PPPTUBS11001</x:t>
        </x:is>
      </x:c>
      <x:c r="B2722" t="inlineStr">
        <x:is>
          <x:t xml:space="preserve">TUBO POLIPROPILENO DE 25 X 2.9 SDR 11</x:t>
        </x:is>
      </x:c>
      <x:c r="E2722" t="n">
        <x:v>0</x:v>
      </x:c>
    </x:row>
    <x:row r="2723">
      <x:c r="A2723" t="inlineStr">
        <x:is>
          <x:t xml:space="preserve">PPPTUBS11002</x:t>
        </x:is>
      </x:c>
      <x:c r="B2723" t="inlineStr">
        <x:is>
          <x:t xml:space="preserve">TUBO POLIPROPILENO DE 32  SDR 11</x:t>
        </x:is>
      </x:c>
      <x:c r="E2723" t="n">
        <x:v>0</x:v>
      </x:c>
    </x:row>
    <x:row r="2724">
      <x:c r="A2724" t="inlineStr">
        <x:is>
          <x:t xml:space="preserve">PPPTUBS11003</x:t>
        </x:is>
      </x:c>
      <x:c r="B2724" t="inlineStr">
        <x:is>
          <x:t xml:space="preserve">TUBO POLIPROPILENO DN 20  SDR 11</x:t>
        </x:is>
      </x:c>
      <x:c r="E2724" t="n">
        <x:v>0</x:v>
      </x:c>
    </x:row>
    <x:row r="2725">
      <x:c r="A2725" t="inlineStr">
        <x:is>
          <x:t xml:space="preserve">PPPTUBS11075</x:t>
        </x:is>
      </x:c>
      <x:c r="B2725" t="inlineStr">
        <x:is>
          <x:t xml:space="preserve">TUBO PP S11 DN75</x:t>
        </x:is>
      </x:c>
      <x:c r="E2725" t="n">
        <x:v>0</x:v>
      </x:c>
    </x:row>
    <x:row r="2726">
      <x:c r="A2726" t="inlineStr">
        <x:is>
          <x:t xml:space="preserve">PPPTUBS11110</x:t>
        </x:is>
      </x:c>
      <x:c r="B2726" t="inlineStr">
        <x:is>
          <x:t xml:space="preserve">PP TUBO 110MM SDR 11</x:t>
        </x:is>
      </x:c>
      <x:c r="C2726" t="inlineStr">
        <x:is>
          <x:t xml:space="preserve">PP TUBO</x:t>
        </x:is>
      </x:c>
      <x:c r="D2726" t="inlineStr">
        <x:is>
          <x:t xml:space="preserve">SDR11</x:t>
        </x:is>
      </x:c>
      <x:c r="E2726" t="n">
        <x:v>0</x:v>
      </x:c>
    </x:row>
    <x:row r="2727">
      <x:c r="A2727" t="inlineStr">
        <x:is>
          <x:t xml:space="preserve">PPPTUBS11125</x:t>
        </x:is>
      </x:c>
      <x:c r="B2727" t="inlineStr">
        <x:is>
          <x:t xml:space="preserve">PP TUBO 125 MM SDR 11</x:t>
        </x:is>
      </x:c>
      <x:c r="C2727" t="inlineStr">
        <x:is>
          <x:t xml:space="preserve">PP TUBO</x:t>
        </x:is>
      </x:c>
      <x:c r="D2727" t="inlineStr">
        <x:is>
          <x:t xml:space="preserve">SDR11</x:t>
        </x:is>
      </x:c>
      <x:c r="E2727" t="n">
        <x:v>0</x:v>
      </x:c>
    </x:row>
    <x:row r="2728">
      <x:c r="A2728" t="inlineStr">
        <x:is>
          <x:t xml:space="preserve">PPPTUBS11200</x:t>
        </x:is>
      </x:c>
      <x:c r="B2728" t="inlineStr">
        <x:is>
          <x:t xml:space="preserve">PP TUBO 200MM SDR 11</x:t>
        </x:is>
      </x:c>
      <x:c r="C2728" t="inlineStr">
        <x:is>
          <x:t xml:space="preserve">PP TUBO</x:t>
        </x:is>
      </x:c>
      <x:c r="D2728" t="inlineStr">
        <x:is>
          <x:t xml:space="preserve">SDR11</x:t>
        </x:is>
      </x:c>
      <x:c r="E2728" t="n">
        <x:v>3</x:v>
      </x:c>
    </x:row>
    <x:row r="2729">
      <x:c r="A2729" t="inlineStr">
        <x:is>
          <x:t xml:space="preserve">PPPTUBS11250</x:t>
        </x:is>
      </x:c>
      <x:c r="B2729" t="inlineStr">
        <x:is>
          <x:t xml:space="preserve">PP TUBO 250MM SDR 11</x:t>
        </x:is>
      </x:c>
      <x:c r="C2729" t="inlineStr">
        <x:is>
          <x:t xml:space="preserve">PP TUBO</x:t>
        </x:is>
      </x:c>
      <x:c r="D2729" t="inlineStr">
        <x:is>
          <x:t xml:space="preserve">SDR11</x:t>
        </x:is>
      </x:c>
      <x:c r="E2729" t="n">
        <x:v>0</x:v>
      </x:c>
    </x:row>
    <x:row r="2730">
      <x:c r="A2730" t="inlineStr">
        <x:is>
          <x:t xml:space="preserve">PPPTUBS11315</x:t>
        </x:is>
      </x:c>
      <x:c r="B2730" t="inlineStr">
        <x:is>
          <x:t xml:space="preserve">PP TUBO 315X28.6 SDR11</x:t>
        </x:is>
      </x:c>
      <x:c r="C2730" t="inlineStr">
        <x:is>
          <x:t xml:space="preserve">PP TUBO</x:t>
        </x:is>
      </x:c>
      <x:c r="D2730" t="inlineStr">
        <x:is>
          <x:t xml:space="preserve">SDR11</x:t>
        </x:is>
      </x:c>
      <x:c r="E2730" t="n">
        <x:v>0</x:v>
      </x:c>
    </x:row>
    <x:row r="2731">
      <x:c r="A2731" t="inlineStr">
        <x:is>
          <x:t xml:space="preserve">PPPTUBS1132X</x:t>
        </x:is>
      </x:c>
      <x:c r="B2731" t="inlineStr">
        <x:is>
          <x:t xml:space="preserve">PP TUBO 32MM SDR 11 x 2.9</x:t>
        </x:is>
      </x:c>
      <x:c r="C2731" t="inlineStr">
        <x:is>
          <x:t xml:space="preserve">PP TUBO</x:t>
        </x:is>
      </x:c>
      <x:c r="D2731" t="inlineStr">
        <x:is>
          <x:t xml:space="preserve">SDR11</x:t>
        </x:is>
      </x:c>
      <x:c r="E2731" t="n">
        <x:v>0</x:v>
      </x:c>
    </x:row>
    <x:row r="2732">
      <x:c r="A2732" t="inlineStr">
        <x:is>
          <x:t xml:space="preserve">PPPTUBS1150X</x:t>
        </x:is>
      </x:c>
      <x:c r="B2732" t="inlineStr">
        <x:is>
          <x:t xml:space="preserve">PP TUBO 50MM SDR 11</x:t>
        </x:is>
      </x:c>
      <x:c r="C2732" t="inlineStr">
        <x:is>
          <x:t xml:space="preserve">PP TUBO</x:t>
        </x:is>
      </x:c>
      <x:c r="D2732" t="inlineStr">
        <x:is>
          <x:t xml:space="preserve">SDR11</x:t>
        </x:is>
      </x:c>
      <x:c r="E2732" t="n">
        <x:v>0</x:v>
      </x:c>
    </x:row>
    <x:row r="2733">
      <x:c r="A2733" t="inlineStr">
        <x:is>
          <x:t xml:space="preserve">PPPTUBS1163X</x:t>
        </x:is>
      </x:c>
      <x:c r="B2733" t="inlineStr">
        <x:is>
          <x:t xml:space="preserve">PP TUBO 63MM SDR 11</x:t>
        </x:is>
      </x:c>
      <x:c r="C2733" t="inlineStr">
        <x:is>
          <x:t xml:space="preserve">PP TUBO</x:t>
        </x:is>
      </x:c>
      <x:c r="D2733" t="inlineStr">
        <x:is>
          <x:t xml:space="preserve">SDR11</x:t>
        </x:is>
      </x:c>
      <x:c r="E2733" t="n">
        <x:v>87</x:v>
      </x:c>
    </x:row>
    <x:row r="2734">
      <x:c r="A2734" t="inlineStr">
        <x:is>
          <x:t xml:space="preserve">PPPTUBS1175X</x:t>
        </x:is>
      </x:c>
      <x:c r="B2734" t="inlineStr">
        <x:is>
          <x:t xml:space="preserve">PP TUBO 75 MM SDR 11 x 6.8</x:t>
        </x:is>
      </x:c>
      <x:c r="C2734" t="inlineStr">
        <x:is>
          <x:t xml:space="preserve">PP TUBO</x:t>
        </x:is>
      </x:c>
      <x:c r="D2734" t="inlineStr">
        <x:is>
          <x:t xml:space="preserve">SDR11</x:t>
        </x:is>
      </x:c>
      <x:c r="E2734" t="n">
        <x:v>0</x:v>
      </x:c>
    </x:row>
    <x:row r="2735">
      <x:c r="A2735" t="inlineStr">
        <x:is>
          <x:t xml:space="preserve">PPPTUBS1190X</x:t>
        </x:is>
      </x:c>
      <x:c r="B2735" t="inlineStr">
        <x:is>
          <x:t xml:space="preserve">PP TUBO 90MM X 8,2 SDR 11</x:t>
        </x:is>
      </x:c>
      <x:c r="C2735" t="inlineStr">
        <x:is>
          <x:t xml:space="preserve">PP TUBO</x:t>
        </x:is>
      </x:c>
      <x:c r="D2735" t="inlineStr">
        <x:is>
          <x:t xml:space="preserve">SDR11</x:t>
        </x:is>
      </x:c>
      <x:c r="E2735" t="n">
        <x:v>0</x:v>
      </x:c>
    </x:row>
    <x:row r="2736">
      <x:c r="A2736" t="inlineStr">
        <x:is>
          <x:t xml:space="preserve">PPPTUBS17001</x:t>
        </x:is>
      </x:c>
      <x:c r="B2736" t="inlineStr">
        <x:is>
          <x:t xml:space="preserve">TUBO DE POLIPROPILENO DE 50 X 2.9 SDR17</x:t>
        </x:is>
      </x:c>
      <x:c r="E2736" t="n">
        <x:v>0</x:v>
      </x:c>
    </x:row>
    <x:row r="2737">
      <x:c r="A2737" t="inlineStr">
        <x:is>
          <x:t xml:space="preserve">PPPTUBS17002</x:t>
        </x:is>
      </x:c>
      <x:c r="B2737" t="inlineStr">
        <x:is>
          <x:t xml:space="preserve">TUBO POLIPROPILENO DE 63X3.6  SDR17</x:t>
        </x:is>
      </x:c>
      <x:c r="E2737" t="n">
        <x:v>1</x:v>
      </x:c>
    </x:row>
    <x:row r="2738">
      <x:c r="A2738" t="inlineStr">
        <x:is>
          <x:t xml:space="preserve">PPPTUBS17003</x:t>
        </x:is>
      </x:c>
      <x:c r="B2738" t="inlineStr">
        <x:is>
          <x:t xml:space="preserve">TUBO POLIPROPILENO DE 90X35.1  SDR17</x:t>
        </x:is>
      </x:c>
      <x:c r="E2738" t="n">
        <x:v>0</x:v>
      </x:c>
    </x:row>
    <x:row r="2739">
      <x:c r="A2739" t="inlineStr">
        <x:is>
          <x:t xml:space="preserve">PPPTUBS17110</x:t>
        </x:is>
      </x:c>
      <x:c r="B2739" t="inlineStr">
        <x:is>
          <x:t xml:space="preserve">PP TUBO 110X6.3 SDR 17</x:t>
        </x:is>
      </x:c>
      <x:c r="C2739" t="inlineStr">
        <x:is>
          <x:t xml:space="preserve">PP TUBO</x:t>
        </x:is>
      </x:c>
      <x:c r="D2739" t="inlineStr">
        <x:is>
          <x:t xml:space="preserve">SDR 17</x:t>
        </x:is>
      </x:c>
      <x:c r="E2739" t="n">
        <x:v>15</x:v>
      </x:c>
    </x:row>
    <x:row r="2740">
      <x:c r="A2740" t="inlineStr">
        <x:is>
          <x:t xml:space="preserve">PPPTUBS17160</x:t>
        </x:is>
      </x:c>
      <x:c r="B2740" t="inlineStr">
        <x:is>
          <x:t xml:space="preserve">PP TUBO 160X9.1 SDR17</x:t>
        </x:is>
      </x:c>
      <x:c r="C2740" t="inlineStr">
        <x:is>
          <x:t xml:space="preserve">PP TUBO</x:t>
        </x:is>
      </x:c>
      <x:c r="D2740" t="inlineStr">
        <x:is>
          <x:t xml:space="preserve">SDR17</x:t>
        </x:is>
      </x:c>
      <x:c r="E2740" t="n">
        <x:v>0</x:v>
      </x:c>
    </x:row>
    <x:row r="2741">
      <x:c r="A2741" t="inlineStr">
        <x:is>
          <x:t xml:space="preserve">PPPTUBS17315</x:t>
        </x:is>
      </x:c>
      <x:c r="B2741" t="inlineStr">
        <x:is>
          <x:t xml:space="preserve">PP TUBO 315X5.0 SDR17</x:t>
        </x:is>
      </x:c>
      <x:c r="C2741" t="inlineStr">
        <x:is>
          <x:t xml:space="preserve">PP TUBO</x:t>
        </x:is>
      </x:c>
      <x:c r="D2741" t="inlineStr">
        <x:is>
          <x:t xml:space="preserve">SDR17</x:t>
        </x:is>
      </x:c>
      <x:c r="E2741" t="n">
        <x:v>0</x:v>
      </x:c>
    </x:row>
    <x:row r="2742">
      <x:c r="A2742" t="inlineStr">
        <x:is>
          <x:t xml:space="preserve">PPPTUBS17355</x:t>
        </x:is>
      </x:c>
      <x:c r="B2742" t="inlineStr">
        <x:is>
          <x:t xml:space="preserve">PP TUBO 355X0.5 SDR17</x:t>
        </x:is>
      </x:c>
      <x:c r="C2742" t="inlineStr">
        <x:is>
          <x:t xml:space="preserve">PP TUBO</x:t>
        </x:is>
      </x:c>
      <x:c r="D2742" t="inlineStr">
        <x:is>
          <x:t xml:space="preserve">SDR17</x:t>
        </x:is>
      </x:c>
      <x:c r="E2742" t="n">
        <x:v>0</x:v>
      </x:c>
    </x:row>
    <x:row r="2743">
      <x:c r="A2743" t="inlineStr">
        <x:is>
          <x:t xml:space="preserve">PPPTUBS17401</x:t>
        </x:is>
      </x:c>
      <x:c r="B2743" t="inlineStr">
        <x:is>
          <x:t xml:space="preserve">PP TUBO 400 X 15.3MM SDR26</x:t>
        </x:is>
      </x:c>
      <x:c r="C2743" t="inlineStr">
        <x:is>
          <x:t xml:space="preserve">PP TUBO</x:t>
        </x:is>
      </x:c>
      <x:c r="E2743" t="n">
        <x:v>0</x:v>
      </x:c>
    </x:row>
    <x:row r="2744">
      <x:c r="A2744" t="inlineStr">
        <x:is>
          <x:t xml:space="preserve">PPPTUBS1750X</x:t>
        </x:is>
      </x:c>
      <x:c r="B2744" t="inlineStr">
        <x:is>
          <x:t xml:space="preserve">PP TUBO 50X2.9 SDR 17</x:t>
        </x:is>
      </x:c>
      <x:c r="C2744" t="inlineStr">
        <x:is>
          <x:t xml:space="preserve">PP TUBO</x:t>
        </x:is>
      </x:c>
      <x:c r="D2744" t="inlineStr">
        <x:is>
          <x:t xml:space="preserve">SDR 17</x:t>
        </x:is>
      </x:c>
      <x:c r="E2744" t="n">
        <x:v>0</x:v>
      </x:c>
    </x:row>
    <x:row r="2745">
      <x:c r="A2745" t="inlineStr">
        <x:is>
          <x:t xml:space="preserve">PPPTUBS1763X</x:t>
        </x:is>
      </x:c>
      <x:c r="B2745" t="inlineStr">
        <x:is>
          <x:t xml:space="preserve">PP TUBO 63X3.6 SDR17</x:t>
        </x:is>
      </x:c>
      <x:c r="C2745" t="inlineStr">
        <x:is>
          <x:t xml:space="preserve">PP TUBO</x:t>
        </x:is>
      </x:c>
      <x:c r="D2745" t="inlineStr">
        <x:is>
          <x:t xml:space="preserve">SDR17</x:t>
        </x:is>
      </x:c>
      <x:c r="E2745" t="n">
        <x:v>0</x:v>
      </x:c>
    </x:row>
    <x:row r="2746">
      <x:c r="A2746" t="inlineStr">
        <x:is>
          <x:t xml:space="preserve">PPPTUBS1790X</x:t>
        </x:is>
      </x:c>
      <x:c r="B2746" t="inlineStr">
        <x:is>
          <x:t xml:space="preserve">PP TUBO 90X5.1 SDR 17</x:t>
        </x:is>
      </x:c>
      <x:c r="C2746" t="inlineStr">
        <x:is>
          <x:t xml:space="preserve">PP TUBO</x:t>
        </x:is>
      </x:c>
      <x:c r="D2746" t="inlineStr">
        <x:is>
          <x:t xml:space="preserve">SDR 17</x:t>
        </x:is>
      </x:c>
      <x:c r="E2746" t="n">
        <x:v>0</x:v>
      </x:c>
    </x:row>
    <x:row r="2747">
      <x:c r="A2747" t="inlineStr">
        <x:is>
          <x:t xml:space="preserve">PPPTUBS33001</x:t>
        </x:is>
      </x:c>
      <x:c r="B2747" t="inlineStr">
        <x:is>
          <x:t xml:space="preserve">TUBO POLIPROPILENO DE 125X3.4  SDR33</x:t>
        </x:is>
      </x:c>
      <x:c r="E2747" t="n">
        <x:v>0</x:v>
      </x:c>
    </x:row>
    <x:row r="2748">
      <x:c r="A2748" t="inlineStr">
        <x:is>
          <x:t xml:space="preserve">PPPTUBS33002</x:t>
        </x:is>
      </x:c>
      <x:c r="B2748" t="inlineStr">
        <x:is>
          <x:t xml:space="preserve">TUBO POLIPROPILENO DE 450X13.8  SDR33</x:t>
        </x:is>
      </x:c>
      <x:c r="E2748" t="n">
        <x:v>0</x:v>
      </x:c>
    </x:row>
    <x:row r="2749">
      <x:c r="A2749" t="inlineStr">
        <x:is>
          <x:t xml:space="preserve">PPPTUBS33003</x:t>
        </x:is>
      </x:c>
      <x:c r="B2749" t="inlineStr">
        <x:is>
          <x:t xml:space="preserve">TUBO POLIPROPILENO DE 600X13.8  SDR33</x:t>
        </x:is>
      </x:c>
      <x:c r="E2749" t="n">
        <x:v>0</x:v>
      </x:c>
    </x:row>
    <x:row r="2750">
      <x:c r="A2750" t="inlineStr">
        <x:is>
          <x:t xml:space="preserve">PPPTUBS33110</x:t>
        </x:is>
      </x:c>
      <x:c r="B2750" t="inlineStr">
        <x:is>
          <x:t xml:space="preserve">PP TUBO 110X3.4 SDR33</x:t>
        </x:is>
      </x:c>
      <x:c r="C2750" t="inlineStr">
        <x:is>
          <x:t xml:space="preserve">PP TUBO</x:t>
        </x:is>
      </x:c>
      <x:c r="D2750" t="inlineStr">
        <x:is>
          <x:t xml:space="preserve">SDR33</x:t>
        </x:is>
      </x:c>
      <x:c r="E2750" t="n">
        <x:v>0</x:v>
      </x:c>
    </x:row>
    <x:row r="2751">
      <x:c r="A2751" t="inlineStr">
        <x:is>
          <x:t xml:space="preserve">PPPTUBS33125</x:t>
        </x:is>
      </x:c>
      <x:c r="B2751" t="inlineStr">
        <x:is>
          <x:t xml:space="preserve">PP TUBO 125MM SDR33</x:t>
        </x:is>
      </x:c>
      <x:c r="C2751" t="inlineStr">
        <x:is>
          <x:t xml:space="preserve">PP TUBO</x:t>
        </x:is>
      </x:c>
      <x:c r="D2751" t="inlineStr">
        <x:is>
          <x:t xml:space="preserve">SDR33</x:t>
        </x:is>
      </x:c>
      <x:c r="E2751" t="n">
        <x:v>117</x:v>
      </x:c>
    </x:row>
    <x:row r="2752">
      <x:c r="A2752" t="inlineStr">
        <x:is>
          <x:t xml:space="preserve">PPPTUBS33160</x:t>
        </x:is>
      </x:c>
      <x:c r="B2752" t="inlineStr">
        <x:is>
          <x:t xml:space="preserve">PP TUBO 160X4.9 SDR33</x:t>
        </x:is>
      </x:c>
      <x:c r="C2752" t="inlineStr">
        <x:is>
          <x:t xml:space="preserve">PP TUBO</x:t>
        </x:is>
      </x:c>
      <x:c r="D2752" t="inlineStr">
        <x:is>
          <x:t xml:space="preserve">SDR33</x:t>
        </x:is>
      </x:c>
      <x:c r="E2752" t="n">
        <x:v>91</x:v>
      </x:c>
    </x:row>
    <x:row r="2753">
      <x:c r="A2753" t="inlineStr">
        <x:is>
          <x:t xml:space="preserve">PPPTUBS33200</x:t>
        </x:is>
      </x:c>
      <x:c r="B2753" t="inlineStr">
        <x:is>
          <x:t xml:space="preserve">PP TUBO 200X6.2 SDR33</x:t>
        </x:is>
      </x:c>
      <x:c r="C2753" t="inlineStr">
        <x:is>
          <x:t xml:space="preserve">PP TUBO</x:t>
        </x:is>
      </x:c>
      <x:c r="D2753" t="inlineStr">
        <x:is>
          <x:t xml:space="preserve">SDR33</x:t>
        </x:is>
      </x:c>
      <x:c r="E2753" t="n">
        <x:v>52</x:v>
      </x:c>
    </x:row>
    <x:row r="2754">
      <x:c r="A2754" t="inlineStr">
        <x:is>
          <x:t xml:space="preserve">PPPTUBS33250</x:t>
        </x:is>
      </x:c>
      <x:c r="B2754" t="inlineStr">
        <x:is>
          <x:t xml:space="preserve">PP TUBO 250X7.7 SDR33</x:t>
        </x:is>
      </x:c>
      <x:c r="C2754" t="inlineStr">
        <x:is>
          <x:t xml:space="preserve">PP TUBO</x:t>
        </x:is>
      </x:c>
      <x:c r="D2754" t="inlineStr">
        <x:is>
          <x:t xml:space="preserve">SDR33</x:t>
        </x:is>
      </x:c>
      <x:c r="E2754" t="n">
        <x:v>9</x:v>
      </x:c>
    </x:row>
    <x:row r="2755">
      <x:c r="A2755" t="inlineStr">
        <x:is>
          <x:t xml:space="preserve">PPPTUBS33260</x:t>
        </x:is>
      </x:c>
      <x:c r="B2755" t="inlineStr">
        <x:is>
          <x:t xml:space="preserve">PP TUBO 260X0.9 SDR33</x:t>
        </x:is>
      </x:c>
      <x:c r="C2755" t="inlineStr">
        <x:is>
          <x:t xml:space="preserve">PP TUBO</x:t>
        </x:is>
      </x:c>
      <x:c r="D2755" t="inlineStr">
        <x:is>
          <x:t xml:space="preserve">SDR33</x:t>
        </x:is>
      </x:c>
      <x:c r="E2755" t="n">
        <x:v>0</x:v>
      </x:c>
    </x:row>
    <x:row r="2756">
      <x:c r="A2756" t="inlineStr">
        <x:is>
          <x:t xml:space="preserve">PPPTUBS33280</x:t>
        </x:is>
      </x:c>
      <x:c r="B2756" t="inlineStr">
        <x:is>
          <x:t xml:space="preserve">PP TUBO 280X8.6 SDR33</x:t>
        </x:is>
      </x:c>
      <x:c r="C2756" t="inlineStr">
        <x:is>
          <x:t xml:space="preserve">PP TUBO</x:t>
        </x:is>
      </x:c>
      <x:c r="D2756" t="inlineStr">
        <x:is>
          <x:t xml:space="preserve">SDR33</x:t>
        </x:is>
      </x:c>
      <x:c r="E2756" t="n">
        <x:v>0</x:v>
      </x:c>
    </x:row>
    <x:row r="2757">
      <x:c r="A2757" t="inlineStr">
        <x:is>
          <x:t xml:space="preserve">PPPTUBS33315</x:t>
        </x:is>
      </x:c>
      <x:c r="B2757" t="inlineStr">
        <x:is>
          <x:t xml:space="preserve">PP TUBO 315X9.7 SDR33</x:t>
        </x:is>
      </x:c>
      <x:c r="C2757" t="inlineStr">
        <x:is>
          <x:t xml:space="preserve">PP TUBO</x:t>
        </x:is>
      </x:c>
      <x:c r="D2757" t="inlineStr">
        <x:is>
          <x:t xml:space="preserve">SDR33</x:t>
        </x:is>
      </x:c>
      <x:c r="E2757" t="n">
        <x:v>0</x:v>
      </x:c>
    </x:row>
    <x:row r="2758">
      <x:c r="A2758" t="inlineStr">
        <x:is>
          <x:t xml:space="preserve">PPPTUBS33355</x:t>
        </x:is>
      </x:c>
      <x:c r="B2758" t="inlineStr">
        <x:is>
          <x:t xml:space="preserve">PP TUBO 355MM SDR33</x:t>
        </x:is>
      </x:c>
      <x:c r="C2758" t="inlineStr">
        <x:is>
          <x:t xml:space="preserve">PP TUBO</x:t>
        </x:is>
      </x:c>
      <x:c r="D2758" t="inlineStr">
        <x:is>
          <x:t xml:space="preserve">SDR33</x:t>
        </x:is>
      </x:c>
      <x:c r="E2758" t="n">
        <x:v>50</x:v>
      </x:c>
    </x:row>
    <x:row r="2759">
      <x:c r="A2759" t="inlineStr">
        <x:is>
          <x:t xml:space="preserve">PPPTUBS33400</x:t>
        </x:is>
      </x:c>
      <x:c r="B2759" t="inlineStr">
        <x:is>
          <x:t xml:space="preserve">PP TUBO 400MM SDR33</x:t>
        </x:is>
      </x:c>
      <x:c r="C2759" t="inlineStr">
        <x:is>
          <x:t xml:space="preserve">PP TUBO</x:t>
        </x:is>
      </x:c>
      <x:c r="D2759" t="inlineStr">
        <x:is>
          <x:t xml:space="preserve">SDR33</x:t>
        </x:is>
      </x:c>
      <x:c r="E2759" t="n">
        <x:v>0</x:v>
      </x:c>
    </x:row>
    <x:row r="2760">
      <x:c r="A2760" t="inlineStr">
        <x:is>
          <x:t xml:space="preserve">PPPTUBS33450</x:t>
        </x:is>
      </x:c>
      <x:c r="B2760" t="inlineStr">
        <x:is>
          <x:t xml:space="preserve">PP TUBO 450MM SDR33</x:t>
        </x:is>
      </x:c>
      <x:c r="C2760" t="inlineStr">
        <x:is>
          <x:t xml:space="preserve">PP TUBO</x:t>
        </x:is>
      </x:c>
      <x:c r="D2760" t="inlineStr">
        <x:is>
          <x:t xml:space="preserve">SDR33</x:t>
        </x:is>
      </x:c>
      <x:c r="E2760" t="n">
        <x:v>0</x:v>
      </x:c>
    </x:row>
    <x:row r="2761">
      <x:c r="A2761" t="inlineStr">
        <x:is>
          <x:t xml:space="preserve">PPPTUBS33500</x:t>
        </x:is>
      </x:c>
      <x:c r="B2761" t="inlineStr">
        <x:is>
          <x:t xml:space="preserve">PP TUBO 500X17 SDR33</x:t>
        </x:is>
      </x:c>
      <x:c r="C2761" t="inlineStr">
        <x:is>
          <x:t xml:space="preserve">PP TUBO</x:t>
        </x:is>
      </x:c>
      <x:c r="D2761" t="inlineStr">
        <x:is>
          <x:t xml:space="preserve">SDR33</x:t>
        </x:is>
      </x:c>
      <x:c r="E2761" t="n">
        <x:v>0</x:v>
      </x:c>
    </x:row>
    <x:row r="2762">
      <x:c r="A2762" t="inlineStr">
        <x:is>
          <x:t xml:space="preserve">PPPTUBS33600</x:t>
        </x:is>
      </x:c>
      <x:c r="B2762" t="inlineStr">
        <x:is>
          <x:t xml:space="preserve">PP TUBO DE 600X13,8 SDR33</x:t>
        </x:is>
      </x:c>
      <x:c r="C2762" t="inlineStr">
        <x:is>
          <x:t xml:space="preserve">PP TUBO</x:t>
        </x:is>
      </x:c>
      <x:c r="D2762" t="inlineStr">
        <x:is>
          <x:t xml:space="preserve">SDR33</x:t>
        </x:is>
      </x:c>
      <x:c r="E2762" t="n">
        <x:v>0</x:v>
      </x:c>
    </x:row>
    <x:row r="2763">
      <x:c r="A2763" t="inlineStr">
        <x:is>
          <x:t xml:space="preserve">PPPTUBS3363X</x:t>
        </x:is>
      </x:c>
      <x:c r="B2763" t="inlineStr">
        <x:is>
          <x:t xml:space="preserve">PP TUBO 63X8.1 SDR33</x:t>
        </x:is>
      </x:c>
      <x:c r="C2763" t="inlineStr">
        <x:is>
          <x:t xml:space="preserve">PP TUBO</x:t>
        </x:is>
      </x:c>
      <x:c r="D2763" t="inlineStr">
        <x:is>
          <x:t xml:space="preserve">SDR33</x:t>
        </x:is>
      </x:c>
      <x:c r="E2763" t="n">
        <x:v>0</x:v>
      </x:c>
    </x:row>
    <x:row r="2764">
      <x:c r="A2764" t="inlineStr">
        <x:is>
          <x:t xml:space="preserve">PPPTUBVEN001</x:t>
        </x:is>
      </x:c>
      <x:c r="B2764" t="inlineStr">
        <x:is>
          <x:t xml:space="preserve">TUBO POLIPROPILENO DE 32X2.9  SDR  VENT</x:t>
        </x:is>
      </x:c>
      <x:c r="E2764" t="n">
        <x:v>0</x:v>
      </x:c>
    </x:row>
    <x:row r="2765">
      <x:c r="A2765" t="inlineStr">
        <x:is>
          <x:t xml:space="preserve">PPPTUBVEN002</x:t>
        </x:is>
      </x:c>
      <x:c r="B2765" t="inlineStr">
        <x:is>
          <x:t xml:space="preserve">TUBO POLIPROPILENO DE 63X3.6  SDR VEN</x:t>
        </x:is>
      </x:c>
      <x:c r="E2765" t="n">
        <x:v>0</x:v>
      </x:c>
    </x:row>
    <x:row r="2766">
      <x:c r="A2766" t="inlineStr">
        <x:is>
          <x:t xml:space="preserve">PPPTUBVEN003</x:t>
        </x:is>
      </x:c>
      <x:c r="B2766" t="inlineStr">
        <x:is>
          <x:t xml:space="preserve">TUBO POLIPROPILENO DE 160  SDR VENT</x:t>
        </x:is>
      </x:c>
      <x:c r="E2766" t="n">
        <x:v>0</x:v>
      </x:c>
    </x:row>
    <x:row r="2767">
      <x:c r="A2767" t="inlineStr">
        <x:is>
          <x:t xml:space="preserve">PPPTUBVEN004</x:t>
        </x:is>
      </x:c>
      <x:c r="B2767" t="inlineStr">
        <x:is>
          <x:t xml:space="preserve">TUBO POLIPROPILENO DE 355X3.7  SDR VENT</x:t>
        </x:is>
      </x:c>
      <x:c r="E2767" t="n">
        <x:v>0</x:v>
      </x:c>
    </x:row>
    <x:row r="2768">
      <x:c r="A2768" t="inlineStr">
        <x:is>
          <x:t xml:space="preserve">PPPTUBVEN005</x:t>
        </x:is>
      </x:c>
      <x:c r="B2768" t="inlineStr">
        <x:is>
          <x:t xml:space="preserve">TUBERÍA PPR 32 MM 6 MTS</x:t>
        </x:is>
      </x:c>
      <x:c r="E2768" t="n">
        <x:v>0</x:v>
      </x:c>
    </x:row>
    <x:row r="2769">
      <x:c r="A2769" t="inlineStr">
        <x:is>
          <x:t xml:space="preserve">PPPTUBVEN006</x:t>
        </x:is>
      </x:c>
      <x:c r="B2769" t="inlineStr">
        <x:is>
          <x:t xml:space="preserve">PPR UNION AMERICANA 32 MM</x:t>
        </x:is>
      </x:c>
      <x:c r="E2769" t="n">
        <x:v>0</x:v>
      </x:c>
    </x:row>
    <x:row r="2770">
      <x:c r="A2770" t="inlineStr">
        <x:is>
          <x:t xml:space="preserve">PPPTUBVEN007</x:t>
        </x:is>
      </x:c>
      <x:c r="B2770" t="inlineStr">
        <x:is>
          <x:t xml:space="preserve">PPR CODO 32 MM x 90°</x:t>
        </x:is>
      </x:c>
      <x:c r="E2770" t="n">
        <x:v>0</x:v>
      </x:c>
    </x:row>
    <x:row r="2771">
      <x:c r="A2771" t="inlineStr">
        <x:is>
          <x:t xml:space="preserve">PPPTUBVEN008</x:t>
        </x:is>
      </x:c>
      <x:c r="B2771" t="inlineStr">
        <x:is>
          <x:t xml:space="preserve">PPR COPLA 32MM</x:t>
        </x:is>
      </x:c>
      <x:c r="E2771" t="n">
        <x:v>0</x:v>
      </x:c>
    </x:row>
    <x:row r="2772">
      <x:c r="A2772" t="inlineStr">
        <x:is>
          <x:t xml:space="preserve">PPPTUBVEN009</x:t>
        </x:is>
      </x:c>
      <x:c r="B2772" t="inlineStr">
        <x:is>
          <x:t xml:space="preserve">PPR TERMINAL HI 32 MM</x:t>
        </x:is>
      </x:c>
      <x:c r="E2772" t="n">
        <x:v>0</x:v>
      </x:c>
    </x:row>
    <x:row r="2773">
      <x:c r="A2773" t="inlineStr">
        <x:is>
          <x:t xml:space="preserve">PPPTUBVEN010</x:t>
        </x:is>
      </x:c>
      <x:c r="B2773" t="inlineStr">
        <x:is>
          <x:t xml:space="preserve">PPR TERMINAL HE 32 MM</x:t>
        </x:is>
      </x:c>
      <x:c r="E2773" t="n">
        <x:v>0</x:v>
      </x:c>
    </x:row>
    <x:row r="2774">
      <x:c r="A2774" t="inlineStr">
        <x:is>
          <x:t xml:space="preserve">PPPTUBVEN011</x:t>
        </x:is>
      </x:c>
      <x:c r="B2774" t="inlineStr">
        <x:is>
          <x:t xml:space="preserve">TB 16x6 mt POLIFUSION-BETA S3. (TIRAS DE 6MTS)</x:t>
        </x:is>
      </x:c>
      <x:c r="E2774" t="n">
        <x:v>0</x:v>
      </x:c>
    </x:row>
    <x:row r="2775">
      <x:c r="A2775" t="inlineStr">
        <x:is>
          <x:t xml:space="preserve">PPRBARDIN35M</x:t>
        </x:is>
      </x:c>
      <x:c r="B2775" t="inlineStr">
        <x:is>
          <x:t xml:space="preserve">Barra maciza de PP-H AlphaPlus. GRIS 35MM SEGÚN DIN-</x:t>
        </x:is>
      </x:c>
      <x:c r="E2775" t="n">
        <x:v>0</x:v>
      </x:c>
    </x:row>
    <x:row r="2776">
      <x:c r="A2776" t="inlineStr">
        <x:is>
          <x:t xml:space="preserve">PPRBARDIN45M</x:t>
        </x:is>
      </x:c>
      <x:c r="B2776" t="inlineStr">
        <x:is>
          <x:t xml:space="preserve">Barra maciza de PP-H AlphaPlus. GRIS 45MM SEGÚN DIN-</x:t>
        </x:is>
      </x:c>
      <x:c r="E2776" t="n">
        <x:v>0</x:v>
      </x:c>
    </x:row>
    <x:row r="2777">
      <x:c r="A2777" t="inlineStr">
        <x:is>
          <x:t xml:space="preserve">PPRRDCS11110</x:t>
        </x:is>
      </x:c>
      <x:c r="B2777" t="inlineStr">
        <x:is>
          <x:t xml:space="preserve">RE-CO PP-H ALPHAPLUS CORTA INYECTADA D. 110MM SDR 11</x:t>
        </x:is>
      </x:c>
      <x:c r="E2777" t="n">
        <x:v>0</x:v>
      </x:c>
    </x:row>
    <x:row r="2778">
      <x:c r="A2778" t="inlineStr">
        <x:is>
          <x:t xml:space="preserve">PPRRDCS11250</x:t>
        </x:is>
      </x:c>
      <x:c r="B2778" t="inlineStr">
        <x:is>
          <x:t xml:space="preserve">RE-CO PP-H ALPHAPLUS CORTA INYECTADA D. 250MM SDR 11</x:t>
        </x:is>
      </x:c>
      <x:c r="E2778" t="n">
        <x:v>0</x:v>
      </x:c>
    </x:row>
    <x:row r="2779">
      <x:c r="A2779" t="inlineStr">
        <x:is>
          <x:t xml:space="preserve">PPSENDS11063</x:t>
        </x:is>
      </x:c>
      <x:c r="B2779" t="inlineStr">
        <x:is>
          <x:t xml:space="preserve">PP STUB END 63 x 5,8 SDR11</x:t>
        </x:is>
      </x:c>
      <x:c r="C2779" t="inlineStr">
        <x:is>
          <x:t xml:space="preserve">PP STUB END</x:t>
        </x:is>
      </x:c>
      <x:c r="D2779" t="inlineStr">
        <x:is>
          <x:t xml:space="preserve">SDR11</x:t>
        </x:is>
      </x:c>
      <x:c r="E2779" t="n">
        <x:v>0</x:v>
      </x:c>
    </x:row>
    <x:row r="2780">
      <x:c r="A2780" t="inlineStr">
        <x:is>
          <x:t xml:space="preserve">PPSENDS11110</x:t>
        </x:is>
      </x:c>
      <x:c r="B2780" t="inlineStr">
        <x:is>
          <x:t xml:space="preserve">PP STUB-END 110X10 SDR11</x:t>
        </x:is>
      </x:c>
      <x:c r="C2780" t="inlineStr">
        <x:is>
          <x:t xml:space="preserve">PP STUB END</x:t>
        </x:is>
      </x:c>
      <x:c r="D2780" t="inlineStr">
        <x:is>
          <x:t xml:space="preserve">SDR11</x:t>
        </x:is>
      </x:c>
      <x:c r="E2780" t="n">
        <x:v>0</x:v>
      </x:c>
    </x:row>
    <x:row r="2781">
      <x:c r="A2781" t="inlineStr">
        <x:is>
          <x:t xml:space="preserve">PPSENDS11160</x:t>
        </x:is>
      </x:c>
      <x:c r="B2781" t="inlineStr">
        <x:is>
          <x:t xml:space="preserve">PP STUB-END 160X14.6 SDR11</x:t>
        </x:is>
      </x:c>
      <x:c r="C2781" t="inlineStr">
        <x:is>
          <x:t xml:space="preserve">PP STUB END</x:t>
        </x:is>
      </x:c>
      <x:c r="D2781" t="inlineStr">
        <x:is>
          <x:t xml:space="preserve">SDR11</x:t>
        </x:is>
      </x:c>
      <x:c r="E2781" t="n">
        <x:v>2</x:v>
      </x:c>
    </x:row>
    <x:row r="2782">
      <x:c r="A2782" t="inlineStr">
        <x:is>
          <x:t xml:space="preserve">PPSENDS1120X</x:t>
        </x:is>
      </x:c>
      <x:c r="B2782" t="inlineStr">
        <x:is>
          <x:t xml:space="preserve">PP STUB-END 20X1.9 SDR11</x:t>
        </x:is>
      </x:c>
      <x:c r="C2782" t="inlineStr">
        <x:is>
          <x:t xml:space="preserve">PP STUB END</x:t>
        </x:is>
      </x:c>
      <x:c r="D2782" t="inlineStr">
        <x:is>
          <x:t xml:space="preserve">SDR11</x:t>
        </x:is>
      </x:c>
      <x:c r="E2782" t="n">
        <x:v>0</x:v>
      </x:c>
    </x:row>
    <x:row r="2783">
      <x:c r="A2783" t="inlineStr">
        <x:is>
          <x:t xml:space="preserve">PPSENDS11250</x:t>
        </x:is>
      </x:c>
      <x:c r="B2783" t="inlineStr">
        <x:is>
          <x:t xml:space="preserve">PP STUB-END 250X22.7 SDR11</x:t>
        </x:is>
      </x:c>
      <x:c r="C2783" t="inlineStr">
        <x:is>
          <x:t xml:space="preserve">PP STUB END</x:t>
        </x:is>
      </x:c>
      <x:c r="D2783" t="inlineStr">
        <x:is>
          <x:t xml:space="preserve">SDR11</x:t>
        </x:is>
      </x:c>
      <x:c r="E2783" t="n">
        <x:v>0</x:v>
      </x:c>
    </x:row>
    <x:row r="2784">
      <x:c r="A2784" t="inlineStr">
        <x:is>
          <x:t xml:space="preserve">PPSENDS11280</x:t>
        </x:is>
      </x:c>
      <x:c r="B2784" t="inlineStr">
        <x:is>
          <x:t xml:space="preserve">PP STUB END 280 X 22.7 SDR11</x:t>
        </x:is>
      </x:c>
      <x:c r="C2784" t="inlineStr">
        <x:is>
          <x:t xml:space="preserve">PP STUB END</x:t>
        </x:is>
      </x:c>
      <x:c r="D2784" t="inlineStr">
        <x:is>
          <x:t xml:space="preserve">SDR11</x:t>
        </x:is>
      </x:c>
      <x:c r="E2784" t="n">
        <x:v>0</x:v>
      </x:c>
    </x:row>
    <x:row r="2785">
      <x:c r="A2785" t="inlineStr">
        <x:is>
          <x:t xml:space="preserve">PPSENDS1132X</x:t>
        </x:is>
      </x:c>
      <x:c r="B2785" t="inlineStr">
        <x:is>
          <x:t xml:space="preserve">PP STUB-END 32X2.9 SDR11</x:t>
        </x:is>
      </x:c>
      <x:c r="C2785" t="inlineStr">
        <x:is>
          <x:t xml:space="preserve">PP STUB END</x:t>
        </x:is>
      </x:c>
      <x:c r="D2785" t="inlineStr">
        <x:is>
          <x:t xml:space="preserve">SDR11</x:t>
        </x:is>
      </x:c>
      <x:c r="E2785" t="n">
        <x:v>1</x:v>
      </x:c>
    </x:row>
    <x:row r="2786">
      <x:c r="A2786" t="inlineStr">
        <x:is>
          <x:t xml:space="preserve">PPSENDS1150X</x:t>
        </x:is>
      </x:c>
      <x:c r="B2786" t="inlineStr">
        <x:is>
          <x:t xml:space="preserve">PP STUB-END 50X4.6 SDR11</x:t>
        </x:is>
      </x:c>
      <x:c r="C2786" t="inlineStr">
        <x:is>
          <x:t xml:space="preserve">PP STUB END</x:t>
        </x:is>
      </x:c>
      <x:c r="D2786" t="inlineStr">
        <x:is>
          <x:t xml:space="preserve">SDR11</x:t>
        </x:is>
      </x:c>
      <x:c r="E2786" t="n">
        <x:v>0</x:v>
      </x:c>
    </x:row>
    <x:row r="2787">
      <x:c r="A2787" t="inlineStr">
        <x:is>
          <x:t xml:space="preserve">PPSENDS1160X</x:t>
        </x:is>
      </x:c>
      <x:c r="B2787" t="inlineStr">
        <x:is>
          <x:t xml:space="preserve">PP STUB-END 60X5 SDR11</x:t>
        </x:is>
      </x:c>
      <x:c r="C2787" t="inlineStr">
        <x:is>
          <x:t xml:space="preserve">PP STUB END</x:t>
        </x:is>
      </x:c>
      <x:c r="D2787" t="inlineStr">
        <x:is>
          <x:t xml:space="preserve">SDR11</x:t>
        </x:is>
      </x:c>
      <x:c r="E2787" t="n">
        <x:v>0</x:v>
      </x:c>
    </x:row>
    <x:row r="2788">
      <x:c r="A2788" t="inlineStr">
        <x:is>
          <x:t xml:space="preserve">PPSENDS1163X</x:t>
        </x:is>
      </x:c>
      <x:c r="B2788" t="inlineStr">
        <x:is>
          <x:t xml:space="preserve">PP STUB-END 63X5.8 SDR11</x:t>
        </x:is>
      </x:c>
      <x:c r="C2788" t="inlineStr">
        <x:is>
          <x:t xml:space="preserve">PP STUB END</x:t>
        </x:is>
      </x:c>
      <x:c r="D2788" t="inlineStr">
        <x:is>
          <x:t xml:space="preserve">SDR11</x:t>
        </x:is>
      </x:c>
      <x:c r="E2788" t="n">
        <x:v>23</x:v>
      </x:c>
    </x:row>
    <x:row r="2789">
      <x:c r="A2789" t="inlineStr">
        <x:is>
          <x:t xml:space="preserve">PPSENDS1175X</x:t>
        </x:is>
      </x:c>
      <x:c r="B2789" t="inlineStr">
        <x:is>
          <x:t xml:space="preserve">PP STUB-END 75X6.8 SDR11</x:t>
        </x:is>
      </x:c>
      <x:c r="C2789" t="inlineStr">
        <x:is>
          <x:t xml:space="preserve">PP STUB END</x:t>
        </x:is>
      </x:c>
      <x:c r="D2789" t="inlineStr">
        <x:is>
          <x:t xml:space="preserve">SDR11</x:t>
        </x:is>
      </x:c>
      <x:c r="E2789" t="n">
        <x:v>0</x:v>
      </x:c>
    </x:row>
    <x:row r="2790">
      <x:c r="A2790" t="inlineStr">
        <x:is>
          <x:t xml:space="preserve">PPSENDS1190X</x:t>
        </x:is>
      </x:c>
      <x:c r="B2790" t="inlineStr">
        <x:is>
          <x:t xml:space="preserve">PP STUB-END 90X15 SDR11</x:t>
        </x:is>
      </x:c>
      <x:c r="C2790" t="inlineStr">
        <x:is>
          <x:t xml:space="preserve">PP STUB END</x:t>
        </x:is>
      </x:c>
      <x:c r="D2790" t="inlineStr">
        <x:is>
          <x:t xml:space="preserve">SDR11</x:t>
        </x:is>
      </x:c>
      <x:c r="E2790" t="n">
        <x:v>0</x:v>
      </x:c>
    </x:row>
    <x:row r="2791">
      <x:c r="A2791" t="inlineStr">
        <x:is>
          <x:t xml:space="preserve">PPSENDS17063</x:t>
        </x:is>
      </x:c>
      <x:c r="B2791" t="inlineStr">
        <x:is>
          <x:t xml:space="preserve">PP STUB END 63x 3,8 SDR17</x:t>
        </x:is>
      </x:c>
      <x:c r="C2791" t="inlineStr">
        <x:is>
          <x:t xml:space="preserve">PP STUB END</x:t>
        </x:is>
      </x:c>
      <x:c r="D2791" t="inlineStr">
        <x:is>
          <x:t xml:space="preserve">SDR17</x:t>
        </x:is>
      </x:c>
      <x:c r="E2791" t="n">
        <x:v>0</x:v>
      </x:c>
    </x:row>
    <x:row r="2792">
      <x:c r="A2792" t="inlineStr">
        <x:is>
          <x:t xml:space="preserve">PPSENDS17110</x:t>
        </x:is>
      </x:c>
      <x:c r="B2792" t="inlineStr">
        <x:is>
          <x:t xml:space="preserve">PP STUB-END 110X6.6 SDR17</x:t>
        </x:is>
      </x:c>
      <x:c r="C2792" t="inlineStr">
        <x:is>
          <x:t xml:space="preserve">PP STUB END</x:t>
        </x:is>
      </x:c>
      <x:c r="D2792" t="inlineStr">
        <x:is>
          <x:t xml:space="preserve">SDR17</x:t>
        </x:is>
      </x:c>
      <x:c r="E2792" t="n">
        <x:v>0</x:v>
      </x:c>
    </x:row>
    <x:row r="2793">
      <x:c r="A2793" t="inlineStr">
        <x:is>
          <x:t xml:space="preserve">PPSENDS17140</x:t>
        </x:is>
      </x:c>
      <x:c r="B2793" t="inlineStr">
        <x:is>
          <x:t xml:space="preserve">PP STUB-END 140X7.0 SDR17</x:t>
        </x:is>
      </x:c>
      <x:c r="C2793" t="inlineStr">
        <x:is>
          <x:t xml:space="preserve">PP STUB END</x:t>
        </x:is>
      </x:c>
      <x:c r="D2793" t="inlineStr">
        <x:is>
          <x:t xml:space="preserve">SDR17</x:t>
        </x:is>
      </x:c>
      <x:c r="E2793" t="n">
        <x:v>0</x:v>
      </x:c>
    </x:row>
    <x:row r="2794">
      <x:c r="A2794" t="inlineStr">
        <x:is>
          <x:t xml:space="preserve">PPSENDS17200</x:t>
        </x:is>
      </x:c>
      <x:c r="B2794" t="inlineStr">
        <x:is>
          <x:t xml:space="preserve">PP STUB END 200 x 11,9 SDR17</x:t>
        </x:is>
      </x:c>
      <x:c r="C2794" t="inlineStr">
        <x:is>
          <x:t xml:space="preserve">PP STUB END</x:t>
        </x:is>
      </x:c>
      <x:c r="D2794" t="inlineStr">
        <x:is>
          <x:t xml:space="preserve">SDR17</x:t>
        </x:is>
      </x:c>
      <x:c r="E2794" t="n">
        <x:v>83</x:v>
      </x:c>
    </x:row>
    <x:row r="2795">
      <x:c r="A2795" t="inlineStr">
        <x:is>
          <x:t xml:space="preserve">PPSENDS1720X</x:t>
        </x:is>
      </x:c>
      <x:c r="B2795" t="inlineStr">
        <x:is>
          <x:t xml:space="preserve">PP STUB END 20X2.3 SDR17</x:t>
        </x:is>
      </x:c>
      <x:c r="C2795" t="inlineStr">
        <x:is>
          <x:t xml:space="preserve">PP STUB END</x:t>
        </x:is>
      </x:c>
      <x:c r="D2795" t="inlineStr">
        <x:is>
          <x:t xml:space="preserve">SDR17</x:t>
        </x:is>
      </x:c>
      <x:c r="E2795" t="n">
        <x:v>0</x:v>
      </x:c>
    </x:row>
    <x:row r="2796">
      <x:c r="A2796" t="inlineStr">
        <x:is>
          <x:t xml:space="preserve">PPSENDS1725X</x:t>
        </x:is>
      </x:c>
      <x:c r="B2796" t="inlineStr">
        <x:is>
          <x:t xml:space="preserve">PP STUB-END 25X2.3 SDR17</x:t>
        </x:is>
      </x:c>
      <x:c r="C2796" t="inlineStr">
        <x:is>
          <x:t xml:space="preserve">PP STUB END</x:t>
        </x:is>
      </x:c>
      <x:c r="D2796" t="inlineStr">
        <x:is>
          <x:t xml:space="preserve">SDR17</x:t>
        </x:is>
      </x:c>
      <x:c r="E2796" t="n">
        <x:v>0</x:v>
      </x:c>
    </x:row>
    <x:row r="2797">
      <x:c r="A2797" t="inlineStr">
        <x:is>
          <x:t xml:space="preserve">PPSENDS17400</x:t>
        </x:is>
      </x:c>
      <x:c r="B2797" t="inlineStr">
        <x:is>
          <x:t xml:space="preserve">STUB END DIN PPR GRIS 400X26.7 SDR17 LADOS CORTOS</x:t>
        </x:is>
      </x:c>
      <x:c r="E2797" t="n">
        <x:v>0</x:v>
      </x:c>
    </x:row>
    <x:row r="2798">
      <x:c r="A2798" t="inlineStr">
        <x:is>
          <x:t xml:space="preserve">PPSENDS1740X</x:t>
        </x:is>
      </x:c>
      <x:c r="B2798" t="inlineStr">
        <x:is>
          <x:t xml:space="preserve">PP STUB-END 40X3.7 SDR17</x:t>
        </x:is>
      </x:c>
      <x:c r="C2798" t="inlineStr">
        <x:is>
          <x:t xml:space="preserve">PP STUB END</x:t>
        </x:is>
      </x:c>
      <x:c r="D2798" t="inlineStr">
        <x:is>
          <x:t xml:space="preserve">SDR17</x:t>
        </x:is>
      </x:c>
      <x:c r="E2798" t="n">
        <x:v>0</x:v>
      </x:c>
    </x:row>
    <x:row r="2799">
      <x:c r="A2799" t="inlineStr">
        <x:is>
          <x:t xml:space="preserve">PPSENDS17450</x:t>
        </x:is>
      </x:c>
      <x:c r="B2799" t="inlineStr">
        <x:is>
          <x:t xml:space="preserve">STUB END DIN PPR GRIS 450 X 26.7 SDR17 LADOS CORTOS</x:t>
        </x:is>
      </x:c>
      <x:c r="E2799" t="n">
        <x:v>0</x:v>
      </x:c>
    </x:row>
    <x:row r="2800">
      <x:c r="A2800" t="inlineStr">
        <x:is>
          <x:t xml:space="preserve">PPSENDS17500</x:t>
        </x:is>
      </x:c>
      <x:c r="B2800" t="inlineStr">
        <x:is>
          <x:t xml:space="preserve">STUB END DIN PPR GRIS 500X29.7 SDR17 LADOS CORTOS</x:t>
        </x:is>
      </x:c>
      <x:c r="E2800" t="n">
        <x:v>0</x:v>
      </x:c>
    </x:row>
    <x:row r="2801">
      <x:c r="A2801" t="inlineStr">
        <x:is>
          <x:t xml:space="preserve">PPSENDS1750X</x:t>
        </x:is>
      </x:c>
      <x:c r="B2801" t="inlineStr">
        <x:is>
          <x:t xml:space="preserve">PP STUB-END 50X3.8 SDR17</x:t>
        </x:is>
      </x:c>
      <x:c r="C2801" t="inlineStr">
        <x:is>
          <x:t xml:space="preserve">PP STUB END</x:t>
        </x:is>
      </x:c>
      <x:c r="D2801" t="inlineStr">
        <x:is>
          <x:t xml:space="preserve">SDR17</x:t>
        </x:is>
      </x:c>
      <x:c r="E2801" t="n">
        <x:v>0</x:v>
      </x:c>
    </x:row>
    <x:row r="2802">
      <x:c r="A2802" t="inlineStr">
        <x:is>
          <x:t xml:space="preserve">PPSENDS1763X</x:t>
        </x:is>
      </x:c>
      <x:c r="B2802" t="inlineStr">
        <x:is>
          <x:t xml:space="preserve">PP STUB-END 63X2.2 SDR17</x:t>
        </x:is>
      </x:c>
      <x:c r="C2802" t="inlineStr">
        <x:is>
          <x:t xml:space="preserve">PP STUB END</x:t>
        </x:is>
      </x:c>
      <x:c r="D2802" t="inlineStr">
        <x:is>
          <x:t xml:space="preserve">SDR17</x:t>
        </x:is>
      </x:c>
      <x:c r="E2802" t="n">
        <x:v>0</x:v>
      </x:c>
    </x:row>
    <x:row r="2803">
      <x:c r="A2803" t="inlineStr">
        <x:is>
          <x:t xml:space="preserve">PPSENDS1775X</x:t>
        </x:is>
      </x:c>
      <x:c r="B2803" t="inlineStr">
        <x:is>
          <x:t xml:space="preserve">PP STUB-END 75X4.5 SDR17</x:t>
        </x:is>
      </x:c>
      <x:c r="C2803" t="inlineStr">
        <x:is>
          <x:t xml:space="preserve">PP STUB END</x:t>
        </x:is>
      </x:c>
      <x:c r="D2803" t="inlineStr">
        <x:is>
          <x:t xml:space="preserve">SDR17</x:t>
        </x:is>
      </x:c>
      <x:c r="E2803" t="n">
        <x:v>0</x:v>
      </x:c>
    </x:row>
    <x:row r="2804">
      <x:c r="A2804" t="inlineStr">
        <x:is>
          <x:t xml:space="preserve">PPSENDS1790X</x:t>
        </x:is>
      </x:c>
      <x:c r="B2804" t="inlineStr">
        <x:is>
          <x:t xml:space="preserve">PP STUB-END 90X5.4 SDR17</x:t>
        </x:is>
      </x:c>
      <x:c r="C2804" t="inlineStr">
        <x:is>
          <x:t xml:space="preserve">PP STUB END</x:t>
        </x:is>
      </x:c>
      <x:c r="D2804" t="inlineStr">
        <x:is>
          <x:t xml:space="preserve">SDR17</x:t>
        </x:is>
      </x:c>
      <x:c r="E2804" t="n">
        <x:v>0</x:v>
      </x:c>
    </x:row>
    <x:row r="2805">
      <x:c r="A2805" t="inlineStr">
        <x:is>
          <x:t xml:space="preserve">PPSENDS33110</x:t>
        </x:is>
      </x:c>
      <x:c r="B2805" t="inlineStr">
        <x:is>
          <x:t xml:space="preserve">PP STUB-END 110X3.4 SDR33</x:t>
        </x:is>
      </x:c>
      <x:c r="C2805" t="inlineStr">
        <x:is>
          <x:t xml:space="preserve">PP STUB END</x:t>
        </x:is>
      </x:c>
      <x:c r="D2805" t="inlineStr">
        <x:is>
          <x:t xml:space="preserve">SDR33</x:t>
        </x:is>
      </x:c>
      <x:c r="E2805" t="n">
        <x:v>0</x:v>
      </x:c>
    </x:row>
    <x:row r="2806">
      <x:c r="A2806" t="inlineStr">
        <x:is>
          <x:t xml:space="preserve">PPSENDS33125</x:t>
        </x:is>
      </x:c>
      <x:c r="B2806" t="inlineStr">
        <x:is>
          <x:t xml:space="preserve">PP STUB-END 125X4.5 SDR33</x:t>
        </x:is>
      </x:c>
      <x:c r="C2806" t="inlineStr">
        <x:is>
          <x:t xml:space="preserve">PP STUB END</x:t>
        </x:is>
      </x:c>
      <x:c r="D2806" t="inlineStr">
        <x:is>
          <x:t xml:space="preserve">SDR33</x:t>
        </x:is>
      </x:c>
      <x:c r="E2806" t="n">
        <x:v>5</x:v>
      </x:c>
    </x:row>
    <x:row r="2807">
      <x:c r="A2807" t="inlineStr">
        <x:is>
          <x:t xml:space="preserve">PPSENDS33160</x:t>
        </x:is>
      </x:c>
      <x:c r="B2807" t="inlineStr">
        <x:is>
          <x:t xml:space="preserve">PP STUB-END 160MM SDR33</x:t>
        </x:is>
      </x:c>
      <x:c r="C2807" t="inlineStr">
        <x:is>
          <x:t xml:space="preserve">PP STUB END</x:t>
        </x:is>
      </x:c>
      <x:c r="D2807" t="inlineStr">
        <x:is>
          <x:t xml:space="preserve">SDR33</x:t>
        </x:is>
      </x:c>
      <x:c r="E2807" t="n">
        <x:v>9</x:v>
      </x:c>
    </x:row>
    <x:row r="2808">
      <x:c r="A2808" t="inlineStr">
        <x:is>
          <x:t xml:space="preserve">PPSENDS33200</x:t>
        </x:is>
      </x:c>
      <x:c r="B2808" t="inlineStr">
        <x:is>
          <x:t xml:space="preserve">PP STUB-END 200X6.2 SDR33</x:t>
        </x:is>
      </x:c>
      <x:c r="C2808" t="inlineStr">
        <x:is>
          <x:t xml:space="preserve">PP STUB END</x:t>
        </x:is>
      </x:c>
      <x:c r="D2808" t="inlineStr">
        <x:is>
          <x:t xml:space="preserve">SDR33</x:t>
        </x:is>
      </x:c>
      <x:c r="E2808" t="n">
        <x:v>10</x:v>
      </x:c>
    </x:row>
    <x:row r="2809">
      <x:c r="A2809" t="inlineStr">
        <x:is>
          <x:t xml:space="preserve">PPSENDS33250</x:t>
        </x:is>
      </x:c>
      <x:c r="B2809" t="inlineStr">
        <x:is>
          <x:t xml:space="preserve">PP STUB-END 250X7.7 SDR33</x:t>
        </x:is>
      </x:c>
      <x:c r="C2809" t="inlineStr">
        <x:is>
          <x:t xml:space="preserve">PP STUB END</x:t>
        </x:is>
      </x:c>
      <x:c r="D2809" t="inlineStr">
        <x:is>
          <x:t xml:space="preserve">SDR33</x:t>
        </x:is>
      </x:c>
      <x:c r="E2809" t="n">
        <x:v>6</x:v>
      </x:c>
    </x:row>
    <x:row r="2810">
      <x:c r="A2810" t="inlineStr">
        <x:is>
          <x:t xml:space="preserve">PPSENDS33280</x:t>
        </x:is>
      </x:c>
      <x:c r="B2810" t="inlineStr">
        <x:is>
          <x:t xml:space="preserve">PP STUB-END 280X8.6 SDR33</x:t>
        </x:is>
      </x:c>
      <x:c r="C2810" t="inlineStr">
        <x:is>
          <x:t xml:space="preserve">PP STUB END</x:t>
        </x:is>
      </x:c>
      <x:c r="D2810" t="inlineStr">
        <x:is>
          <x:t xml:space="preserve">SDR33</x:t>
        </x:is>
      </x:c>
      <x:c r="E2810" t="n">
        <x:v>0</x:v>
      </x:c>
    </x:row>
    <x:row r="2811">
      <x:c r="A2811" t="inlineStr">
        <x:is>
          <x:t xml:space="preserve">PPSENDS33315</x:t>
        </x:is>
      </x:c>
      <x:c r="B2811" t="inlineStr">
        <x:is>
          <x:t xml:space="preserve">PP STUB-END 315X9.7 SDR33</x:t>
        </x:is>
      </x:c>
      <x:c r="C2811" t="inlineStr">
        <x:is>
          <x:t xml:space="preserve">PP STUB END</x:t>
        </x:is>
      </x:c>
      <x:c r="D2811" t="inlineStr">
        <x:is>
          <x:t xml:space="preserve">SDR33</x:t>
        </x:is>
      </x:c>
      <x:c r="E2811" t="n">
        <x:v>0</x:v>
      </x:c>
    </x:row>
    <x:row r="2812">
      <x:c r="A2812" t="inlineStr">
        <x:is>
          <x:t xml:space="preserve">PPSENDS33355</x:t>
        </x:is>
      </x:c>
      <x:c r="B2812" t="inlineStr">
        <x:is>
          <x:t xml:space="preserve">PP STUB-END 355X10.9 SDR33</x:t>
        </x:is>
      </x:c>
      <x:c r="C2812" t="inlineStr">
        <x:is>
          <x:t xml:space="preserve">PP STUB END</x:t>
        </x:is>
      </x:c>
      <x:c r="D2812" t="inlineStr">
        <x:is>
          <x:t xml:space="preserve">SDR33</x:t>
        </x:is>
      </x:c>
      <x:c r="E2812" t="n">
        <x:v>16</x:v>
      </x:c>
    </x:row>
    <x:row r="2813">
      <x:c r="A2813" t="inlineStr">
        <x:is>
          <x:t xml:space="preserve">PPSENDS33400</x:t>
        </x:is>
      </x:c>
      <x:c r="B2813" t="inlineStr">
        <x:is>
          <x:t xml:space="preserve">PP STUB-END 400X12.3 SDR33</x:t>
        </x:is>
      </x:c>
      <x:c r="C2813" t="inlineStr">
        <x:is>
          <x:t xml:space="preserve">PP STUB END</x:t>
        </x:is>
      </x:c>
      <x:c r="D2813" t="inlineStr">
        <x:is>
          <x:t xml:space="preserve">SDR33</x:t>
        </x:is>
      </x:c>
      <x:c r="E2813" t="n">
        <x:v>0</x:v>
      </x:c>
    </x:row>
    <x:row r="2814">
      <x:c r="A2814" t="inlineStr">
        <x:is>
          <x:t xml:space="preserve">PPSENDS33450</x:t>
        </x:is>
      </x:c>
      <x:c r="B2814" t="inlineStr">
        <x:is>
          <x:t xml:space="preserve">PP STUB-END 450X3.8 SDR33</x:t>
        </x:is>
      </x:c>
      <x:c r="C2814" t="inlineStr">
        <x:is>
          <x:t xml:space="preserve">PP STUB END</x:t>
        </x:is>
      </x:c>
      <x:c r="D2814" t="inlineStr">
        <x:is>
          <x:t xml:space="preserve">SDR33</x:t>
        </x:is>
      </x:c>
      <x:c r="E2814" t="n">
        <x:v>0</x:v>
      </x:c>
    </x:row>
    <x:row r="2815">
      <x:c r="A2815" t="inlineStr">
        <x:is>
          <x:t xml:space="preserve">PPSENDS33500</x:t>
        </x:is>
      </x:c>
      <x:c r="B2815" t="inlineStr">
        <x:is>
          <x:t xml:space="preserve">PP STUB END 500 X 12.3 SDR33</x:t>
        </x:is>
      </x:c>
      <x:c r="C2815" t="inlineStr">
        <x:is>
          <x:t xml:space="preserve">PP STUB END</x:t>
        </x:is>
      </x:c>
      <x:c r="D2815" t="inlineStr">
        <x:is>
          <x:t xml:space="preserve">SDR33</x:t>
        </x:is>
      </x:c>
      <x:c r="E2815" t="n">
        <x:v>0</x:v>
      </x:c>
    </x:row>
    <x:row r="2816">
      <x:c r="A2816" t="inlineStr">
        <x:is>
          <x:t xml:space="preserve">PPSENDS33600</x:t>
        </x:is>
      </x:c>
      <x:c r="B2816" t="inlineStr">
        <x:is>
          <x:t xml:space="preserve">PP STUB END 600x 10 mm</x:t>
        </x:is>
      </x:c>
      <x:c r="C2816" t="inlineStr">
        <x:is>
          <x:t xml:space="preserve">PP STUB END</x:t>
        </x:is>
      </x:c>
      <x:c r="E2816" t="n">
        <x:v>0</x:v>
      </x:c>
    </x:row>
    <x:row r="2817">
      <x:c r="A2817" t="inlineStr">
        <x:is>
          <x:t xml:space="preserve">PPSENDS33630</x:t>
        </x:is>
      </x:c>
      <x:c r="B2817" t="inlineStr">
        <x:is>
          <x:t xml:space="preserve">PP STUB-END 630X2.0 SDR33</x:t>
        </x:is>
      </x:c>
      <x:c r="C2817" t="inlineStr">
        <x:is>
          <x:t xml:space="preserve">PP STUB END</x:t>
        </x:is>
      </x:c>
      <x:c r="D2817" t="inlineStr">
        <x:is>
          <x:t xml:space="preserve">SDR33</x:t>
        </x:is>
      </x:c>
      <x:c r="E2817" t="n">
        <x:v>0</x:v>
      </x:c>
    </x:row>
    <x:row r="2818">
      <x:c r="A2818" t="inlineStr">
        <x:is>
          <x:t xml:space="preserve">PPSENDS33X10</x:t>
        </x:is>
      </x:c>
      <x:c r="B2818" t="inlineStr">
        <x:is>
          <x:t xml:space="preserve">PP STUB END 600x 10 mm</x:t>
        </x:is>
      </x:c>
      <x:c r="C2818" t="inlineStr">
        <x:is>
          <x:t xml:space="preserve">PP STUB END</x:t>
        </x:is>
      </x:c>
      <x:c r="E2818" t="n">
        <x:v>0</x:v>
      </x:c>
    </x:row>
    <x:row r="2819">
      <x:c r="A2819" t="inlineStr">
        <x:is>
          <x:t xml:space="preserve">PPTTEE001001</x:t>
        </x:is>
      </x:c>
      <x:c r="B2819" t="inlineStr">
        <x:is>
          <x:t xml:space="preserve">TEE POLIPROPILENO 110  X 63 X 3.4</x:t>
        </x:is>
      </x:c>
      <x:c r="E2819" t="n">
        <x:v>0</x:v>
      </x:c>
    </x:row>
    <x:row r="2820">
      <x:c r="A2820" t="inlineStr">
        <x:is>
          <x:t xml:space="preserve">PPTTEE001002</x:t>
        </x:is>
      </x:c>
      <x:c r="B2820" t="inlineStr">
        <x:is>
          <x:t xml:space="preserve">TEE POLIPROPILENO 110  X 110 X 3.4</x:t>
        </x:is>
      </x:c>
      <x:c r="E2820" t="n">
        <x:v>0</x:v>
      </x:c>
    </x:row>
    <x:row r="2821">
      <x:c r="A2821" t="inlineStr">
        <x:is>
          <x:t xml:space="preserve">PPTTEE001003</x:t>
        </x:is>
      </x:c>
      <x:c r="B2821" t="inlineStr">
        <x:is>
          <x:t xml:space="preserve">TEE POLIPROPILENO 250 X 110</x:t>
        </x:is>
      </x:c>
      <x:c r="E2821" t="n">
        <x:v>0</x:v>
      </x:c>
    </x:row>
    <x:row r="2822">
      <x:c r="A2822" t="inlineStr">
        <x:is>
          <x:t xml:space="preserve">PPTTEES11001</x:t>
        </x:is>
      </x:c>
      <x:c r="B2822" t="inlineStr">
        <x:is>
          <x:t xml:space="preserve">TEE POLIPROPILENO 160 X 63 SDR11</x:t>
        </x:is>
      </x:c>
      <x:c r="E2822" t="n">
        <x:v>0</x:v>
      </x:c>
    </x:row>
    <x:row r="2823">
      <x:c r="A2823" t="inlineStr">
        <x:is>
          <x:t xml:space="preserve">PPTTEES11002</x:t>
        </x:is>
      </x:c>
      <x:c r="B2823" t="inlineStr">
        <x:is>
          <x:t xml:space="preserve">TEE POLIPROPILENO 200X1600 SDR11</x:t>
        </x:is>
      </x:c>
      <x:c r="E2823" t="n">
        <x:v>0</x:v>
      </x:c>
    </x:row>
    <x:row r="2824">
      <x:c r="A2824" t="inlineStr">
        <x:is>
          <x:t xml:space="preserve">PPTTEES11200</x:t>
        </x:is>
      </x:c>
      <x:c r="B2824" t="inlineStr">
        <x:is>
          <x:t xml:space="preserve">PP TEE 200X18.2 SDR11</x:t>
        </x:is>
      </x:c>
      <x:c r="C2824" t="inlineStr">
        <x:is>
          <x:t xml:space="preserve">PP-TEE</x:t>
        </x:is>
      </x:c>
      <x:c r="E2824" t="n">
        <x:v>0</x:v>
      </x:c>
    </x:row>
    <x:row r="2825">
      <x:c r="A2825" t="inlineStr">
        <x:is>
          <x:t xml:space="preserve">PPTTEES11250</x:t>
        </x:is>
      </x:c>
      <x:c r="B2825" t="inlineStr">
        <x:is>
          <x:t xml:space="preserve">PP TEE 250X110X18.2 SDR11</x:t>
        </x:is>
      </x:c>
      <x:c r="C2825" t="inlineStr">
        <x:is>
          <x:t xml:space="preserve">PP-TEE</x:t>
        </x:is>
      </x:c>
      <x:c r="E2825" t="n">
        <x:v>1</x:v>
      </x:c>
    </x:row>
    <x:row r="2826">
      <x:c r="A2826" t="inlineStr">
        <x:is>
          <x:t xml:space="preserve">PPTTEES1125C</x:t>
        </x:is>
      </x:c>
      <x:c r="B2826" t="inlineStr">
        <x:is>
          <x:t xml:space="preserve">PP TEE 250 X 22.7 SDR11 LADOS CORTOS</x:t>
        </x:is>
      </x:c>
      <x:c r="C2826" t="inlineStr">
        <x:is>
          <x:t xml:space="preserve">PP-TEE</x:t>
        </x:is>
      </x:c>
      <x:c r="E2826" t="n">
        <x:v>0</x:v>
      </x:c>
    </x:row>
    <x:row r="2827">
      <x:c r="A2827" t="inlineStr">
        <x:is>
          <x:t xml:space="preserve">PPTTEES1140X</x:t>
        </x:is>
      </x:c>
      <x:c r="B2827" t="inlineStr">
        <x:is>
          <x:t xml:space="preserve">PP TEE 40X3.7 SDR11</x:t>
        </x:is>
      </x:c>
      <x:c r="C2827" t="inlineStr">
        <x:is>
          <x:t xml:space="preserve">PP-TEE</x:t>
        </x:is>
      </x:c>
      <x:c r="E2827" t="n">
        <x:v>0</x:v>
      </x:c>
    </x:row>
    <x:row r="2828">
      <x:c r="A2828" t="inlineStr">
        <x:is>
          <x:t xml:space="preserve">PPTTEES11450</x:t>
        </x:is>
      </x:c>
      <x:c r="B2828" t="inlineStr">
        <x:is>
          <x:t xml:space="preserve">PP TEE 450X40.9 SDR11</x:t>
        </x:is>
      </x:c>
      <x:c r="C2828" t="inlineStr">
        <x:is>
          <x:t xml:space="preserve">PP-TEE</x:t>
        </x:is>
      </x:c>
      <x:c r="E2828" t="n">
        <x:v>0</x:v>
      </x:c>
    </x:row>
    <x:row r="2829">
      <x:c r="A2829" t="inlineStr">
        <x:is>
          <x:t xml:space="preserve">PPTTEES1180X</x:t>
        </x:is>
      </x:c>
      <x:c r="B2829" t="inlineStr">
        <x:is>
          <x:t xml:space="preserve">PP TEE 80X80 SDR11</x:t>
        </x:is>
      </x:c>
      <x:c r="C2829" t="inlineStr">
        <x:is>
          <x:t xml:space="preserve">PP-TEE</x:t>
        </x:is>
      </x:c>
      <x:c r="E2829" t="n">
        <x:v>0</x:v>
      </x:c>
    </x:row>
    <x:row r="2830">
      <x:c r="A2830" t="inlineStr">
        <x:is>
          <x:t xml:space="preserve">PPTTEES17001</x:t>
        </x:is>
      </x:c>
      <x:c r="B2830" t="inlineStr">
        <x:is>
          <x:t xml:space="preserve">TEE POLIPROPILENO 40 X 40 X3.8 SDR17</x:t>
        </x:is>
      </x:c>
      <x:c r="E2830" t="n">
        <x:v>0</x:v>
      </x:c>
    </x:row>
    <x:row r="2831">
      <x:c r="A2831" t="inlineStr">
        <x:is>
          <x:t xml:space="preserve">PPTTEES17002</x:t>
        </x:is>
      </x:c>
      <x:c r="B2831" t="inlineStr">
        <x:is>
          <x:t xml:space="preserve">TEE POLIPROPILENO 160 X 63 SDR17</x:t>
        </x:is>
      </x:c>
      <x:c r="E2831" t="n">
        <x:v>0</x:v>
      </x:c>
    </x:row>
    <x:row r="2832">
      <x:c r="A2832" t="inlineStr">
        <x:is>
          <x:t xml:space="preserve">PPTTEES17110</x:t>
        </x:is>
      </x:c>
      <x:c r="B2832" t="inlineStr">
        <x:is>
          <x:t xml:space="preserve">PP TEE 110MM SDR17</x:t>
        </x:is>
      </x:c>
      <x:c r="C2832" t="inlineStr">
        <x:is>
          <x:t xml:space="preserve">PP-TEE</x:t>
        </x:is>
      </x:c>
      <x:c r="E2832" t="n">
        <x:v>0</x:v>
      </x:c>
    </x:row>
    <x:row r="2833">
      <x:c r="A2833" t="inlineStr">
        <x:is>
          <x:t xml:space="preserve">PPTTEES17160</x:t>
        </x:is>
      </x:c>
      <x:c r="B2833" t="inlineStr">
        <x:is>
          <x:t xml:space="preserve">PP TEE 160MM SDR17</x:t>
        </x:is>
      </x:c>
      <x:c r="C2833" t="inlineStr">
        <x:is>
          <x:t xml:space="preserve">PP-TEE</x:t>
        </x:is>
      </x:c>
      <x:c r="E2833" t="n">
        <x:v>0</x:v>
      </x:c>
    </x:row>
    <x:row r="2834">
      <x:c r="A2834" t="inlineStr">
        <x:is>
          <x:t xml:space="preserve">PPTTEES17200</x:t>
        </x:is>
      </x:c>
      <x:c r="B2834" t="inlineStr">
        <x:is>
          <x:t xml:space="preserve">PP TEE 200MM SDR17</x:t>
        </x:is>
      </x:c>
      <x:c r="C2834" t="inlineStr">
        <x:is>
          <x:t xml:space="preserve">PP-TEE</x:t>
        </x:is>
      </x:c>
      <x:c r="E2834" t="n">
        <x:v>0</x:v>
      </x:c>
    </x:row>
    <x:row r="2835">
      <x:c r="A2835" t="inlineStr">
        <x:is>
          <x:t xml:space="preserve">PPTTEES17250</x:t>
        </x:is>
      </x:c>
      <x:c r="B2835" t="inlineStr">
        <x:is>
          <x:t xml:space="preserve">PP TEE 250MM SDR17</x:t>
        </x:is>
      </x:c>
      <x:c r="C2835" t="inlineStr">
        <x:is>
          <x:t xml:space="preserve">PP-TEE</x:t>
        </x:is>
      </x:c>
      <x:c r="E2835" t="n">
        <x:v>0</x:v>
      </x:c>
    </x:row>
    <x:row r="2836">
      <x:c r="A2836" t="inlineStr">
        <x:is>
          <x:t xml:space="preserve">PPTTEES17315</x:t>
        </x:is>
      </x:c>
      <x:c r="B2836" t="inlineStr">
        <x:is>
          <x:t xml:space="preserve">PP TEE 315MM SDR17</x:t>
        </x:is>
      </x:c>
      <x:c r="C2836" t="inlineStr">
        <x:is>
          <x:t xml:space="preserve">PP-TEE</x:t>
        </x:is>
      </x:c>
      <x:c r="E2836" t="n">
        <x:v>0</x:v>
      </x:c>
    </x:row>
    <x:row r="2837">
      <x:c r="A2837" t="inlineStr">
        <x:is>
          <x:t xml:space="preserve">PPTTEES17355</x:t>
        </x:is>
      </x:c>
      <x:c r="B2837" t="inlineStr">
        <x:is>
          <x:t xml:space="preserve">PP TEE 355MM SDR17</x:t>
        </x:is>
      </x:c>
      <x:c r="C2837" t="inlineStr">
        <x:is>
          <x:t xml:space="preserve">PP-TEE</x:t>
        </x:is>
      </x:c>
      <x:c r="E2837" t="n">
        <x:v>0</x:v>
      </x:c>
    </x:row>
    <x:row r="2838">
      <x:c r="A2838" t="inlineStr">
        <x:is>
          <x:t xml:space="preserve">PPTTEES17400</x:t>
        </x:is>
      </x:c>
      <x:c r="B2838" t="inlineStr">
        <x:is>
          <x:t xml:space="preserve">PP TEE 400MM SDR17</x:t>
        </x:is>
      </x:c>
      <x:c r="C2838" t="inlineStr">
        <x:is>
          <x:t xml:space="preserve">PP-TEE</x:t>
        </x:is>
      </x:c>
      <x:c r="E2838" t="n">
        <x:v>0</x:v>
      </x:c>
    </x:row>
    <x:row r="2839">
      <x:c r="A2839" t="inlineStr">
        <x:is>
          <x:t xml:space="preserve">PPTTEES17500</x:t>
        </x:is>
      </x:c>
      <x:c r="B2839" t="inlineStr">
        <x:is>
          <x:t xml:space="preserve">PP TEE 500X30 SDR17</x:t>
        </x:is>
      </x:c>
      <x:c r="C2839" t="inlineStr">
        <x:is>
          <x:t xml:space="preserve">PP-TEE</x:t>
        </x:is>
      </x:c>
      <x:c r="E2839" t="n">
        <x:v>0</x:v>
      </x:c>
    </x:row>
    <x:row r="2840">
      <x:c r="A2840" t="inlineStr">
        <x:is>
          <x:t xml:space="preserve">PPTTEES1750X</x:t>
        </x:is>
      </x:c>
      <x:c r="B2840" t="inlineStr">
        <x:is>
          <x:t xml:space="preserve">PP TEE 50X2.9 SDR17</x:t>
        </x:is>
      </x:c>
      <x:c r="C2840" t="inlineStr">
        <x:is>
          <x:t xml:space="preserve">PP-TEE</x:t>
        </x:is>
      </x:c>
      <x:c r="E2840" t="n">
        <x:v>0</x:v>
      </x:c>
    </x:row>
    <x:row r="2841">
      <x:c r="A2841" t="inlineStr">
        <x:is>
          <x:t xml:space="preserve">PPTTEES1763X</x:t>
        </x:is>
      </x:c>
      <x:c r="B2841" t="inlineStr">
        <x:is>
          <x:t xml:space="preserve">PP TEE 63X3.8 SDR17</x:t>
        </x:is>
      </x:c>
      <x:c r="C2841" t="inlineStr">
        <x:is>
          <x:t xml:space="preserve">PP-TEE</x:t>
        </x:is>
      </x:c>
      <x:c r="E2841" t="n">
        <x:v>0</x:v>
      </x:c>
    </x:row>
    <x:row r="2842">
      <x:c r="A2842" t="inlineStr">
        <x:is>
          <x:t xml:space="preserve">PPTTEES1775X</x:t>
        </x:is>
      </x:c>
      <x:c r="B2842" t="inlineStr">
        <x:is>
          <x:t xml:space="preserve">PP TEE 75X4.3 SDR17</x:t>
        </x:is>
      </x:c>
      <x:c r="C2842" t="inlineStr">
        <x:is>
          <x:t xml:space="preserve">PP-TEE</x:t>
        </x:is>
      </x:c>
      <x:c r="E2842" t="n">
        <x:v>0</x:v>
      </x:c>
    </x:row>
    <x:row r="2843">
      <x:c r="A2843" t="inlineStr">
        <x:is>
          <x:t xml:space="preserve">PPTTEES1790X</x:t>
        </x:is>
      </x:c>
      <x:c r="B2843" t="inlineStr">
        <x:is>
          <x:t xml:space="preserve">PP TEE 90MM SDR17</x:t>
        </x:is>
      </x:c>
      <x:c r="C2843" t="inlineStr">
        <x:is>
          <x:t xml:space="preserve">PP-TEE</x:t>
        </x:is>
      </x:c>
      <x:c r="E2843" t="n">
        <x:v>0</x:v>
      </x:c>
    </x:row>
    <x:row r="2844">
      <x:c r="A2844" t="inlineStr">
        <x:is>
          <x:t xml:space="preserve">PPTTEES33001</x:t>
        </x:is>
      </x:c>
      <x:c r="B2844" t="inlineStr">
        <x:is>
          <x:t xml:space="preserve">TEE POLIPROPILENO 450 X 13.8 SDR33</x:t>
        </x:is>
      </x:c>
      <x:c r="E2844" t="n">
        <x:v>0</x:v>
      </x:c>
    </x:row>
    <x:row r="2845">
      <x:c r="A2845" t="inlineStr">
        <x:is>
          <x:t xml:space="preserve">PPTTEES33002</x:t>
        </x:is>
      </x:c>
      <x:c r="B2845" t="inlineStr">
        <x:is>
          <x:t xml:space="preserve">TEE POLIPROPILENO 200X63 SDR33</x:t>
        </x:is>
      </x:c>
      <x:c r="E2845" t="n">
        <x:v>0</x:v>
      </x:c>
    </x:row>
    <x:row r="2846">
      <x:c r="A2846" t="inlineStr">
        <x:is>
          <x:t xml:space="preserve">PPTTEES33110</x:t>
        </x:is>
      </x:c>
      <x:c r="B2846" t="inlineStr">
        <x:is>
          <x:t xml:space="preserve">PP TEE 110X3.9 SDR33</x:t>
        </x:is>
      </x:c>
      <x:c r="C2846" t="inlineStr">
        <x:is>
          <x:t xml:space="preserve">PP-TEE</x:t>
        </x:is>
      </x:c>
      <x:c r="D2846" t="inlineStr">
        <x:is>
          <x:t xml:space="preserve">SDR33</x:t>
        </x:is>
      </x:c>
      <x:c r="E2846" t="n">
        <x:v>0</x:v>
      </x:c>
    </x:row>
    <x:row r="2847">
      <x:c r="A2847" t="inlineStr">
        <x:is>
          <x:t xml:space="preserve">PPTTEES33160</x:t>
        </x:is>
      </x:c>
      <x:c r="B2847" t="inlineStr">
        <x:is>
          <x:t xml:space="preserve">PP TEE 160X4.9 SDR33</x:t>
        </x:is>
      </x:c>
      <x:c r="C2847" t="inlineStr">
        <x:is>
          <x:t xml:space="preserve">PP-TEE</x:t>
        </x:is>
      </x:c>
      <x:c r="D2847" t="inlineStr">
        <x:is>
          <x:t xml:space="preserve">SDR33</x:t>
        </x:is>
      </x:c>
      <x:c r="E2847" t="n">
        <x:v>0</x:v>
      </x:c>
    </x:row>
    <x:row r="2848">
      <x:c r="A2848" t="inlineStr">
        <x:is>
          <x:t xml:space="preserve">PPTTEES33200</x:t>
        </x:is>
      </x:c>
      <x:c r="B2848" t="inlineStr">
        <x:is>
          <x:t xml:space="preserve">PP TEE 200X6.2 SDR33</x:t>
        </x:is>
      </x:c>
      <x:c r="C2848" t="inlineStr">
        <x:is>
          <x:t xml:space="preserve">PP-TEE</x:t>
        </x:is>
      </x:c>
      <x:c r="D2848" t="inlineStr">
        <x:is>
          <x:t xml:space="preserve">SDR33</x:t>
        </x:is>
      </x:c>
      <x:c r="E2848" t="n">
        <x:v>0</x:v>
      </x:c>
    </x:row>
    <x:row r="2849">
      <x:c r="A2849" t="inlineStr">
        <x:is>
          <x:t xml:space="preserve">PPTTEES33250</x:t>
        </x:is>
      </x:c>
      <x:c r="B2849" t="inlineStr">
        <x:is>
          <x:t xml:space="preserve">PP TEE 250X7.7 SDR33</x:t>
        </x:is>
      </x:c>
      <x:c r="C2849" t="inlineStr">
        <x:is>
          <x:t xml:space="preserve">PP-TEE</x:t>
        </x:is>
      </x:c>
      <x:c r="D2849" t="inlineStr">
        <x:is>
          <x:t xml:space="preserve">SDR33</x:t>
        </x:is>
      </x:c>
      <x:c r="E2849" t="n">
        <x:v>2</x:v>
      </x:c>
    </x:row>
    <x:row r="2850">
      <x:c r="A2850" t="inlineStr">
        <x:is>
          <x:t xml:space="preserve">PPTTEES33315</x:t>
        </x:is>
      </x:c>
      <x:c r="B2850" t="inlineStr">
        <x:is>
          <x:t xml:space="preserve">PP TEE 315X9.7 SDR33</x:t>
        </x:is>
      </x:c>
      <x:c r="C2850" t="inlineStr">
        <x:is>
          <x:t xml:space="preserve">PP-TEE</x:t>
        </x:is>
      </x:c>
      <x:c r="D2850" t="inlineStr">
        <x:is>
          <x:t xml:space="preserve">SDR33</x:t>
        </x:is>
      </x:c>
      <x:c r="E2850" t="n">
        <x:v>0</x:v>
      </x:c>
    </x:row>
    <x:row r="2851">
      <x:c r="A2851" t="inlineStr">
        <x:is>
          <x:t xml:space="preserve">PPTTEES33355</x:t>
        </x:is>
      </x:c>
      <x:c r="B2851" t="inlineStr">
        <x:is>
          <x:t xml:space="preserve">PP TEE 355X10.9 SDR33</x:t>
        </x:is>
      </x:c>
      <x:c r="C2851" t="inlineStr">
        <x:is>
          <x:t xml:space="preserve">PP-TEE</x:t>
        </x:is>
      </x:c>
      <x:c r="D2851" t="inlineStr">
        <x:is>
          <x:t xml:space="preserve">SDR33</x:t>
        </x:is>
      </x:c>
      <x:c r="E2851" t="n">
        <x:v>0</x:v>
      </x:c>
    </x:row>
    <x:row r="2852">
      <x:c r="A2852" t="inlineStr">
        <x:is>
          <x:t xml:space="preserve">PPTTEES33400</x:t>
        </x:is>
      </x:c>
      <x:c r="B2852" t="inlineStr">
        <x:is>
          <x:t xml:space="preserve">PP TEE 400X12.3 SDR33</x:t>
        </x:is>
      </x:c>
      <x:c r="C2852" t="inlineStr">
        <x:is>
          <x:t xml:space="preserve">PP-TEE</x:t>
        </x:is>
      </x:c>
      <x:c r="D2852" t="inlineStr">
        <x:is>
          <x:t xml:space="preserve">SDR33</x:t>
        </x:is>
      </x:c>
      <x:c r="E2852" t="n">
        <x:v>0</x:v>
      </x:c>
    </x:row>
    <x:row r="2853">
      <x:c r="A2853" t="inlineStr">
        <x:is>
          <x:t xml:space="preserve">PPTTEES33500</x:t>
        </x:is>
      </x:c>
      <x:c r="B2853" t="inlineStr">
        <x:is>
          <x:t xml:space="preserve">TEE 90 GRD PPR GRIS 500X15.3 SDR33 LADOS CORTOS</x:t>
        </x:is>
      </x:c>
      <x:c r="E2853" t="n">
        <x:v>0</x:v>
      </x:c>
    </x:row>
    <x:row r="2854">
      <x:c r="A2854" t="inlineStr">
        <x:is>
          <x:t xml:space="preserve">PVP001001001</x:t>
        </x:is>
      </x:c>
      <x:c r="B2854" t="inlineStr">
        <x:is>
          <x:t xml:space="preserve">ARENA ABRASIVA G-800 FLOW</x:t>
        </x:is>
      </x:c>
      <x:c r="E2854" t="n">
        <x:v>0</x:v>
      </x:c>
    </x:row>
    <x:row r="2855">
      <x:c r="A2855" t="inlineStr">
        <x:is>
          <x:t xml:space="preserve">PVP001001002</x:t>
        </x:is>
      </x:c>
      <x:c r="B2855" t="inlineStr">
        <x:is>
          <x:t xml:space="preserve">STUD BOLT SS316 (FULL THREAD) 1.1/4 PLG UNC 7 T</x:t>
        </x:is>
      </x:c>
      <x:c r="E2855" t="n">
        <x:v>0</x:v>
      </x:c>
    </x:row>
    <x:row r="2856">
      <x:c r="A2856" t="inlineStr">
        <x:is>
          <x:t xml:space="preserve">PVP001001003</x:t>
        </x:is>
      </x:c>
      <x:c r="B2856" t="inlineStr">
        <x:is>
          <x:t xml:space="preserve">NUST SS316 1.1/4 PLG UNC 7 THREAD</x:t>
        </x:is>
      </x:c>
      <x:c r="E2856" t="n">
        <x:v>0</x:v>
      </x:c>
    </x:row>
    <x:row r="2857">
      <x:c r="A2857" t="inlineStr">
        <x:is>
          <x:t xml:space="preserve">PVP001001004</x:t>
        </x:is>
      </x:c>
      <x:c r="B2857" t="inlineStr">
        <x:is>
          <x:t xml:space="preserve">WHASERS SS316 FOR BOLT 1-DIAM 1/4 INCH UNC</x:t>
        </x:is>
      </x:c>
      <x:c r="E2857" t="n">
        <x:v>0</x:v>
      </x:c>
    </x:row>
    <x:row r="2858">
      <x:c r="A2858" t="inlineStr">
        <x:is>
          <x:t xml:space="preserve">PVP001001005</x:t>
        </x:is>
      </x:c>
      <x:c r="B2858" t="inlineStr">
        <x:is>
          <x:t xml:space="preserve">ANILLO RET. C/PAS. DE 3/4 x 1.5/8 (JRR07526)</x:t>
        </x:is>
      </x:c>
      <x:c r="E2858" t="n">
        <x:v>0</x:v>
      </x:c>
    </x:row>
    <x:row r="2859">
      <x:c r="A2859" t="inlineStr">
        <x:is>
          <x:t xml:space="preserve">PVP001001006</x:t>
        </x:is>
      </x:c>
      <x:c r="B2859" t="inlineStr">
        <x:is>
          <x:t xml:space="preserve">KIT DE ACERO SMO PARA MANTOS COPPER -OC-72368</x:t>
        </x:is>
      </x:c>
      <x:c r="E2859" t="n">
        <x:v>0</x:v>
      </x:c>
    </x:row>
    <x:row r="2860">
      <x:c r="A2860" t="inlineStr">
        <x:is>
          <x:t xml:space="preserve">RESISOSTD400</x:t>
        </x:is>
      </x:c>
      <x:c r="B2860" t="inlineStr">
        <x:is>
          <x:t xml:space="preserve">RESINA PALATAL A400 - 230KG TAMBOR (ISOFTALICA)</x:t>
        </x:is>
      </x:c>
      <x:c r="E2860" t="n">
        <x:v>1055</x:v>
      </x:c>
    </x:row>
    <x:row r="2861">
      <x:c r="A2861" t="inlineStr">
        <x:is>
          <x:t xml:space="preserve">RESISOSTD870</x:t>
        </x:is>
      </x:c>
      <x:c r="B2861" t="inlineStr">
        <x:is>
          <x:t xml:space="preserve">RESINA ISOFTALICA CRISTALAN 870 (230KG TAMBOR)</x:t>
        </x:is>
      </x:c>
      <x:c r="E2861" t="n">
        <x:v>0</x:v>
      </x:c>
    </x:row>
    <x:row r="2862">
      <x:c r="A2862" t="inlineStr">
        <x:is>
          <x:t xml:space="preserve">RESISOSTDBP4</x:t>
        </x:is>
      </x:c>
      <x:c r="B2862" t="inlineStr">
        <x:is>
          <x:t xml:space="preserve">RESINA PALATAL P4 220KG TAMBOR (ISOFTALICA)</x:t>
        </x:is>
      </x:c>
      <x:c r="E2862" t="n">
        <x:v>0</x:v>
      </x:c>
    </x:row>
    <x:row r="2863">
      <x:c r="A2863" t="inlineStr">
        <x:is>
          <x:t xml:space="preserve">RESISOSTDP88</x:t>
        </x:is>
      </x:c>
      <x:c r="B2863" t="inlineStr">
        <x:is>
          <x:t xml:space="preserve">RESINA PALATAL P88Z 220KG TAMBOR (ISOFTALICA)</x:t>
        </x:is>
      </x:c>
      <x:c r="E2863" t="n">
        <x:v>0</x:v>
      </x:c>
    </x:row>
    <x:row r="2864">
      <x:c r="A2864" t="inlineStr">
        <x:is>
          <x:t xml:space="preserve">RESPLAISO932</x:t>
        </x:is>
      </x:c>
      <x:c r="B2864" t="inlineStr">
        <x:is>
          <x:t xml:space="preserve">RESINA POLYLITE 93279-00 (ISOFTALICA) REICHHOLD</x:t>
        </x:is>
      </x:c>
      <x:c r="E2864" t="n">
        <x:v>0</x:v>
      </x:c>
    </x:row>
    <x:row r="2865">
      <x:c r="A2865" t="inlineStr">
        <x:is>
          <x:t xml:space="preserve">RESPLAISONPG</x:t>
        </x:is>
      </x:c>
      <x:c r="B2865" t="inlineStr">
        <x:is>
          <x:t xml:space="preserve">RESINA ISO- NPG PLASTIQUIMICA</x:t>
        </x:is>
      </x:c>
      <x:c r="E2865" t="n">
        <x:v>0</x:v>
      </x:c>
    </x:row>
    <x:row r="2866">
      <x:c r="A2866" t="inlineStr">
        <x:is>
          <x:t xml:space="preserve">RESVIN0FR905</x:t>
        </x:is>
      </x:c>
      <x:c r="B2866" t="inlineStr">
        <x:is>
          <x:t xml:space="preserve">RESINA VINILESTER FR SWANCOR 905C RETARDANTE A LA LLAMA</x:t>
        </x:is>
      </x:c>
      <x:c r="E2866" t="n">
        <x:v>0</x:v>
      </x:c>
    </x:row>
    <x:row r="2867">
      <x:c r="A2867" t="inlineStr">
        <x:is>
          <x:t xml:space="preserve">RESVINBAS430</x:t>
        </x:is>
      </x:c>
      <x:c r="B2867" t="inlineStr">
        <x:is>
          <x:t xml:space="preserve">RESINA PALATAL A430 (200 KG/TAMBOR) NO USAR</x:t>
        </x:is>
      </x:c>
      <x:c r="E2867" t="n">
        <x:v>0</x:v>
      </x:c>
    </x:row>
    <x:row r="2868">
      <x:c r="A2868" t="inlineStr">
        <x:is>
          <x:t xml:space="preserve">RESVINBASAFR</x:t>
        </x:is>
      </x:c>
      <x:c r="B2868" t="inlineStr">
        <x:is>
          <x:t xml:space="preserve">RESINA PALATAL A430FR (230 KG/TAMBOR)</x:t>
        </x:is>
      </x:c>
      <x:c r="E2868" t="n">
        <x:v>60</x:v>
      </x:c>
    </x:row>
    <x:row r="2869">
      <x:c r="A2869" t="inlineStr">
        <x:is>
          <x:t xml:space="preserve">RESVINDER400</x:t>
        </x:is>
      </x:c>
      <x:c r="B2869" t="inlineStr">
        <x:is>
          <x:t xml:space="preserve">RESINA DERAKANE 510B-400 (FIRE RESISTANCE)</x:t>
        </x:is>
      </x:c>
      <x:c r="E2869" t="n">
        <x:v>0</x:v>
      </x:c>
    </x:row>
    <x:row r="2870">
      <x:c r="A2870" t="inlineStr">
        <x:is>
          <x:t xml:space="preserve">RESVINDER411</x:t>
        </x:is>
      </x:c>
      <x:c r="B2870" t="inlineStr">
        <x:is>
          <x:t xml:space="preserve">RESINA DERAKANE 411-350</x:t>
        </x:is>
      </x:c>
      <x:c r="E2870" t="n">
        <x:v>0</x:v>
      </x:c>
    </x:row>
    <x:row r="2871">
      <x:c r="A2871" t="inlineStr">
        <x:is>
          <x:t xml:space="preserve">RESVINDER41S</x:t>
        </x:is>
      </x:c>
      <x:c r="B2871" t="inlineStr">
        <x:is>
          <x:t xml:space="preserve">RESINA VINILESTER DERAKANE SIGNIA 411</x:t>
        </x:is>
      </x:c>
      <x:c r="E2871" t="n">
        <x:v>1025</x:v>
      </x:c>
    </x:row>
    <x:row r="2872">
      <x:c r="A2872" t="inlineStr">
        <x:is>
          <x:t xml:space="preserve">RESVINDER470</x:t>
        </x:is>
      </x:c>
      <x:c r="B2872" t="inlineStr">
        <x:is>
          <x:t xml:space="preserve">RESINA DERAKANE 470-300</x:t>
        </x:is>
      </x:c>
      <x:c r="E2872" t="n">
        <x:v>0</x:v>
      </x:c>
    </x:row>
    <x:row r="2873">
      <x:c r="A2873" t="inlineStr">
        <x:is>
          <x:t xml:space="preserve">RESVINDIO910</x:t>
        </x:is>
      </x:c>
      <x:c r="B2873" t="inlineStr">
        <x:is>
          <x:t xml:space="preserve">RESINA VINILESTER DION IMPACT 9102-55 (ESTANDAR) TAMBOR 205KG</x:t>
        </x:is>
      </x:c>
      <x:c r="E2873" t="n">
        <x:v>0</x:v>
      </x:c>
    </x:row>
    <x:row r="2874">
      <x:c r="A2874" t="inlineStr">
        <x:is>
          <x:t xml:space="preserve">RESVINHET922</x:t>
        </x:is>
      </x:c>
      <x:c r="B2874" t="inlineStr">
        <x:is>
          <x:t xml:space="preserve">RESINA VINILESTER HETRON 922</x:t>
        </x:is>
      </x:c>
      <x:c r="E2874" t="n">
        <x:v>0</x:v>
      </x:c>
    </x:row>
    <x:row r="2875">
      <x:c r="A2875" t="inlineStr">
        <x:is>
          <x:t xml:space="preserve">RESVINNOV440</x:t>
        </x:is>
      </x:c>
      <x:c r="B2875" t="inlineStr">
        <x:is>
          <x:t xml:space="preserve">RESINA VINILESTER NOVOLAC PALATAL A440</x:t>
        </x:is>
      </x:c>
      <x:c r="E2875" t="n">
        <x:v>0</x:v>
      </x:c>
    </x:row>
    <x:row r="2876">
      <x:c r="A2876" t="inlineStr">
        <x:is>
          <x:t xml:space="preserve">RESVINNOV441</x:t>
        </x:is>
      </x:c>
      <x:c r="B2876" t="inlineStr">
        <x:is>
          <x:t xml:space="preserve">RESINA VINILESTER NOVOLAC PALATAL A441</x:t>
        </x:is>
      </x:c>
      <x:c r="E2876" t="n">
        <x:v>0</x:v>
      </x:c>
    </x:row>
    <x:row r="2877">
      <x:c r="A2877" t="inlineStr">
        <x:is>
          <x:t xml:space="preserve">RESVINNOV907</x:t>
        </x:is>
      </x:c>
      <x:c r="B2877" t="inlineStr">
        <x:is>
          <x:t xml:space="preserve">RESINA VINILESTER NOVOLAC SWANCOR 907-1</x:t>
        </x:is>
      </x:c>
      <x:c r="E2877" t="n">
        <x:v>0</x:v>
      </x:c>
    </x:row>
    <x:row r="2878">
      <x:c r="A2878" t="inlineStr">
        <x:is>
          <x:t xml:space="preserve">RESVINSTD010</x:t>
        </x:is>
      </x:c>
      <x:c r="B2878" t="inlineStr">
        <x:is>
          <x:t xml:space="preserve">RESINA AOC VIPEL F010</x:t>
        </x:is>
      </x:c>
      <x:c r="E2878" t="n">
        <x:v>0</x:v>
      </x:c>
    </x:row>
    <x:row r="2879">
      <x:c r="A2879" t="inlineStr">
        <x:is>
          <x:t xml:space="preserve">RESVINSTD013</x:t>
        </x:is>
      </x:c>
      <x:c r="B2879" t="inlineStr">
        <x:is>
          <x:t xml:space="preserve">RESINA AOC VIPEL F013</x:t>
        </x:is>
      </x:c>
      <x:c r="E2879" t="n">
        <x:v>0</x:v>
      </x:c>
    </x:row>
    <x:row r="2880">
      <x:c r="A2880" t="inlineStr">
        <x:is>
          <x:t xml:space="preserve">RESVINSTD901</x:t>
        </x:is>
      </x:c>
      <x:c r="B2880" t="inlineStr">
        <x:is>
          <x:t xml:space="preserve">RESINA VINILESTER STD SWANCOR CHEMPULSE 901 (200 KG TAMBOR)</x:t>
        </x:is>
      </x:c>
      <x:c r="E2880" t="n">
        <x:v>157.9</x:v>
      </x:c>
    </x:row>
    <x:row r="2881">
      <x:c r="A2881" t="inlineStr">
        <x:is>
          <x:t xml:space="preserve">RESVINSTD922</x:t>
        </x:is>
      </x:c>
      <x:c r="B2881" t="inlineStr">
        <x:is>
          <x:t xml:space="preserve">RESINA VINILESTER HETRON 922</x:t>
        </x:is>
      </x:c>
      <x:c r="E2881" t="n">
        <x:v>0</x:v>
      </x:c>
    </x:row>
    <x:row r="2882">
      <x:c r="A2882" t="inlineStr">
        <x:is>
          <x:t xml:space="preserve">RESVIPAOC010</x:t>
        </x:is>
      </x:c>
      <x:c r="B2882" t="inlineStr">
        <x:is>
          <x:t xml:space="preserve">RESINA AOC VIPEL F010-CNT-00</x:t>
        </x:is>
      </x:c>
      <x:c r="E2882" t="n">
        <x:v>0</x:v>
      </x:c>
    </x:row>
    <x:row r="2883">
      <x:c r="A2883" t="inlineStr">
        <x:is>
          <x:t xml:space="preserve">RESVIPAOC013</x:t>
        </x:is>
      </x:c>
      <x:c r="B2883" t="inlineStr">
        <x:is>
          <x:t xml:space="preserve">RESINA AOC VIPEL F013 (TAMBOR DE 220 KG)</x:t>
        </x:is>
      </x:c>
      <x:c r="E2883" t="n">
        <x:v>0</x:v>
      </x:c>
    </x:row>
    <x:row r="2884">
      <x:c r="A2884" t="inlineStr">
        <x:is>
          <x:t xml:space="preserve">SAL001001001</x:t>
        </x:is>
      </x:c>
      <x:c r="B2884" t="inlineStr">
        <x:is>
          <x:t xml:space="preserve">CAJON FRP CHINO SALFA GLOBAL</x:t>
        </x:is>
      </x:c>
      <x:c r="E2884" t="n">
        <x:v>0</x:v>
      </x:c>
    </x:row>
    <x:row r="2885">
      <x:c r="A2885" t="inlineStr">
        <x:is>
          <x:t xml:space="preserve">SAL001001002</x:t>
        </x:is>
      </x:c>
      <x:c r="B2885" t="inlineStr">
        <x:is>
          <x:t xml:space="preserve">ECHEVERRIA IZQUERDO FRP GOBLAL</x:t>
        </x:is>
      </x:c>
      <x:c r="E2885" t="n">
        <x:v>0</x:v>
      </x:c>
    </x:row>
    <x:row r="2886">
      <x:c r="A2886" t="inlineStr">
        <x:is>
          <x:t xml:space="preserve">SALFIT001001</x:t>
        </x:is>
      </x:c>
      <x:c r="B2886" t="inlineStr">
        <x:is>
          <x:t xml:space="preserve">STUB END DIAMETRO 1 PLG NATURAL RESINA DERAKANE 470 CHINO</x:t>
        </x:is>
      </x:c>
      <x:c r="E2886" t="n">
        <x:v>0</x:v>
      </x:c>
    </x:row>
    <x:row r="2887">
      <x:c r="A2887" t="inlineStr">
        <x:is>
          <x:t xml:space="preserve">SALFIT001002</x:t>
        </x:is>
      </x:c>
      <x:c r="B2887" t="inlineStr">
        <x:is>
          <x:t xml:space="preserve">STUB END DIAMETRO 2 PLG NATURAL RESINA DERAKANE 470 CHINO</x:t>
        </x:is>
      </x:c>
      <x:c r="E2887" t="n">
        <x:v>0</x:v>
      </x:c>
    </x:row>
    <x:row r="2888">
      <x:c r="A2888" t="inlineStr">
        <x:is>
          <x:t xml:space="preserve">SALFIT001003</x:t>
        </x:is>
      </x:c>
      <x:c r="B2888" t="inlineStr">
        <x:is>
          <x:t xml:space="preserve">STUB END DIAMETRO 3 PLG NATURAL RESINA DERAKANE 470 CHINO</x:t>
        </x:is>
      </x:c>
      <x:c r="E2888" t="n">
        <x:v>0</x:v>
      </x:c>
    </x:row>
    <x:row r="2889">
      <x:c r="A2889" t="inlineStr">
        <x:is>
          <x:t xml:space="preserve">SALFIT001004</x:t>
        </x:is>
      </x:c>
      <x:c r="B2889" t="inlineStr">
        <x:is>
          <x:t xml:space="preserve">STUB END DIAMETRO 4 PLG NATURAL RESINA DERAKANE 470 CHINO</x:t>
        </x:is>
      </x:c>
      <x:c r="E2889" t="n">
        <x:v>0</x:v>
      </x:c>
    </x:row>
    <x:row r="2890">
      <x:c r="A2890" t="inlineStr">
        <x:is>
          <x:t xml:space="preserve">SALFIT001005</x:t>
        </x:is>
      </x:c>
      <x:c r="B2890" t="inlineStr">
        <x:is>
          <x:t xml:space="preserve">CODO90 GRD DE 3 PLG NATURAL RESINA DERAKANE 470 CHINO</x:t>
        </x:is>
      </x:c>
      <x:c r="E2890" t="n">
        <x:v>0</x:v>
      </x:c>
    </x:row>
    <x:row r="2891">
      <x:c r="A2891" t="inlineStr">
        <x:is>
          <x:t xml:space="preserve">SALFIT001006</x:t>
        </x:is>
      </x:c>
      <x:c r="B2891" t="inlineStr">
        <x:is>
          <x:t xml:space="preserve">CODO90 GRD DE 6 PLG NATURAL RESINA DERAKANE 470 CHINO</x:t>
        </x:is>
      </x:c>
      <x:c r="E2891" t="n">
        <x:v>0</x:v>
      </x:c>
    </x:row>
    <x:row r="2892">
      <x:c r="A2892" t="inlineStr">
        <x:is>
          <x:t xml:space="preserve">SALFIT001007</x:t>
        </x:is>
      </x:c>
      <x:c r="B2892" t="inlineStr">
        <x:is>
          <x:t xml:space="preserve">REDUCCION  DE 4 A 2 PLG NATURAL RESINA DERAKANE 470 CHINO</x:t>
        </x:is>
      </x:c>
      <x:c r="E2892" t="n">
        <x:v>0</x:v>
      </x:c>
    </x:row>
    <x:row r="2893">
      <x:c r="A2893" t="inlineStr">
        <x:is>
          <x:t xml:space="preserve">SALFIT001008</x:t>
        </x:is>
      </x:c>
      <x:c r="B2893" t="inlineStr">
        <x:is>
          <x:t xml:space="preserve">REDUCCION  DE 3 A 2 PLG NATURAL RESINA DERAKANE 470 CHINO</x:t>
        </x:is>
      </x:c>
      <x:c r="E2893" t="n">
        <x:v>0</x:v>
      </x:c>
    </x:row>
    <x:row r="2894">
      <x:c r="A2894" t="inlineStr">
        <x:is>
          <x:t xml:space="preserve">SALFIT001009</x:t>
        </x:is>
      </x:c>
      <x:c r="B2894" t="inlineStr">
        <x:is>
          <x:t xml:space="preserve">FLANGE CIEGO 6 PLG NATURAL RESINA DERAKANE 470 CHINO</x:t>
        </x:is>
      </x:c>
      <x:c r="E2894" t="n">
        <x:v>0</x:v>
      </x:c>
    </x:row>
    <x:row r="2895">
      <x:c r="A2895" t="inlineStr">
        <x:is>
          <x:t xml:space="preserve">SERFLO001001</x:t>
        </x:is>
      </x:c>
      <x:c r="B2895" t="inlineStr">
        <x:is>
          <x:t xml:space="preserve">SERVICIO DE CORTE POR AGUA SEGUN PLANO RECMANT</x:t>
        </x:is>
      </x:c>
      <x:c r="E2895" t="n">
        <x:v>0</x:v>
      </x:c>
    </x:row>
    <x:row r="2896">
      <x:c r="A2896" t="inlineStr">
        <x:is>
          <x:t xml:space="preserve">SERFLO001002</x:t>
        </x:is>
      </x:c>
      <x:c r="B2896" t="inlineStr">
        <x:is>
          <x:t xml:space="preserve">SERVICIO DE CORTE POR AGUA PROBETAS  FIBRANOVA</x:t>
        </x:is>
      </x:c>
      <x:c r="E2896" t="n">
        <x:v>1</x:v>
      </x:c>
    </x:row>
    <x:row r="2897">
      <x:c r="A2897" t="inlineStr">
        <x:is>
          <x:t xml:space="preserve">SERFLO001003</x:t>
        </x:is>
      </x:c>
      <x:c r="B2897" t="inlineStr">
        <x:is>
          <x:t xml:space="preserve">SERVICIOS DE CORTE POR AGUA A PROBETAS DE PFA-FRP Y PVDF-FRP OFI1124-NV0003</x:t>
        </x:is>
      </x:c>
      <x:c r="E2897" t="n">
        <x:v>0</x:v>
      </x:c>
    </x:row>
    <x:row r="2898">
      <x:c r="A2898" t="inlineStr">
        <x:is>
          <x:t xml:space="preserve">SERFLO001004</x:t>
        </x:is>
      </x:c>
      <x:c r="B2898" t="inlineStr">
        <x:is>
          <x:t xml:space="preserve">SERVICIO CORTE PROBETAS 20MMX200MMXESP.14 MM  OFI1224-NV0000</x:t>
        </x:is>
      </x:c>
      <x:c r="E2898" t="n">
        <x:v>0</x:v>
      </x:c>
    </x:row>
    <x:row r="2899">
      <x:c r="A2899" t="inlineStr">
        <x:is>
          <x:t xml:space="preserve">SOLCPVVAR400</x:t>
        </x:is>
      </x:c>
      <x:c r="B2899" t="inlineStr">
        <x:is>
          <x:t xml:space="preserve">SOLDADURA CPVC 4mm</x:t>
        </x:is>
      </x:c>
      <x:c r="E2899" t="n">
        <x:v>0</x:v>
      </x:c>
    </x:row>
    <x:row r="2900">
      <x:c r="A2900" t="inlineStr">
        <x:is>
          <x:t xml:space="preserve">SOLECT001001</x:t>
        </x:is>
      </x:c>
      <x:c r="B2900" t="inlineStr">
        <x:is>
          <x:t xml:space="preserve">SOLDADURA ECTFE NATURAL 3 MM</x:t>
        </x:is>
      </x:c>
      <x:c r="E2900" t="n">
        <x:v>0</x:v>
      </x:c>
    </x:row>
    <x:row r="2901">
      <x:c r="A2901" t="inlineStr">
        <x:is>
          <x:t xml:space="preserve">SOLECT001002</x:t>
        </x:is>
      </x:c>
      <x:c r="B2901" t="inlineStr">
        <x:is>
          <x:t xml:space="preserve">SOLDADURA ECTFE NATURAL 4 MM</x:t>
        </x:is>
      </x:c>
      <x:c r="E2901" t="n">
        <x:v>2</x:v>
      </x:c>
    </x:row>
    <x:row r="2902">
      <x:c r="A2902" t="inlineStr">
        <x:is>
          <x:t xml:space="preserve">SOLFEP001001</x:t>
        </x:is>
      </x:c>
      <x:c r="B2902" t="inlineStr">
        <x:is>
          <x:t xml:space="preserve">SOLDADURA FEP NATURAL 3.5 MM</x:t>
        </x:is>
      </x:c>
      <x:c r="E2902" t="n">
        <x:v>0</x:v>
      </x:c>
    </x:row>
    <x:row r="2903">
      <x:c r="A2903" t="inlineStr">
        <x:is>
          <x:t xml:space="preserve">SOLPFA001001</x:t>
        </x:is>
      </x:c>
      <x:c r="B2903" t="inlineStr">
        <x:is>
          <x:t xml:space="preserve">SOLDADURA PFA HP NATUR 3.5 MM</x:t>
        </x:is>
      </x:c>
      <x:c r="E2903" t="n">
        <x:v>0</x:v>
      </x:c>
    </x:row>
    <x:row r="2904">
      <x:c r="A2904" t="inlineStr">
        <x:is>
          <x:t xml:space="preserve">SOLPPHGRA4MM</x:t>
        </x:is>
      </x:c>
      <x:c r="B2904" t="inlineStr">
        <x:is>
          <x:t xml:space="preserve">SOLDADURA PPH GRAU 4mm</x:t>
        </x:is>
      </x:c>
      <x:c r="E2904" t="n">
        <x:v>16</x:v>
      </x:c>
    </x:row>
    <x:row r="2905">
      <x:c r="A2905" t="inlineStr">
        <x:is>
          <x:t xml:space="preserve">SOLPPHGRA5MM</x:t>
        </x:is>
      </x:c>
      <x:c r="B2905" t="inlineStr">
        <x:is>
          <x:t xml:space="preserve">SOLDADURA PPH GRAU 5mm</x:t>
        </x:is>
      </x:c>
      <x:c r="E2905" t="n">
        <x:v>0</x:v>
      </x:c>
    </x:row>
    <x:row r="2906">
      <x:c r="A2906" t="inlineStr">
        <x:is>
          <x:t xml:space="preserve">SOLPVC001001</x:t>
        </x:is>
      </x:c>
      <x:c r="B2906" t="inlineStr">
        <x:is>
          <x:t xml:space="preserve">SOLDADURA PVC 3 MM</x:t>
        </x:is>
      </x:c>
      <x:c r="E2906" t="n">
        <x:v>0</x:v>
      </x:c>
    </x:row>
    <x:row r="2907">
      <x:c r="A2907" t="inlineStr">
        <x:is>
          <x:t xml:space="preserve">SOLPVDNAT3MM</x:t>
        </x:is>
      </x:c>
      <x:c r="B2907" t="inlineStr">
        <x:is>
          <x:t xml:space="preserve">SOLDADURA PVDF NATURAL 3mm</x:t>
        </x:is>
      </x:c>
      <x:c r="E2907" t="n">
        <x:v>0</x:v>
      </x:c>
    </x:row>
    <x:row r="2908">
      <x:c r="A2908" t="inlineStr">
        <x:is>
          <x:t xml:space="preserve">SOLPVDNAT4MM</x:t>
        </x:is>
      </x:c>
      <x:c r="B2908" t="inlineStr">
        <x:is>
          <x:t xml:space="preserve">SOLDADURA PVDF NATURAL 4mm</x:t>
        </x:is>
      </x:c>
      <x:c r="E2908" t="n">
        <x:v>73</x:v>
      </x:c>
    </x:row>
    <x:row r="2909">
      <x:c r="A2909" t="inlineStr">
        <x:is>
          <x:t xml:space="preserve">SOLXPE001001</x:t>
        </x:is>
      </x:c>
      <x:c r="B2909" t="inlineStr">
        <x:is>
          <x:t xml:space="preserve">SOLDADURA TIVAR 88 AZUL 4 MM</x:t>
        </x:is>
      </x:c>
      <x:c r="E2909" t="n">
        <x:v>0</x:v>
      </x:c>
    </x:row>
    <x:row r="2910">
      <x:c r="A2910" t="inlineStr">
        <x:is>
          <x:t xml:space="preserve">SOLXPE001002</x:t>
        </x:is>
      </x:c>
      <x:c r="B2910" t="inlineStr">
        <x:is>
          <x:t xml:space="preserve">SOLDADURA HDPE PE AMARILLA DE 4 MM</x:t>
        </x:is>
      </x:c>
      <x:c r="E2910" t="n">
        <x:v>0</x:v>
      </x:c>
    </x:row>
    <x:row r="2911">
      <x:c r="A2911" t="inlineStr">
        <x:is>
          <x:t xml:space="preserve">SOLXPEBLA100</x:t>
        </x:is>
      </x:c>
      <x:c r="B2911" t="inlineStr">
        <x:is>
          <x:t xml:space="preserve">SOLDADURA PE  100-RC NEGRO 4 MM PERFIL CIRCULAR</x:t>
        </x:is>
      </x:c>
      <x:c r="E2911" t="n">
        <x:v>16</x:v>
      </x:c>
    </x:row>
    <x:row r="2912">
      <x:c r="A2912" t="inlineStr">
        <x:is>
          <x:t xml:space="preserve">SOLXPENAT4MM</x:t>
        </x:is>
      </x:c>
      <x:c r="B2912" t="inlineStr">
        <x:is>
          <x:t xml:space="preserve">SOLDADURA PE NATURAL 4mm</x:t>
        </x:is>
      </x:c>
      <x:c r="E2912" t="n">
        <x:v>0</x:v>
      </x:c>
    </x:row>
    <x:row r="2913">
      <x:c r="A2913" t="inlineStr">
        <x:is>
          <x:t xml:space="preserve">SOLXPENEG4MM</x:t>
        </x:is>
      </x:c>
      <x:c r="B2913" t="inlineStr">
        <x:is>
          <x:t xml:space="preserve">SOLDADUA PE 100 COLOR NEGRO 4 MM  (HDPE)</x:t>
        </x:is>
      </x:c>
      <x:c r="E2913" t="n">
        <x:v>0</x:v>
      </x:c>
    </x:row>
    <x:row r="2914">
      <x:c r="A2914" t="inlineStr">
        <x:is>
          <x:t xml:space="preserve">SOLXPPGRI4MM</x:t>
        </x:is>
      </x:c>
      <x:c r="B2914" t="inlineStr">
        <x:is>
          <x:t xml:space="preserve">SOLDADURA PP 4mm PERFIL CIRCULAR</x:t>
        </x:is>
      </x:c>
      <x:c r="E2914" t="n">
        <x:v>24</x:v>
      </x:c>
    </x:row>
    <x:row r="2915">
      <x:c r="A2915" t="inlineStr">
        <x:is>
          <x:t xml:space="preserve">SOLXPPGRIPPR</x:t>
        </x:is>
      </x:c>
      <x:c r="B2915" t="inlineStr">
        <x:is>
          <x:t xml:space="preserve">Soldadura PPR GRIS 4mm perfil circular</x:t>
        </x:is>
      </x:c>
      <x:c r="E2915" t="n">
        <x:v>24</x:v>
      </x:c>
    </x:row>
    <x:row r="2916">
      <x:c r="A2916" t="inlineStr">
        <x:is>
          <x:t xml:space="preserve">TEL001001001</x:t>
        </x:is>
      </x:c>
      <x:c r="B2916" t="inlineStr">
        <x:is>
          <x:t xml:space="preserve">TELA SILTEMP 1/32 PL X 1 MTS</x:t>
        </x:is>
      </x:c>
      <x:c r="E2916" t="n">
        <x:v>0</x:v>
      </x:c>
    </x:row>
    <x:row r="2917">
      <x:c r="A2917" t="inlineStr">
        <x:is>
          <x:t xml:space="preserve">TEL001001002</x:t>
        </x:is>
      </x:c>
      <x:c r="B2917" t="inlineStr">
        <x:is>
          <x:t xml:space="preserve">TELA FIBRA DE VIDRIO ESPECIAL COLOR VERDE MCL</x:t>
        </x:is>
      </x:c>
      <x:c r="E2917" t="n">
        <x:v>0</x:v>
      </x:c>
    </x:row>
    <x:row r="2918">
      <x:c r="A2918" t="inlineStr">
        <x:is>
          <x:t xml:space="preserve">TEL001001003</x:t>
        </x:is>
      </x:c>
      <x:c r="B2918" t="inlineStr">
        <x:is>
          <x:t xml:space="preserve">TELA FIBRA DE VIDRIO ESPECIAL COLOR AZUL MCL</x:t>
        </x:is>
      </x:c>
      <x:c r="E2918" t="n">
        <x:v>0</x:v>
      </x:c>
    </x:row>
    <x:row r="2919">
      <x:c r="A2919" t="inlineStr">
        <x:is>
          <x:t xml:space="preserve">TEL001001004</x:t>
        </x:is>
      </x:c>
      <x:c r="B2919" t="inlineStr">
        <x:is>
          <x:t xml:space="preserve">TELA FIBRA DE VIDRIO (ZETEX) 1/8 PLG ESPX 1000 MM</x:t>
        </x:is>
      </x:c>
      <x:c r="E2919" t="n">
        <x:v>0</x:v>
      </x:c>
    </x:row>
    <x:row r="2920">
      <x:c r="A2920" t="inlineStr">
        <x:is>
          <x:t xml:space="preserve">TEL001001005</x:t>
        </x:is>
      </x:c>
      <x:c r="B2920" t="inlineStr">
        <x:is>
          <x:t xml:space="preserve">TELA SILTEMP 1/32 PL X 1 MTS SILICONA AMBAS CARAS</x:t>
        </x:is>
      </x:c>
      <x:c r="E2920" t="n">
        <x:v>0</x:v>
      </x:c>
    </x:row>
    <x:row r="2921">
      <x:c r="A2921" t="inlineStr">
        <x:is>
          <x:t xml:space="preserve">TEL001001006</x:t>
        </x:is>
      </x:c>
      <x:c r="B2921" t="inlineStr">
        <x:is>
          <x:t xml:space="preserve">THERMALAN 100/1406 MARINE GREEN 1 MTS ANCHO (12452) TCI</x:t>
        </x:is>
      </x:c>
      <x:c r="E2921" t="n">
        <x:v>0</x:v>
      </x:c>
    </x:row>
    <x:row r="2922">
      <x:c r="A2922" t="inlineStr">
        <x:is>
          <x:t xml:space="preserve">TEL001001007</x:t>
        </x:is>
      </x:c>
      <x:c r="B2922" t="inlineStr">
        <x:is>
          <x:t xml:space="preserve">AVSIL.STP110CH-40 BLUE 1 MTS ANCHO (ZETEX AZUL) (SO029199 AVS INDUSTRIES)</x:t>
        </x:is>
      </x:c>
      <x:c r="E2922" t="n">
        <x:v>0</x:v>
      </x:c>
    </x:row>
    <x:row r="2923">
      <x:c r="A2923" t="inlineStr">
        <x:is>
          <x:t xml:space="preserve">TEL001001008</x:t>
        </x:is>
      </x:c>
      <x:c r="B2923" t="inlineStr">
        <x:is>
          <x:t xml:space="preserve">CROSSFILM 2140 BLACK 1.5 MTS ANCHO (12530) TCI</x:t>
        </x:is>
      </x:c>
      <x:c r="E2923" t="n">
        <x:v>0</x:v>
      </x:c>
    </x:row>
    <x:row r="2924">
      <x:c r="A2924" t="inlineStr">
        <x:is>
          <x:t xml:space="preserve">TEL001001009</x:t>
        </x:is>
      </x:c>
      <x:c r="B2924" t="inlineStr">
        <x:is>
          <x:t xml:space="preserve">TEXTAPE 3S SIL PSAYL PART.8331 ANCHO 1 YARDA ( PTFE FIBERGLASS CON ADHESIVO 1 CARA)</x:t>
        </x:is>
      </x:c>
      <x:c r="E2924" t="n">
        <x:v>0</x:v>
      </x:c>
    </x:row>
    <x:row r="2925">
      <x:c r="A2925" t="inlineStr">
        <x:is>
          <x:t xml:space="preserve">TEL001001010</x:t>
        </x:is>
      </x:c>
      <x:c r="B2925" t="inlineStr">
        <x:is>
          <x:t xml:space="preserve">FILMLAM 6C COPPER/NATURAL SIL PSAYL PART.11310 ANCHO 1 YARDA (PTFE FIBERGLASS ADHESIVO 1 CARA)</x:t>
        </x:is>
      </x:c>
      <x:c r="E2925" t="n">
        <x:v>0</x:v>
      </x:c>
    </x:row>
    <x:row r="2926">
      <x:c r="A2926" t="inlineStr">
        <x:is>
          <x:t xml:space="preserve">TEL001001011</x:t>
        </x:is>
      </x:c>
      <x:c r="B2926" t="inlineStr">
        <x:is>
          <x:t xml:space="preserve">COLCHN FUELLES PARA JUNTA DE EXPANCION DE GASES FABRICADA CON SILTEMP Y FIBRA CERAMICA</x:t>
        </x:is>
      </x:c>
      <x:c r="E2926" t="n">
        <x:v>0</x:v>
      </x:c>
    </x:row>
    <x:row r="2927">
      <x:c r="A2927" t="inlineStr">
        <x:is>
          <x:t xml:space="preserve">TERRENO00001</x:t>
        </x:is>
      </x:c>
      <x:c r="B2927" t="inlineStr">
        <x:is>
          <x:t xml:space="preserve">ESTADO DE PAGO N° 6 SUMINISTRI Y REP FRP Y PP CONTRATO SAP 4600022194 HES 1000736937</x:t>
        </x:is>
      </x:c>
      <x:c r="E2927" t="n">
        <x:v>0</x:v>
      </x:c>
    </x:row>
    <x:row r="2928">
      <x:c r="A2928" t="inlineStr">
        <x:is>
          <x:t xml:space="preserve">TERRENO00002</x:t>
        </x:is>
      </x:c>
      <x:c r="B2928" t="inlineStr">
        <x:is>
          <x:t xml:space="preserve">SUEZ ESTADO DE PAGO N° 1 OC-4000148953 EMNRADA DE MERCADERIA 50005477026</x:t>
        </x:is>
      </x:c>
      <x:c r="E2928" t="n">
        <x:v>0</x:v>
      </x:c>
    </x:row>
    <x:row r="2929">
      <x:c r="A2929" t="inlineStr">
        <x:is>
          <x:t xml:space="preserve">TERRENO00003</x:t>
        </x:is>
      </x:c>
      <x:c r="B2929" t="inlineStr">
        <x:is>
          <x:t xml:space="preserve">ESTADO DE PAGO N° 7 CONTRATO 4600022194 MANT.FRP Y PP   HES 1000783009</x:t>
        </x:is>
      </x:c>
      <x:c r="E2929" t="n">
        <x:v>0</x:v>
      </x:c>
    </x:row>
    <x:row r="2930">
      <x:c r="A2930" t="inlineStr">
        <x:is>
          <x:t xml:space="preserve">TERRENO00004</x:t>
        </x:is>
      </x:c>
      <x:c r="B2930" t="inlineStr">
        <x:is>
          <x:t xml:space="preserve">ESTADO DE PAGO N° 9 CONTRATO 4400215075 MANT.FRP Y PP MODIF 1   HES 1002569789</x:t>
        </x:is>
      </x:c>
      <x:c r="E2930" t="n">
        <x:v>0</x:v>
      </x:c>
    </x:row>
    <x:row r="2931">
      <x:c r="A2931" t="inlineStr">
        <x:is>
          <x:t xml:space="preserve">TERRENO00005</x:t>
        </x:is>
      </x:c>
      <x:c r="B2931" t="inlineStr">
        <x:is>
          <x:t xml:space="preserve">ESTADO DE PAGO N° 9 CONTRATO 4400215075 MANT.FRP Y PP   HES 1002569785</x:t>
        </x:is>
      </x:c>
      <x:c r="E2931" t="n">
        <x:v>0</x:v>
      </x:c>
    </x:row>
    <x:row r="2932">
      <x:c r="A2932" t="inlineStr">
        <x:is>
          <x:t xml:space="preserve">TERRENO00006</x:t>
        </x:is>
      </x:c>
      <x:c r="B2932" t="inlineStr">
        <x:is>
          <x:t xml:space="preserve">ESTADO DE PAGO N° 9 CONTRATO 4400215075 CONTINGENCIAS MANT.FRP Y PP   HES 1002569786</x:t>
        </x:is>
      </x:c>
      <x:c r="E2932" t="n">
        <x:v>0</x:v>
      </x:c>
    </x:row>
    <x:row r="2933">
      <x:c r="A2933" t="inlineStr">
        <x:is>
          <x:t xml:space="preserve">TERRENO00007</x:t>
        </x:is>
      </x:c>
      <x:c r="B2933" t="inlineStr">
        <x:is>
          <x:t xml:space="preserve">ESTADO DE PAGO N°2 MINISTRO HALES HES 1002576853</x:t>
        </x:is>
      </x:c>
      <x:c r="E2933" t="n">
        <x:v>0</x:v>
      </x:c>
    </x:row>
    <x:row r="2934">
      <x:c r="A2934" t="inlineStr">
        <x:is>
          <x:t xml:space="preserve">TERRENO00008</x:t>
        </x:is>
      </x:c>
      <x:c r="B2934" t="inlineStr">
        <x:is>
          <x:t xml:space="preserve">ESTADO DE PAGO N° 8 CONTRATO 4600022194 MANT.FRP Y PP   HES 1000851389</x:t>
        </x:is>
      </x:c>
      <x:c r="E2934" t="n">
        <x:v>0</x:v>
      </x:c>
    </x:row>
    <x:row r="2935">
      <x:c r="A2935" t="inlineStr">
        <x:is>
          <x:t xml:space="preserve">TERRENO00009</x:t>
        </x:is>
      </x:c>
      <x:c r="B2935" t="inlineStr">
        <x:is>
          <x:t xml:space="preserve">INSTALACION DE BOQUILLA EN TK SALMUERA TENIENTE</x:t>
        </x:is>
      </x:c>
      <x:c r="E2935" t="n">
        <x:v>0</x:v>
      </x:c>
    </x:row>
    <x:row r="2936">
      <x:c r="A2936" t="inlineStr">
        <x:is>
          <x:t xml:space="preserve">TERRENO00010</x:t>
        </x:is>
      </x:c>
      <x:c r="B2936" t="inlineStr">
        <x:is>
          <x:t xml:space="preserve">ESTADO DE PAGO N° 1 OC4000159233 MONTAJE EQUIPOS FUL1020-NV00015 HES 5000567858</x:t>
        </x:is>
      </x:c>
      <x:c r="E2936" t="n">
        <x:v>0</x:v>
      </x:c>
    </x:row>
    <x:row r="2937">
      <x:c r="A2937" t="inlineStr">
        <x:is>
          <x:t xml:space="preserve">TERRENO00011</x:t>
        </x:is>
      </x:c>
      <x:c r="B2937" t="inlineStr">
        <x:is>
          <x:t xml:space="preserve">ESTADO DE PAGO N° 9 CONTRATO 4600022194 MANT.FRP Y PP   HES 1000851450</x:t>
        </x:is>
      </x:c>
      <x:c r="E2937" t="n">
        <x:v>0</x:v>
      </x:c>
    </x:row>
    <x:row r="2938">
      <x:c r="A2938" t="inlineStr">
        <x:is>
          <x:t xml:space="preserve">TERRENO00012</x:t>
        </x:is>
      </x:c>
      <x:c r="B2938" t="inlineStr">
        <x:is>
          <x:t xml:space="preserve">ESTADO DE PAGO N° 3 OC4000148953 DOCUMENTO ENTRADA DE SERVICIO 5000571474</x:t>
        </x:is>
      </x:c>
      <x:c r="E2938" t="n">
        <x:v>0</x:v>
      </x:c>
    </x:row>
    <x:row r="2939">
      <x:c r="A2939" t="inlineStr">
        <x:is>
          <x:t xml:space="preserve">TERRENO00013</x:t>
        </x:is>
      </x:c>
      <x:c r="B2939" t="inlineStr">
        <x:is>
          <x:t xml:space="preserve">124007 MANTENIMIENTO ESTANQUES PTAS  HAS 1013846835</x:t>
        </x:is>
      </x:c>
      <x:c r="E2939" t="n">
        <x:v>0</x:v>
      </x:c>
    </x:row>
    <x:row r="2940">
      <x:c r="A2940" t="inlineStr">
        <x:is>
          <x:t xml:space="preserve">TERRENO00014</x:t>
        </x:is>
      </x:c>
      <x:c r="B2940" t="inlineStr">
        <x:is>
          <x:t xml:space="preserve">SERVICIOS DE MONTALES LINEA PP ENAP CONCON</x:t>
        </x:is>
      </x:c>
      <x:c r="E2940" t="n">
        <x:v>0</x:v>
      </x:c>
    </x:row>
    <x:row r="2941">
      <x:c r="A2941" t="inlineStr">
        <x:is>
          <x:t xml:space="preserve">TERRENO00015</x:t>
        </x:is>
      </x:c>
      <x:c r="B2941" t="inlineStr">
        <x:is>
          <x:t xml:space="preserve">ESTADO DE PAGO N° 13 PARCIAL CONTRATO 4600022194 / 4501064276 /00010 MANT.FRP Y PP   HES 1000986780</x:t>
        </x:is>
      </x:c>
      <x:c r="E2941" t="n">
        <x:v>0</x:v>
      </x:c>
    </x:row>
    <x:row r="2942">
      <x:c r="A2942" t="inlineStr">
        <x:is>
          <x:t xml:space="preserve">TERRENO00016</x:t>
        </x:is>
      </x:c>
      <x:c r="B2942" t="inlineStr">
        <x:is>
          <x:t xml:space="preserve">TRABAJOS DE FRP EN PARADA PLANTA OC-4502020763</x:t>
        </x:is>
      </x:c>
      <x:c r="E2942" t="n">
        <x:v>0</x:v>
      </x:c>
    </x:row>
    <x:row r="2943">
      <x:c r="A2943" t="inlineStr">
        <x:is>
          <x:t xml:space="preserve">TERRENO00017</x:t>
        </x:is>
      </x:c>
      <x:c r="B2943" t="inlineStr">
        <x:is>
          <x:t xml:space="preserve">SERVICIO TERRENO ASG ANGAMOS HES 1001057205</x:t>
        </x:is>
      </x:c>
      <x:c r="E2943" t="n">
        <x:v>0</x:v>
      </x:c>
    </x:row>
    <x:row r="2944">
      <x:c r="A2944" t="inlineStr">
        <x:is>
          <x:t xml:space="preserve">TERRENO00018</x:t>
        </x:is>
      </x:c>
      <x:c r="B2944" t="inlineStr">
        <x:is>
          <x:t xml:space="preserve">SERVICIO TERRENO ASG ANGAMOS HES 1001038949</x:t>
        </x:is>
      </x:c>
      <x:c r="E2944" t="n">
        <x:v>0</x:v>
      </x:c>
    </x:row>
    <x:row r="2945">
      <x:c r="A2945" t="inlineStr">
        <x:is>
          <x:t xml:space="preserve">TERRENO00019</x:t>
        </x:is>
      </x:c>
      <x:c r="B2945" t="inlineStr">
        <x:is>
          <x:t xml:space="preserve">ESTADO DE PAGO N° 14 FINAL CONTRATO 4600022194 / 4501064276 /00010 MANT.FRP Y PP   HES 1001056917</x:t>
        </x:is>
      </x:c>
      <x:c r="E2945" t="n">
        <x:v>0</x:v>
      </x:c>
    </x:row>
    <x:row r="2946">
      <x:c r="A2946" t="inlineStr">
        <x:is>
          <x:t xml:space="preserve">TERRENO00020</x:t>
        </x:is>
      </x:c>
      <x:c r="B2946" t="inlineStr">
        <x:is>
          <x:t xml:space="preserve">ESTADO DE PAGO N° 1 CONTRATO  SAP 4600027952 / 450 REPARACION DE SUPERFICIES ACIDAS   HES 1001058160</x:t>
        </x:is>
      </x:c>
      <x:c r="E2946" t="n">
        <x:v>0</x:v>
      </x:c>
    </x:row>
    <x:row r="2947">
      <x:c r="A2947" t="inlineStr">
        <x:is>
          <x:t xml:space="preserve">TERRENO00021</x:t>
        </x:is>
      </x:c>
      <x:c r="B2947" t="inlineStr">
        <x:is>
          <x:t xml:space="preserve">ESTADO DE PAGO N° 2 CONTRATO  SAP 4600027952 / 450 REPARACION DE SUPERFICIES ACIDAS   HES 1001084598</x:t>
        </x:is>
      </x:c>
      <x:c r="E2947" t="n">
        <x:v>0</x:v>
      </x:c>
    </x:row>
    <x:row r="2948">
      <x:c r="A2948" t="inlineStr">
        <x:is>
          <x:t xml:space="preserve">TERRENO00022</x:t>
        </x:is>
      </x:c>
      <x:c r="B2948" t="inlineStr">
        <x:is>
          <x:t xml:space="preserve">SERVICIO DE TRASLADO TK SERMIJOR STGO-MEJILLONES</x:t>
        </x:is>
      </x:c>
      <x:c r="E2948" t="n">
        <x:v>0</x:v>
      </x:c>
    </x:row>
    <x:row r="2949">
      <x:c r="A2949" t="inlineStr">
        <x:is>
          <x:t xml:space="preserve">TERRENO00023</x:t>
        </x:is>
      </x:c>
      <x:c r="B2949" t="inlineStr">
        <x:is>
          <x:t xml:space="preserve">ESTADO DE PAGO N° 3 CONTRATO SAP 4600027952 HES  1001111518</x:t>
        </x:is>
      </x:c>
      <x:c r="E2949" t="n">
        <x:v>0</x:v>
      </x:c>
    </x:row>
    <x:row r="2950">
      <x:c r="A2950" t="inlineStr">
        <x:is>
          <x:t xml:space="preserve">TERRENO00024</x:t>
        </x:is>
      </x:c>
      <x:c r="B2950" t="inlineStr">
        <x:is>
          <x:t xml:space="preserve">EDP N| 1 OC-4500168646 DUCTO TELEFONO Y ADICIONALES CF TOTAL</x:t>
        </x:is>
      </x:c>
      <x:c r="E2950" t="n">
        <x:v>0</x:v>
      </x:c>
    </x:row>
    <x:row r="2951">
      <x:c r="A2951" t="inlineStr">
        <x:is>
          <x:t xml:space="preserve">TERRENO00025</x:t>
        </x:is>
      </x:c>
      <x:c r="B2951" t="inlineStr">
        <x:is>
          <x:t xml:space="preserve">ESTADO DE PAGO N° 1 DG2021 ADICIONAL PPHH CONTRATO 45002322385 HES 1000278314</x:t>
        </x:is>
      </x:c>
      <x:c r="E2951" t="n">
        <x:v>0</x:v>
      </x:c>
    </x:row>
    <x:row r="2952">
      <x:c r="A2952" t="inlineStr">
        <x:is>
          <x:t xml:space="preserve">TERRENO00026</x:t>
        </x:is>
      </x:c>
      <x:c r="B2952" t="inlineStr">
        <x:is>
          <x:t xml:space="preserve">MONTAJE Y SOPORTES TK ALTONORTE HES 1000298214</x:t>
        </x:is>
      </x:c>
      <x:c r="E2952" t="n">
        <x:v>0</x:v>
      </x:c>
    </x:row>
    <x:row r="2953">
      <x:c r="A2953" t="inlineStr">
        <x:is>
          <x:t xml:space="preserve">TERRENO00027</x:t>
        </x:is>
      </x:c>
      <x:c r="B2953" t="inlineStr">
        <x:is>
          <x:t xml:space="preserve">EP N| 2 SUMISTRO Y APLICACION REV,FRP S1-W1 HES1000059197 MANTOS COPPER OC-4500046382</x:t>
        </x:is>
      </x:c>
      <x:c r="E2953" t="n">
        <x:v>0</x:v>
      </x:c>
    </x:row>
    <x:row r="2954">
      <x:c r="A2954" t="inlineStr">
        <x:is>
          <x:t xml:space="preserve">TERRENO00028</x:t>
        </x:is>
      </x:c>
      <x:c r="B2954" t="inlineStr">
        <x:is>
          <x:t xml:space="preserve">SERVICIO DE AUMENTO DE ESPESOR 360°INTERIOR TUBERIA FRP ESPESOR 30MM HES 1001184463 OC-4500654885</x:t>
        </x:is>
      </x:c>
      <x:c r="E2954" t="n">
        <x:v>0</x:v>
      </x:c>
    </x:row>
    <x:row r="2955">
      <x:c r="A2955" t="inlineStr">
        <x:is>
          <x:t xml:space="preserve">TERRENO00029</x:t>
        </x:is>
      </x:c>
      <x:c r="B2955" t="inlineStr">
        <x:is>
          <x:t xml:space="preserve">EDP N° 1 SERVICIO DE DESMONTAJE Y MONTAJE LINEA 2 HES 1001121051 PEP 10021821</x:t>
        </x:is>
      </x:c>
      <x:c r="E2955" t="n">
        <x:v>0</x:v>
      </x:c>
    </x:row>
    <x:row r="2956">
      <x:c r="A2956" t="inlineStr">
        <x:is>
          <x:t xml:space="preserve">TERRENO00030</x:t>
        </x:is>
      </x:c>
      <x:c r="B2956" t="inlineStr">
        <x:is>
          <x:t xml:space="preserve">ESTADO DE PAGO N° 2 CONTRATO 4900067900 DOC.5000557982  PARTIDA DE ACTIVO 202014/1 2410001 MOLYMET</x:t>
        </x:is>
      </x:c>
      <x:c r="E2956" t="n">
        <x:v>0</x:v>
      </x:c>
    </x:row>
    <x:row r="2957">
      <x:c r="A2957" t="inlineStr">
        <x:is>
          <x:t xml:space="preserve">TERRENO00031</x:t>
        </x:is>
      </x:c>
      <x:c r="B2957" t="inlineStr">
        <x:is>
          <x:t xml:space="preserve">ESTAADO DE PAGO N° 1 REP.LINEA ALIMENTACION ELECTROLITO Y DECANTADOR S1B HES 1000365711 CENTINELA</x:t>
        </x:is>
      </x:c>
      <x:c r="E2957" t="n">
        <x:v>0</x:v>
      </x:c>
    </x:row>
    <x:row r="2958">
      <x:c r="A2958" t="inlineStr">
        <x:is>
          <x:t xml:space="preserve">TERRENO00032</x:t>
        </x:is>
      </x:c>
      <x:c r="B2958" t="inlineStr">
        <x:is>
          <x:t xml:space="preserve">CAMBIO SCRUBBER CELULOSA ARAUCO</x:t>
        </x:is>
      </x:c>
      <x:c r="E2958" t="n">
        <x:v>0</x:v>
      </x:c>
    </x:row>
    <x:row r="2959">
      <x:c r="A2959" t="inlineStr">
        <x:is>
          <x:t xml:space="preserve">TERRENO00033</x:t>
        </x:is>
      </x:c>
      <x:c r="B2959" t="inlineStr">
        <x:is>
          <x:t xml:space="preserve">REPARACION TK SODA EDIF 17 ORAFTI</x:t>
        </x:is>
      </x:c>
      <x:c r="E2959" t="n">
        <x:v>0</x:v>
      </x:c>
    </x:row>
    <x:row r="2960">
      <x:c r="A2960" t="inlineStr">
        <x:is>
          <x:t xml:space="preserve">TERRENO00034</x:t>
        </x:is>
      </x:c>
      <x:c r="B2960" t="inlineStr">
        <x:is>
          <x:t xml:space="preserve">ESTADO DE PAGO 4000124266 CONTRATO 4502128495 HES 1002678924 REPARACION DE EQUIPOS DE FRP Y PP</x:t>
        </x:is>
      </x:c>
      <x:c r="E2960" t="n">
        <x:v>0</x:v>
      </x:c>
    </x:row>
    <x:row r="2961">
      <x:c r="A2961" t="inlineStr">
        <x:is>
          <x:t xml:space="preserve">TERRENO00035</x:t>
        </x:is>
      </x:c>
      <x:c r="B2961" t="inlineStr">
        <x:is>
          <x:t xml:space="preserve">ESTADO DE PAGO N° 3 ORDEN 4900068721 OV 5000566612 PPEE MOLYMET</x:t>
        </x:is>
      </x:c>
      <x:c r="E2961" t="n">
        <x:v>0</x:v>
      </x:c>
    </x:row>
    <x:row r="2962">
      <x:c r="A2962" t="inlineStr">
        <x:is>
          <x:t xml:space="preserve">TERRENO00036</x:t>
        </x:is>
      </x:c>
      <x:c r="B2962" t="inlineStr">
        <x:is>
          <x:t xml:space="preserve">SERVICIO DE REPARACION LINEA IMPULSION Y RETORNO ANG2 ANGAMOS</x:t>
        </x:is>
      </x:c>
      <x:c r="E2962" t="n">
        <x:v>0</x:v>
      </x:c>
    </x:row>
    <x:row r="2963">
      <x:c r="A2963" t="inlineStr">
        <x:is>
          <x:t xml:space="preserve">TERRENO00037</x:t>
        </x:is>
      </x:c>
      <x:c r="B2963" t="inlineStr">
        <x:is>
          <x:t xml:space="preserve">ESTADO DE PAGO N° 1 CONTRATO SAP 4600029485 SUMINOSTRO Y REP EQUIPO FRP Y PP HES 1001332353</x:t>
        </x:is>
      </x:c>
      <x:c r="E2963" t="n">
        <x:v>0</x:v>
      </x:c>
    </x:row>
    <x:row r="2964">
      <x:c r="A2964" t="inlineStr">
        <x:is>
          <x:t xml:space="preserve">TERRENO00038</x:t>
        </x:is>
      </x:c>
      <x:c r="B2964" t="inlineStr">
        <x:is>
          <x:t xml:space="preserve">SUMINISTRO E INSTALACION DE STUB END 2  PLG OC-93002148950 SALFA FUL0722-NV0000</x:t>
        </x:is>
      </x:c>
      <x:c r="E2964" t="n">
        <x:v>0</x:v>
      </x:c>
    </x:row>
    <x:row r="2965">
      <x:c r="A2965" t="inlineStr">
        <x:is>
          <x:t xml:space="preserve">TERRENO00039</x:t>
        </x:is>
      </x:c>
      <x:c r="B2965" t="inlineStr">
        <x:is>
          <x:t xml:space="preserve">EDP N° 2 CONT.4600029485 HES 1001362002</x:t>
        </x:is>
      </x:c>
      <x:c r="E2965" t="n">
        <x:v>0</x:v>
      </x:c>
    </x:row>
    <x:row r="2966">
      <x:c r="A2966" t="inlineStr">
        <x:is>
          <x:t xml:space="preserve">TERRENO00040</x:t>
        </x:is>
      </x:c>
      <x:c r="B2966" t="inlineStr">
        <x:is>
          <x:t xml:space="preserve">EDP Nª 3A SERV.SUMINIST.Y APLIC. REVST.FRP S1 Y W1 EN PLANTA SX-EW CONT.4500046382 HES 10000622265</x:t>
        </x:is>
      </x:c>
      <x:c r="E2966" t="n">
        <x:v>0</x:v>
      </x:c>
    </x:row>
    <x:row r="2967">
      <x:c r="A2967" t="inlineStr">
        <x:is>
          <x:t xml:space="preserve">TERRENO00041</x:t>
        </x:is>
      </x:c>
      <x:c r="B2967" t="inlineStr">
        <x:is>
          <x:t xml:space="preserve">EDP Nª 3B SERV.SUMINIST.Y APLIC. REVST.FRP S1 Y W1 EN PLANTA SX-EW CONT.4500046382 HES 1000062266</x:t>
        </x:is>
      </x:c>
      <x:c r="E2967" t="n">
        <x:v>0</x:v>
      </x:c>
    </x:row>
    <x:row r="2968">
      <x:c r="A2968" t="inlineStr">
        <x:is>
          <x:t xml:space="preserve">TERRENO00042</x:t>
        </x:is>
      </x:c>
      <x:c r="B2968" t="inlineStr">
        <x:is>
          <x:t xml:space="preserve">ESTADO DE PAGO N°3 DEMISTER RI  WE 5008687586</x:t>
        </x:is>
      </x:c>
      <x:c r="E2968" t="n">
        <x:v>0</x:v>
      </x:c>
    </x:row>
    <x:row r="2969">
      <x:c r="A2969" t="inlineStr">
        <x:is>
          <x:t xml:space="preserve">TERRENO00043</x:t>
        </x:is>
      </x:c>
      <x:c r="B2969" t="inlineStr">
        <x:is>
          <x:t xml:space="preserve">SERVICIO DE RECUPERACION BARRERA QUIMICA MANTO ESTANQUE MIGO 5000664163</x:t>
        </x:is>
      </x:c>
      <x:c r="E2969" t="n">
        <x:v>0</x:v>
      </x:c>
    </x:row>
    <x:row r="2970">
      <x:c r="A2970" t="inlineStr">
        <x:is>
          <x:t xml:space="preserve">TERRENO00044</x:t>
        </x:is>
      </x:c>
      <x:c r="B2970" t="inlineStr">
        <x:is>
          <x:t xml:space="preserve">ESTADO DE PAGO N° 3 CONTRATO 4600029485 REPA.EQUIP.FRP HES 1001386285</x:t>
        </x:is>
      </x:c>
      <x:c r="E2970" t="n">
        <x:v>0</x:v>
      </x:c>
    </x:row>
    <x:row r="2971">
      <x:c r="A2971" t="inlineStr">
        <x:is>
          <x:t xml:space="preserve">TERRENO00045</x:t>
        </x:is>
      </x:c>
      <x:c r="B2971" t="inlineStr">
        <x:is>
          <x:t xml:space="preserve">ESTADO DE PAGO 4000128503 CONT 4502146328 HES 1002693015 TENIENTEREP EQUIP FRP Y P</x:t>
        </x:is>
      </x:c>
      <x:c r="E2971" t="n">
        <x:v>0</x:v>
      </x:c>
    </x:row>
    <x:row r="2972">
      <x:c r="A2972" t="inlineStr">
        <x:is>
          <x:t xml:space="preserve">TERRENO00046</x:t>
        </x:is>
      </x:c>
      <x:c r="B2972" t="inlineStr">
        <x:is>
          <x:t xml:space="preserve">ESTADO DE PAGO 4000128677 CONT 4502146328 HES 1002693016 TENIENTE REP EQUIP FRP Y P</x:t>
        </x:is>
      </x:c>
      <x:c r="E2972" t="n">
        <x:v>0</x:v>
      </x:c>
    </x:row>
    <x:row r="2973">
      <x:c r="A2973" t="inlineStr">
        <x:is>
          <x:t xml:space="preserve">TERRENO00047</x:t>
        </x:is>
      </x:c>
      <x:c r="B2973" t="inlineStr">
        <x:is>
          <x:t xml:space="preserve">SERVICIO DE MONTAJE EMPAQUETADURAS EDP LINEA 2 TENIENTE SALFA HES 1001166933</x:t>
        </x:is>
      </x:c>
      <x:c r="E2973" t="n">
        <x:v>0</x:v>
      </x:c>
    </x:row>
    <x:row r="2974">
      <x:c r="A2974" t="inlineStr">
        <x:is>
          <x:t xml:space="preserve">TERRENO00048</x:t>
        </x:is>
      </x:c>
      <x:c r="B2974" t="inlineStr">
        <x:is>
          <x:t xml:space="preserve">POS 0010 REPARACION TAPA TECH,MANTO DE ESTANQUE EN FRP PARA AGUA DE CONDENSADO</x:t>
        </x:is>
      </x:c>
      <x:c r="E2974" t="n">
        <x:v>0</x:v>
      </x:c>
    </x:row>
    <x:row r="2975">
      <x:c r="A2975" t="inlineStr">
        <x:is>
          <x:t xml:space="preserve">TERRENO00049</x:t>
        </x:is>
      </x:c>
      <x:c r="B2975" t="inlineStr">
        <x:is>
          <x:t xml:space="preserve">ESTADO 7000016335 CONTRATO 4600023860 HES 1002727835  SERVICIO DE REPARACIONES  POLIMERICAS Y</x:t>
        </x:is>
      </x:c>
      <x:c r="E2975" t="n">
        <x:v>0</x:v>
      </x:c>
    </x:row>
    <x:row r="2976">
      <x:c r="A2976" t="inlineStr">
        <x:is>
          <x:t xml:space="preserve">TERRENO00050</x:t>
        </x:is>
      </x:c>
      <x:c r="B2976" t="inlineStr">
        <x:is>
          <x:t xml:space="preserve">ESTADO DE PAGO N° 7 CONTRATO  SAP 4600029485   REPARACION EQUIPOS SUMINISTRO HES1001546586</x:t>
        </x:is>
      </x:c>
      <x:c r="E2976" t="n">
        <x:v>0</x:v>
      </x:c>
    </x:row>
    <x:row r="2977">
      <x:c r="A2977" t="inlineStr">
        <x:is>
          <x:t xml:space="preserve">TERRENO00051</x:t>
        </x:is>
      </x:c>
      <x:c r="B2977" t="inlineStr">
        <x:is>
          <x:t xml:space="preserve">SERVICIO DE TRANSPORTE ESPACIAL DUCTO HES 1001579138</x:t>
        </x:is>
      </x:c>
      <x:c r="E2977" t="n">
        <x:v>0</x:v>
      </x:c>
    </x:row>
    <x:row r="2978">
      <x:c r="A2978" t="inlineStr">
        <x:is>
          <x:t xml:space="preserve">TERRENO00052</x:t>
        </x:is>
      </x:c>
      <x:c r="B2978" t="inlineStr">
        <x:is>
          <x:t xml:space="preserve">ESTADO DE PAGO Nª 10 CCRT 450189720 TENIENTE FACTURA 9374</x:t>
        </x:is>
      </x:c>
      <x:c r="E2978" t="n">
        <x:v>0</x:v>
      </x:c>
    </x:row>
    <x:row r="2979">
      <x:c r="A2979" t="inlineStr">
        <x:is>
          <x:t xml:space="preserve">TERRENO00053</x:t>
        </x:is>
      </x:c>
      <x:c r="B2979" t="inlineStr">
        <x:is>
          <x:t xml:space="preserve">ESTADO DE PAGO Nª 11 CCTR 4502197858 CONTRATO 4600021614 HES 100273873 F/9429</x:t>
        </x:is>
      </x:c>
      <x:c r="E2979" t="n">
        <x:v>0</x:v>
      </x:c>
    </x:row>
    <x:row r="2980">
      <x:c r="A2980" t="inlineStr">
        <x:is>
          <x:t xml:space="preserve">TERRENO00054</x:t>
        </x:is>
      </x:c>
      <x:c r="B2980" t="inlineStr">
        <x:is>
          <x:t xml:space="preserve">POS 10 CI 118839 REPARACION FOSO NEUTRALIZACION DEGREMONT HES1000594862</x:t>
        </x:is>
      </x:c>
      <x:c r="E2980" t="n">
        <x:v>0</x:v>
      </x:c>
    </x:row>
    <x:row r="2981">
      <x:c r="A2981" t="inlineStr">
        <x:is>
          <x:t xml:space="preserve">TERRENO00055</x:t>
        </x:is>
      </x:c>
      <x:c r="B2981" t="inlineStr">
        <x:is>
          <x:t xml:space="preserve">POS 10 CI 118839 AUMENTO OBRA REPARACION FOSO NEUTRALIZACION DEGREMONT HES1000594864</x:t>
        </x:is>
      </x:c>
      <x:c r="E2981" t="n">
        <x:v>0</x:v>
      </x:c>
    </x:row>
    <x:row r="2982">
      <x:c r="A2982" t="inlineStr">
        <x:is>
          <x:t xml:space="preserve">TERRENO00056</x:t>
        </x:is>
      </x:c>
      <x:c r="B2982" t="inlineStr">
        <x:is>
          <x:t xml:space="preserve">ESTADO DE PAGO Nª 12 CCRT 4502206192 CONTRATO 4600021614 HES1002739355</x:t>
        </x:is>
      </x:c>
      <x:c r="E2982" t="n">
        <x:v>0</x:v>
      </x:c>
    </x:row>
    <x:row r="2983">
      <x:c r="A2983" t="inlineStr">
        <x:is>
          <x:t xml:space="preserve">TERRENO00057</x:t>
        </x:is>
      </x:c>
      <x:c r="B2983" t="inlineStr">
        <x:is>
          <x:t xml:space="preserve">ESTADO DE PAGO Nª 07 CCTR 4502206668 HES 1002739250</x:t>
        </x:is>
      </x:c>
      <x:c r="E2983" t="n">
        <x:v>0</x:v>
      </x:c>
    </x:row>
    <x:row r="2984">
      <x:c r="A2984" t="inlineStr">
        <x:is>
          <x:t xml:space="preserve">TERRENO00058</x:t>
        </x:is>
      </x:c>
      <x:c r="B2984" t="inlineStr">
        <x:is>
          <x:t xml:space="preserve">ESTADO DE PAGO Nª 05 CCTR 4502206646 HES 1002739251</x:t>
        </x:is>
      </x:c>
      <x:c r="E2984" t="n">
        <x:v>0</x:v>
      </x:c>
    </x:row>
    <x:row r="2985">
      <x:c r="A2985" t="inlineStr">
        <x:is>
          <x:t xml:space="preserve">TERRENO00059</x:t>
        </x:is>
      </x:c>
      <x:c r="B2985" t="inlineStr">
        <x:is>
          <x:t xml:space="preserve">ESTADO DE PAGO Nª 06  CCTR 4502206664 HES 1002739249</x:t>
        </x:is>
      </x:c>
      <x:c r="E2985" t="n">
        <x:v>0</x:v>
      </x:c>
    </x:row>
    <x:row r="2986">
      <x:c r="A2986" t="inlineStr">
        <x:is>
          <x:t xml:space="preserve">TERRENO00060</x:t>
        </x:is>
      </x:c>
      <x:c r="B2986" t="inlineStr">
        <x:is>
          <x:t xml:space="preserve">ESTADO DE PAGO Nª 08 CCTR 4502210469 HES 1002741577</x:t>
        </x:is>
      </x:c>
      <x:c r="E2986" t="n">
        <x:v>0</x:v>
      </x:c>
    </x:row>
    <x:row r="2987">
      <x:c r="A2987" t="inlineStr">
        <x:is>
          <x:t xml:space="preserve">TERRENO00061</x:t>
        </x:is>
      </x:c>
      <x:c r="B2987" t="inlineStr">
        <x:is>
          <x:t xml:space="preserve">ESTADO   DE PAGO N!º1 SERMAT.PREV.PRECIPITADORES ELECTROESTATICOS FHVL</x:t>
        </x:is>
      </x:c>
      <x:c r="E2987" t="n">
        <x:v>0</x:v>
      </x:c>
    </x:row>
    <x:row r="2988">
      <x:c r="A2988" t="inlineStr">
        <x:is>
          <x:t xml:space="preserve">TERRENO00062</x:t>
        </x:is>
      </x:c>
      <x:c r="B2988" t="inlineStr">
        <x:is>
          <x:t xml:space="preserve">EP Nª 4 SUMINISTRO Y APLICACION REVESTIMIENTO FRP S1-W1 HES 1000071318 OC-4500046382</x:t>
        </x:is>
      </x:c>
      <x:c r="E2988" t="n">
        <x:v>0</x:v>
      </x:c>
    </x:row>
    <x:row r="2989">
      <x:c r="A2989" t="inlineStr">
        <x:is>
          <x:t xml:space="preserve">TERRENO00063</x:t>
        </x:is>
      </x:c>
      <x:c r="B2989" t="inlineStr">
        <x:is>
          <x:t xml:space="preserve">EP Nª 4 SUMINISTRO Y APLICACION REVESTIMIENTO FRP S1-W1 HES 1000071321 OC-4500046382</x:t>
        </x:is>
      </x:c>
      <x:c r="E2989" t="n">
        <x:v>0</x:v>
      </x:c>
    </x:row>
    <x:row r="2990">
      <x:c r="A2990" t="inlineStr">
        <x:is>
          <x:t xml:space="preserve">TERRENO00064</x:t>
        </x:is>
      </x:c>
      <x:c r="B2990" t="inlineStr">
        <x:is>
          <x:t xml:space="preserve">EP Nª 5A SUMINISTRO Y APLICACION REVESTIMIENTO FRP S1-W1 HES 1000071820 OC-4500046382</x:t>
        </x:is>
      </x:c>
      <x:c r="E2990" t="n">
        <x:v>0</x:v>
      </x:c>
    </x:row>
    <x:row r="2991">
      <x:c r="A2991" t="inlineStr">
        <x:is>
          <x:t xml:space="preserve">TERRENO00065</x:t>
        </x:is>
      </x:c>
      <x:c r="B2991" t="inlineStr">
        <x:is>
          <x:t xml:space="preserve">EP Nª 5B REPARACION DECANTADOR E3 HES 1000071821 OC-4500046382</x:t>
        </x:is>
      </x:c>
      <x:c r="E2991" t="n">
        <x:v>0</x:v>
      </x:c>
    </x:row>
    <x:row r="2992">
      <x:c r="A2992" t="inlineStr">
        <x:is>
          <x:t xml:space="preserve">TERRENO00066</x:t>
        </x:is>
      </x:c>
      <x:c r="B2992" t="inlineStr">
        <x:is>
          <x:t xml:space="preserve">EP Nª 6A  FINAL SUMINISTRO Y APLICACION REVESTIMIENTO FRP S1-W1 HES 10000772617OC-4500046382</x:t>
        </x:is>
      </x:c>
      <x:c r="E2992" t="n">
        <x:v>0</x:v>
      </x:c>
    </x:row>
    <x:row r="2993">
      <x:c r="A2993" t="inlineStr">
        <x:is>
          <x:t xml:space="preserve">TERRENO00067</x:t>
        </x:is>
      </x:c>
      <x:c r="B2993" t="inlineStr">
        <x:is>
          <x:t xml:space="preserve">EP Nª 6B  FINAL SUMINISTRO Y APLICACION REVESTIMIENTO FRP S1-W1 HES 1000072621 OC-4500046382</x:t>
        </x:is>
      </x:c>
      <x:c r="E2993" t="n">
        <x:v>0</x:v>
      </x:c>
    </x:row>
    <x:row r="2994">
      <x:c r="A2994" t="inlineStr">
        <x:is>
          <x:t xml:space="preserve">TERRENO00068</x:t>
        </x:is>
      </x:c>
      <x:c r="B2994" t="inlineStr">
        <x:is>
          <x:t xml:space="preserve">ESTADO DE PAGO Nª 2 SERVMANT.PREV.PRESIPITADORES ELECTR.FHVL</x:t>
        </x:is>
      </x:c>
      <x:c r="E2994" t="n">
        <x:v>0</x:v>
      </x:c>
    </x:row>
    <x:row r="2995">
      <x:c r="A2995" t="inlineStr">
        <x:is>
          <x:t xml:space="preserve">TERRENO00069</x:t>
        </x:is>
      </x:c>
      <x:c r="B2995" t="inlineStr">
        <x:is>
          <x:t xml:space="preserve">ESTADO DE PAGO Nª 3 SERVMANT.PREV.PRESIPITADORES ELECTR.FHVL</x:t>
        </x:is>
      </x:c>
      <x:c r="E2995" t="n">
        <x:v>0</x:v>
      </x:c>
    </x:row>
    <x:row r="2996">
      <x:c r="A2996" t="inlineStr">
        <x:is>
          <x:t xml:space="preserve">TERRENO00070</x:t>
        </x:is>
      </x:c>
      <x:c r="B2996" t="inlineStr">
        <x:is>
          <x:t xml:space="preserve">ESTADO DE PAGO Nª 13 CCRT 4502217121 CONTRATO 4600021614 HES1002747162</x:t>
        </x:is>
      </x:c>
      <x:c r="E2996" t="n">
        <x:v>0</x:v>
      </x:c>
    </x:row>
    <x:row r="2997">
      <x:c r="A2997" t="inlineStr">
        <x:is>
          <x:t xml:space="preserve">TERRENO00071</x:t>
        </x:is>
      </x:c>
      <x:c r="B2997" t="inlineStr">
        <x:is>
          <x:t xml:space="preserve">SERVICIO DE REVESTIMIENTO HDP PISCINA NORTE CONTRATO SAP 4502736145/4502736145 / 0010 HES 1001674140</x:t>
        </x:is>
      </x:c>
      <x:c r="E2997" t="n">
        <x:v>0</x:v>
      </x:c>
    </x:row>
    <x:row r="2998">
      <x:c r="A2998" t="inlineStr">
        <x:is>
          <x:t xml:space="preserve">TERRENO00072</x:t>
        </x:is>
      </x:c>
      <x:c r="B2998" t="inlineStr">
        <x:is>
          <x:t xml:space="preserve">EDP Nª 7 MOD 2;M KUSD730;TDC820.76 CONTRATO 4600029485 HES 1001674482</x:t>
        </x:is>
      </x:c>
      <x:c r="E2998" t="n">
        <x:v>0</x:v>
      </x:c>
    </x:row>
    <x:row r="2999">
      <x:c r="A2999" t="inlineStr">
        <x:is>
          <x:t xml:space="preserve">TERRENO00073</x:t>
        </x:is>
      </x:c>
      <x:c r="B2999" t="inlineStr">
        <x:is>
          <x:t xml:space="preserve">SERVICION DE APLICACION DE VENDAJES FRP SEGUN RRC0523-NV0001</x:t>
        </x:is>
      </x:c>
      <x:c r="E2999" t="n">
        <x:v>0</x:v>
      </x:c>
    </x:row>
    <x:row r="3000">
      <x:c r="A3000" t="inlineStr">
        <x:is>
          <x:t xml:space="preserve">TERRENO00074</x:t>
        </x:is>
      </x:c>
      <x:c r="B3000" t="inlineStr">
        <x:is>
          <x:t xml:space="preserve">ESTADO DE PAGO Nª 1 CONTRATO 4500018337 HES 1000026515 EPU SER REP REVEST FRP Y MONTAJE PASI-2</x:t>
        </x:is>
      </x:c>
      <x:c r="E3000" t="n">
        <x:v>0</x:v>
      </x:c>
    </x:row>
    <x:row r="3001">
      <x:c r="A3001" t="inlineStr">
        <x:is>
          <x:t xml:space="preserve">TERRENO00075</x:t>
        </x:is>
      </x:c>
      <x:c r="B3001" t="inlineStr">
        <x:is>
          <x:t xml:space="preserve">ESTADO DE PAGO N° 2 CCTR 4502221521 HES 1002751245 MAMPOSTERIA TTE</x:t>
        </x:is>
      </x:c>
      <x:c r="E3001" t="n">
        <x:v>0</x:v>
      </x:c>
    </x:row>
    <x:row r="3002">
      <x:c r="A3002" t="inlineStr">
        <x:is>
          <x:t xml:space="preserve">TERRENO00076</x:t>
        </x:is>
      </x:c>
      <x:c r="B3002" t="inlineStr">
        <x:is>
          <x:t xml:space="preserve">ESTADO DE PAGO N° 2 CCTR 4502221521 HES 1002751246MAMPOSTERIA TTE</x:t>
        </x:is>
      </x:c>
      <x:c r="E3002" t="n">
        <x:v>0</x:v>
      </x:c>
    </x:row>
    <x:row r="3003">
      <x:c r="A3003" t="inlineStr">
        <x:is>
          <x:t xml:space="preserve">TERRENO00077</x:t>
        </x:is>
      </x:c>
      <x:c r="B3003" t="inlineStr">
        <x:is>
          <x:t xml:space="preserve">ESTADO DE PAGO N° 2 CCTR 4502221521 HES 1002751247 MAMPOSTERIA TTE</x:t>
        </x:is>
      </x:c>
      <x:c r="E3003" t="n">
        <x:v>0</x:v>
      </x:c>
    </x:row>
    <x:row r="3004">
      <x:c r="A3004" t="inlineStr">
        <x:is>
          <x:t xml:space="preserve">TERRENO00078</x:t>
        </x:is>
      </x:c>
      <x:c r="B3004" t="inlineStr">
        <x:is>
          <x:t xml:space="preserve">ESTADO DE PAGO N° 2 CCTR 4502221521 HES 1002751248 MAMPOSTERIA TTE</x:t>
        </x:is>
      </x:c>
      <x:c r="E3004" t="n">
        <x:v>0</x:v>
      </x:c>
    </x:row>
    <x:row r="3005">
      <x:c r="A3005" t="inlineStr">
        <x:is>
          <x:t xml:space="preserve">TERRENO00079</x:t>
        </x:is>
      </x:c>
      <x:c r="B3005" t="inlineStr">
        <x:is>
          <x:t xml:space="preserve">ESTADO DE PAGO N° 2 CCTR 4502221521 HES 1002751249 MAMPOSTERIA TTE</x:t>
        </x:is>
      </x:c>
      <x:c r="E3005" t="n">
        <x:v>0</x:v>
      </x:c>
    </x:row>
    <x:row r="3006">
      <x:c r="A3006" t="inlineStr">
        <x:is>
          <x:t xml:space="preserve">TERRENO00080</x:t>
        </x:is>
      </x:c>
      <x:c r="B3006" t="inlineStr">
        <x:is>
          <x:t xml:space="preserve">ESTADO DE PAGO N° 2 CCTR 4502221521 HES 1002751250 MAMPOSTERIA TTE</x:t>
        </x:is>
      </x:c>
      <x:c r="E3006" t="n">
        <x:v>0</x:v>
      </x:c>
    </x:row>
    <x:row r="3007">
      <x:c r="A3007" t="inlineStr">
        <x:is>
          <x:t xml:space="preserve">TERRENO00081</x:t>
        </x:is>
      </x:c>
      <x:c r="B3007" t="inlineStr">
        <x:is>
          <x:t xml:space="preserve">ESTADO DE PAGO N° 2 CCTR 4502221521 HES 1002751251 MAMPOSTERIA TTE</x:t>
        </x:is>
      </x:c>
      <x:c r="E3007" t="n">
        <x:v>0</x:v>
      </x:c>
    </x:row>
    <x:row r="3008">
      <x:c r="A3008" t="inlineStr">
        <x:is>
          <x:t xml:space="preserve">TERRENO00082</x:t>
        </x:is>
      </x:c>
      <x:c r="B3008" t="inlineStr">
        <x:is>
          <x:t xml:space="preserve">ESTADO DE PAGO N° 2 CCTR 4502221521 HES 1002751251 MAMPOSTERIA TTE</x:t>
        </x:is>
      </x:c>
      <x:c r="E3008" t="n">
        <x:v>0</x:v>
      </x:c>
    </x:row>
    <x:row r="3009">
      <x:c r="A3009" t="inlineStr">
        <x:is>
          <x:t xml:space="preserve">TERRENO00083</x:t>
        </x:is>
      </x:c>
      <x:c r="B3009" t="inlineStr">
        <x:is>
          <x:t xml:space="preserve">ESTADO DE PAGO N° 2 CCTR 4502221521 HES 1002751253 MAMPOSTERIA TTE</x:t>
        </x:is>
      </x:c>
      <x:c r="E3009" t="n">
        <x:v>0</x:v>
      </x:c>
    </x:row>
    <x:row r="3010">
      <x:c r="A3010" t="inlineStr">
        <x:is>
          <x:t xml:space="preserve">TERRENO00084</x:t>
        </x:is>
      </x:c>
      <x:c r="B3010" t="inlineStr">
        <x:is>
          <x:t xml:space="preserve">ESTADO DE PAGO N° 2 CCTR 4502221521 HES 1002751254 MAMPOSTERIA TTE</x:t>
        </x:is>
      </x:c>
      <x:c r="E3010" t="n">
        <x:v>0</x:v>
      </x:c>
    </x:row>
    <x:row r="3011">
      <x:c r="A3011" t="inlineStr">
        <x:is>
          <x:t xml:space="preserve">TERRENO00085</x:t>
        </x:is>
      </x:c>
      <x:c r="B3011" t="inlineStr">
        <x:is>
          <x:t xml:space="preserve">ESTADO DE PAGO N° 2 CCTR 4502221521 HES 1002751255  MAMPOSTERIA TTE</x:t>
        </x:is>
      </x:c>
      <x:c r="E3011" t="n">
        <x:v>0</x:v>
      </x:c>
    </x:row>
    <x:row r="3012">
      <x:c r="A3012" t="inlineStr">
        <x:is>
          <x:t xml:space="preserve">TERRENO00086</x:t>
        </x:is>
      </x:c>
      <x:c r="B3012" t="inlineStr">
        <x:is>
          <x:t xml:space="preserve">ESTADO DE PAGO Nª 14 CCRT 4502224859 CONTRATO 4600021614 HES 1002753644 FRP TTE</x:t>
        </x:is>
      </x:c>
      <x:c r="E3012" t="n">
        <x:v>0</x:v>
      </x:c>
    </x:row>
    <x:row r="3013">
      <x:c r="A3013" t="inlineStr">
        <x:is>
          <x:t xml:space="preserve">TERRENO00087</x:t>
        </x:is>
      </x:c>
      <x:c r="B3013" t="inlineStr">
        <x:is>
          <x:t xml:space="preserve">ESTADO DE PAGO Nª 15 CCRT 4502233312 CONTRATO 4600021614 HES 1002760559 FRP</x:t>
        </x:is>
      </x:c>
      <x:c r="E3013" t="n">
        <x:v>0</x:v>
      </x:c>
    </x:row>
    <x:row r="3014">
      <x:c r="A3014" t="inlineStr">
        <x:is>
          <x:t xml:space="preserve">TERRENO00088</x:t>
        </x:is>
      </x:c>
      <x:c r="B3014" t="inlineStr">
        <x:is>
          <x:t xml:space="preserve">REPARACION TK FIBRA PTP OC 4500418711 HES 1000494617 ALTO NORTE</x:t>
        </x:is>
      </x:c>
      <x:c r="E3014" t="n">
        <x:v>0</x:v>
      </x:c>
    </x:row>
    <x:row r="3015">
      <x:c r="A3015" t="inlineStr">
        <x:is>
          <x:t xml:space="preserve">TERRENO00089</x:t>
        </x:is>
      </x:c>
      <x:c r="B3015" t="inlineStr">
        <x:is>
          <x:t xml:space="preserve">ESTADO DE PAGO Nª 16 CCRT 4502238237 CONTRATO 4600021614 HES 1002765231</x:t>
        </x:is>
      </x:c>
      <x:c r="E3015" t="n">
        <x:v>0</x:v>
      </x:c>
    </x:row>
    <x:row r="3016">
      <x:c r="A3016" t="inlineStr">
        <x:is>
          <x:t xml:space="preserve">TERRENO00090</x:t>
        </x:is>
      </x:c>
      <x:c r="B3016" t="inlineStr">
        <x:is>
          <x:t xml:space="preserve">ESTADO DE PAGO 7000034483 CCTR 4502231906 HES 1002763706</x:t>
        </x:is>
      </x:c>
      <x:c r="E3016" t="n">
        <x:v>0</x:v>
      </x:c>
    </x:row>
    <x:row r="3017">
      <x:c r="A3017" t="inlineStr">
        <x:is>
          <x:t xml:space="preserve">TERRENO00091</x:t>
        </x:is>
      </x:c>
      <x:c r="B3017" t="inlineStr">
        <x:is>
          <x:t xml:space="preserve">ESTADO DE PAGO Nª 1 CCTR 4502233260 HES 1002762238</x:t>
        </x:is>
      </x:c>
      <x:c r="E3017" t="n">
        <x:v>0</x:v>
      </x:c>
    </x:row>
    <x:row r="3018">
      <x:c r="A3018" t="inlineStr">
        <x:is>
          <x:t xml:space="preserve">TERRENO00092</x:t>
        </x:is>
      </x:c>
      <x:c r="B3018" t="inlineStr">
        <x:is>
          <x:t xml:space="preserve">10% SERVICIO DE FABRICACION E INSTALACION PIPING DL FRP/PP OC 2301B-297</x:t>
        </x:is>
      </x:c>
      <x:c r="E3018" t="n">
        <x:v>0</x:v>
      </x:c>
    </x:row>
    <x:row r="3019">
      <x:c r="A3019" t="inlineStr">
        <x:is>
          <x:t xml:space="preserve">TERRENO00093</x:t>
        </x:is>
      </x:c>
      <x:c r="B3019" t="inlineStr">
        <x:is>
          <x:t xml:space="preserve">60% SERVICIO DE FABRICACION E INSTALACION PIPING DL FRP/PP OC 2301B-297 MATERIALES</x:t>
        </x:is>
      </x:c>
      <x:c r="E3019" t="n">
        <x:v>0</x:v>
      </x:c>
    </x:row>
    <x:row r="3020">
      <x:c r="A3020" t="inlineStr">
        <x:is>
          <x:t xml:space="preserve">TERRENO00094</x:t>
        </x:is>
      </x:c>
      <x:c r="B3020" t="inlineStr">
        <x:is>
          <x:t xml:space="preserve">EDP Nª 8 REPARACION EQUIPOS SUMINISTROS FRP PP DL CONTRATO 4600029485 HES 1001776719</x:t>
        </x:is>
      </x:c>
      <x:c r="E3020" t="n">
        <x:v>0</x:v>
      </x:c>
    </x:row>
    <x:row r="3021">
      <x:c r="A3021" t="inlineStr">
        <x:is>
          <x:t xml:space="preserve">TERRENO00095</x:t>
        </x:is>
      </x:c>
      <x:c r="B3021" t="inlineStr">
        <x:is>
          <x:t xml:space="preserve">POS 10 SERVICIO DE REPARACION FRP PLANTAS OS 4500395366 HES 1000510777</x:t>
        </x:is>
      </x:c>
      <x:c r="E3021" t="n">
        <x:v>0</x:v>
      </x:c>
    </x:row>
    <x:row r="3022">
      <x:c r="A3022" t="inlineStr">
        <x:is>
          <x:t xml:space="preserve">TERRENO00096</x:t>
        </x:is>
      </x:c>
      <x:c r="B3022" t="inlineStr">
        <x:is>
          <x:t xml:space="preserve">POS 10 SERVICIO DE REPARACION FRP PLANTAS OS 4500395366 HES 1000514732</x:t>
        </x:is>
      </x:c>
      <x:c r="E3022" t="n">
        <x:v>0</x:v>
      </x:c>
    </x:row>
    <x:row r="3023">
      <x:c r="A3023" t="inlineStr">
        <x:is>
          <x:t xml:space="preserve">TERRENO00097</x:t>
        </x:is>
      </x:c>
      <x:c r="B3023" t="inlineStr">
        <x:is>
          <x:t xml:space="preserve">POS 20 DGP23 ADICIONAL REPARACION CUPULA 4500395366 HES 1000534211</x:t>
        </x:is>
      </x:c>
      <x:c r="E3023" t="n">
        <x:v>0</x:v>
      </x:c>
    </x:row>
    <x:row r="3024">
      <x:c r="A3024" t="inlineStr">
        <x:is>
          <x:t xml:space="preserve">TERRENO00098</x:t>
        </x:is>
      </x:c>
      <x:c r="B3024" t="inlineStr">
        <x:is>
          <x:t xml:space="preserve">POS 30 DGP23 ADICIONAL REPARACION MANHOLE 4500395366 HES 1000534212</x:t>
        </x:is>
      </x:c>
      <x:c r="E3024" t="n">
        <x:v>0</x:v>
      </x:c>
    </x:row>
    <x:row r="3025">
      <x:c r="A3025" t="inlineStr">
        <x:is>
          <x:t xml:space="preserve">TERRENO00099</x:t>
        </x:is>
      </x:c>
      <x:c r="B3025" t="inlineStr">
        <x:is>
          <x:t xml:space="preserve">ESTADO DE PAGO Nª 18 CONTRATO 4600021614 HES 1002781021</x:t>
        </x:is>
      </x:c>
      <x:c r="E3025" t="n">
        <x:v>0</x:v>
      </x:c>
    </x:row>
    <x:row r="3026">
      <x:c r="A3026" t="inlineStr">
        <x:is>
          <x:t xml:space="preserve">TERRENO00100</x:t>
        </x:is>
      </x:c>
      <x:c r="B3026" t="inlineStr">
        <x:is>
          <x:t xml:space="preserve">ESTADO DE PAGO Nª 17 CCRT 4502256308 CONTRATO 4600021614 HES 1002778266</x:t>
        </x:is>
      </x:c>
      <x:c r="E3026" t="n">
        <x:v>0</x:v>
      </x:c>
    </x:row>
    <x:row r="3027">
      <x:c r="A3027" t="inlineStr">
        <x:is>
          <x:t xml:space="preserve">TERRENO00101</x:t>
        </x:is>
      </x:c>
      <x:c r="B3027" t="inlineStr">
        <x:is>
          <x:t xml:space="preserve">SERVICIO REFUERZO FRP UNIONES REMACHADAS PENST HES 1001493139</x:t>
        </x:is>
      </x:c>
      <x:c r="E3027" t="n">
        <x:v>0</x:v>
      </x:c>
    </x:row>
    <x:row r="3028">
      <x:c r="A3028" t="inlineStr">
        <x:is>
          <x:t xml:space="preserve">TERRENO00102</x:t>
        </x:is>
      </x:c>
      <x:c r="B3028" t="inlineStr">
        <x:is>
          <x:t xml:space="preserve">SERVICIO ADICIONAL REFUERZO PENSTPCK HES 1001493149</x:t>
        </x:is>
      </x:c>
      <x:c r="E3028" t="n">
        <x:v>0</x:v>
      </x:c>
    </x:row>
    <x:row r="3029">
      <x:c r="A3029" t="inlineStr">
        <x:is>
          <x:t xml:space="preserve">TERRENO00103</x:t>
        </x:is>
      </x:c>
      <x:c r="B3029" t="inlineStr">
        <x:is>
          <x:t xml:space="preserve">SALDO REPARACION FRP PLANTAS OS 45000395366 HES 1000525169</x:t>
        </x:is>
      </x:c>
      <x:c r="E3029" t="n">
        <x:v>0</x:v>
      </x:c>
    </x:row>
    <x:row r="3030">
      <x:c r="A3030" t="inlineStr">
        <x:is>
          <x:t xml:space="preserve">TERRENO00104</x:t>
        </x:is>
      </x:c>
      <x:c r="B3030" t="inlineStr">
        <x:is>
          <x:t xml:space="preserve">CAMBIO LINEA SUCCION Y DESCARGA OC-4503097962 OXY</x:t>
        </x:is>
      </x:c>
      <x:c r="E3030" t="n">
        <x:v>0</x:v>
      </x:c>
    </x:row>
    <x:row r="3031">
      <x:c r="A3031" t="inlineStr">
        <x:is>
          <x:t xml:space="preserve">TERRENO00105</x:t>
        </x:is>
      </x:c>
      <x:c r="B3031" t="inlineStr">
        <x:is>
          <x:t xml:space="preserve">CAMBIO VALVULA MARIPOSA `+ TEE OC-4503105000</x:t>
        </x:is>
      </x:c>
      <x:c r="E3031" t="n">
        <x:v>0</x:v>
      </x:c>
    </x:row>
    <x:row r="3032">
      <x:c r="A3032" t="inlineStr">
        <x:is>
          <x:t xml:space="preserve">TERRENO00106</x:t>
        </x:is>
      </x:c>
      <x:c r="B3032" t="inlineStr">
        <x:is>
          <x:t xml:space="preserve">POS 00010 RECUPARACION DE BARRERA ESTRUCTURAL TECHO ESTANQUE DE AMONIACO ORAFTI</x:t>
        </x:is>
      </x:c>
      <x:c r="E3032" t="n">
        <x:v>0</x:v>
      </x:c>
    </x:row>
    <x:row r="3033">
      <x:c r="A3033" t="inlineStr">
        <x:is>
          <x:t xml:space="preserve">TERRENO00107</x:t>
        </x:is>
      </x:c>
      <x:c r="B3033" t="inlineStr">
        <x:is>
          <x:t xml:space="preserve">POS 00010 REPARACION ESTANQUE DE SODA CAUSTICA OC- 4502018708</x:t>
        </x:is>
      </x:c>
      <x:c r="E3033" t="n">
        <x:v>0</x:v>
      </x:c>
    </x:row>
    <x:row r="3034">
      <x:c r="A3034" t="inlineStr">
        <x:is>
          <x:t xml:space="preserve">TERRENO00108</x:t>
        </x:is>
      </x:c>
      <x:c r="B3034" t="inlineStr">
        <x:is>
          <x:t xml:space="preserve">SERVICIO DE REVESTIMIENTO LOMAS BAYAS HES 1000552241</x:t>
        </x:is>
      </x:c>
      <x:c r="E3034" t="n">
        <x:v>0</x:v>
      </x:c>
    </x:row>
    <x:row r="3035">
      <x:c r="A3035" t="inlineStr">
        <x:is>
          <x:t xml:space="preserve">TERRENO00109</x:t>
        </x:is>
      </x:c>
      <x:c r="B3035" t="inlineStr">
        <x:is>
          <x:t xml:space="preserve">EDP N°  19 ENE24  PED.4502273017 CONTRATO 4600021614 HES 1002792125</x:t>
        </x:is>
      </x:c>
      <x:c r="E3035" t="n">
        <x:v>0</x:v>
      </x:c>
    </x:row>
    <x:row r="3036">
      <x:c r="A3036" t="inlineStr">
        <x:is>
          <x:t xml:space="preserve">TERRENO00110</x:t>
        </x:is>
      </x:c>
      <x:c r="B3036" t="inlineStr">
        <x:is>
          <x:t xml:space="preserve">EDP1 DIC23 CONTRATO 4600026641 OC-4502272904 HES 1002793081</x:t>
        </x:is>
      </x:c>
      <x:c r="E3036" t="n">
        <x:v>0</x:v>
      </x:c>
    </x:row>
    <x:row r="3037">
      <x:c r="A3037" t="inlineStr">
        <x:is>
          <x:t xml:space="preserve">TERRENO00111</x:t>
        </x:is>
      </x:c>
      <x:c r="B3037" t="inlineStr">
        <x:is>
          <x:t xml:space="preserve">EDP1 DIC23 CONTRATO 4600026641 OC-4502272904 HES 1002793082</x:t>
        </x:is>
      </x:c>
      <x:c r="E3037" t="n">
        <x:v>0</x:v>
      </x:c>
    </x:row>
    <x:row r="3038">
      <x:c r="A3038" t="inlineStr">
        <x:is>
          <x:t xml:space="preserve">TERRENO00112</x:t>
        </x:is>
      </x:c>
      <x:c r="B3038" t="inlineStr">
        <x:is>
          <x:t xml:space="preserve">ESTADO DE PAGO Nª 9 REPARACION EQUIPOS SUMINISTRO FRP PP DL CONTRATO 4600029485 HES 1001919806</x:t>
        </x:is>
      </x:c>
      <x:c r="E3038" t="n">
        <x:v>0</x:v>
      </x:c>
    </x:row>
    <x:row r="3039">
      <x:c r="A3039" t="inlineStr">
        <x:is>
          <x:t xml:space="preserve">TERRENO00113</x:t>
        </x:is>
      </x:c>
      <x:c r="B3039" t="inlineStr">
        <x:is>
          <x:t xml:space="preserve">EDP Nª 20 FEB24 PED 4502277827 CONTRATO 4600021614 HES 1002797441</x:t>
        </x:is>
      </x:c>
      <x:c r="E3039" t="n">
        <x:v>0</x:v>
      </x:c>
    </x:row>
    <x:row r="3040">
      <x:c r="A3040" t="inlineStr">
        <x:is>
          <x:t xml:space="preserve">TERRENO00114</x:t>
        </x:is>
      </x:c>
      <x:c r="B3040" t="inlineStr">
        <x:is>
          <x:t xml:space="preserve">SERVICIO DE TRANSPORTE OC-4530053037 HES 1000469247</x:t>
        </x:is>
      </x:c>
      <x:c r="E3040" t="n">
        <x:v>0</x:v>
      </x:c>
    </x:row>
    <x:row r="3041">
      <x:c r="A3041" t="inlineStr">
        <x:is>
          <x:t xml:space="preserve">TERRENO00115</x:t>
        </x:is>
      </x:c>
      <x:c r="B3041" t="inlineStr">
        <x:is>
          <x:t xml:space="preserve">SERVICIO DE REVESTIMIENTO LOMAS BAYAS HES 10005688506 OC-4500439574</x:t>
        </x:is>
      </x:c>
      <x:c r="E3041" t="n">
        <x:v>0</x:v>
      </x:c>
    </x:row>
    <x:row r="3042">
      <x:c r="A3042" t="inlineStr">
        <x:is>
          <x:t xml:space="preserve">TERRENO00116</x:t>
        </x:is>
      </x:c>
      <x:c r="B3042" t="inlineStr">
        <x:is>
          <x:t xml:space="preserve">REP.MAYOR FRP TK 556-22-020 TK DUMP HES 1009093883 OC-4506382759</x:t>
        </x:is>
      </x:c>
      <x:c r="E3042" t="n">
        <x:v>0</x:v>
      </x:c>
    </x:row>
    <x:row r="3043">
      <x:c r="A3043" t="inlineStr">
        <x:is>
          <x:t xml:space="preserve">TERRENO00117</x:t>
        </x:is>
      </x:c>
      <x:c r="B3043" t="inlineStr">
        <x:is>
          <x:t xml:space="preserve">EDP N° 21 MAR24 CONTRATO 4600021614 HES 1002804371</x:t>
        </x:is>
      </x:c>
      <x:c r="E3043" t="n">
        <x:v>0</x:v>
      </x:c>
    </x:row>
    <x:row r="3044">
      <x:c r="A3044" t="inlineStr">
        <x:is>
          <x:t xml:space="preserve">TERRENO00118</x:t>
        </x:is>
      </x:c>
      <x:c r="B3044" t="inlineStr">
        <x:is>
          <x:t xml:space="preserve">GASTOS FAYMET TERRENO POTRERILLOS F-10212</x:t>
        </x:is>
      </x:c>
      <x:c r="E3044" t="n">
        <x:v>0</x:v>
      </x:c>
    </x:row>
    <x:row r="3045">
      <x:c r="A3045" t="inlineStr">
        <x:is>
          <x:t xml:space="preserve">TERRENO00119</x:t>
        </x:is>
      </x:c>
      <x:c r="B3045" t="inlineStr">
        <x:is>
          <x:t xml:space="preserve">SERVICIO DE REVESTIMIENTO LOMAS BAYAS HES 1000580729 OC-4500439574</x:t>
        </x:is>
      </x:c>
      <x:c r="E3045" t="n">
        <x:v>0</x:v>
      </x:c>
    </x:row>
    <x:row r="3046">
      <x:c r="A3046" t="inlineStr">
        <x:is>
          <x:t xml:space="preserve">TERRENO00120</x:t>
        </x:is>
      </x:c>
      <x:c r="B3046" t="inlineStr">
        <x:is>
          <x:t xml:space="preserve">ESTADO DE PAGO Nª 10 REPARACION EQUIPOS SUMINISTRO FRP PP DL CONTRATO 4600029485 HES 1002014091</x:t>
        </x:is>
      </x:c>
      <x:c r="E3046" t="n">
        <x:v>0</x:v>
      </x:c>
    </x:row>
    <x:row r="3047">
      <x:c r="A3047" t="inlineStr">
        <x:is>
          <x:t xml:space="preserve">TERRENO00121</x:t>
        </x:is>
      </x:c>
      <x:c r="B3047" t="inlineStr">
        <x:is>
          <x:t xml:space="preserve">EDP N° 22 ABR24 CONTRATO 4600021614 HES 1002811161</x:t>
        </x:is>
      </x:c>
      <x:c r="E3047" t="n">
        <x:v>0</x:v>
      </x:c>
    </x:row>
    <x:row r="3048">
      <x:c r="A3048" t="inlineStr">
        <x:is>
          <x:t xml:space="preserve">TERRENO00122</x:t>
        </x:is>
      </x:c>
      <x:c r="B3048" t="inlineStr">
        <x:is>
          <x:t xml:space="preserve">SERVICIO DE INTALACION PLACAS FRP TK6 Y TK5 MEL OC 17383 BEAGLE</x:t>
        </x:is>
      </x:c>
      <x:c r="E3048" t="n">
        <x:v>0</x:v>
      </x:c>
    </x:row>
    <x:row r="3049">
      <x:c r="A3049" t="inlineStr">
        <x:is>
          <x:t xml:space="preserve">TERRENO00123</x:t>
        </x:is>
      </x:c>
      <x:c r="B3049" t="inlineStr">
        <x:is>
          <x:t xml:space="preserve">EDP Nª 23 MAY24 CONTRATO 4600021614 HES 1002821287</x:t>
        </x:is>
      </x:c>
      <x:c r="E3049" t="n">
        <x:v>0</x:v>
      </x:c>
    </x:row>
    <x:row r="3050">
      <x:c r="A3050" t="inlineStr">
        <x:is>
          <x:t xml:space="preserve">TERRENO00124</x:t>
        </x:is>
      </x:c>
      <x:c r="B3050" t="inlineStr">
        <x:is>
          <x:t xml:space="preserve">EDP Nª 24 JUN24 CONTRATO 4600021614 HES 1002826032</x:t>
        </x:is>
      </x:c>
      <x:c r="E3050" t="n">
        <x:v>0</x:v>
      </x:c>
    </x:row>
    <x:row r="3051">
      <x:c r="A3051" t="inlineStr">
        <x:is>
          <x:t xml:space="preserve">TERRENO00125</x:t>
        </x:is>
      </x:c>
      <x:c r="B3051" t="inlineStr">
        <x:is>
          <x:t xml:space="preserve">EDP Nª 3 ABR24 CONTRATO 4600024815 OC-4502307894  HES</x:t>
        </x:is>
      </x:c>
      <x:c r="E3051" t="n">
        <x:v>0</x:v>
      </x:c>
    </x:row>
    <x:row r="3052">
      <x:c r="A3052" t="inlineStr">
        <x:is>
          <x:t xml:space="preserve">TERRENO00126</x:t>
        </x:is>
      </x:c>
      <x:c r="B3052" t="inlineStr">
        <x:is>
          <x:t xml:space="preserve">SERVICIO DE REVESTIMIENTO LOMAS BAYAS HES 1000612684 OC-4500439574</x:t>
        </x:is>
      </x:c>
      <x:c r="E3052" t="n">
        <x:v>0</x:v>
      </x:c>
    </x:row>
    <x:row r="3053">
      <x:c r="A3053" t="inlineStr">
        <x:is>
          <x:t xml:space="preserve">TERRENO00127</x:t>
        </x:is>
      </x:c>
      <x:c r="B3053" t="inlineStr">
        <x:is>
          <x:t xml:space="preserve">SERVICIO DE REVESTIMIENTO LOMAS BAYAS HES 1000612680 OC-4500439574</x:t>
        </x:is>
      </x:c>
      <x:c r="E3053" t="n">
        <x:v>0</x:v>
      </x:c>
    </x:row>
    <x:row r="3054">
      <x:c r="A3054" t="inlineStr">
        <x:is>
          <x:t xml:space="preserve">TERRENO00128</x:t>
        </x:is>
      </x:c>
      <x:c r="B3054" t="inlineStr">
        <x:is>
          <x:t xml:space="preserve">EDP Nª 25 AGO24 CONTRATO 4600021614 HES 1002839517</x:t>
        </x:is>
      </x:c>
      <x:c r="E3054" t="n">
        <x:v>0</x:v>
      </x:c>
    </x:row>
    <x:row r="3055">
      <x:c r="A3055" t="inlineStr">
        <x:is>
          <x:t xml:space="preserve">TERRENO00129</x:t>
        </x:is>
      </x:c>
      <x:c r="B3055" t="inlineStr">
        <x:is>
          <x:t xml:space="preserve">ESTADO DE PAGO Nª 11 REPARACION EQUIPOS Y SUMINISTROS PRP PP CONT 4600029485 HES 1002140157</x:t>
        </x:is>
      </x:c>
      <x:c r="E3055" t="n">
        <x:v>0</x:v>
      </x:c>
    </x:row>
    <x:row r="3056">
      <x:c r="A3056" t="inlineStr">
        <x:is>
          <x:t xml:space="preserve">TERRENO00130</x:t>
        </x:is>
      </x:c>
      <x:c r="B3056" t="inlineStr">
        <x:is>
          <x:t xml:space="preserve">EDP Nª 1 JUN24 REP.EMERGENCIA DUCTO OVOTENT CONT.46000282258 HES 1002839987</x:t>
        </x:is>
      </x:c>
      <x:c r="E3056" t="n">
        <x:v>0</x:v>
      </x:c>
    </x:row>
    <x:row r="3057">
      <x:c r="A3057" t="inlineStr">
        <x:is>
          <x:t xml:space="preserve">TERRENO00131</x:t>
        </x:is>
      </x:c>
      <x:c r="B3057" t="inlineStr">
        <x:is>
          <x:t xml:space="preserve">EDP Nª 1 AGOSTO 2024 SERVICIO DE FABRICACION E INSTALACION DE BOQUILLAS Y STOPPERS</x:t>
        </x:is>
      </x:c>
      <x:c r="E3057" t="n">
        <x:v>0</x:v>
      </x:c>
    </x:row>
    <x:row r="3058">
      <x:c r="A3058" t="inlineStr">
        <x:is>
          <x:t xml:space="preserve">TERRENO00132</x:t>
        </x:is>
      </x:c>
      <x:c r="B3058" t="inlineStr">
        <x:is>
          <x:t xml:space="preserve">EDP Nª1 SEPT24 CONTRATO 4600028424 HES 1002841848  JCC0624-NV0001</x:t>
        </x:is>
      </x:c>
      <x:c r="E3058" t="n">
        <x:v>0</x:v>
      </x:c>
    </x:row>
    <x:row r="3059">
      <x:c r="A3059" t="inlineStr">
        <x:is>
          <x:t xml:space="preserve">TERRENO00133</x:t>
        </x:is>
      </x:c>
      <x:c r="B3059" t="inlineStr">
        <x:is>
          <x:t xml:space="preserve">EDP Nª1 SEPT24 CONTRATO 4600028424 HES 1002841849  JCC0624-NV0001</x:t>
        </x:is>
      </x:c>
      <x:c r="E3059" t="n">
        <x:v>0</x:v>
      </x:c>
    </x:row>
    <x:row r="3060">
      <x:c r="A3060" t="inlineStr">
        <x:is>
          <x:t xml:space="preserve">TERRENO00134</x:t>
        </x:is>
      </x:c>
      <x:c r="B3060" t="inlineStr">
        <x:is>
          <x:t xml:space="preserve">EDP Nª4 INSTALACION DE PLACAS PARA REVST TK6 Y TK5 BEAGLE</x:t>
        </x:is>
      </x:c>
      <x:c r="E3060" t="n">
        <x:v>0</x:v>
      </x:c>
    </x:row>
    <x:row r="3061">
      <x:c r="A3061" t="inlineStr">
        <x:is>
          <x:t xml:space="preserve">TERRENO00135</x:t>
        </x:is>
      </x:c>
      <x:c r="B3061" t="inlineStr">
        <x:is>
          <x:t xml:space="preserve">EDP Nª 1 TRABAJOS ADICIONALES INTERIOR DE TK 5  BEAGLE</x:t>
        </x:is>
      </x:c>
      <x:c r="E3061" t="n">
        <x:v>0</x:v>
      </x:c>
    </x:row>
    <x:row r="3062">
      <x:c r="A3062" t="inlineStr">
        <x:is>
          <x:t xml:space="preserve">TERRENO00136</x:t>
        </x:is>
      </x:c>
      <x:c r="B3062" t="inlineStr">
        <x:is>
          <x:t xml:space="preserve">EDP Nª 4 MAY24 CONTRATO 4600024815 HES 1002840140</x:t>
        </x:is>
      </x:c>
      <x:c r="E3062" t="n">
        <x:v>0</x:v>
      </x:c>
    </x:row>
    <x:row r="3063">
      <x:c r="A3063" t="inlineStr">
        <x:is>
          <x:t xml:space="preserve">TERRENO00137</x:t>
        </x:is>
      </x:c>
      <x:c r="B3063" t="inlineStr">
        <x:is>
          <x:t xml:space="preserve">EDP Nª 4 MAY24 CONTRATO 4600024815 HES 1002840139</x:t>
        </x:is>
      </x:c>
      <x:c r="E3063" t="n">
        <x:v>0</x:v>
      </x:c>
    </x:row>
    <x:row r="3064">
      <x:c r="A3064" t="inlineStr">
        <x:is>
          <x:t xml:space="preserve">TERRENO00138</x:t>
        </x:is>
      </x:c>
      <x:c r="B3064" t="inlineStr">
        <x:is>
          <x:t xml:space="preserve">EDP Nª 4 MAY24 CONTRATO 4600024815 HES 1002840138</x:t>
        </x:is>
      </x:c>
      <x:c r="E3064" t="n">
        <x:v>0</x:v>
      </x:c>
    </x:row>
    <x:row r="3065">
      <x:c r="A3065" t="inlineStr">
        <x:is>
          <x:t xml:space="preserve">TERRENO00139</x:t>
        </x:is>
      </x:c>
      <x:c r="B3065" t="inlineStr">
        <x:is>
          <x:t xml:space="preserve">EDP Nª 4 MAY24 CONTRATO 4600024815 HES 1002840137</x:t>
        </x:is>
      </x:c>
      <x:c r="E3065" t="n">
        <x:v>0</x:v>
      </x:c>
    </x:row>
    <x:row r="3066">
      <x:c r="A3066" t="inlineStr">
        <x:is>
          <x:t xml:space="preserve">TERRENO00140</x:t>
        </x:is>
      </x:c>
      <x:c r="B3066" t="inlineStr">
        <x:is>
          <x:t xml:space="preserve">EP Nª 1 FINAL REPAR.SECTOR MIXER DECANTADOR CMMC HES 1000082990</x:t>
        </x:is>
      </x:c>
      <x:c r="E3066" t="n">
        <x:v>0</x:v>
      </x:c>
    </x:row>
    <x:row r="3067">
      <x:c r="A3067" t="inlineStr">
        <x:is>
          <x:t xml:space="preserve">TERRENO00141</x:t>
        </x:is>
      </x:c>
      <x:c r="B3067" t="inlineStr">
        <x:is>
          <x:t xml:space="preserve">CDMH CFM0122-NV0009 FRP Y TERR MINISTRO HALES</x:t>
        </x:is>
      </x:c>
      <x:c r="E3067" t="n">
        <x:v>0</x:v>
      </x:c>
    </x:row>
    <x:row r="3068">
      <x:c r="A3068" t="inlineStr">
        <x:is>
          <x:t xml:space="preserve">TERRENO00142</x:t>
        </x:is>
      </x:c>
      <x:c r="B3068" t="inlineStr">
        <x:is>
          <x:t xml:space="preserve">RECUP.BARRERA QCA TK CLO2 356-22-067 HES 1009451040</x:t>
        </x:is>
      </x:c>
      <x:c r="E3068" t="n">
        <x:v>0</x:v>
      </x:c>
    </x:row>
    <x:row r="3069">
      <x:c r="A3069" t="inlineStr">
        <x:is>
          <x:t xml:space="preserve">TERRENO00143</x:t>
        </x:is>
      </x:c>
      <x:c r="B3069" t="inlineStr">
        <x:is>
          <x:t xml:space="preserve">AO POR CAMBIO DE BOQUILLAS EN TK 356-22-067 HES 1009451041</x:t>
        </x:is>
      </x:c>
      <x:c r="E3069" t="n">
        <x:v>0</x:v>
      </x:c>
    </x:row>
    <x:row r="3070">
      <x:c r="A3070" t="inlineStr">
        <x:is>
          <x:t xml:space="preserve">TERRENO00144</x:t>
        </x:is>
      </x:c>
      <x:c r="B3070" t="inlineStr">
        <x:is>
          <x:t xml:space="preserve">EDP Nª 3 OCT24 CONTRATO 4600028424 HES 1002851334 JCC0624-NV0000</x:t>
        </x:is>
      </x:c>
      <x:c r="E3070" t="n">
        <x:v>0</x:v>
      </x:c>
    </x:row>
    <x:row r="3071">
      <x:c r="A3071" t="inlineStr">
        <x:is>
          <x:t xml:space="preserve">TERRENO00145</x:t>
        </x:is>
      </x:c>
      <x:c r="B3071" t="inlineStr">
        <x:is>
          <x:t xml:space="preserve">SERVICIO MONTAJE TKE1 CONTRATO 4502959949 HES 1002197856</x:t>
        </x:is>
      </x:c>
      <x:c r="E3071" t="n">
        <x:v>0</x:v>
      </x:c>
    </x:row>
    <x:row r="3072">
      <x:c r="A3072" t="inlineStr">
        <x:is>
          <x:t xml:space="preserve">TERRENO00146</x:t>
        </x:is>
      </x:c>
      <x:c r="B3072" t="inlineStr">
        <x:is>
          <x:t xml:space="preserve">ED N° 13 SUMINISTROS CONTRATO 3.22.0011.1 HES 1002205149 ANGLOAMERICAN SUR</x:t>
        </x:is>
      </x:c>
      <x:c r="E3072" t="n">
        <x:v>0</x:v>
      </x:c>
    </x:row>
    <x:row r="3073">
      <x:c r="A3073" t="inlineStr">
        <x:is>
          <x:t xml:space="preserve">TERRENO00147</x:t>
        </x:is>
      </x:c>
      <x:c r="B3073" t="inlineStr">
        <x:is>
          <x:t xml:space="preserve">ED N|12 SUMINISTROS Y MANT, CONT 3.22.0011.1 HES 1002176400</x:t>
        </x:is>
      </x:c>
      <x:c r="E3073" t="n">
        <x:v>0</x:v>
      </x:c>
    </x:row>
    <x:row r="3074">
      <x:c r="A3074" t="inlineStr">
        <x:is>
          <x:t xml:space="preserve">TERRENO00148</x:t>
        </x:is>
      </x:c>
      <x:c r="B3074" t="inlineStr">
        <x:is>
          <x:t xml:space="preserve">SERVICIO DE REP DECANTADOR W1 RLS1024-NV0003 CMMC</x:t>
        </x:is>
      </x:c>
      <x:c r="E3074" t="n">
        <x:v>0</x:v>
      </x:c>
    </x:row>
    <x:row r="3075">
      <x:c r="A3075" t="inlineStr">
        <x:is>
          <x:t xml:space="preserve">TERRENO00149</x:t>
        </x:is>
      </x:c>
      <x:c r="B3075" t="inlineStr">
        <x:is>
          <x:t xml:space="preserve">EDP Nª 3 NOV24 CONTRATO 4600028424 HES 1002861449</x:t>
        </x:is>
      </x:c>
      <x:c r="E3075" t="n">
        <x:v>0</x:v>
      </x:c>
    </x:row>
    <x:row r="3076">
      <x:c r="A3076" t="inlineStr">
        <x:is>
          <x:t xml:space="preserve">TERRENO00150</x:t>
        </x:is>
      </x:c>
      <x:c r="B3076" t="inlineStr">
        <x:is>
          <x:t xml:space="preserve">EDP Nª 3 NOV24 CONTRATO 4600028424 HES 1002861450</x:t>
        </x:is>
      </x:c>
      <x:c r="E3076" t="n">
        <x:v>0</x:v>
      </x:c>
    </x:row>
    <x:row r="3077">
      <x:c r="A3077" t="inlineStr">
        <x:is>
          <x:t xml:space="preserve">TERRENO00151</x:t>
        </x:is>
      </x:c>
      <x:c r="B3077" t="inlineStr">
        <x:is>
          <x:t xml:space="preserve">EDP Nª 3 NOV24 CONTRATO 4600028424 HES 1002861451</x:t>
        </x:is>
      </x:c>
      <x:c r="E3077" t="n">
        <x:v>0</x:v>
      </x:c>
    </x:row>
    <x:row r="3078">
      <x:c r="A3078" t="inlineStr">
        <x:is>
          <x:t xml:space="preserve">TERRENO00152</x:t>
        </x:is>
      </x:c>
      <x:c r="B3078" t="inlineStr">
        <x:is>
          <x:t xml:space="preserve">EDP Nª1 JUN24 CONTRATO 4500028024 HES 1002860470</x:t>
        </x:is>
      </x:c>
      <x:c r="E3078" t="n">
        <x:v>0</x:v>
      </x:c>
    </x:row>
    <x:row r="3079">
      <x:c r="A3079" t="inlineStr">
        <x:is>
          <x:t xml:space="preserve">TERRENO00153</x:t>
        </x:is>
      </x:c>
      <x:c r="B3079" t="inlineStr">
        <x:is>
          <x:t xml:space="preserve">SERVICIO DE ASESORIA EN TERRENO MO ESPECIALIZADA ACCIONA PATACHE CONTRATO 2784 CFM0924-NV0000</x:t>
        </x:is>
      </x:c>
      <x:c r="E3079" t="n">
        <x:v>0</x:v>
      </x:c>
    </x:row>
    <x:row r="3080">
      <x:c r="A3080" t="inlineStr">
        <x:is>
          <x:t xml:space="preserve">TERRENO00154</x:t>
        </x:is>
      </x:c>
      <x:c r="B3080" t="inlineStr">
        <x:is>
          <x:t xml:space="preserve">ED N° 14 SUMINISTROS CONTRATO 3.22.0011.1 HES 1002230499 ANGLOAMERICAN SUR</x:t>
        </x:is>
      </x:c>
      <x:c r="E3080" t="n">
        <x:v>0</x:v>
      </x:c>
    </x:row>
    <x:row r="3081">
      <x:c r="A3081" t="inlineStr">
        <x:is>
          <x:t xml:space="preserve">TERRENO00155</x:t>
        </x:is>
      </x:c>
      <x:c r="B3081" t="inlineStr">
        <x:is>
          <x:t xml:space="preserve">EDP N° 26 DIC24 CONTRATO 4600021614 HES 1002865353</x:t>
        </x:is>
      </x:c>
      <x:c r="E3081" t="n">
        <x:v>0</x:v>
      </x:c>
    </x:row>
    <x:row r="3082">
      <x:c r="A3082" t="inlineStr">
        <x:is>
          <x:t xml:space="preserve">TERRENO00156</x:t>
        </x:is>
      </x:c>
      <x:c r="B3082" t="inlineStr">
        <x:is>
          <x:t xml:space="preserve">EDP N° 27 ENE25 CONTRATO 4600021614 HES 1002884595 OC 4502385021</x:t>
        </x:is>
      </x:c>
      <x:c r="E3082" t="n">
        <x:v>1</x:v>
      </x:c>
    </x:row>
    <x:row r="3083">
      <x:c r="A3083" t="inlineStr">
        <x:is>
          <x:t xml:space="preserve">TERRENO00157</x:t>
        </x:is>
      </x:c>
      <x:c r="B3083" t="inlineStr">
        <x:is>
          <x:t xml:space="preserve">ED N° 15 SUMINISTROS CONTRATO 3.22.0011.1 HES 1002388416 ANGLOAMERICAN SUR</x:t>
        </x:is>
      </x:c>
      <x:c r="E3083" t="n">
        <x:v>1</x:v>
      </x:c>
    </x:row>
    <x:row r="3084">
      <x:c r="A3084" t="inlineStr">
        <x:is>
          <x:t xml:space="preserve">TERRENO00158</x:t>
        </x:is>
      </x:c>
      <x:c r="B3084" t="inlineStr">
        <x:is>
          <x:t xml:space="preserve">EDP Nª 28 MAR25 CONTRATO 4600021614 HES 1002891431 OC 4502393783</x:t>
        </x:is>
      </x:c>
      <x:c r="E3084" t="n">
        <x:v>1</x:v>
      </x:c>
    </x:row>
    <x:row r="3085">
      <x:c r="A3085" t="inlineStr">
        <x:is>
          <x:t xml:space="preserve">TERRENO00159</x:t>
        </x:is>
      </x:c>
      <x:c r="B3085" t="inlineStr">
        <x:is>
          <x:t xml:space="preserve">EDP Nª 5 MAR25 CONTRATO 4600024815 HES 1002886996 OC 4502387264</x:t>
        </x:is>
      </x:c>
      <x:c r="E3085" t="n">
        <x:v>1</x:v>
      </x:c>
    </x:row>
    <x:row r="3086">
      <x:c r="A3086" t="inlineStr">
        <x:is>
          <x:t xml:space="preserve">TERRENO00160</x:t>
        </x:is>
      </x:c>
      <x:c r="B3086" t="inlineStr">
        <x:is>
          <x:t xml:space="preserve">ESTADO DE PAGO N° 16 REPARACION EQUIPOS Y SUM FRP HES 1002417563 CONT 4600029485</x:t>
        </x:is>
      </x:c>
      <x:c r="E3086" t="n">
        <x:v>1</x:v>
      </x:c>
    </x:row>
    <x:row r="3087">
      <x:c r="A3087" t="inlineStr">
        <x:is>
          <x:t xml:space="preserve">TERRENO00161</x:t>
        </x:is>
      </x:c>
      <x:c r="B3087" t="inlineStr">
        <x:is>
          <x:t xml:space="preserve">EDP Nª 29 ABR25 CONTRATO 4600021624 HES 1002895446</x:t>
        </x:is>
      </x:c>
      <x:c r="E3087" t="n">
        <x:v>1</x:v>
      </x:c>
    </x:row>
    <x:row r="3088">
      <x:c r="A3088" t="inlineStr">
        <x:is>
          <x:t xml:space="preserve">TERRENO00162</x:t>
        </x:is>
      </x:c>
      <x:c r="B3088" t="inlineStr">
        <x:is>
          <x:t xml:space="preserve">edp n° 2 MAY25 CONTRATO 4500028024 HES 1002900183</x:t>
        </x:is>
      </x:c>
      <x:c r="E3088" t="n">
        <x:v>1</x:v>
      </x:c>
    </x:row>
    <x:row r="3089">
      <x:c r="A3089" t="inlineStr">
        <x:is>
          <x:t xml:space="preserve">TERRENO00163</x:t>
        </x:is>
      </x:c>
      <x:c r="B3089" t="inlineStr">
        <x:is>
          <x:t xml:space="preserve">EDP N° 17(PARCIAL)CONTRATO 4600029485/4502230807 HES 1002442966 CHAGRES</x:t>
        </x:is>
      </x:c>
      <x:c r="E3089" t="n">
        <x:v>1</x:v>
      </x:c>
    </x:row>
    <x:row r="3090">
      <x:c r="A3090" t="inlineStr">
        <x:is>
          <x:t xml:space="preserve">TERRENO00164</x:t>
        </x:is>
      </x:c>
      <x:c r="B3090" t="inlineStr">
        <x:is>
          <x:t xml:space="preserve">EDP N° 6 ABR25 CONTRATO 4600024815 HES 10028994364-370 OC 4502399167</x:t>
        </x:is>
      </x:c>
      <x:c r="E3090" t="n">
        <x:v>11</x:v>
      </x:c>
    </x:row>
    <x:row r="3091">
      <x:c r="A3091" t="inlineStr">
        <x:is>
          <x:t xml:space="preserve">TERRENO00165</x:t>
        </x:is>
      </x:c>
      <x:c r="B3091" t="inlineStr">
        <x:is>
          <x:t xml:space="preserve">EDP N°30 MAY25 CONTRATO 4600021614 HES 1002907742 OC 4502417405</x:t>
        </x:is>
      </x:c>
      <x:c r="E3091" t="n">
        <x:v>1</x:v>
      </x:c>
    </x:row>
    <x:row r="3092">
      <x:c r="A3092" t="inlineStr">
        <x:is>
          <x:t xml:space="preserve">TERRENO00271</x:t>
        </x:is>
      </x:c>
      <x:c r="B3092" t="inlineStr">
        <x:is>
          <x:t xml:space="preserve">ESTADO DE PAGO N° 4 CONTRATO  SAP 4600029485   REPARACION EQUIPOS SUMINISTRO HES1001414909</x:t>
        </x:is>
      </x:c>
      <x:c r="E3092" t="n">
        <x:v>0</x:v>
      </x:c>
    </x:row>
    <x:row r="3093">
      <x:c r="A3093" t="inlineStr">
        <x:is>
          <x:t xml:space="preserve">TERRENO00272</x:t>
        </x:is>
      </x:c>
      <x:c r="B3093" t="inlineStr">
        <x:is>
          <x:t xml:space="preserve">REFUERZO UNIONES ANG1 ANGAMOS EP Nª2</x:t>
        </x:is>
      </x:c>
      <x:c r="E3093" t="n">
        <x:v>0</x:v>
      </x:c>
    </x:row>
    <x:row r="3094">
      <x:c r="A3094" t="inlineStr">
        <x:is>
          <x:t xml:space="preserve">TERRENO00273</x:t>
        </x:is>
      </x:c>
      <x:c r="B3094" t="inlineStr">
        <x:is>
          <x:t xml:space="preserve">RIGIDIZACION DE UNION TUBERIA ANGAMOS HES</x:t>
        </x:is>
      </x:c>
      <x:c r="E3094" t="n">
        <x:v>0</x:v>
      </x:c>
    </x:row>
    <x:row r="3095">
      <x:c r="A3095" t="inlineStr">
        <x:is>
          <x:t xml:space="preserve">TERRENO00274</x:t>
        </x:is>
      </x:c>
      <x:c r="B3095" t="inlineStr">
        <x:is>
          <x:t xml:space="preserve">SERV.REPARACION LINEA GRP ANGAMOS</x:t>
        </x:is>
      </x:c>
      <x:c r="E3095" t="n">
        <x:v>0</x:v>
      </x:c>
    </x:row>
    <x:row r="3096">
      <x:c r="A3096" t="inlineStr">
        <x:is>
          <x:t xml:space="preserve">TERRENO00275</x:t>
        </x:is>
      </x:c>
      <x:c r="B3096" t="inlineStr">
        <x:is>
          <x:t xml:space="preserve">ESTADO DE PAGO N° 5.1 CONTRATO SAP 4600029485 SUMINISTRO Y REP EQUIPO FRP Y PP HES 1001447584</x:t>
        </x:is>
      </x:c>
      <x:c r="E3096" t="n">
        <x:v>0</x:v>
      </x:c>
    </x:row>
    <x:row r="3097">
      <x:c r="A3097" t="inlineStr">
        <x:is>
          <x:t xml:space="preserve">TERRENO00276</x:t>
        </x:is>
      </x:c>
      <x:c r="B3097" t="inlineStr">
        <x:is>
          <x:t xml:space="preserve">EDP N° 2 HES 1002703761 REPRAC.POLIMERICAS Y ANTIAC,VENTANAS</x:t>
        </x:is>
      </x:c>
      <x:c r="E3097" t="n">
        <x:v>0</x:v>
      </x:c>
    </x:row>
    <x:row r="3098">
      <x:c r="A3098" t="inlineStr">
        <x:is>
          <x:t xml:space="preserve">TERRENO00277</x:t>
        </x:is>
      </x:c>
      <x:c r="B3098" t="inlineStr">
        <x:is>
          <x:t xml:space="preserve">EDP N° 1 HES 10026701032 REPARC.POLIMERICAS Y ANTIAC,VENTANAS</x:t>
        </x:is>
      </x:c>
      <x:c r="E3098" t="n">
        <x:v>0</x:v>
      </x:c>
    </x:row>
    <x:row r="3099">
      <x:c r="A3099" t="inlineStr">
        <x:is>
          <x:t xml:space="preserve">TERRENO00278</x:t>
        </x:is>
      </x:c>
      <x:c r="B3099" t="inlineStr">
        <x:is>
          <x:t xml:space="preserve">ESTADO DE PAGO N° 7 CONTRATO 4600021614 HES 1002703135 SERV.MANT.FRP Y PP PLGS</x:t>
        </x:is>
      </x:c>
      <x:c r="E3099" t="n">
        <x:v>0</x:v>
      </x:c>
    </x:row>
    <x:row r="3100">
      <x:c r="A3100" t="inlineStr">
        <x:is>
          <x:t xml:space="preserve">TERRENO00279</x:t>
        </x:is>
      </x:c>
      <x:c r="B3100" t="inlineStr">
        <x:is>
          <x:t xml:space="preserve">ESTADO DE PAGO N° 6 CONTRATO 4600021614 HES 1002700406 SERV.MANT.FRP Y PP PLGS</x:t>
        </x:is>
      </x:c>
      <x:c r="E3100" t="n">
        <x:v>0</x:v>
      </x:c>
    </x:row>
    <x:row r="3101">
      <x:c r="A3101" t="inlineStr">
        <x:is>
          <x:t xml:space="preserve">TERRENO00280</x:t>
        </x:is>
      </x:c>
      <x:c r="B3101" t="inlineStr">
        <x:is>
          <x:t xml:space="preserve">POS 80 CANT 0,8 CLP  15.080.000 WE 5008913134 DOCUMENTACION TECNICA</x:t>
        </x:is>
      </x:c>
      <x:c r="E3101" t="n">
        <x:v>0</x:v>
      </x:c>
    </x:row>
    <x:row r="3102">
      <x:c r="A3102" t="inlineStr">
        <x:is>
          <x:t xml:space="preserve">TERRENO00281</x:t>
        </x:is>
      </x:c>
      <x:c r="B3102" t="inlineStr">
        <x:is>
          <x:t xml:space="preserve">SERVICIO DE REPARACION BQ SALVADOR JCC1022-NV0002</x:t>
        </x:is>
      </x:c>
      <x:c r="E3102" t="n">
        <x:v>0</x:v>
      </x:c>
    </x:row>
    <x:row r="3103">
      <x:c r="A3103" t="inlineStr">
        <x:is>
          <x:t xml:space="preserve">TERRENO00282</x:t>
        </x:is>
      </x:c>
      <x:c r="B3103" t="inlineStr">
        <x:is>
          <x:t xml:space="preserve">ESTADO DE PAGO N° 5 CONTRATO  SAP 4600029485   REPARACION EQUIPOS SUMINISTRO HES1001488882</x:t>
        </x:is>
      </x:c>
      <x:c r="E3103" t="n">
        <x:v>0</x:v>
      </x:c>
    </x:row>
    <x:row r="3104">
      <x:c r="A3104" t="inlineStr">
        <x:is>
          <x:t xml:space="preserve">TERRENO00283</x:t>
        </x:is>
      </x:c>
      <x:c r="B3104" t="inlineStr">
        <x:is>
          <x:t xml:space="preserve">INSPECCION PLANTA DE TRATAMIENTO A.S.1. PLANTA PLYWOOD HAS 1016773283   OS 4902184692</x:t>
        </x:is>
      </x:c>
      <x:c r="E3104" t="n">
        <x:v>0</x:v>
      </x:c>
    </x:row>
    <x:row r="3105">
      <x:c r="A3105" t="inlineStr">
        <x:is>
          <x:t xml:space="preserve">TERRENO00285</x:t>
        </x:is>
      </x:c>
      <x:c r="B3105" t="inlineStr">
        <x:is>
          <x:t xml:space="preserve">ESTADO DE PAGO7000014047 CONTRATO 4600023860 HES 1002713907  SERVICIO DE REPARACIONES  POLIMERICAS Y</x:t>
        </x:is>
      </x:c>
      <x:c r="E3105" t="n">
        <x:v>0</x:v>
      </x:c>
    </x:row>
    <x:row r="3106">
      <x:c r="A3106" t="inlineStr">
        <x:is>
          <x:t xml:space="preserve">TERRENO00286</x:t>
        </x:is>
      </x:c>
      <x:c r="B3106" t="inlineStr">
        <x:is>
          <x:t xml:space="preserve">POS 0010 REPARACION A SECTORES DE ESTANQUE TAG T_E115_50 EN FRP PARA ACIDO FORMICO</x:t>
        </x:is>
      </x:c>
      <x:c r="E3106" t="n">
        <x:v>0</x:v>
      </x:c>
    </x:row>
    <x:row r="3107">
      <x:c r="A3107" t="inlineStr">
        <x:is>
          <x:t xml:space="preserve">TERRENO00287</x:t>
        </x:is>
      </x:c>
      <x:c r="B3107" t="inlineStr">
        <x:is>
          <x:t xml:space="preserve">ESTADO DE PAGO Nª 8CCTR 4502169919 CONTRATO 4600021614 HES 1002714846</x:t>
        </x:is>
      </x:c>
      <x:c r="E3107" t="n">
        <x:v>0</x:v>
      </x:c>
    </x:row>
    <x:row r="3108">
      <x:c r="A3108" t="inlineStr">
        <x:is>
          <x:t xml:space="preserve">TERRENO00288</x:t>
        </x:is>
      </x:c>
      <x:c r="B3108" t="inlineStr">
        <x:is>
          <x:t xml:space="preserve">POS 10 REPARACION TK AGUA ESPONJAMIENTO OC 4501936548</x:t>
        </x:is>
      </x:c>
      <x:c r="E3108" t="n">
        <x:v>0</x:v>
      </x:c>
    </x:row>
    <x:row r="3109">
      <x:c r="A3109" t="inlineStr">
        <x:is>
          <x:t xml:space="preserve">TERRENO00289</x:t>
        </x:is>
      </x:c>
      <x:c r="B3109" t="inlineStr">
        <x:is>
          <x:t xml:space="preserve">ESTADO DE PAGO Nª 9 CCTR 4502184708 CONTRATO 4600021614 HES 1002724677</x:t>
        </x:is>
      </x:c>
      <x:c r="E3109" t="n">
        <x:v>0</x:v>
      </x:c>
    </x:row>
    <x:row r="3110">
      <x:c r="A3110" t="inlineStr">
        <x:is>
          <x:t xml:space="preserve">TERRENO00290</x:t>
        </x:is>
      </x:c>
      <x:c r="B3110" t="inlineStr">
        <x:is>
          <x:t xml:space="preserve">DEMISTER 10% RETE,OC 4502044445 WE 5009090268</x:t>
        </x:is>
      </x:c>
      <x:c r="E3110" t="n">
        <x:v>0</x:v>
      </x:c>
    </x:row>
    <x:row r="3111">
      <x:c r="A3111" t="inlineStr">
        <x:is>
          <x:t xml:space="preserve">TERRENO00291</x:t>
        </x:is>
      </x:c>
      <x:c r="B3111" t="inlineStr">
        <x:is>
          <x:t xml:space="preserve">REVESTIMIENTO DUCTOS ACERO EN FRP AES ANDES HES 1001381865</x:t>
        </x:is>
      </x:c>
      <x:c r="E3111" t="n">
        <x:v>0</x:v>
      </x:c>
    </x:row>
    <x:row r="3112">
      <x:c r="A3112" t="inlineStr">
        <x:is>
          <x:t xml:space="preserve">TERRENO00346</x:t>
        </x:is>
      </x:c>
      <x:c r="B3112" t="inlineStr">
        <x:is>
          <x:t xml:space="preserve">ESTADO DE PAGO Nª 1 CCTR 4502202854 HES 1002738883</x:t>
        </x:is>
      </x:c>
      <x:c r="E3112" t="n">
        <x:v>0</x:v>
      </x:c>
    </x:row>
    <x:row r="3113">
      <x:c r="A3113" t="inlineStr">
        <x:is>
          <x:t xml:space="preserve">TERRENO00347</x:t>
        </x:is>
      </x:c>
      <x:c r="B3113" t="inlineStr">
        <x:is>
          <x:t xml:space="preserve">ESTADO DE PAGO Nª 1 CCTR 4502202854 HES 1002738884</x:t>
        </x:is>
      </x:c>
      <x:c r="E3113" t="n">
        <x:v>0</x:v>
      </x:c>
    </x:row>
    <x:row r="3114">
      <x:c r="A3114" t="inlineStr">
        <x:is>
          <x:t xml:space="preserve">TERRENO00348</x:t>
        </x:is>
      </x:c>
      <x:c r="B3114" t="inlineStr">
        <x:is>
          <x:t xml:space="preserve">ESTADO DE PAGO Nª 1 CCTR 4502202854 HES 1002738885</x:t>
        </x:is>
      </x:c>
      <x:c r="E3114" t="n">
        <x:v>0</x:v>
      </x:c>
    </x:row>
    <x:row r="3115">
      <x:c r="A3115" t="inlineStr">
        <x:is>
          <x:t xml:space="preserve">TERRENO00349</x:t>
        </x:is>
      </x:c>
      <x:c r="B3115" t="inlineStr">
        <x:is>
          <x:t xml:space="preserve">ESTADO DE PAGO Nª 1 CCTR 4502243492 HES 1002767967</x:t>
        </x:is>
      </x:c>
      <x:c r="E3115" t="n">
        <x:v>0</x:v>
      </x:c>
    </x:row>
    <x:row r="3116">
      <x:c r="A3116" t="inlineStr">
        <x:is>
          <x:t xml:space="preserve">TERRENO00436</x:t>
        </x:is>
      </x:c>
      <x:c r="B3116" t="inlineStr">
        <x:is>
          <x:t xml:space="preserve">ESTADO DE PAGO Nª 1 CCTR 4502202854 HES 1002738883</x:t>
        </x:is>
      </x:c>
      <x:c r="E3116" t="n">
        <x:v>0</x:v>
      </x:c>
    </x:row>
    <x:row r="3117">
      <x:c r="A3117" t="inlineStr">
        <x:is>
          <x:t xml:space="preserve">TRIPLAAMAO12</x:t>
        </x:is>
      </x:c>
      <x:c r="B3117" t="inlineStr">
        <x:is>
          <x:t xml:space="preserve">PLANCHA TRIXALON AMARILLO 12mm</x:t>
        </x:is>
      </x:c>
      <x:c r="E3117" t="n">
        <x:v>0</x:v>
      </x:c>
    </x:row>
    <x:row r="3118">
      <x:c r="A3118" t="inlineStr">
        <x:is>
          <x:t xml:space="preserve">TRIPLABLA025</x:t>
        </x:is>
      </x:c>
      <x:c r="B3118" t="inlineStr">
        <x:is>
          <x:t xml:space="preserve">PLANCHA TRIXALON BLANCO 25mm x 1000 x 2000</x:t>
        </x:is>
      </x:c>
      <x:c r="E3118" t="n">
        <x:v>0</x:v>
      </x:c>
    </x:row>
    <x:row r="3119">
      <x:c r="A3119" t="inlineStr">
        <x:is>
          <x:t xml:space="preserve">TRIPLABLAO25</x:t>
        </x:is>
      </x:c>
      <x:c r="B3119" t="inlineStr">
        <x:is>
          <x:t xml:space="preserve">PLANCHA TRIXALON BLANCO 25mm x 1200 x 2000</x:t>
        </x:is>
      </x:c>
      <x:c r="E3119" t="n">
        <x:v>0</x:v>
      </x:c>
    </x:row>
    <x:row r="3120">
      <x:c r="A3120" t="inlineStr">
        <x:is>
          <x:t xml:space="preserve">TRIPLANEG001</x:t>
        </x:is>
      </x:c>
      <x:c r="B3120" t="inlineStr">
        <x:is>
          <x:t xml:space="preserve">BOCINA DE TRIXALON NEGRO ZELLAMID 1100 MO (PA 6-MO) TUBE 260 X 180 X 1000 MM ANILLOS BBA W450</x:t>
        </x:is>
      </x:c>
      <x:c r="E3120" t="n">
        <x:v>0</x:v>
      </x:c>
    </x:row>
    <x:row r="3121">
      <x:c r="A3121" t="inlineStr">
        <x:is>
          <x:t xml:space="preserve">TRIPLANEG002</x:t>
        </x:is>
      </x:c>
      <x:c r="B3121" t="inlineStr">
        <x:is>
          <x:t xml:space="preserve">PLANCHA TRIXALON NEGRO 25MM X 1000 MM X 2000 MM</x:t>
        </x:is>
      </x:c>
      <x:c r="E3121" t="n">
        <x:v>0</x:v>
      </x:c>
    </x:row>
    <x:row r="3122">
      <x:c r="A3122" t="inlineStr">
        <x:is>
          <x:t xml:space="preserve">TRIPLANEGO12</x:t>
        </x:is>
      </x:c>
      <x:c r="B3122" t="inlineStr">
        <x:is>
          <x:t xml:space="preserve">PLANCHA TRIXALON NEGRO 12mm</x:t>
        </x:is>
      </x:c>
      <x:c r="E3122" t="n">
        <x:v>0</x:v>
      </x:c>
    </x:row>
    <x:row r="3123">
      <x:c r="A3123" t="inlineStr">
        <x:is>
          <x:t xml:space="preserve">TRIPLANEGO19</x:t>
        </x:is>
      </x:c>
      <x:c r="B3123" t="inlineStr">
        <x:is>
          <x:t xml:space="preserve">PLANCHA TRIXALON NEGRO 19mm</x:t>
        </x:is>
      </x:c>
      <x:c r="E3123" t="n">
        <x:v>0</x:v>
      </x:c>
    </x:row>
    <x:row r="3124">
      <x:c r="A3124" t="inlineStr">
        <x:is>
          <x:t xml:space="preserve">TRIPLANEGO25</x:t>
        </x:is>
      </x:c>
      <x:c r="B3124" t="inlineStr">
        <x:is>
          <x:t xml:space="preserve">PLANCHA TRIXALON NEGRO 25mm X 1200 MM X 2000 MM</x:t>
        </x:is>
      </x:c>
      <x:c r="E3124" t="n">
        <x:v>0</x:v>
      </x:c>
    </x:row>
    <x:row r="3125">
      <x:c r="A3125" t="inlineStr">
        <x:is>
          <x:t xml:space="preserve">VELPLC001001</x:t>
        </x:is>
      </x:c>
      <x:c r="B3125" t="inlineStr">
        <x:is>
          <x:t xml:space="preserve">VELLUMOIDE EN PLANCHA 1/32 PLG X 1 MTS X 1 MTS</x:t>
        </x:is>
      </x:c>
      <x:c r="E3125" t="n">
        <x:v>0</x:v>
      </x:c>
    </x:row>
    <x:row r="3126">
      <x:c r="A3126" t="inlineStr">
        <x:is>
          <x:t xml:space="preserve">VELPLC001002</x:t>
        </x:is>
      </x:c>
      <x:c r="B3126" t="inlineStr">
        <x:is>
          <x:t xml:space="preserve">VELLUMOIDE EN PLANCHA 1/16 PLG X 1 MTS X 1 MTS</x:t>
        </x:is>
      </x:c>
      <x:c r="E3126" t="n">
        <x:v>0</x:v>
      </x:c>
    </x:row>
    <x:row r="3127">
      <x:c r="A3127" t="inlineStr">
        <x:is>
          <x:t xml:space="preserve">VELPLC001003</x:t>
        </x:is>
      </x:c>
      <x:c r="B3127" t="inlineStr">
        <x:is>
          <x:t xml:space="preserve">VELLUMOIDE EN PLANCHA 1/64 PLG X 1 MTS (ROLLO 50MTS)</x:t>
        </x:is>
      </x:c>
      <x:c r="E3127" t="n">
        <x:v>0</x:v>
      </x:c>
    </x:row>
    <x:row r="3128">
      <x:c r="A3128" t="inlineStr">
        <x:is>
          <x:t xml:space="preserve">VITPLC001997</x:t>
        </x:is>
      </x:c>
      <x:c r="B3128" t="inlineStr">
        <x:is>
          <x:t xml:space="preserve">EMPAQUETADURA 3/16 PLG 4.8MM VITON S/TELA</x:t>
        </x:is>
      </x:c>
      <x:c r="E3128" t="n">
        <x:v>0</x:v>
      </x:c>
    </x:row>
    <x:row r="3129">
      <x:c r="A3129" t="inlineStr">
        <x:is>
          <x:t xml:space="preserve">VITPLC001998</x:t>
        </x:is>
      </x:c>
      <x:c r="B3129" t="inlineStr">
        <x:is>
          <x:t xml:space="preserve">VITON DE 1/8 PLG DESPUNTES</x:t>
        </x:is>
      </x:c>
      <x:c r="E3129" t="n">
        <x:v>0</x:v>
      </x:c>
    </x:row>
    <x:row r="3130">
      <x:c r="A3130" t="inlineStr">
        <x:is>
          <x:t xml:space="preserve">VITPLC001999</x:t>
        </x:is>
      </x:c>
      <x:c r="B3130" t="inlineStr">
        <x:is>
          <x:t xml:space="preserve">VITON DE 1/4 PLG DESPUNTES</x:t>
        </x:is>
      </x:c>
      <x:c r="E3130" t="n">
        <x:v>0</x:v>
      </x:c>
    </x:row>
    <x:row r="3131">
      <x:c r="A3131" t="inlineStr">
        <x:is>
          <x:t xml:space="preserve">Z00001001001</x:t>
        </x:is>
      </x:c>
      <x:c r="B3131" t="inlineStr">
        <x:is>
          <x:t xml:space="preserve">1152920 EMPAQUE;LAMINADO .NOM 60X60 1&amp;8 DURABLA DURLON 9000</x:t>
        </x:is>
      </x:c>
      <x:c r="E3131" t="n">
        <x:v>0</x:v>
      </x:c>
    </x:row>
    <x:row r="3132">
      <x:c r="A3132" t="inlineStr">
        <x:is>
          <x:t xml:space="preserve">Z00001001002</x:t>
        </x:is>
      </x:c>
      <x:c r="B3132" t="inlineStr">
        <x:is>
          <x:t xml:space="preserve">1530905 EMPAQUE;GOMA EN PLANCHA,57 A 87 SHORE VITON 6 MM ESP.FORMATO 1 X 2 MTS</x:t>
        </x:is>
      </x:c>
      <x:c r="E3132" t="n">
        <x:v>0</x:v>
      </x:c>
    </x:row>
    <x:row r="3133">
      <x:c r="A3133" t="inlineStr">
        <x:is>
          <x:t xml:space="preserve">Z00001001003</x:t>
        </x:is>
      </x:c>
      <x:c r="B3133" t="inlineStr">
        <x:is>
          <x:t xml:space="preserve">1130494 EMPAQUE:SECCION CUADRADA ,NOM 5/8 IN  2007G-10C</x:t>
        </x:is>
      </x:c>
      <x:c r="E3133" t="n">
        <x:v>0</x:v>
      </x:c>
    </x:row>
    <x:row r="3134">
      <x:c r="A3134" t="inlineStr">
        <x:is>
          <x:t xml:space="preserve">Z00001001004</x:t>
        </x:is>
      </x:c>
      <x:c r="B3134" t="inlineStr">
        <x:is>
          <x:t xml:space="preserve">1180862 PLANCHA EMPAQUETADURAB  DURLON 9000 1/8 X 60 X 60 IN</x:t>
        </x:is>
      </x:c>
      <x:c r="E3134" t="n">
        <x:v>0</x:v>
      </x:c>
    </x:row>
    <x:row r="3135">
      <x:c r="A3135" t="inlineStr">
        <x:is>
          <x:t xml:space="preserve">Z00001001005</x:t>
        </x:is>
      </x:c>
      <x:c r="B3135" t="inlineStr">
        <x:is>
          <x:t xml:space="preserve">KG 1130490 EMPAQUETADURA SECCION CUADRADA NOM 1/2 IN  ( GFO -430)</x:t>
        </x:is>
      </x:c>
      <x:c r="E3135" t="n">
        <x:v>0</x:v>
      </x:c>
    </x:row>
    <x:row r="3136">
      <x:c r="A3136" t="inlineStr">
        <x:is>
          <x:t xml:space="preserve">Z00001001006</x:t>
        </x:is>
      </x:c>
      <x:c r="B3136" t="inlineStr">
        <x:is>
          <x:t xml:space="preserve">KG 1130451 EMPAQUETADURA SECCION CUADRADA NOM 3/8 IN (GFO-430)</x:t>
        </x:is>
      </x:c>
      <x:c r="E3136" t="n">
        <x:v>0</x:v>
      </x:c>
    </x:row>
    <x:row r="3137">
      <x:c r="A3137" t="inlineStr">
        <x:is>
          <x:t xml:space="preserve">Z00001001007</x:t>
        </x:is>
      </x:c>
      <x:c r="B3137" t="inlineStr">
        <x:is>
          <x:t xml:space="preserve">COD 1143581 TUBERIA ROLLO;NOM 50.8 MM , BRIDA.SCH 40 DIA 2 PLG X 400 MM</x:t>
        </x:is>
      </x:c>
      <x:c r="E3137" t="n">
        <x:v>0</x:v>
      </x:c>
    </x:row>
    <x:row r="3138">
      <x:c r="A3138" t="inlineStr">
        <x:is>
          <x:t xml:space="preserve">Z00001001008</x:t>
        </x:is>
      </x:c>
      <x:c r="B3138" t="inlineStr">
        <x:is>
          <x:t xml:space="preserve">COD 1143582 TUBERIA ROLLO; NOM 50.8 MM, BRIDA, SCH40 DIA 2PLG X 2568MM</x:t>
        </x:is>
      </x:c>
      <x:c r="E3138" t="n">
        <x:v>0</x:v>
      </x:c>
    </x:row>
    <x:row r="3139">
      <x:c r="A3139" t="inlineStr">
        <x:is>
          <x:t xml:space="preserve">z00001001009</x:t>
        </x:is>
      </x:c>
      <x:c r="B3139" t="inlineStr">
        <x:is>
          <x:t xml:space="preserve">COD 1117001 TUBERIA ROLLO;NOM 152,4 MM,BRIDA,SCH 40</x:t>
        </x:is>
      </x:c>
      <x:c r="E3139" t="n">
        <x:v>0</x:v>
      </x:c>
    </x:row>
    <x:row r="3140">
      <x:c r="A3140" t="inlineStr">
        <x:is>
          <x:t xml:space="preserve">Z00001001010</x:t>
        </x:is>
      </x:c>
      <x:c r="B3140" t="inlineStr">
        <x:is>
          <x:t xml:space="preserve">COD 1117001 TUBERIA ROLLO;NOM 152,4 MM,BRIDA,SCH 40</x:t>
        </x:is>
      </x:c>
      <x:c r="E3140" t="n">
        <x:v>0</x:v>
      </x:c>
    </x:row>
    <x:row r="3141">
      <x:c r="A3141" t="inlineStr">
        <x:is>
          <x:t xml:space="preserve">Z00001001011</x:t>
        </x:is>
      </x:c>
      <x:c r="B3141" t="inlineStr">
        <x:is>
          <x:t xml:space="preserve">COD 1117028 REDUCTOR TUBE T;INSTRUMENTACION DIA 6 PLG X 1 PLG</x:t>
        </x:is>
      </x:c>
      <x:c r="E3141" t="n">
        <x:v>0</x:v>
      </x:c>
    </x:row>
    <x:row r="3142">
      <x:c r="A3142" t="inlineStr">
        <x:is>
          <x:t xml:space="preserve">Z00001001012</x:t>
        </x:is>
      </x:c>
      <x:c r="B3142" t="inlineStr">
        <x:is>
          <x:t xml:space="preserve">COD 1117029 REDUCTOR TUBE T ;INSTUMENTACION DIA 6 PLG X 1 PLG</x:t>
        </x:is>
      </x:c>
      <x:c r="E3142" t="n">
        <x:v>0</x:v>
      </x:c>
    </x:row>
    <x:row r="3143">
      <x:c r="A3143" t="inlineStr">
        <x:is>
          <x:t xml:space="preserve">Z00001001013</x:t>
        </x:is>
      </x:c>
      <x:c r="B3143" t="inlineStr">
        <x:is>
          <x:t xml:space="preserve">1137858 SUJETADOR ESTACION DE MARTILLEO TRIXALON</x:t>
        </x:is>
      </x:c>
      <x:c r="E3143" t="n">
        <x:v>0</x:v>
      </x:c>
    </x:row>
    <x:row r="3144">
      <x:c r="A3144" t="inlineStr">
        <x:is>
          <x:t xml:space="preserve">Z00001001014</x:t>
        </x:is>
      </x:c>
      <x:c r="B3144" t="inlineStr">
        <x:is>
          <x:t xml:space="preserve">1299386 EMPAQUETADURA;BA-C DONIT,6 PLG X 1/8 ESP FF C/MANGUITO</x:t>
        </x:is>
      </x:c>
      <x:c r="E3144" t="n">
        <x:v>0</x:v>
      </x:c>
    </x:row>
    <x:row r="3145">
      <x:c r="A3145" t="inlineStr">
        <x:is>
          <x:t xml:space="preserve">Z00001001015</x:t>
        </x:is>
      </x:c>
      <x:c r="B3145" t="inlineStr">
        <x:is>
          <x:t xml:space="preserve">1230629 TUBERIA FLEX;CUELLO LARGO, NOM 12 IN</x:t>
        </x:is>
      </x:c>
      <x:c r="E3145" t="n">
        <x:v>0</x:v>
      </x:c>
    </x:row>
    <x:row r="3146">
      <x:c r="A3146" t="inlineStr">
        <x:is>
          <x:t xml:space="preserve">Z00001001016</x:t>
        </x:is>
      </x:c>
      <x:c r="B3146" t="inlineStr">
        <x:is>
          <x:t xml:space="preserve">1121729 TOBERA;POLIPROPILENO,SUPERIOR,UHMW</x:t>
        </x:is>
      </x:c>
      <x:c r="E3146" t="n">
        <x:v>12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4.25"/>
  <x:sheetData>
    <x:row r="1">
      <x:c r="A1" t="inlineStr">
        <x:is>
          <x:t xml:space="preserve">Código</x:t>
        </x:is>
      </x:c>
      <x:c r="B1" t="inlineStr">
        <x:is>
          <x:t xml:space="preserve">Descripción</x:t>
        </x:is>
      </x:c>
      <x:c r="C1" s="8" t="inlineStr">
        <x:is>
          <x:t xml:space="preserve">Saldo Anterior</x:t>
        </x:is>
      </x:c>
      <x:c r="D1" s="8" t="inlineStr">
        <x:is>
          <x:t xml:space="preserve">Entrada</x:t>
        </x:is>
      </x:c>
      <x:c r="E1" s="8" t="inlineStr">
        <x:is>
          <x:t xml:space="preserve">Salida</x:t>
        </x:is>
      </x:c>
      <x:c r="F1" s="8" t="inlineStr">
        <x:is>
          <x:t xml:space="preserve">Saldo</x:t>
        </x:is>
      </x:c>
      <x:c r="G1" s="9" t="inlineStr">
        <x:is>
          <x:t xml:space="preserve">SaldoAnterior</x:t>
        </x:is>
      </x:c>
      <x:c r="H1" s="9" t="inlineStr">
        <x:is>
          <x:t xml:space="preserve">Entrada</x:t>
        </x:is>
      </x:c>
      <x:c r="I1" s="9" t="inlineStr">
        <x:is>
          <x:t xml:space="preserve">Salida</x:t>
        </x:is>
      </x:c>
      <x:c r="J1" s="9" t="inlineStr">
        <x:is>
          <x:t xml:space="preserve">Saldo</x:t>
        </x:is>
      </x:c>
      <x:c r="K1" s="10" t="inlineStr">
        <x:is>
          <x:t xml:space="preserve">Costo Unitario</x:t>
        </x:is>
      </x:c>
    </x:row>
    <x:row r="2">
      <x:c r="A2" t="inlineStr">
        <x:is>
          <x:t xml:space="preserve">BACFIBTAP006</x:t>
        </x:is>
      </x:c>
      <x:c r="B2" t="inlineStr">
        <x:is>
          <x:t xml:space="preserve">BACKING TAPE 2" X 1/16 TCHK X 100FT ROLL -</x:t>
        </x:is>
      </x:c>
      <x:c r="C2" s="8" t="n">
        <x:v>834</x:v>
      </x:c>
      <x:c r="D2" s="8" t="n">
        <x:v>0</x:v>
      </x:c>
      <x:c r="E2" s="8" t="n">
        <x:v>0</x:v>
      </x:c>
      <x:c r="F2" s="8" t="n">
        <x:v>834</x:v>
      </x:c>
      <x:c r="G2" s="9" t="n">
        <x:v>13890560</x:v>
      </x:c>
      <x:c r="H2" s="9" t="n">
        <x:v>0</x:v>
      </x:c>
      <x:c r="I2" s="9" t="n">
        <x:v>0</x:v>
      </x:c>
      <x:c r="J2" s="9" t="n">
        <x:v>13890560</x:v>
      </x:c>
      <x:c r="K2" s="10" t="n">
        <x:v>16655.336776</x:v>
      </x:c>
    </x:row>
    <x:row r="3">
      <x:c r="A3" t="inlineStr">
        <x:is>
          <x:t xml:space="preserve">BARTEFFIV020</x:t>
        </x:is>
      </x:c>
      <x:c r="B3" t="inlineStr">
        <x:is>
          <x:t xml:space="preserve">BOCInA PTFE-FIV 90 X 40 X 300 MM</x:t>
        </x:is>
      </x:c>
      <x:c r="C3" s="8" t="n">
        <x:v>3</x:v>
      </x:c>
      <x:c r="D3" s="8" t="n">
        <x:v>0</x:v>
      </x:c>
      <x:c r="E3" s="8" t="n">
        <x:v>0</x:v>
      </x:c>
      <x:c r="F3" s="8" t="n">
        <x:v>3</x:v>
      </x:c>
      <x:c r="G3" s="9" t="n">
        <x:v>165000</x:v>
      </x:c>
      <x:c r="H3" s="9" t="n">
        <x:v>0</x:v>
      </x:c>
      <x:c r="I3" s="9" t="n">
        <x:v>0</x:v>
      </x:c>
      <x:c r="J3" s="9" t="n">
        <x:v>165000</x:v>
      </x:c>
      <x:c r="K3" s="10" t="n">
        <x:v>55000</x:v>
      </x:c>
    </x:row>
    <x:row r="4">
      <x:c r="A4" t="inlineStr">
        <x:is>
          <x:t xml:space="preserve">BARTEFFIV042</x:t>
        </x:is>
      </x:c>
      <x:c r="B4" t="inlineStr">
        <x:is>
          <x:t xml:space="preserve">BOCINA PTFE/FIV OD 250 X ID 230 X 220 MM</x:t>
        </x:is>
      </x:c>
      <x:c r="C4" s="8" t="n">
        <x:v>8</x:v>
      </x:c>
      <x:c r="D4" s="8" t="n">
        <x:v>0</x:v>
      </x:c>
      <x:c r="E4" s="8" t="n">
        <x:v>0</x:v>
      </x:c>
      <x:c r="F4" s="8" t="n">
        <x:v>8</x:v>
      </x:c>
      <x:c r="G4" s="9" t="n">
        <x:v>334801</x:v>
      </x:c>
      <x:c r="H4" s="9" t="n">
        <x:v>0</x:v>
      </x:c>
      <x:c r="I4" s="9" t="n">
        <x:v>0</x:v>
      </x:c>
      <x:c r="J4" s="9" t="n">
        <x:v>334801</x:v>
      </x:c>
      <x:c r="K4" s="10" t="n">
        <x:v>41850.125</x:v>
      </x:c>
    </x:row>
    <x:row r="5">
      <x:c r="A5" t="inlineStr">
        <x:is>
          <x:t xml:space="preserve">BARTEFFIV043</x:t>
        </x:is>
      </x:c>
      <x:c r="B5" t="inlineStr">
        <x:is>
          <x:t xml:space="preserve">BOCINA PTFE/FIV OD 300 X ID 270 X 275 MM</x:t>
        </x:is>
      </x:c>
      <x:c r="C5" s="8" t="n">
        <x:v>3</x:v>
      </x:c>
      <x:c r="D5" s="8" t="n">
        <x:v>0</x:v>
      </x:c>
      <x:c r="E5" s="8" t="n">
        <x:v>0</x:v>
      </x:c>
      <x:c r="F5" s="8" t="n">
        <x:v>3</x:v>
      </x:c>
      <x:c r="G5" s="9" t="n">
        <x:v>275094</x:v>
      </x:c>
      <x:c r="H5" s="9" t="n">
        <x:v>0</x:v>
      </x:c>
      <x:c r="I5" s="9" t="n">
        <x:v>0</x:v>
      </x:c>
      <x:c r="J5" s="9" t="n">
        <x:v>275094</x:v>
      </x:c>
      <x:c r="K5" s="10" t="n">
        <x:v>91698</x:v>
      </x:c>
    </x:row>
    <x:row r="6">
      <x:c r="A6" t="inlineStr">
        <x:is>
          <x:t xml:space="preserve">BARTEFFIV044</x:t>
        </x:is>
      </x:c>
      <x:c r="B6" t="inlineStr">
        <x:is>
          <x:t xml:space="preserve">BOCINA PTFE/FIV OD 270 X ID 240 X 290 MM</x:t>
        </x:is>
      </x:c>
      <x:c r="C6" s="8" t="n">
        <x:v>2</x:v>
      </x:c>
      <x:c r="D6" s="8" t="n">
        <x:v>0</x:v>
      </x:c>
      <x:c r="E6" s="8" t="n">
        <x:v>0</x:v>
      </x:c>
      <x:c r="F6" s="8" t="n">
        <x:v>2</x:v>
      </x:c>
      <x:c r="G6" s="9" t="n">
        <x:v>168426</x:v>
      </x:c>
      <x:c r="H6" s="9" t="n">
        <x:v>0</x:v>
      </x:c>
      <x:c r="I6" s="9" t="n">
        <x:v>0</x:v>
      </x:c>
      <x:c r="J6" s="9" t="n">
        <x:v>168426</x:v>
      </x:c>
      <x:c r="K6" s="10" t="n">
        <x:v>84213</x:v>
      </x:c>
    </x:row>
    <x:row r="7">
      <x:c r="A7" t="inlineStr">
        <x:is>
          <x:t xml:space="preserve">BARTEFFIV045</x:t>
        </x:is>
      </x:c>
      <x:c r="B7" t="inlineStr">
        <x:is>
          <x:t xml:space="preserve">BOCINA PTFE/FIV OD 310 X ID 260 X 240 MM</x:t>
        </x:is>
      </x:c>
      <x:c r="C7" s="8" t="n">
        <x:v>3</x:v>
      </x:c>
      <x:c r="D7" s="8" t="n">
        <x:v>0</x:v>
      </x:c>
      <x:c r="E7" s="8" t="n">
        <x:v>0</x:v>
      </x:c>
      <x:c r="F7" s="8" t="n">
        <x:v>3</x:v>
      </x:c>
      <x:c r="G7" s="9" t="n">
        <x:v>374922</x:v>
      </x:c>
      <x:c r="H7" s="9" t="n">
        <x:v>0</x:v>
      </x:c>
      <x:c r="I7" s="9" t="n">
        <x:v>0</x:v>
      </x:c>
      <x:c r="J7" s="9" t="n">
        <x:v>374922</x:v>
      </x:c>
      <x:c r="K7" s="10" t="n">
        <x:v>124974</x:v>
      </x:c>
    </x:row>
    <x:row r="8">
      <x:c r="A8" t="inlineStr">
        <x:is>
          <x:t xml:space="preserve">BARTEFFIV047</x:t>
        </x:is>
      </x:c>
      <x:c r="B8" t="inlineStr">
        <x:is>
          <x:t xml:space="preserve">BOCINA PTFE/FIV OD 240 X ID 180 X 300 MM</x:t>
        </x:is>
      </x:c>
      <x:c r="C8" s="8" t="n">
        <x:v>10</x:v>
      </x:c>
      <x:c r="D8" s="8" t="n">
        <x:v>0</x:v>
      </x:c>
      <x:c r="E8" s="8" t="n">
        <x:v>3</x:v>
      </x:c>
      <x:c r="F8" s="8" t="n">
        <x:v>7</x:v>
      </x:c>
      <x:c r="G8" s="9" t="n">
        <x:v>1180410</x:v>
      </x:c>
      <x:c r="H8" s="9" t="n">
        <x:v>0</x:v>
      </x:c>
      <x:c r="I8" s="9" t="n">
        <x:v>354123</x:v>
      </x:c>
      <x:c r="J8" s="9" t="n">
        <x:v>826287</x:v>
      </x:c>
      <x:c r="K8" s="10" t="n">
        <x:v>118041</x:v>
      </x:c>
    </x:row>
    <x:row r="9">
      <x:c r="A9" t="inlineStr">
        <x:is>
          <x:t xml:space="preserve">BARTEFFIV050</x:t>
        </x:is>
      </x:c>
      <x:c r="B9" t="inlineStr">
        <x:is>
          <x:t xml:space="preserve">BOCINA PTFE/FIV OD 170 X ID 125 X 300 MM</x:t>
        </x:is>
      </x:c>
      <x:c r="C9" s="8" t="n">
        <x:v>1</x:v>
      </x:c>
      <x:c r="D9" s="8" t="n">
        <x:v>0</x:v>
      </x:c>
      <x:c r="E9" s="8" t="n">
        <x:v>0</x:v>
      </x:c>
      <x:c r="F9" s="8" t="n">
        <x:v>1</x:v>
      </x:c>
      <x:c r="G9" s="9" t="n">
        <x:v>85260</x:v>
      </x:c>
      <x:c r="H9" s="9" t="n">
        <x:v>0</x:v>
      </x:c>
      <x:c r="I9" s="9" t="n">
        <x:v>0</x:v>
      </x:c>
      <x:c r="J9" s="9" t="n">
        <x:v>85260</x:v>
      </x:c>
      <x:c r="K9" s="10" t="n">
        <x:v>85260</x:v>
      </x:c>
    </x:row>
    <x:row r="10">
      <x:c r="A10" t="inlineStr">
        <x:is>
          <x:t xml:space="preserve">BARTEFFIV052</x:t>
        </x:is>
      </x:c>
      <x:c r="B10" t="inlineStr">
        <x:is>
          <x:t xml:space="preserve">BOCINA PTFE/FIV OD 260 X ID 230 X 200 MM</x:t>
        </x:is>
      </x:c>
      <x:c r="C10" s="8" t="n">
        <x:v>12</x:v>
      </x:c>
      <x:c r="D10" s="8" t="n">
        <x:v>0</x:v>
      </x:c>
      <x:c r="E10" s="8" t="n">
        <x:v>0</x:v>
      </x:c>
      <x:c r="F10" s="8" t="n">
        <x:v>12</x:v>
      </x:c>
      <x:c r="G10" s="9" t="n">
        <x:v>589795</x:v>
      </x:c>
      <x:c r="H10" s="9" t="n">
        <x:v>0</x:v>
      </x:c>
      <x:c r="I10" s="9" t="n">
        <x:v>0</x:v>
      </x:c>
      <x:c r="J10" s="9" t="n">
        <x:v>589795</x:v>
      </x:c>
      <x:c r="K10" s="10" t="n">
        <x:v>49149.583333</x:v>
      </x:c>
    </x:row>
    <x:row r="11">
      <x:c r="A11" t="inlineStr">
        <x:is>
          <x:t xml:space="preserve">BARTEFFIV054</x:t>
        </x:is>
      </x:c>
      <x:c r="B11" t="inlineStr">
        <x:is>
          <x:t xml:space="preserve">BOCINA PTFE/FIV OD 250 X ID 210 X 170 MM</x:t>
        </x:is>
      </x:c>
      <x:c r="C11" s="8" t="n">
        <x:v>2</x:v>
      </x:c>
      <x:c r="D11" s="8" t="n">
        <x:v>0</x:v>
      </x:c>
      <x:c r="E11" s="8" t="n">
        <x:v>0</x:v>
      </x:c>
      <x:c r="F11" s="8" t="n">
        <x:v>2</x:v>
      </x:c>
      <x:c r="G11" s="9" t="n">
        <x:v>91256</x:v>
      </x:c>
      <x:c r="H11" s="9" t="n">
        <x:v>0</x:v>
      </x:c>
      <x:c r="I11" s="9" t="n">
        <x:v>0</x:v>
      </x:c>
      <x:c r="J11" s="9" t="n">
        <x:v>91256</x:v>
      </x:c>
      <x:c r="K11" s="10" t="n">
        <x:v>45628</x:v>
      </x:c>
    </x:row>
    <x:row r="12">
      <x:c r="A12" t="inlineStr">
        <x:is>
          <x:t xml:space="preserve">BARTEFFIV055</x:t>
        </x:is>
      </x:c>
      <x:c r="B12" t="inlineStr">
        <x:is>
          <x:t xml:space="preserve">BOCINA PTFE/FIV OD 250 X ID 210 X 220 MM</x:t>
        </x:is>
      </x:c>
      <x:c r="C12" s="8" t="n">
        <x:v>2</x:v>
      </x:c>
      <x:c r="D12" s="8" t="n">
        <x:v>0</x:v>
      </x:c>
      <x:c r="E12" s="8" t="n">
        <x:v>0</x:v>
      </x:c>
      <x:c r="F12" s="8" t="n">
        <x:v>2</x:v>
      </x:c>
      <x:c r="G12" s="9" t="n">
        <x:v>118082</x:v>
      </x:c>
      <x:c r="H12" s="9" t="n">
        <x:v>0</x:v>
      </x:c>
      <x:c r="I12" s="9" t="n">
        <x:v>0</x:v>
      </x:c>
      <x:c r="J12" s="9" t="n">
        <x:v>118082</x:v>
      </x:c>
      <x:c r="K12" s="10" t="n">
        <x:v>59041</x:v>
      </x:c>
    </x:row>
    <x:row r="13">
      <x:c r="A13" t="inlineStr">
        <x:is>
          <x:t xml:space="preserve">BARTEFFIV056</x:t>
        </x:is>
      </x:c>
      <x:c r="B13" t="inlineStr">
        <x:is>
          <x:t xml:space="preserve">BOCINA PTFE/FIV OD  250 X ID 190 X 300 MM</x:t>
        </x:is>
      </x:c>
      <x:c r="C13" s="8" t="n">
        <x:v>32</x:v>
      </x:c>
      <x:c r="D13" s="8" t="n">
        <x:v>0</x:v>
      </x:c>
      <x:c r="E13" s="8" t="n">
        <x:v>0</x:v>
      </x:c>
      <x:c r="F13" s="8" t="n">
        <x:v>32</x:v>
      </x:c>
      <x:c r="G13" s="9" t="n">
        <x:v>2403648</x:v>
      </x:c>
      <x:c r="H13" s="9" t="n">
        <x:v>0</x:v>
      </x:c>
      <x:c r="I13" s="9" t="n">
        <x:v>0</x:v>
      </x:c>
      <x:c r="J13" s="9" t="n">
        <x:v>2403648</x:v>
      </x:c>
      <x:c r="K13" s="10" t="n">
        <x:v>75114</x:v>
      </x:c>
    </x:row>
    <x:row r="14">
      <x:c r="A14" t="inlineStr">
        <x:is>
          <x:t xml:space="preserve">BARTEFFIV057</x:t>
        </x:is>
      </x:c>
      <x:c r="B14" t="inlineStr">
        <x:is>
          <x:t xml:space="preserve">BOCINA PTFE/FIV OD 200 X ID 145 X 300 MM</x:t>
        </x:is>
      </x:c>
      <x:c r="C14" s="8" t="n">
        <x:v>2</x:v>
      </x:c>
      <x:c r="D14" s="8" t="n">
        <x:v>0</x:v>
      </x:c>
      <x:c r="E14" s="8" t="n">
        <x:v>0</x:v>
      </x:c>
      <x:c r="F14" s="8" t="n">
        <x:v>2</x:v>
      </x:c>
      <x:c r="G14" s="9" t="n">
        <x:v>243400</x:v>
      </x:c>
      <x:c r="H14" s="9" t="n">
        <x:v>0</x:v>
      </x:c>
      <x:c r="I14" s="9" t="n">
        <x:v>0</x:v>
      </x:c>
      <x:c r="J14" s="9" t="n">
        <x:v>243400</x:v>
      </x:c>
      <x:c r="K14" s="10" t="n">
        <x:v>121700</x:v>
      </x:c>
    </x:row>
    <x:row r="15">
      <x:c r="A15" t="inlineStr">
        <x:is>
          <x:t xml:space="preserve">BARTEFFIV060</x:t>
        </x:is>
      </x:c>
      <x:c r="B15" t="inlineStr">
        <x:is>
          <x:t xml:space="preserve">BOCINA PTFE/FIV OD 120 X ID 70 X 300 MM</x:t>
        </x:is>
      </x:c>
      <x:c r="C15" s="8" t="n">
        <x:v>2</x:v>
      </x:c>
      <x:c r="D15" s="8" t="n">
        <x:v>0</x:v>
      </x:c>
      <x:c r="E15" s="8" t="n">
        <x:v>1</x:v>
      </x:c>
      <x:c r="F15" s="8" t="n">
        <x:v>1</x:v>
      </x:c>
      <x:c r="G15" s="9" t="n">
        <x:v>122062</x:v>
      </x:c>
      <x:c r="H15" s="9" t="n">
        <x:v>0</x:v>
      </x:c>
      <x:c r="I15" s="9" t="n">
        <x:v>61031</x:v>
      </x:c>
      <x:c r="J15" s="9" t="n">
        <x:v>61031</x:v>
      </x:c>
      <x:c r="K15" s="10" t="n">
        <x:v>61031</x:v>
      </x:c>
    </x:row>
    <x:row r="16">
      <x:c r="A16" t="inlineStr">
        <x:is>
          <x:t xml:space="preserve">BARTEFFIV061</x:t>
        </x:is>
      </x:c>
      <x:c r="B16" t="inlineStr">
        <x:is>
          <x:t xml:space="preserve">BOCINA PTFE/FIV OD 250 X ID 200 X 220 MM</x:t>
        </x:is>
      </x:c>
      <x:c r="C16" s="8" t="n">
        <x:v>5</x:v>
      </x:c>
      <x:c r="D16" s="8" t="n">
        <x:v>0</x:v>
      </x:c>
      <x:c r="E16" s="8" t="n">
        <x:v>2</x:v>
      </x:c>
      <x:c r="F16" s="8" t="n">
        <x:v>3</x:v>
      </x:c>
      <x:c r="G16" s="9" t="n">
        <x:v>541085</x:v>
      </x:c>
      <x:c r="H16" s="9" t="n">
        <x:v>0</x:v>
      </x:c>
      <x:c r="I16" s="9" t="n">
        <x:v>216434</x:v>
      </x:c>
      <x:c r="J16" s="9" t="n">
        <x:v>324651</x:v>
      </x:c>
      <x:c r="K16" s="10" t="n">
        <x:v>108217</x:v>
      </x:c>
    </x:row>
    <x:row r="17">
      <x:c r="A17" t="inlineStr">
        <x:is>
          <x:t xml:space="preserve">BARTEFFIV062</x:t>
        </x:is>
      </x:c>
      <x:c r="B17" t="inlineStr">
        <x:is>
          <x:t xml:space="preserve">BOCINA PTFE/FIV OD 250 X ID 200 X 170 MM</x:t>
        </x:is>
      </x:c>
      <x:c r="C17" s="8" t="n">
        <x:v>2</x:v>
      </x:c>
      <x:c r="D17" s="8" t="n">
        <x:v>0</x:v>
      </x:c>
      <x:c r="E17" s="8" t="n">
        <x:v>0</x:v>
      </x:c>
      <x:c r="F17" s="8" t="n">
        <x:v>2</x:v>
      </x:c>
      <x:c r="G17" s="9" t="n">
        <x:v>167322</x:v>
      </x:c>
      <x:c r="H17" s="9" t="n">
        <x:v>0</x:v>
      </x:c>
      <x:c r="I17" s="9" t="n">
        <x:v>0</x:v>
      </x:c>
      <x:c r="J17" s="9" t="n">
        <x:v>167322</x:v>
      </x:c>
      <x:c r="K17" s="10" t="n">
        <x:v>83661</x:v>
      </x:c>
    </x:row>
    <x:row r="18">
      <x:c r="A18" t="inlineStr">
        <x:is>
          <x:t xml:space="preserve">BARTEFFIV063</x:t>
        </x:is>
      </x:c>
      <x:c r="B18" t="inlineStr">
        <x:is>
          <x:t xml:space="preserve">BOCINA PTFE/FIV OD 180 X ID 130 X 300MM</x:t>
        </x:is>
      </x:c>
      <x:c r="C18" s="8" t="n">
        <x:v>4</x:v>
      </x:c>
      <x:c r="D18" s="8" t="n">
        <x:v>0</x:v>
      </x:c>
      <x:c r="E18" s="8" t="n">
        <x:v>1</x:v>
      </x:c>
      <x:c r="F18" s="8" t="n">
        <x:v>3</x:v>
      </x:c>
      <x:c r="G18" s="9" t="n">
        <x:v>398156</x:v>
      </x:c>
      <x:c r="H18" s="9" t="n">
        <x:v>0</x:v>
      </x:c>
      <x:c r="I18" s="9" t="n">
        <x:v>99539</x:v>
      </x:c>
      <x:c r="J18" s="9" t="n">
        <x:v>298617</x:v>
      </x:c>
      <x:c r="K18" s="10" t="n">
        <x:v>99539</x:v>
      </x:c>
    </x:row>
    <x:row r="19">
      <x:c r="A19" t="inlineStr">
        <x:is>
          <x:t xml:space="preserve">BARTEFFIV064</x:t>
        </x:is>
      </x:c>
      <x:c r="B19" t="inlineStr">
        <x:is>
          <x:t xml:space="preserve">BARRA PTFE/FIV OD 70 X 1000 MM</x:t>
        </x:is>
      </x:c>
      <x:c r="C19" s="8" t="n">
        <x:v>3</x:v>
      </x:c>
      <x:c r="D19" s="8" t="n">
        <x:v>0</x:v>
      </x:c>
      <x:c r="E19" s="8" t="n">
        <x:v>0</x:v>
      </x:c>
      <x:c r="F19" s="8" t="n">
        <x:v>3</x:v>
      </x:c>
      <x:c r="G19" s="9" t="n">
        <x:v>397743</x:v>
      </x:c>
      <x:c r="H19" s="9" t="n">
        <x:v>0</x:v>
      </x:c>
      <x:c r="I19" s="9" t="n">
        <x:v>0</x:v>
      </x:c>
      <x:c r="J19" s="9" t="n">
        <x:v>397743</x:v>
      </x:c>
      <x:c r="K19" s="10" t="n">
        <x:v>132581</x:v>
      </x:c>
    </x:row>
    <x:row r="20">
      <x:c r="A20" t="inlineStr">
        <x:is>
          <x:t xml:space="preserve">BARTEFFIV066</x:t>
        </x:is>
      </x:c>
      <x:c r="B20" t="inlineStr">
        <x:is>
          <x:t xml:space="preserve">BOCINA PTFE/FIV OD 248 X ID 196 X 300 MM</x:t>
        </x:is>
      </x:c>
      <x:c r="C20" s="8" t="n">
        <x:v>20</x:v>
      </x:c>
      <x:c r="D20" s="8" t="n">
        <x:v>0</x:v>
      </x:c>
      <x:c r="E20" s="8" t="n">
        <x:v>0</x:v>
      </x:c>
      <x:c r="F20" s="8" t="n">
        <x:v>20</x:v>
      </x:c>
      <x:c r="G20" s="9" t="n">
        <x:v>2728220</x:v>
      </x:c>
      <x:c r="H20" s="9" t="n">
        <x:v>0</x:v>
      </x:c>
      <x:c r="I20" s="9" t="n">
        <x:v>0</x:v>
      </x:c>
      <x:c r="J20" s="9" t="n">
        <x:v>2728220</x:v>
      </x:c>
      <x:c r="K20" s="10" t="n">
        <x:v>136411</x:v>
      </x:c>
    </x:row>
    <x:row r="21">
      <x:c r="A21" t="inlineStr">
        <x:is>
          <x:t xml:space="preserve">BARTEFPUR004</x:t>
        </x:is>
      </x:c>
      <x:c r="B21" t="inlineStr">
        <x:is>
          <x:t xml:space="preserve">BARRA TEFLON PURO 100x1000 mm c/u</x:t>
        </x:is>
      </x:c>
      <x:c r="C21" s="8" t="n">
        <x:v>1</x:v>
      </x:c>
      <x:c r="D21" s="8" t="n">
        <x:v>0</x:v>
      </x:c>
      <x:c r="E21" s="8" t="n">
        <x:v>0</x:v>
      </x:c>
      <x:c r="F21" s="8" t="n">
        <x:v>1</x:v>
      </x:c>
      <x:c r="G21" s="9" t="n">
        <x:v>360000</x:v>
      </x:c>
      <x:c r="H21" s="9" t="n">
        <x:v>0</x:v>
      </x:c>
      <x:c r="I21" s="9" t="n">
        <x:v>0</x:v>
      </x:c>
      <x:c r="J21" s="9" t="n">
        <x:v>360000</x:v>
      </x:c>
      <x:c r="K21" s="10" t="n">
        <x:v>360000</x:v>
      </x:c>
    </x:row>
    <x:row r="22">
      <x:c r="A22" t="inlineStr">
        <x:is>
          <x:t xml:space="preserve">BARTEFPUR007</x:t>
        </x:is>
      </x:c>
      <x:c r="B22" t="inlineStr">
        <x:is>
          <x:t xml:space="preserve">BARRA TEFLON PURO DIAM 120 MM x 220MM</x:t>
        </x:is>
      </x:c>
      <x:c r="C22" s="8" t="n">
        <x:v>0</x:v>
      </x:c>
      <x:c r="D22" s="8" t="n">
        <x:v>20</x:v>
      </x:c>
      <x:c r="E22" s="8" t="n">
        <x:v>0</x:v>
      </x:c>
      <x:c r="F22" s="8" t="n">
        <x:v>20</x:v>
      </x:c>
      <x:c r="G22" s="9" t="n">
        <x:v>0</x:v>
      </x:c>
      <x:c r="H22" s="9" t="n">
        <x:v>1566800</x:v>
      </x:c>
      <x:c r="I22" s="9" t="n">
        <x:v>0</x:v>
      </x:c>
      <x:c r="J22" s="9" t="n">
        <x:v>1566800</x:v>
      </x:c>
      <x:c r="K22" s="10" t="n">
        <x:v>78340</x:v>
      </x:c>
    </x:row>
    <x:row r="23">
      <x:c r="A23" t="inlineStr">
        <x:is>
          <x:t xml:space="preserve">BARTEFPUR008</x:t>
        </x:is>
      </x:c>
      <x:c r="B23" t="inlineStr">
        <x:is>
          <x:t xml:space="preserve">BARRA TEFLON PURO DIAM 130 MM x 220MM</x:t>
        </x:is>
      </x:c>
      <x:c r="C23" s="8" t="n">
        <x:v>0</x:v>
      </x:c>
      <x:c r="D23" s="8" t="n">
        <x:v>42</x:v>
      </x:c>
      <x:c r="E23" s="8" t="n">
        <x:v>0</x:v>
      </x:c>
      <x:c r="F23" s="8" t="n">
        <x:v>42</x:v>
      </x:c>
      <x:c r="G23" s="9" t="n">
        <x:v>0</x:v>
      </x:c>
      <x:c r="H23" s="9" t="n">
        <x:v>3998022</x:v>
      </x:c>
      <x:c r="I23" s="9" t="n">
        <x:v>0</x:v>
      </x:c>
      <x:c r="J23" s="9" t="n">
        <x:v>3998022</x:v>
      </x:c>
      <x:c r="K23" s="10" t="n">
        <x:v>95191</x:v>
      </x:c>
    </x:row>
    <x:row r="24">
      <x:c r="A24" t="inlineStr">
        <x:is>
          <x:t xml:space="preserve">COMPRADIR002</x:t>
        </x:is>
      </x:c>
      <x:c r="B24" t="inlineStr">
        <x:is>
          <x:t xml:space="preserve">Disco de lija para lijadora orbital 4 1/2 grano 60</x:t>
        </x:is>
      </x:c>
      <x:c r="C24" s="8" t="n">
        <x:v>97</x:v>
      </x:c>
      <x:c r="D24" s="8" t="n">
        <x:v>0</x:v>
      </x:c>
      <x:c r="E24" s="8" t="n">
        <x:v>0</x:v>
      </x:c>
      <x:c r="F24" s="8" t="n">
        <x:v>97</x:v>
      </x:c>
      <x:c r="G24" s="9" t="n">
        <x:v>39770</x:v>
      </x:c>
      <x:c r="H24" s="9" t="n">
        <x:v>0</x:v>
      </x:c>
      <x:c r="I24" s="9" t="n">
        <x:v>0</x:v>
      </x:c>
      <x:c r="J24" s="9" t="n">
        <x:v>39770</x:v>
      </x:c>
      <x:c r="K24" s="10" t="n">
        <x:v>410</x:v>
      </x:c>
    </x:row>
    <x:row r="25">
      <x:c r="A25" t="inlineStr">
        <x:is>
          <x:t xml:space="preserve">COMPRADIR003</x:t>
        </x:is>
      </x:c>
      <x:c r="B25" t="inlineStr">
        <x:is>
          <x:t xml:space="preserve">Disco de lija para lijadora orbital 4 1/2 grano 80</x:t>
        </x:is>
      </x:c>
      <x:c r="C25" s="8" t="n">
        <x:v>50</x:v>
      </x:c>
      <x:c r="D25" s="8" t="n">
        <x:v>0</x:v>
      </x:c>
      <x:c r="E25" s="8" t="n">
        <x:v>0</x:v>
      </x:c>
      <x:c r="F25" s="8" t="n">
        <x:v>50</x:v>
      </x:c>
      <x:c r="G25" s="9" t="n">
        <x:v>20500</x:v>
      </x:c>
      <x:c r="H25" s="9" t="n">
        <x:v>0</x:v>
      </x:c>
      <x:c r="I25" s="9" t="n">
        <x:v>0</x:v>
      </x:c>
      <x:c r="J25" s="9" t="n">
        <x:v>20500</x:v>
      </x:c>
      <x:c r="K25" s="10" t="n">
        <x:v>410</x:v>
      </x:c>
    </x:row>
    <x:row r="26">
      <x:c r="A26" t="inlineStr">
        <x:is>
          <x:t xml:space="preserve">COMPRADIR004</x:t>
        </x:is>
      </x:c>
      <x:c r="B26" t="inlineStr">
        <x:is>
          <x:t xml:space="preserve">Disco de lija para lijadora orbital 4 1/2 grano 100</x:t>
        </x:is>
      </x:c>
      <x:c r="C26" s="8" t="n">
        <x:v>50</x:v>
      </x:c>
      <x:c r="D26" s="8" t="n">
        <x:v>0</x:v>
      </x:c>
      <x:c r="E26" s="8" t="n">
        <x:v>0</x:v>
      </x:c>
      <x:c r="F26" s="8" t="n">
        <x:v>50</x:v>
      </x:c>
      <x:c r="G26" s="9" t="n">
        <x:v>20500</x:v>
      </x:c>
      <x:c r="H26" s="9" t="n">
        <x:v>0</x:v>
      </x:c>
      <x:c r="I26" s="9" t="n">
        <x:v>0</x:v>
      </x:c>
      <x:c r="J26" s="9" t="n">
        <x:v>20500</x:v>
      </x:c>
      <x:c r="K26" s="10" t="n">
        <x:v>410</x:v>
      </x:c>
    </x:row>
    <x:row r="27">
      <x:c r="A27" t="inlineStr">
        <x:is>
          <x:t xml:space="preserve">COMPRADIR005</x:t>
        </x:is>
      </x:c>
      <x:c r="B27" t="inlineStr">
        <x:is>
          <x:t xml:space="preserve">Disco de lija para lijadora orbital 4 1/2 grano 120</x:t>
        </x:is>
      </x:c>
      <x:c r="C27" s="8" t="n">
        <x:v>50</x:v>
      </x:c>
      <x:c r="D27" s="8" t="n">
        <x:v>0</x:v>
      </x:c>
      <x:c r="E27" s="8" t="n">
        <x:v>0</x:v>
      </x:c>
      <x:c r="F27" s="8" t="n">
        <x:v>50</x:v>
      </x:c>
      <x:c r="G27" s="9" t="n">
        <x:v>20500</x:v>
      </x:c>
      <x:c r="H27" s="9" t="n">
        <x:v>0</x:v>
      </x:c>
      <x:c r="I27" s="9" t="n">
        <x:v>0</x:v>
      </x:c>
      <x:c r="J27" s="9" t="n">
        <x:v>20500</x:v>
      </x:c>
      <x:c r="K27" s="10" t="n">
        <x:v>410</x:v>
      </x:c>
    </x:row>
    <x:row r="28">
      <x:c r="A28" t="inlineStr">
        <x:is>
          <x:t xml:space="preserve">CPVCOD090008</x:t>
        </x:is>
      </x:c>
      <x:c r="B28" t="inlineStr">
        <x:is>
          <x:t xml:space="preserve">CODO CPVC SCH 80 90° - 8"</x:t>
        </x:is>
      </x:c>
      <x:c r="C28" s="8" t="n">
        <x:v>16</x:v>
      </x:c>
      <x:c r="D28" s="8" t="n">
        <x:v>0</x:v>
      </x:c>
      <x:c r="E28" s="8" t="n">
        <x:v>0</x:v>
      </x:c>
      <x:c r="F28" s="8" t="n">
        <x:v>16</x:v>
      </x:c>
      <x:c r="G28" s="9" t="n">
        <x:v>1860976</x:v>
      </x:c>
      <x:c r="H28" s="9" t="n">
        <x:v>0</x:v>
      </x:c>
      <x:c r="I28" s="9" t="n">
        <x:v>0</x:v>
      </x:c>
      <x:c r="J28" s="9" t="n">
        <x:v>1860976</x:v>
      </x:c>
      <x:c r="K28" s="10" t="n">
        <x:v>116311</x:v>
      </x:c>
    </x:row>
    <x:row r="29">
      <x:c r="A29" t="inlineStr">
        <x:is>
          <x:t xml:space="preserve">CPVFLNSTN003</x:t>
        </x:is>
      </x:c>
      <x:c r="B29" t="inlineStr">
        <x:is>
          <x:t xml:space="preserve">FLANGE CPVC STONE SOC CL150 -  3"</x:t>
        </x:is>
      </x:c>
      <x:c r="C29" s="8" t="n">
        <x:v>230</x:v>
      </x:c>
      <x:c r="D29" s="8" t="n">
        <x:v>0</x:v>
      </x:c>
      <x:c r="E29" s="8" t="n">
        <x:v>0</x:v>
      </x:c>
      <x:c r="F29" s="8" t="n">
        <x:v>230</x:v>
      </x:c>
      <x:c r="G29" s="9" t="n">
        <x:v>3676780</x:v>
      </x:c>
      <x:c r="H29" s="9" t="n">
        <x:v>0</x:v>
      </x:c>
      <x:c r="I29" s="9" t="n">
        <x:v>0</x:v>
      </x:c>
      <x:c r="J29" s="9" t="n">
        <x:v>3676780</x:v>
      </x:c>
      <x:c r="K29" s="10" t="n">
        <x:v>15986</x:v>
      </x:c>
    </x:row>
    <x:row r="30">
      <x:c r="A30" t="inlineStr">
        <x:is>
          <x:t xml:space="preserve">CPVFLNSTN008</x:t>
        </x:is>
      </x:c>
      <x:c r="B30" t="inlineStr">
        <x:is>
          <x:t xml:space="preserve">FLANGE CPVC STONE SOC CL150 -  8"</x:t>
        </x:is>
      </x:c>
      <x:c r="C30" s="8" t="n">
        <x:v>16</x:v>
      </x:c>
      <x:c r="D30" s="8" t="n">
        <x:v>0</x:v>
      </x:c>
      <x:c r="E30" s="8" t="n">
        <x:v>0</x:v>
      </x:c>
      <x:c r="F30" s="8" t="n">
        <x:v>16</x:v>
      </x:c>
      <x:c r="G30" s="9" t="n">
        <x:v>1771120</x:v>
      </x:c>
      <x:c r="H30" s="9" t="n">
        <x:v>0</x:v>
      </x:c>
      <x:c r="I30" s="9" t="n">
        <x:v>0</x:v>
      </x:c>
      <x:c r="J30" s="9" t="n">
        <x:v>1771120</x:v>
      </x:c>
      <x:c r="K30" s="10" t="n">
        <x:v>110695</x:v>
      </x:c>
    </x:row>
    <x:row r="31">
      <x:c r="A31" t="inlineStr">
        <x:is>
          <x:t xml:space="preserve">CPVPLASIM5MM</x:t>
        </x:is>
      </x:c>
      <x:c r="B31" t="inlineStr">
        <x:is>
          <x:t xml:space="preserve">PLANCHA CPVC 5mm</x:t>
        </x:is>
      </x:c>
      <x:c r="C31" s="8" t="n">
        <x:v>13</x:v>
      </x:c>
      <x:c r="D31" s="8" t="n">
        <x:v>0</x:v>
      </x:c>
      <x:c r="E31" s="8" t="n">
        <x:v>0</x:v>
      </x:c>
      <x:c r="F31" s="8" t="n">
        <x:v>13</x:v>
      </x:c>
      <x:c r="G31" s="9" t="n">
        <x:v>1050900</x:v>
      </x:c>
      <x:c r="H31" s="9" t="n">
        <x:v>0</x:v>
      </x:c>
      <x:c r="I31" s="9" t="n">
        <x:v>0</x:v>
      </x:c>
      <x:c r="J31" s="9" t="n">
        <x:v>1050900</x:v>
      </x:c>
      <x:c r="K31" s="10" t="n">
        <x:v>80838.461538</x:v>
      </x:c>
    </x:row>
    <x:row r="32">
      <x:c r="A32" t="inlineStr">
        <x:is>
          <x:t xml:space="preserve">CPVTUBSCH002</x:t>
        </x:is>
      </x:c>
      <x:c r="B32" t="inlineStr">
        <x:is>
          <x:t xml:space="preserve">TUBO CPVC SCH80 20FT - 2"</x:t>
        </x:is>
      </x:c>
      <x:c r="C32" s="8" t="n">
        <x:v>5</x:v>
      </x:c>
      <x:c r="D32" s="8" t="n">
        <x:v>0</x:v>
      </x:c>
      <x:c r="E32" s="8" t="n">
        <x:v>0</x:v>
      </x:c>
      <x:c r="F32" s="8" t="n">
        <x:v>5</x:v>
      </x:c>
      <x:c r="G32" s="9" t="n">
        <x:v>64614</x:v>
      </x:c>
      <x:c r="H32" s="9" t="n">
        <x:v>0</x:v>
      </x:c>
      <x:c r="I32" s="9" t="n">
        <x:v>0</x:v>
      </x:c>
      <x:c r="J32" s="9" t="n">
        <x:v>64614</x:v>
      </x:c>
      <x:c r="K32" s="10" t="n">
        <x:v>12922.84</x:v>
      </x:c>
    </x:row>
    <x:row r="33">
      <x:c r="A33" t="inlineStr">
        <x:is>
          <x:t xml:space="preserve">CPVTUBSCH003</x:t>
        </x:is>
      </x:c>
      <x:c r="B33" t="inlineStr">
        <x:is>
          <x:t xml:space="preserve">TUBO CPVC SCH80 20FT - 3"</x:t>
        </x:is>
      </x:c>
      <x:c r="C33" s="8" t="n">
        <x:v>48</x:v>
      </x:c>
      <x:c r="D33" s="8" t="n">
        <x:v>0</x:v>
      </x:c>
      <x:c r="E33" s="8" t="n">
        <x:v>0</x:v>
      </x:c>
      <x:c r="F33" s="8" t="n">
        <x:v>48</x:v>
      </x:c>
      <x:c r="G33" s="9" t="n">
        <x:v>1159896</x:v>
      </x:c>
      <x:c r="H33" s="9" t="n">
        <x:v>0</x:v>
      </x:c>
      <x:c r="I33" s="9" t="n">
        <x:v>0</x:v>
      </x:c>
      <x:c r="J33" s="9" t="n">
        <x:v>1159896</x:v>
      </x:c>
      <x:c r="K33" s="10" t="n">
        <x:v>24164.5</x:v>
      </x:c>
    </x:row>
    <x:row r="34">
      <x:c r="A34" t="inlineStr">
        <x:is>
          <x:t xml:space="preserve">DUR790001001</x:t>
        </x:is>
      </x:c>
      <x:c r="B34" t="inlineStr">
        <x:is>
          <x:t xml:space="preserve">PLANCHA DE DURLON 7900 1/8 PLG X 60 PLG X 63 PLG (DW30-120-126)</x:t>
        </x:is>
      </x:c>
      <x:c r="C34" s="8" t="n">
        <x:v>83</x:v>
      </x:c>
      <x:c r="D34" s="8" t="n">
        <x:v>0</x:v>
      </x:c>
      <x:c r="E34" s="8" t="n">
        <x:v>0</x:v>
      </x:c>
      <x:c r="F34" s="8" t="n">
        <x:v>83</x:v>
      </x:c>
      <x:c r="G34" s="9" t="n">
        <x:v>11045919</x:v>
      </x:c>
      <x:c r="H34" s="9" t="n">
        <x:v>0</x:v>
      </x:c>
      <x:c r="I34" s="9" t="n">
        <x:v>0</x:v>
      </x:c>
      <x:c r="J34" s="9" t="n">
        <x:v>11045919</x:v>
      </x:c>
      <x:c r="K34" s="10" t="n">
        <x:v>133083.302905</x:v>
      </x:c>
    </x:row>
    <x:row r="35">
      <x:c r="A35" t="inlineStr">
        <x:is>
          <x:t xml:space="preserve">DUR790001002</x:t>
        </x:is>
      </x:c>
      <x:c r="B35" t="inlineStr">
        <x:is>
          <x:t xml:space="preserve">PLA NCHA DE DURLON 7900 1/16 60X63 PLG (DW15-120-126)</x:t>
        </x:is>
      </x:c>
      <x:c r="C35" s="8" t="n">
        <x:v>8</x:v>
      </x:c>
      <x:c r="D35" s="8" t="n">
        <x:v>0</x:v>
      </x:c>
      <x:c r="E35" s="8" t="n">
        <x:v>0</x:v>
      </x:c>
      <x:c r="F35" s="8" t="n">
        <x:v>8</x:v>
      </x:c>
      <x:c r="G35" s="9" t="n">
        <x:v>466026</x:v>
      </x:c>
      <x:c r="H35" s="9" t="n">
        <x:v>0</x:v>
      </x:c>
      <x:c r="I35" s="9" t="n">
        <x:v>0</x:v>
      </x:c>
      <x:c r="J35" s="9" t="n">
        <x:v>466026</x:v>
      </x:c>
      <x:c r="K35" s="10" t="n">
        <x:v>58253.178473</x:v>
      </x:c>
    </x:row>
    <x:row r="36">
      <x:c r="A36" t="inlineStr">
        <x:is>
          <x:t xml:space="preserve">DUR830001001</x:t>
        </x:is>
      </x:c>
      <x:c r="B36" t="inlineStr">
        <x:is>
          <x:t xml:space="preserve">PLA DE DURLON 8300 1/8 60x63</x:t>
        </x:is>
      </x:c>
      <x:c r="C36" s="8" t="n">
        <x:v>8</x:v>
      </x:c>
      <x:c r="D36" s="8" t="n">
        <x:v>0</x:v>
      </x:c>
      <x:c r="E36" s="8" t="n">
        <x:v>0</x:v>
      </x:c>
      <x:c r="F36" s="8" t="n">
        <x:v>8</x:v>
      </x:c>
      <x:c r="G36" s="9" t="n">
        <x:v>913840</x:v>
      </x:c>
      <x:c r="H36" s="9" t="n">
        <x:v>0</x:v>
      </x:c>
      <x:c r="I36" s="9" t="n">
        <x:v>0</x:v>
      </x:c>
      <x:c r="J36" s="9" t="n">
        <x:v>913840</x:v>
      </x:c>
      <x:c r="K36" s="10" t="n">
        <x:v>114230</x:v>
      </x:c>
    </x:row>
    <x:row r="37">
      <x:c r="A37" t="inlineStr">
        <x:is>
          <x:t xml:space="preserve">DUR850001001</x:t>
        </x:is>
      </x:c>
      <x:c r="B37" t="inlineStr">
        <x:is>
          <x:t xml:space="preserve">PLANCHA DE DURLON 8500 DE 1/8 PL X 60 PLG X 63 PLG</x:t>
        </x:is>
      </x:c>
      <x:c r="C37" s="8" t="n">
        <x:v>1</x:v>
      </x:c>
      <x:c r="D37" s="8" t="n">
        <x:v>0</x:v>
      </x:c>
      <x:c r="E37" s="8" t="n">
        <x:v>0</x:v>
      </x:c>
      <x:c r="F37" s="8" t="n">
        <x:v>1</x:v>
      </x:c>
      <x:c r="G37" s="9" t="n">
        <x:v>92842</x:v>
      </x:c>
      <x:c r="H37" s="9" t="n">
        <x:v>0</x:v>
      </x:c>
      <x:c r="I37" s="9" t="n">
        <x:v>0</x:v>
      </x:c>
      <x:c r="J37" s="9" t="n">
        <x:v>92842</x:v>
      </x:c>
      <x:c r="K37" s="10" t="n">
        <x:v>92842</x:v>
      </x:c>
    </x:row>
    <x:row r="38">
      <x:c r="A38" t="inlineStr">
        <x:is>
          <x:t xml:space="preserve">DUR860001001</x:t>
        </x:is>
      </x:c>
      <x:c r="B38" t="inlineStr">
        <x:is>
          <x:t xml:space="preserve">PLA DE DURLON 8600 1/8 60X63</x:t>
        </x:is>
      </x:c>
      <x:c r="C38" s="8" t="n">
        <x:v>14</x:v>
      </x:c>
      <x:c r="D38" s="8" t="n">
        <x:v>0</x:v>
      </x:c>
      <x:c r="E38" s="8" t="n">
        <x:v>0</x:v>
      </x:c>
      <x:c r="F38" s="8" t="n">
        <x:v>14</x:v>
      </x:c>
      <x:c r="G38" s="9" t="n">
        <x:v>1095500</x:v>
      </x:c>
      <x:c r="H38" s="9" t="n">
        <x:v>0</x:v>
      </x:c>
      <x:c r="I38" s="9" t="n">
        <x:v>0</x:v>
      </x:c>
      <x:c r="J38" s="9" t="n">
        <x:v>1095500</x:v>
      </x:c>
      <x:c r="K38" s="10" t="n">
        <x:v>78250</x:v>
      </x:c>
    </x:row>
    <x:row r="39">
      <x:c r="A39" t="inlineStr">
        <x:is>
          <x:t xml:space="preserve">DUR900001001</x:t>
        </x:is>
      </x:c>
      <x:c r="B39" t="inlineStr">
        <x:is>
          <x:t xml:space="preserve">PLA DE DURLON 9000 1/8 60x60</x:t>
        </x:is>
      </x:c>
      <x:c r="C39" s="8" t="n">
        <x:v>3</x:v>
      </x:c>
      <x:c r="D39" s="8" t="n">
        <x:v>0</x:v>
      </x:c>
      <x:c r="E39" s="8" t="n">
        <x:v>0</x:v>
      </x:c>
      <x:c r="F39" s="8" t="n">
        <x:v>3</x:v>
      </x:c>
      <x:c r="G39" s="9" t="n">
        <x:v>2473964</x:v>
      </x:c>
      <x:c r="H39" s="9" t="n">
        <x:v>0</x:v>
      </x:c>
      <x:c r="I39" s="9" t="n">
        <x:v>0</x:v>
      </x:c>
      <x:c r="J39" s="9" t="n">
        <x:v>2473964</x:v>
      </x:c>
      <x:c r="K39" s="10" t="n">
        <x:v>824656</x:v>
      </x:c>
    </x:row>
    <x:row r="40">
      <x:c r="A40" t="inlineStr">
        <x:is>
          <x:t xml:space="preserve">DUR900001002</x:t>
        </x:is>
      </x:c>
      <x:c r="B40" t="inlineStr">
        <x:is>
          <x:t xml:space="preserve">PLA DE DURLON 9000 1/16 X 60X60</x:t>
        </x:is>
      </x:c>
      <x:c r="C40" s="8" t="n">
        <x:v>38</x:v>
      </x:c>
      <x:c r="D40" s="8" t="n">
        <x:v>0</x:v>
      </x:c>
      <x:c r="E40" s="8" t="n">
        <x:v>0</x:v>
      </x:c>
      <x:c r="F40" s="8" t="n">
        <x:v>38</x:v>
      </x:c>
      <x:c r="G40" s="9" t="n">
        <x:v>13586341</x:v>
      </x:c>
      <x:c r="H40" s="9" t="n">
        <x:v>0</x:v>
      </x:c>
      <x:c r="I40" s="9" t="n">
        <x:v>0</x:v>
      </x:c>
      <x:c r="J40" s="9" t="n">
        <x:v>13586341</x:v>
      </x:c>
      <x:c r="K40" s="10" t="n">
        <x:v>357535.298633</x:v>
      </x:c>
    </x:row>
    <x:row r="41">
      <x:c r="A41" t="inlineStr">
        <x:is>
          <x:t xml:space="preserve">DUR900001005</x:t>
        </x:is>
      </x:c>
      <x:c r="B41" t="inlineStr">
        <x:is>
          <x:t xml:space="preserve">PLANCHA DURLON 9007 1/8 X 60 X 60 PLG (TA30-060-300)</x:t>
        </x:is>
      </x:c>
      <x:c r="C41" s="8" t="n">
        <x:v>98</x:v>
      </x:c>
      <x:c r="D41" s="8" t="n">
        <x:v>0</x:v>
      </x:c>
      <x:c r="E41" s="8" t="n">
        <x:v>0</x:v>
      </x:c>
      <x:c r="F41" s="8" t="n">
        <x:v>98</x:v>
      </x:c>
      <x:c r="G41" s="9" t="n">
        <x:v>49916810</x:v>
      </x:c>
      <x:c r="H41" s="9" t="n">
        <x:v>0</x:v>
      </x:c>
      <x:c r="I41" s="9" t="n">
        <x:v>0</x:v>
      </x:c>
      <x:c r="J41" s="9" t="n">
        <x:v>49916810</x:v>
      </x:c>
      <x:c r="K41" s="10" t="n">
        <x:v>509355.201933</x:v>
      </x:c>
    </x:row>
    <x:row r="42">
      <x:c r="A42" t="inlineStr">
        <x:is>
          <x:t xml:space="preserve">DUR900001999</x:t>
        </x:is>
      </x:c>
      <x:c r="B42" t="inlineStr">
        <x:is>
          <x:t xml:space="preserve">DURLON 9000 1/8 PLG DESPUNTES X KG</x:t>
        </x:is>
      </x:c>
      <x:c r="C42" s="8" t="n">
        <x:v>12</x:v>
      </x:c>
      <x:c r="D42" s="8" t="n">
        <x:v>0</x:v>
      </x:c>
      <x:c r="E42" s="8" t="n">
        <x:v>0</x:v>
      </x:c>
      <x:c r="F42" s="8" t="n">
        <x:v>12</x:v>
      </x:c>
      <x:c r="G42" s="9" t="n">
        <x:v>250918</x:v>
      </x:c>
      <x:c r="H42" s="9" t="n">
        <x:v>0</x:v>
      </x:c>
      <x:c r="I42" s="9" t="n">
        <x:v>0</x:v>
      </x:c>
      <x:c r="J42" s="9" t="n">
        <x:v>250918</x:v>
      </x:c>
      <x:c r="K42" s="10" t="n">
        <x:v>20910</x:v>
      </x:c>
    </x:row>
    <x:row r="43">
      <x:c r="A43" t="inlineStr">
        <x:is>
          <x:t xml:space="preserve">ECHFIT001001</x:t>
        </x:is>
      </x:c>
      <x:c r="B43" t="inlineStr">
        <x:is>
          <x:t xml:space="preserve">CODO 45GRD DIAM 2 PLG STANDAR</x:t>
        </x:is>
      </x:c>
      <x:c r="C43" s="8" t="n">
        <x:v>21</x:v>
      </x:c>
      <x:c r="D43" s="8" t="n">
        <x:v>0</x:v>
      </x:c>
      <x:c r="E43" s="8" t="n">
        <x:v>0</x:v>
      </x:c>
      <x:c r="F43" s="8" t="n">
        <x:v>21</x:v>
      </x:c>
      <x:c r="G43" s="9" t="n">
        <x:v>239083</x:v>
      </x:c>
      <x:c r="H43" s="9" t="n">
        <x:v>0</x:v>
      </x:c>
      <x:c r="I43" s="9" t="n">
        <x:v>0</x:v>
      </x:c>
      <x:c r="J43" s="9" t="n">
        <x:v>239083</x:v>
      </x:c>
      <x:c r="K43" s="10" t="n">
        <x:v>11384.931034</x:v>
      </x:c>
    </x:row>
    <x:row r="44">
      <x:c r="A44" t="inlineStr">
        <x:is>
          <x:t xml:space="preserve">ECHFIT001002</x:t>
        </x:is>
      </x:c>
      <x:c r="B44" t="inlineStr">
        <x:is>
          <x:t xml:space="preserve">CODO 45 GRD 4 PLG DE DIMENSION ANTIESTATICA ECHEVERIA</x:t>
        </x:is>
      </x:c>
      <x:c r="C44" s="8" t="n">
        <x:v>4</x:v>
      </x:c>
      <x:c r="D44" s="8" t="n">
        <x:v>0</x:v>
      </x:c>
      <x:c r="E44" s="8" t="n">
        <x:v>0</x:v>
      </x:c>
      <x:c r="F44" s="8" t="n">
        <x:v>4</x:v>
      </x:c>
      <x:c r="G44" s="9" t="n">
        <x:v>92044</x:v>
      </x:c>
      <x:c r="H44" s="9" t="n">
        <x:v>0</x:v>
      </x:c>
      <x:c r="I44" s="9" t="n">
        <x:v>0</x:v>
      </x:c>
      <x:c r="J44" s="9" t="n">
        <x:v>92044</x:v>
      </x:c>
      <x:c r="K44" s="10" t="n">
        <x:v>23011</x:v>
      </x:c>
    </x:row>
    <x:row r="45">
      <x:c r="A45" t="inlineStr">
        <x:is>
          <x:t xml:space="preserve">ECHFIT001003</x:t>
        </x:is>
      </x:c>
      <x:c r="B45" t="inlineStr">
        <x:is>
          <x:t xml:space="preserve">CODO 45 GRD 2PLG DE DIMENSION ANTIESTATICA ECHEVERIA</x:t>
        </x:is>
      </x:c>
      <x:c r="C45" s="8" t="n">
        <x:v>72</x:v>
      </x:c>
      <x:c r="D45" s="8" t="n">
        <x:v>0</x:v>
      </x:c>
      <x:c r="E45" s="8" t="n">
        <x:v>0</x:v>
      </x:c>
      <x:c r="F45" s="8" t="n">
        <x:v>72</x:v>
      </x:c>
      <x:c r="G45" s="9" t="n">
        <x:v>861768</x:v>
      </x:c>
      <x:c r="H45" s="9" t="n">
        <x:v>0</x:v>
      </x:c>
      <x:c r="I45" s="9" t="n">
        <x:v>0</x:v>
      </x:c>
      <x:c r="J45" s="9" t="n">
        <x:v>861768</x:v>
      </x:c>
      <x:c r="K45" s="10" t="n">
        <x:v>11969</x:v>
      </x:c>
    </x:row>
    <x:row r="46">
      <x:c r="A46" t="inlineStr">
        <x:is>
          <x:t xml:space="preserve">ECHFIT001004</x:t>
        </x:is>
      </x:c>
      <x:c r="B46" t="inlineStr">
        <x:is>
          <x:t xml:space="preserve">CODO 45 GRD 3PLG DE DIMENSION ANTIESTATICA ECHEVERRIA</x:t>
        </x:is>
      </x:c>
      <x:c r="C46" s="8" t="n">
        <x:v>14</x:v>
      </x:c>
      <x:c r="D46" s="8" t="n">
        <x:v>0</x:v>
      </x:c>
      <x:c r="E46" s="8" t="n">
        <x:v>0</x:v>
      </x:c>
      <x:c r="F46" s="8" t="n">
        <x:v>14</x:v>
      </x:c>
      <x:c r="G46" s="9" t="n">
        <x:v>243488</x:v>
      </x:c>
      <x:c r="H46" s="9" t="n">
        <x:v>0</x:v>
      </x:c>
      <x:c r="I46" s="9" t="n">
        <x:v>0</x:v>
      </x:c>
      <x:c r="J46" s="9" t="n">
        <x:v>243488</x:v>
      </x:c>
      <x:c r="K46" s="10" t="n">
        <x:v>17392</x:v>
      </x:c>
    </x:row>
    <x:row r="47">
      <x:c r="A47" t="inlineStr">
        <x:is>
          <x:t xml:space="preserve">ECHFIT001005</x:t>
        </x:is>
      </x:c>
      <x:c r="B47" t="inlineStr">
        <x:is>
          <x:t xml:space="preserve">CODO 45 GRD 6PLG DE DIMENSIÓN ANTIESTATICA ECHEVERRIA</x:t>
        </x:is>
      </x:c>
      <x:c r="C47" s="8" t="n">
        <x:v>8</x:v>
      </x:c>
      <x:c r="D47" s="8" t="n">
        <x:v>0</x:v>
      </x:c>
      <x:c r="E47" s="8" t="n">
        <x:v>0</x:v>
      </x:c>
      <x:c r="F47" s="8" t="n">
        <x:v>8</x:v>
      </x:c>
      <x:c r="G47" s="9" t="n">
        <x:v>407640</x:v>
      </x:c>
      <x:c r="H47" s="9" t="n">
        <x:v>0</x:v>
      </x:c>
      <x:c r="I47" s="9" t="n">
        <x:v>0</x:v>
      </x:c>
      <x:c r="J47" s="9" t="n">
        <x:v>407640</x:v>
      </x:c>
      <x:c r="K47" s="10" t="n">
        <x:v>50955</x:v>
      </x:c>
    </x:row>
    <x:row r="48">
      <x:c r="A48" t="inlineStr">
        <x:is>
          <x:t xml:space="preserve">ECHFIT001007</x:t>
        </x:is>
      </x:c>
      <x:c r="B48" t="inlineStr">
        <x:is>
          <x:t xml:space="preserve">CODO 90 GRD 6 PLG DE DIMENSIÓN STAND ECHEVERRIA</x:t>
        </x:is>
      </x:c>
      <x:c r="C48" s="8" t="n">
        <x:v>5</x:v>
      </x:c>
      <x:c r="D48" s="8" t="n">
        <x:v>0</x:v>
      </x:c>
      <x:c r="E48" s="8" t="n">
        <x:v>0</x:v>
      </x:c>
      <x:c r="F48" s="8" t="n">
        <x:v>5</x:v>
      </x:c>
      <x:c r="G48" s="9" t="n">
        <x:v>339700</x:v>
      </x:c>
      <x:c r="H48" s="9" t="n">
        <x:v>0</x:v>
      </x:c>
      <x:c r="I48" s="9" t="n">
        <x:v>0</x:v>
      </x:c>
      <x:c r="J48" s="9" t="n">
        <x:v>339700</x:v>
      </x:c>
      <x:c r="K48" s="10" t="n">
        <x:v>67940</x:v>
      </x:c>
    </x:row>
    <x:row r="49">
      <x:c r="A49" t="inlineStr">
        <x:is>
          <x:t xml:space="preserve">ECHFIT001008</x:t>
        </x:is>
      </x:c>
      <x:c r="B49" t="inlineStr">
        <x:is>
          <x:t xml:space="preserve">CODO 90 GRD  6PLG DE DIMENSIÓN ANTIESTATICA ECHEVERRIA</x:t>
        </x:is>
      </x:c>
      <x:c r="C49" s="8" t="n">
        <x:v>8</x:v>
      </x:c>
      <x:c r="D49" s="8" t="n">
        <x:v>0</x:v>
      </x:c>
      <x:c r="E49" s="8" t="n">
        <x:v>0</x:v>
      </x:c>
      <x:c r="F49" s="8" t="n">
        <x:v>8</x:v>
      </x:c>
      <x:c r="G49" s="9" t="n">
        <x:v>543520</x:v>
      </x:c>
      <x:c r="H49" s="9" t="n">
        <x:v>0</x:v>
      </x:c>
      <x:c r="I49" s="9" t="n">
        <x:v>0</x:v>
      </x:c>
      <x:c r="J49" s="9" t="n">
        <x:v>543520</x:v>
      </x:c>
      <x:c r="K49" s="10" t="n">
        <x:v>67940</x:v>
      </x:c>
    </x:row>
    <x:row r="50">
      <x:c r="A50" t="inlineStr">
        <x:is>
          <x:t xml:space="preserve">ECHFIT001009</x:t>
        </x:is>
      </x:c>
      <x:c r="B50" t="inlineStr">
        <x:is>
          <x:t xml:space="preserve">CODO 90 GRD 10 PLG DE DIMENSIÓN ANTIESTATICA ECHEVERRIA</x:t>
        </x:is>
      </x:c>
      <x:c r="C50" s="8" t="n">
        <x:v>12</x:v>
      </x:c>
      <x:c r="D50" s="8" t="n">
        <x:v>0</x:v>
      </x:c>
      <x:c r="E50" s="8" t="n">
        <x:v>0</x:v>
      </x:c>
      <x:c r="F50" s="8" t="n">
        <x:v>12</x:v>
      </x:c>
      <x:c r="G50" s="9" t="n">
        <x:v>1762008</x:v>
      </x:c>
      <x:c r="H50" s="9" t="n">
        <x:v>0</x:v>
      </x:c>
      <x:c r="I50" s="9" t="n">
        <x:v>0</x:v>
      </x:c>
      <x:c r="J50" s="9" t="n">
        <x:v>1762008</x:v>
      </x:c>
      <x:c r="K50" s="10" t="n">
        <x:v>146834</x:v>
      </x:c>
    </x:row>
    <x:row r="51">
      <x:c r="A51" t="inlineStr">
        <x:is>
          <x:t xml:space="preserve">ECHFIT001011</x:t>
        </x:is>
      </x:c>
      <x:c r="B51" t="inlineStr">
        <x:is>
          <x:t xml:space="preserve">CODO 90 GRD  3PLG DE DIMENSIÓN ANTIESTATICA ECHEVERRIA</x:t>
        </x:is>
      </x:c>
      <x:c r="C51" s="8" t="n">
        <x:v>38</x:v>
      </x:c>
      <x:c r="D51" s="8" t="n">
        <x:v>0</x:v>
      </x:c>
      <x:c r="E51" s="8" t="n">
        <x:v>0</x:v>
      </x:c>
      <x:c r="F51" s="8" t="n">
        <x:v>38</x:v>
      </x:c>
      <x:c r="G51" s="9" t="n">
        <x:v>881182</x:v>
      </x:c>
      <x:c r="H51" s="9" t="n">
        <x:v>0</x:v>
      </x:c>
      <x:c r="I51" s="9" t="n">
        <x:v>0</x:v>
      </x:c>
      <x:c r="J51" s="9" t="n">
        <x:v>881182</x:v>
      </x:c>
      <x:c r="K51" s="10" t="n">
        <x:v>23189</x:v>
      </x:c>
    </x:row>
    <x:row r="52">
      <x:c r="A52" t="inlineStr">
        <x:is>
          <x:t xml:space="preserve">ECHFIT001013</x:t>
        </x:is>
      </x:c>
      <x:c r="B52" t="inlineStr">
        <x:is>
          <x:t xml:space="preserve">CODO 90 GRD  8PLG DE DIMENSIÓN ANTIESTATICA ECHEVERRIA</x:t>
        </x:is>
      </x:c>
      <x:c r="C52" s="8" t="n">
        <x:v>2</x:v>
      </x:c>
      <x:c r="D52" s="8" t="n">
        <x:v>0</x:v>
      </x:c>
      <x:c r="E52" s="8" t="n">
        <x:v>0</x:v>
      </x:c>
      <x:c r="F52" s="8" t="n">
        <x:v>2</x:v>
      </x:c>
      <x:c r="G52" s="9" t="n">
        <x:v>206258</x:v>
      </x:c>
      <x:c r="H52" s="9" t="n">
        <x:v>0</x:v>
      </x:c>
      <x:c r="I52" s="9" t="n">
        <x:v>0</x:v>
      </x:c>
      <x:c r="J52" s="9" t="n">
        <x:v>206258</x:v>
      </x:c>
      <x:c r="K52" s="10" t="n">
        <x:v>103129</x:v>
      </x:c>
    </x:row>
    <x:row r="53">
      <x:c r="A53" t="inlineStr">
        <x:is>
          <x:t xml:space="preserve">ECHFIT001014</x:t>
        </x:is>
      </x:c>
      <x:c r="B53" t="inlineStr">
        <x:is>
          <x:t xml:space="preserve">FLANG CIEGO 2 PLG DIMENSIÓN STAND ECHEVERRIA</x:t>
        </x:is>
      </x:c>
      <x:c r="C53" s="8" t="n">
        <x:v>6</x:v>
      </x:c>
      <x:c r="D53" s="8" t="n">
        <x:v>0</x:v>
      </x:c>
      <x:c r="E53" s="8" t="n">
        <x:v>0</x:v>
      </x:c>
      <x:c r="F53" s="8" t="n">
        <x:v>6</x:v>
      </x:c>
      <x:c r="G53" s="9" t="n">
        <x:v>91956</x:v>
      </x:c>
      <x:c r="H53" s="9" t="n">
        <x:v>0</x:v>
      </x:c>
      <x:c r="I53" s="9" t="n">
        <x:v>0</x:v>
      </x:c>
      <x:c r="J53" s="9" t="n">
        <x:v>91956</x:v>
      </x:c>
      <x:c r="K53" s="10" t="n">
        <x:v>15326</x:v>
      </x:c>
    </x:row>
    <x:row r="54">
      <x:c r="A54" t="inlineStr">
        <x:is>
          <x:t xml:space="preserve">ECHFIT001016</x:t>
        </x:is>
      </x:c>
      <x:c r="B54" t="inlineStr">
        <x:is>
          <x:t xml:space="preserve">FLANGE CIEGO 4 PLG ANTIESTATICA ECHEVERRIA</x:t>
        </x:is>
      </x:c>
      <x:c r="C54" s="8" t="n">
        <x:v>3</x:v>
      </x:c>
      <x:c r="D54" s="8" t="n">
        <x:v>0</x:v>
      </x:c>
      <x:c r="E54" s="8" t="n">
        <x:v>0</x:v>
      </x:c>
      <x:c r="F54" s="8" t="n">
        <x:v>3</x:v>
      </x:c>
      <x:c r="G54" s="9" t="n">
        <x:v>89691</x:v>
      </x:c>
      <x:c r="H54" s="9" t="n">
        <x:v>0</x:v>
      </x:c>
      <x:c r="I54" s="9" t="n">
        <x:v>0</x:v>
      </x:c>
      <x:c r="J54" s="9" t="n">
        <x:v>89691</x:v>
      </x:c>
      <x:c r="K54" s="10" t="n">
        <x:v>29897</x:v>
      </x:c>
    </x:row>
    <x:row r="55">
      <x:c r="A55" t="inlineStr">
        <x:is>
          <x:t xml:space="preserve">ECHFIT001017</x:t>
        </x:is>
      </x:c>
      <x:c r="B55" t="inlineStr">
        <x:is>
          <x:t xml:space="preserve">FLANG CIEGO 2 PLG DIMENSIÓN ANTIESTATICA ECHEVERRIA</x:t>
        </x:is>
      </x:c>
      <x:c r="C55" s="8" t="n">
        <x:v>40</x:v>
      </x:c>
      <x:c r="D55" s="8" t="n">
        <x:v>0</x:v>
      </x:c>
      <x:c r="E55" s="8" t="n">
        <x:v>0</x:v>
      </x:c>
      <x:c r="F55" s="8" t="n">
        <x:v>40</x:v>
      </x:c>
      <x:c r="G55" s="9" t="n">
        <x:v>613040</x:v>
      </x:c>
      <x:c r="H55" s="9" t="n">
        <x:v>0</x:v>
      </x:c>
      <x:c r="I55" s="9" t="n">
        <x:v>0</x:v>
      </x:c>
      <x:c r="J55" s="9" t="n">
        <x:v>613040</x:v>
      </x:c>
      <x:c r="K55" s="10" t="n">
        <x:v>15326</x:v>
      </x:c>
    </x:row>
    <x:row r="56">
      <x:c r="A56" t="inlineStr">
        <x:is>
          <x:t xml:space="preserve">ECHFIT001018</x:t>
        </x:is>
      </x:c>
      <x:c r="B56" t="inlineStr">
        <x:is>
          <x:t xml:space="preserve">FLANG CIEGO 3 PLG DIMENSIÓN ANTIESTATICA ECHEVERRIA</x:t>
        </x:is>
      </x:c>
      <x:c r="C56" s="8" t="n">
        <x:v>8</x:v>
      </x:c>
      <x:c r="D56" s="8" t="n">
        <x:v>0</x:v>
      </x:c>
      <x:c r="E56" s="8" t="n">
        <x:v>0</x:v>
      </x:c>
      <x:c r="F56" s="8" t="n">
        <x:v>8</x:v>
      </x:c>
      <x:c r="G56" s="9" t="n">
        <x:v>170008</x:v>
      </x:c>
      <x:c r="H56" s="9" t="n">
        <x:v>0</x:v>
      </x:c>
      <x:c r="I56" s="9" t="n">
        <x:v>0</x:v>
      </x:c>
      <x:c r="J56" s="9" t="n">
        <x:v>170008</x:v>
      </x:c>
      <x:c r="K56" s="10" t="n">
        <x:v>21251</x:v>
      </x:c>
    </x:row>
    <x:row r="57">
      <x:c r="A57" t="inlineStr">
        <x:is>
          <x:t xml:space="preserve">ECHFIT001019</x:t>
        </x:is>
      </x:c>
      <x:c r="B57" t="inlineStr">
        <x:is>
          <x:t xml:space="preserve">FLANG CIEGO 6PLG DIMENSIÓN ANTIESTATICA ECHEVERRIA</x:t>
        </x:is>
      </x:c>
      <x:c r="C57" s="8" t="n">
        <x:v>2</x:v>
      </x:c>
      <x:c r="D57" s="8" t="n">
        <x:v>0</x:v>
      </x:c>
      <x:c r="E57" s="8" t="n">
        <x:v>0</x:v>
      </x:c>
      <x:c r="F57" s="8" t="n">
        <x:v>2</x:v>
      </x:c>
      <x:c r="G57" s="9" t="n">
        <x:v>110694</x:v>
      </x:c>
      <x:c r="H57" s="9" t="n">
        <x:v>0</x:v>
      </x:c>
      <x:c r="I57" s="9" t="n">
        <x:v>0</x:v>
      </x:c>
      <x:c r="J57" s="9" t="n">
        <x:v>110694</x:v>
      </x:c>
      <x:c r="K57" s="10" t="n">
        <x:v>55347</x:v>
      </x:c>
    </x:row>
    <x:row r="58">
      <x:c r="A58" t="inlineStr">
        <x:is>
          <x:t xml:space="preserve">ECHFIT001020</x:t>
        </x:is>
      </x:c>
      <x:c r="B58" t="inlineStr">
        <x:is>
          <x:t xml:space="preserve">REDU CONC 4 A 3 PLG DIMENSIÓN  STAND ECHEVERRIA</x:t>
        </x:is>
      </x:c>
      <x:c r="C58" s="8" t="n">
        <x:v>2</x:v>
      </x:c>
      <x:c r="D58" s="8" t="n">
        <x:v>0</x:v>
      </x:c>
      <x:c r="E58" s="8" t="n">
        <x:v>0</x:v>
      </x:c>
      <x:c r="F58" s="8" t="n">
        <x:v>2</x:v>
      </x:c>
      <x:c r="G58" s="9" t="n">
        <x:v>43000</x:v>
      </x:c>
      <x:c r="H58" s="9" t="n">
        <x:v>0</x:v>
      </x:c>
      <x:c r="I58" s="9" t="n">
        <x:v>0</x:v>
      </x:c>
      <x:c r="J58" s="9" t="n">
        <x:v>43000</x:v>
      </x:c>
      <x:c r="K58" s="10" t="n">
        <x:v>21500</x:v>
      </x:c>
    </x:row>
    <x:row r="59">
      <x:c r="A59" t="inlineStr">
        <x:is>
          <x:t xml:space="preserve">ECHFIT001021</x:t>
        </x:is>
      </x:c>
      <x:c r="B59" t="inlineStr">
        <x:is>
          <x:t xml:space="preserve">REDU CONC 4 A 3 PLG DIMENSIÓN  ANTIESTATICA  ECHEVERRIA</x:t>
        </x:is>
      </x:c>
      <x:c r="C59" s="8" t="n">
        <x:v>36</x:v>
      </x:c>
      <x:c r="D59" s="8" t="n">
        <x:v>0</x:v>
      </x:c>
      <x:c r="E59" s="8" t="n">
        <x:v>0</x:v>
      </x:c>
      <x:c r="F59" s="8" t="n">
        <x:v>36</x:v>
      </x:c>
      <x:c r="G59" s="9" t="n">
        <x:v>774000</x:v>
      </x:c>
      <x:c r="H59" s="9" t="n">
        <x:v>0</x:v>
      </x:c>
      <x:c r="I59" s="9" t="n">
        <x:v>0</x:v>
      </x:c>
      <x:c r="J59" s="9" t="n">
        <x:v>774000</x:v>
      </x:c>
      <x:c r="K59" s="10" t="n">
        <x:v>21500</x:v>
      </x:c>
    </x:row>
    <x:row r="60">
      <x:c r="A60" t="inlineStr">
        <x:is>
          <x:t xml:space="preserve">ECHFIT001022</x:t>
        </x:is>
      </x:c>
      <x:c r="B60" t="inlineStr">
        <x:is>
          <x:t xml:space="preserve">REDU CONC 8 A 3 PLG DIMENSIÓN  ANTIESTATICA  ECHEVERRIA</x:t>
        </x:is>
      </x:c>
      <x:c r="C60" s="8" t="n">
        <x:v>2</x:v>
      </x:c>
      <x:c r="D60" s="8" t="n">
        <x:v>0</x:v>
      </x:c>
      <x:c r="E60" s="8" t="n">
        <x:v>0</x:v>
      </x:c>
      <x:c r="F60" s="8" t="n">
        <x:v>2</x:v>
      </x:c>
      <x:c r="G60" s="9" t="n">
        <x:v>48760</x:v>
      </x:c>
      <x:c r="H60" s="9" t="n">
        <x:v>0</x:v>
      </x:c>
      <x:c r="I60" s="9" t="n">
        <x:v>0</x:v>
      </x:c>
      <x:c r="J60" s="9" t="n">
        <x:v>48760</x:v>
      </x:c>
      <x:c r="K60" s="10" t="n">
        <x:v>24380</x:v>
      </x:c>
    </x:row>
    <x:row r="61">
      <x:c r="A61" t="inlineStr">
        <x:is>
          <x:t xml:space="preserve">ECHFIT001023</x:t>
        </x:is>
      </x:c>
      <x:c r="B61" t="inlineStr">
        <x:is>
          <x:t xml:space="preserve">REDU EXCE 10 A 6 PLG DIMENSIÓN  ANTIESTATICA  ECHEVERRIA</x:t>
        </x:is>
      </x:c>
      <x:c r="C61" s="8" t="n">
        <x:v>5</x:v>
      </x:c>
      <x:c r="D61" s="8" t="n">
        <x:v>0</x:v>
      </x:c>
      <x:c r="E61" s="8" t="n">
        <x:v>0</x:v>
      </x:c>
      <x:c r="F61" s="8" t="n">
        <x:v>5</x:v>
      </x:c>
      <x:c r="G61" s="9" t="n">
        <x:v>228910</x:v>
      </x:c>
      <x:c r="H61" s="9" t="n">
        <x:v>0</x:v>
      </x:c>
      <x:c r="I61" s="9" t="n">
        <x:v>0</x:v>
      </x:c>
      <x:c r="J61" s="9" t="n">
        <x:v>228910</x:v>
      </x:c>
      <x:c r="K61" s="10" t="n">
        <x:v>45782</x:v>
      </x:c>
    </x:row>
    <x:row r="62">
      <x:c r="A62" t="inlineStr">
        <x:is>
          <x:t xml:space="preserve">ECHFIT001024</x:t>
        </x:is>
      </x:c>
      <x:c r="B62" t="inlineStr">
        <x:is>
          <x:t xml:space="preserve">REDU EXCE 10 A 8 PLG DIMENSIÓN  ANTIESTATICA  ECHEVERRIA</x:t>
        </x:is>
      </x:c>
      <x:c r="C62" s="8" t="n">
        <x:v>3</x:v>
      </x:c>
      <x:c r="D62" s="8" t="n">
        <x:v>0</x:v>
      </x:c>
      <x:c r="E62" s="8" t="n">
        <x:v>0</x:v>
      </x:c>
      <x:c r="F62" s="8" t="n">
        <x:v>3</x:v>
      </x:c>
      <x:c r="G62" s="9" t="n">
        <x:v>167868</x:v>
      </x:c>
      <x:c r="H62" s="9" t="n">
        <x:v>0</x:v>
      </x:c>
      <x:c r="I62" s="9" t="n">
        <x:v>0</x:v>
      </x:c>
      <x:c r="J62" s="9" t="n">
        <x:v>167868</x:v>
      </x:c>
      <x:c r="K62" s="10" t="n">
        <x:v>55956</x:v>
      </x:c>
    </x:row>
    <x:row r="63">
      <x:c r="A63" t="inlineStr">
        <x:is>
          <x:t xml:space="preserve">ECHFIT001025</x:t>
        </x:is>
      </x:c>
      <x:c r="B63" t="inlineStr">
        <x:is>
          <x:t xml:space="preserve">REDU EXCE 3 A 2 PLG DIMENSIÓN  ANTIESTATICA  ECHEVERRIA</x:t>
        </x:is>
      </x:c>
      <x:c r="C63" s="8" t="n">
        <x:v>24</x:v>
      </x:c>
      <x:c r="D63" s="8" t="n">
        <x:v>0</x:v>
      </x:c>
      <x:c r="E63" s="8" t="n">
        <x:v>0</x:v>
      </x:c>
      <x:c r="F63" s="8" t="n">
        <x:v>24</x:v>
      </x:c>
      <x:c r="G63" s="9" t="n">
        <x:v>302496</x:v>
      </x:c>
      <x:c r="H63" s="9" t="n">
        <x:v>0</x:v>
      </x:c>
      <x:c r="I63" s="9" t="n">
        <x:v>0</x:v>
      </x:c>
      <x:c r="J63" s="9" t="n">
        <x:v>302496</x:v>
      </x:c>
      <x:c r="K63" s="10" t="n">
        <x:v>12604</x:v>
      </x:c>
    </x:row>
    <x:row r="64">
      <x:c r="A64" t="inlineStr">
        <x:is>
          <x:t xml:space="preserve">ECHFIT001026</x:t>
        </x:is>
      </x:c>
      <x:c r="B64" t="inlineStr">
        <x:is>
          <x:t xml:space="preserve">REDU EXCE 6 A 4 PLG DIMENSIÓN  ANTIESTATICA  ECHEVERRIA</x:t>
        </x:is>
      </x:c>
      <x:c r="C64" s="8" t="n">
        <x:v>5</x:v>
      </x:c>
      <x:c r="D64" s="8" t="n">
        <x:v>0</x:v>
      </x:c>
      <x:c r="E64" s="8" t="n">
        <x:v>0</x:v>
      </x:c>
      <x:c r="F64" s="8" t="n">
        <x:v>5</x:v>
      </x:c>
      <x:c r="G64" s="9" t="n">
        <x:v>125165</x:v>
      </x:c>
      <x:c r="H64" s="9" t="n">
        <x:v>0</x:v>
      </x:c>
      <x:c r="I64" s="9" t="n">
        <x:v>0</x:v>
      </x:c>
      <x:c r="J64" s="9" t="n">
        <x:v>125165</x:v>
      </x:c>
      <x:c r="K64" s="10" t="n">
        <x:v>25033</x:v>
      </x:c>
    </x:row>
    <x:row r="65">
      <x:c r="A65" t="inlineStr">
        <x:is>
          <x:t xml:space="preserve">ECHFIT001028</x:t>
        </x:is>
      </x:c>
      <x:c r="B65" t="inlineStr">
        <x:is>
          <x:t xml:space="preserve">TEE  DE 6  PLG DIMENSIÓN STAND ECHEVERRIA</x:t>
        </x:is>
      </x:c>
      <x:c r="C65" s="8" t="n">
        <x:v>1</x:v>
      </x:c>
      <x:c r="D65" s="8" t="n">
        <x:v>0</x:v>
      </x:c>
      <x:c r="E65" s="8" t="n">
        <x:v>0</x:v>
      </x:c>
      <x:c r="F65" s="8" t="n">
        <x:v>1</x:v>
      </x:c>
      <x:c r="G65" s="9" t="n">
        <x:v>130143</x:v>
      </x:c>
      <x:c r="H65" s="9" t="n">
        <x:v>0</x:v>
      </x:c>
      <x:c r="I65" s="9" t="n">
        <x:v>0</x:v>
      </x:c>
      <x:c r="J65" s="9" t="n">
        <x:v>130143</x:v>
      </x:c>
      <x:c r="K65" s="10" t="n">
        <x:v>130143</x:v>
      </x:c>
    </x:row>
    <x:row r="66">
      <x:c r="A66" t="inlineStr">
        <x:is>
          <x:t xml:space="preserve">ECHFIT001029</x:t>
        </x:is>
      </x:c>
      <x:c r="B66" t="inlineStr">
        <x:is>
          <x:t xml:space="preserve">TEE  DE 10  PLG DIMENSIÓN ANTIESTATICA ECHEVERRIA</x:t>
        </x:is>
      </x:c>
      <x:c r="C66" s="8" t="n">
        <x:v>20</x:v>
      </x:c>
      <x:c r="D66" s="8" t="n">
        <x:v>0</x:v>
      </x:c>
      <x:c r="E66" s="8" t="n">
        <x:v>0</x:v>
      </x:c>
      <x:c r="F66" s="8" t="n">
        <x:v>20</x:v>
      </x:c>
      <x:c r="G66" s="9" t="n">
        <x:v>4722780</x:v>
      </x:c>
      <x:c r="H66" s="9" t="n">
        <x:v>0</x:v>
      </x:c>
      <x:c r="I66" s="9" t="n">
        <x:v>0</x:v>
      </x:c>
      <x:c r="J66" s="9" t="n">
        <x:v>4722780</x:v>
      </x:c>
      <x:c r="K66" s="10" t="n">
        <x:v>236139</x:v>
      </x:c>
    </x:row>
    <x:row r="67">
      <x:c r="A67" t="inlineStr">
        <x:is>
          <x:t xml:space="preserve">ECHFIT001030</x:t>
        </x:is>
      </x:c>
      <x:c r="B67" t="inlineStr">
        <x:is>
          <x:t xml:space="preserve">TEE  DE 2 PLG DIMENSIÓN ANTIESTATICA ECHEVERRIA</x:t>
        </x:is>
      </x:c>
      <x:c r="C67" s="8" t="n">
        <x:v>8</x:v>
      </x:c>
      <x:c r="D67" s="8" t="n">
        <x:v>0</x:v>
      </x:c>
      <x:c r="E67" s="8" t="n">
        <x:v>0</x:v>
      </x:c>
      <x:c r="F67" s="8" t="n">
        <x:v>8</x:v>
      </x:c>
      <x:c r="G67" s="9" t="n">
        <x:v>322696</x:v>
      </x:c>
      <x:c r="H67" s="9" t="n">
        <x:v>0</x:v>
      </x:c>
      <x:c r="I67" s="9" t="n">
        <x:v>0</x:v>
      </x:c>
      <x:c r="J67" s="9" t="n">
        <x:v>322696</x:v>
      </x:c>
      <x:c r="K67" s="10" t="n">
        <x:v>40337</x:v>
      </x:c>
    </x:row>
    <x:row r="68">
      <x:c r="A68" t="inlineStr">
        <x:is>
          <x:t xml:space="preserve">ECHFIT001031</x:t>
        </x:is>
      </x:c>
      <x:c r="B68" t="inlineStr">
        <x:is>
          <x:t xml:space="preserve">TEE  DE 4 PLG DIMENSIÓN ANTIESTATICA ECHEVERRIA</x:t>
        </x:is>
      </x:c>
      <x:c r="C68" s="8" t="n">
        <x:v>11</x:v>
      </x:c>
      <x:c r="D68" s="8" t="n">
        <x:v>0</x:v>
      </x:c>
      <x:c r="E68" s="8" t="n">
        <x:v>0</x:v>
      </x:c>
      <x:c r="F68" s="8" t="n">
        <x:v>11</x:v>
      </x:c>
      <x:c r="G68" s="9" t="n">
        <x:v>1118601</x:v>
      </x:c>
      <x:c r="H68" s="9" t="n">
        <x:v>0</x:v>
      </x:c>
      <x:c r="I68" s="9" t="n">
        <x:v>0</x:v>
      </x:c>
      <x:c r="J68" s="9" t="n">
        <x:v>1118601</x:v>
      </x:c>
      <x:c r="K68" s="10" t="n">
        <x:v>101691</x:v>
      </x:c>
    </x:row>
    <x:row r="69">
      <x:c r="A69" t="inlineStr">
        <x:is>
          <x:t xml:space="preserve">ECHFIT001032</x:t>
        </x:is>
      </x:c>
      <x:c r="B69" t="inlineStr">
        <x:is>
          <x:t xml:space="preserve">TEE  DE 6  PLG DIMENSIÓN ANTIESTATICA ECHEVERRIA</x:t>
        </x:is>
      </x:c>
      <x:c r="C69" s="8" t="n">
        <x:v>1</x:v>
      </x:c>
      <x:c r="D69" s="8" t="n">
        <x:v>0</x:v>
      </x:c>
      <x:c r="E69" s="8" t="n">
        <x:v>0</x:v>
      </x:c>
      <x:c r="F69" s="8" t="n">
        <x:v>1</x:v>
      </x:c>
      <x:c r="G69" s="9" t="n">
        <x:v>130143</x:v>
      </x:c>
      <x:c r="H69" s="9" t="n">
        <x:v>0</x:v>
      </x:c>
      <x:c r="I69" s="9" t="n">
        <x:v>0</x:v>
      </x:c>
      <x:c r="J69" s="9" t="n">
        <x:v>130143</x:v>
      </x:c>
      <x:c r="K69" s="10" t="n">
        <x:v>130143</x:v>
      </x:c>
    </x:row>
    <x:row r="70">
      <x:c r="A70" t="inlineStr">
        <x:is>
          <x:t xml:space="preserve">ECHFIT001033</x:t>
        </x:is>
      </x:c>
      <x:c r="B70" t="inlineStr">
        <x:is>
          <x:t xml:space="preserve">TEE DE 8 PLG DIMENSIÓN ANTIESTATICA ECHEVERRIA</x:t>
        </x:is>
      </x:c>
      <x:c r="C70" s="8" t="n">
        <x:v>1</x:v>
      </x:c>
      <x:c r="D70" s="8" t="n">
        <x:v>0</x:v>
      </x:c>
      <x:c r="E70" s="8" t="n">
        <x:v>0</x:v>
      </x:c>
      <x:c r="F70" s="8" t="n">
        <x:v>1</x:v>
      </x:c>
      <x:c r="G70" s="9" t="n">
        <x:v>163205</x:v>
      </x:c>
      <x:c r="H70" s="9" t="n">
        <x:v>0</x:v>
      </x:c>
      <x:c r="I70" s="9" t="n">
        <x:v>0</x:v>
      </x:c>
      <x:c r="J70" s="9" t="n">
        <x:v>163205</x:v>
      </x:c>
      <x:c r="K70" s="10" t="n">
        <x:v>163205</x:v>
      </x:c>
    </x:row>
    <x:row r="71">
      <x:c r="A71" t="inlineStr">
        <x:is>
          <x:t xml:space="preserve">ECHFIT001034</x:t>
        </x:is>
      </x:c>
      <x:c r="B71" t="inlineStr">
        <x:is>
          <x:t xml:space="preserve">TEE REDU DE 6 A 2 PLG DIMENSIÓN STAND ECHEVERRIA</x:t>
        </x:is>
      </x:c>
      <x:c r="C71" s="8" t="n">
        <x:v>4</x:v>
      </x:c>
      <x:c r="D71" s="8" t="n">
        <x:v>0</x:v>
      </x:c>
      <x:c r="E71" s="8" t="n">
        <x:v>0</x:v>
      </x:c>
      <x:c r="F71" s="8" t="n">
        <x:v>4</x:v>
      </x:c>
      <x:c r="G71" s="9" t="n">
        <x:v>364400</x:v>
      </x:c>
      <x:c r="H71" s="9" t="n">
        <x:v>0</x:v>
      </x:c>
      <x:c r="I71" s="9" t="n">
        <x:v>0</x:v>
      </x:c>
      <x:c r="J71" s="9" t="n">
        <x:v>364400</x:v>
      </x:c>
      <x:c r="K71" s="10" t="n">
        <x:v>91100</x:v>
      </x:c>
    </x:row>
    <x:row r="72">
      <x:c r="A72" t="inlineStr">
        <x:is>
          <x:t xml:space="preserve">ECHFIT001035</x:t>
        </x:is>
      </x:c>
      <x:c r="B72" t="inlineStr">
        <x:is>
          <x:t xml:space="preserve">TEE REDU DE 6 A 4 PLG DIMENSIÓN STAND ECHEVERRIA</x:t>
        </x:is>
      </x:c>
      <x:c r="C72" s="8" t="n">
        <x:v>15</x:v>
      </x:c>
      <x:c r="D72" s="8" t="n">
        <x:v>0</x:v>
      </x:c>
      <x:c r="E72" s="8" t="n">
        <x:v>0</x:v>
      </x:c>
      <x:c r="F72" s="8" t="n">
        <x:v>15</x:v>
      </x:c>
      <x:c r="G72" s="9" t="n">
        <x:v>1561725</x:v>
      </x:c>
      <x:c r="H72" s="9" t="n">
        <x:v>0</x:v>
      </x:c>
      <x:c r="I72" s="9" t="n">
        <x:v>0</x:v>
      </x:c>
      <x:c r="J72" s="9" t="n">
        <x:v>1561725</x:v>
      </x:c>
      <x:c r="K72" s="10" t="n">
        <x:v>104115</x:v>
      </x:c>
    </x:row>
    <x:row r="73">
      <x:c r="A73" t="inlineStr">
        <x:is>
          <x:t xml:space="preserve">ECHFIT001036</x:t>
        </x:is>
      </x:c>
      <x:c r="B73" t="inlineStr">
        <x:is>
          <x:t xml:space="preserve">TEE REDU DE 10 A 2 DIMENSION ANTIESTATICA  ECHEVERRIA</x:t>
        </x:is>
      </x:c>
      <x:c r="C73" s="8" t="n">
        <x:v>5</x:v>
      </x:c>
      <x:c r="D73" s="8" t="n">
        <x:v>0</x:v>
      </x:c>
      <x:c r="E73" s="8" t="n">
        <x:v>0</x:v>
      </x:c>
      <x:c r="F73" s="8" t="n">
        <x:v>5</x:v>
      </x:c>
      <x:c r="G73" s="9" t="n">
        <x:v>826490</x:v>
      </x:c>
      <x:c r="H73" s="9" t="n">
        <x:v>0</x:v>
      </x:c>
      <x:c r="I73" s="9" t="n">
        <x:v>0</x:v>
      </x:c>
      <x:c r="J73" s="9" t="n">
        <x:v>826490</x:v>
      </x:c>
      <x:c r="K73" s="10" t="n">
        <x:v>165298</x:v>
      </x:c>
    </x:row>
    <x:row r="74">
      <x:c r="A74" t="inlineStr">
        <x:is>
          <x:t xml:space="preserve">ECHFIT001037</x:t>
        </x:is>
      </x:c>
      <x:c r="B74" t="inlineStr">
        <x:is>
          <x:t xml:space="preserve">TEE REDU  6 A 2 PLG C/SALIDA TIPO BOQUILLA STAND ECHEVERRIA</x:t>
        </x:is>
      </x:c>
      <x:c r="C74" s="8" t="n">
        <x:v>5</x:v>
      </x:c>
      <x:c r="D74" s="8" t="n">
        <x:v>0</x:v>
      </x:c>
      <x:c r="E74" s="8" t="n">
        <x:v>0</x:v>
      </x:c>
      <x:c r="F74" s="8" t="n">
        <x:v>5</x:v>
      </x:c>
      <x:c r="G74" s="9" t="n">
        <x:v>455500</x:v>
      </x:c>
      <x:c r="H74" s="9" t="n">
        <x:v>0</x:v>
      </x:c>
      <x:c r="I74" s="9" t="n">
        <x:v>0</x:v>
      </x:c>
      <x:c r="J74" s="9" t="n">
        <x:v>455500</x:v>
      </x:c>
      <x:c r="K74" s="10" t="n">
        <x:v>91100</x:v>
      </x:c>
    </x:row>
    <x:row r="75">
      <x:c r="A75" t="inlineStr">
        <x:is>
          <x:t xml:space="preserve">ECHFIT001039</x:t>
        </x:is>
      </x:c>
      <x:c r="B75" t="inlineStr">
        <x:is>
          <x:t xml:space="preserve">TUBERIA DE 4 PLG DIMENSIÓN ANTIESTATICA  ECHEVERRIA</x:t>
        </x:is>
      </x:c>
      <x:c r="C75" s="8" t="n">
        <x:v>90</x:v>
      </x:c>
      <x:c r="D75" s="8" t="n">
        <x:v>0</x:v>
      </x:c>
      <x:c r="E75" s="8" t="n">
        <x:v>0</x:v>
      </x:c>
      <x:c r="F75" s="8" t="n">
        <x:v>90</x:v>
      </x:c>
      <x:c r="G75" s="9" t="n">
        <x:v>4837410</x:v>
      </x:c>
      <x:c r="H75" s="9" t="n">
        <x:v>0</x:v>
      </x:c>
      <x:c r="I75" s="9" t="n">
        <x:v>0</x:v>
      </x:c>
      <x:c r="J75" s="9" t="n">
        <x:v>4837410</x:v>
      </x:c>
      <x:c r="K75" s="10" t="n">
        <x:v>53749</x:v>
      </x:c>
    </x:row>
    <x:row r="76">
      <x:c r="A76" t="inlineStr">
        <x:is>
          <x:t xml:space="preserve">ECHFIT001040</x:t>
        </x:is>
      </x:c>
      <x:c r="B76" t="inlineStr">
        <x:is>
          <x:t xml:space="preserve">TUBERIA DE 4 PLG DIMENSIÓN STAND  ECHEVERRIA</x:t>
        </x:is>
      </x:c>
      <x:c r="C76" s="8" t="n">
        <x:v>126</x:v>
      </x:c>
      <x:c r="D76" s="8" t="n">
        <x:v>0</x:v>
      </x:c>
      <x:c r="E76" s="8" t="n">
        <x:v>0</x:v>
      </x:c>
      <x:c r="F76" s="8" t="n">
        <x:v>126</x:v>
      </x:c>
      <x:c r="G76" s="9" t="n">
        <x:v>6772374</x:v>
      </x:c>
      <x:c r="H76" s="9" t="n">
        <x:v>0</x:v>
      </x:c>
      <x:c r="I76" s="9" t="n">
        <x:v>0</x:v>
      </x:c>
      <x:c r="J76" s="9" t="n">
        <x:v>6772374</x:v>
      </x:c>
      <x:c r="K76" s="10" t="n">
        <x:v>53749</x:v>
      </x:c>
    </x:row>
    <x:row r="77">
      <x:c r="A77" t="inlineStr">
        <x:is>
          <x:t xml:space="preserve">ECHFIT001041</x:t>
        </x:is>
      </x:c>
      <x:c r="B77" t="inlineStr">
        <x:is>
          <x:t xml:space="preserve">TUBERÍA DE 6  PLG DIMENSIÓN STAND  ECHEVERRIA</x:t>
        </x:is>
      </x:c>
      <x:c r="C77" s="8" t="n">
        <x:v>24</x:v>
      </x:c>
      <x:c r="D77" s="8" t="n">
        <x:v>0</x:v>
      </x:c>
      <x:c r="E77" s="8" t="n">
        <x:v>0</x:v>
      </x:c>
      <x:c r="F77" s="8" t="n">
        <x:v>24</x:v>
      </x:c>
      <x:c r="G77" s="9" t="n">
        <x:v>1501968</x:v>
      </x:c>
      <x:c r="H77" s="9" t="n">
        <x:v>0</x:v>
      </x:c>
      <x:c r="I77" s="9" t="n">
        <x:v>0</x:v>
      </x:c>
      <x:c r="J77" s="9" t="n">
        <x:v>1501968</x:v>
      </x:c>
      <x:c r="K77" s="10" t="n">
        <x:v>62582</x:v>
      </x:c>
    </x:row>
    <x:row r="78">
      <x:c r="A78" t="inlineStr">
        <x:is>
          <x:t xml:space="preserve">ECHFIT001042</x:t>
        </x:is>
      </x:c>
      <x:c r="B78" t="inlineStr">
        <x:is>
          <x:t xml:space="preserve">TUBERIA DE 2 PLG DIMENSIÓN ANTIESTATICA  ECHEVERRIA</x:t>
        </x:is>
      </x:c>
      <x:c r="C78" s="8" t="n">
        <x:v>24</x:v>
      </x:c>
      <x:c r="D78" s="8" t="n">
        <x:v>0</x:v>
      </x:c>
      <x:c r="E78" s="8" t="n">
        <x:v>0</x:v>
      </x:c>
      <x:c r="F78" s="8" t="n">
        <x:v>24</x:v>
      </x:c>
      <x:c r="G78" s="9" t="n">
        <x:v>728904</x:v>
      </x:c>
      <x:c r="H78" s="9" t="n">
        <x:v>0</x:v>
      </x:c>
      <x:c r="I78" s="9" t="n">
        <x:v>0</x:v>
      </x:c>
      <x:c r="J78" s="9" t="n">
        <x:v>728904</x:v>
      </x:c>
      <x:c r="K78" s="10" t="n">
        <x:v>30371</x:v>
      </x:c>
    </x:row>
    <x:row r="79">
      <x:c r="A79" t="inlineStr">
        <x:is>
          <x:t xml:space="preserve">ECHFIT001043</x:t>
        </x:is>
      </x:c>
      <x:c r="B79" t="inlineStr">
        <x:is>
          <x:t xml:space="preserve">TUBERIA DE 3 PLG DIMENSIÓN ANTIESTATICA  ECHEVERRIA</x:t>
        </x:is>
      </x:c>
      <x:c r="C79" s="8" t="n">
        <x:v>12</x:v>
      </x:c>
      <x:c r="D79" s="8" t="n">
        <x:v>0</x:v>
      </x:c>
      <x:c r="E79" s="8" t="n">
        <x:v>0</x:v>
      </x:c>
      <x:c r="F79" s="8" t="n">
        <x:v>12</x:v>
      </x:c>
      <x:c r="G79" s="9" t="n">
        <x:v>504144</x:v>
      </x:c>
      <x:c r="H79" s="9" t="n">
        <x:v>0</x:v>
      </x:c>
      <x:c r="I79" s="9" t="n">
        <x:v>0</x:v>
      </x:c>
      <x:c r="J79" s="9" t="n">
        <x:v>504144</x:v>
      </x:c>
      <x:c r="K79" s="10" t="n">
        <x:v>42012</x:v>
      </x:c>
    </x:row>
    <x:row r="80">
      <x:c r="A80" t="inlineStr">
        <x:is>
          <x:t xml:space="preserve">ECHFIT001046</x:t>
        </x:is>
      </x:c>
      <x:c r="B80" t="inlineStr">
        <x:is>
          <x:t xml:space="preserve">TUBERIA DE 6 PLG DIMENSIÓN ANTIESTATICA  ECHEVERRIA</x:t>
        </x:is>
      </x:c>
      <x:c r="C80" s="8" t="n">
        <x:v>16</x:v>
      </x:c>
      <x:c r="D80" s="8" t="n">
        <x:v>0</x:v>
      </x:c>
      <x:c r="E80" s="8" t="n">
        <x:v>0</x:v>
      </x:c>
      <x:c r="F80" s="8" t="n">
        <x:v>16</x:v>
      </x:c>
      <x:c r="G80" s="9" t="n">
        <x:v>1001312</x:v>
      </x:c>
      <x:c r="H80" s="9" t="n">
        <x:v>0</x:v>
      </x:c>
      <x:c r="I80" s="9" t="n">
        <x:v>0</x:v>
      </x:c>
      <x:c r="J80" s="9" t="n">
        <x:v>1001312</x:v>
      </x:c>
      <x:c r="K80" s="10" t="n">
        <x:v>62582</x:v>
      </x:c>
    </x:row>
    <x:row r="81">
      <x:c r="A81" t="inlineStr">
        <x:is>
          <x:t xml:space="preserve">ECHFIT001047</x:t>
        </x:is>
      </x:c>
      <x:c r="B81" t="inlineStr">
        <x:is>
          <x:t xml:space="preserve">TUBERIA DE 8 PLG DIMENSIÓN ANTIESTATICA  ECHEVERRIA</x:t>
        </x:is>
      </x:c>
      <x:c r="C81" s="8" t="n">
        <x:v>42</x:v>
      </x:c>
      <x:c r="D81" s="8" t="n">
        <x:v>0</x:v>
      </x:c>
      <x:c r="E81" s="8" t="n">
        <x:v>0</x:v>
      </x:c>
      <x:c r="F81" s="8" t="n">
        <x:v>42</x:v>
      </x:c>
      <x:c r="G81" s="9" t="n">
        <x:v>3413088</x:v>
      </x:c>
      <x:c r="H81" s="9" t="n">
        <x:v>0</x:v>
      </x:c>
      <x:c r="I81" s="9" t="n">
        <x:v>0</x:v>
      </x:c>
      <x:c r="J81" s="9" t="n">
        <x:v>3413088</x:v>
      </x:c>
      <x:c r="K81" s="10" t="n">
        <x:v>81264</x:v>
      </x:c>
    </x:row>
    <x:row r="82">
      <x:c r="A82" t="inlineStr">
        <x:is>
          <x:t xml:space="preserve">ECHFIT001048</x:t>
        </x:is>
      </x:c>
      <x:c r="B82" t="inlineStr">
        <x:is>
          <x:t xml:space="preserve">CODO 45 GRD 10PLG DE DIMENSION ANTIESTATICA ECHEVERIA</x:t>
        </x:is>
      </x:c>
      <x:c r="C82" s="8" t="n">
        <x:v>6</x:v>
      </x:c>
      <x:c r="D82" s="8" t="n">
        <x:v>0</x:v>
      </x:c>
      <x:c r="E82" s="8" t="n">
        <x:v>0</x:v>
      </x:c>
      <x:c r="F82" s="8" t="n">
        <x:v>6</x:v>
      </x:c>
      <x:c r="G82" s="9" t="n">
        <x:v>660756</x:v>
      </x:c>
      <x:c r="H82" s="9" t="n">
        <x:v>0</x:v>
      </x:c>
      <x:c r="I82" s="9" t="n">
        <x:v>0</x:v>
      </x:c>
      <x:c r="J82" s="9" t="n">
        <x:v>660756</x:v>
      </x:c>
      <x:c r="K82" s="10" t="n">
        <x:v>110126</x:v>
      </x:c>
    </x:row>
    <x:row r="83">
      <x:c r="A83" t="inlineStr">
        <x:is>
          <x:t xml:space="preserve">ECHFIT001049</x:t>
        </x:is>
      </x:c>
      <x:c r="B83" t="inlineStr">
        <x:is>
          <x:t xml:space="preserve">STUB END 10 PLG DE DIMENSIÓN ANTIESTATICO ECHEVERRIA</x:t>
        </x:is>
      </x:c>
      <x:c r="C83" s="8" t="n">
        <x:v>29</x:v>
      </x:c>
      <x:c r="D83" s="8" t="n">
        <x:v>0</x:v>
      </x:c>
      <x:c r="E83" s="8" t="n">
        <x:v>0</x:v>
      </x:c>
      <x:c r="F83" s="8" t="n">
        <x:v>29</x:v>
      </x:c>
      <x:c r="G83" s="9" t="n">
        <x:v>4098976</x:v>
      </x:c>
      <x:c r="H83" s="9" t="n">
        <x:v>0</x:v>
      </x:c>
      <x:c r="I83" s="9" t="n">
        <x:v>0</x:v>
      </x:c>
      <x:c r="J83" s="9" t="n">
        <x:v>4098976</x:v>
      </x:c>
      <x:c r="K83" s="10" t="n">
        <x:v>141344</x:v>
      </x:c>
    </x:row>
    <x:row r="84">
      <x:c r="A84" t="inlineStr">
        <x:is>
          <x:t xml:space="preserve">ECHFIT001051</x:t>
        </x:is>
      </x:c>
      <x:c r="B84" t="inlineStr">
        <x:is>
          <x:t xml:space="preserve">STUB END 2 PLG DE DIMENSIÓN ANTIESTATICO ECHEVERRIA</x:t>
        </x:is>
      </x:c>
      <x:c r="C84" s="8" t="n">
        <x:v>1</x:v>
      </x:c>
      <x:c r="D84" s="8" t="n">
        <x:v>0</x:v>
      </x:c>
      <x:c r="E84" s="8" t="n">
        <x:v>0</x:v>
      </x:c>
      <x:c r="F84" s="8" t="n">
        <x:v>1</x:v>
      </x:c>
      <x:c r="G84" s="9" t="n">
        <x:v>24089</x:v>
      </x:c>
      <x:c r="H84" s="9" t="n">
        <x:v>0</x:v>
      </x:c>
      <x:c r="I84" s="9" t="n">
        <x:v>0</x:v>
      </x:c>
      <x:c r="J84" s="9" t="n">
        <x:v>24089</x:v>
      </x:c>
      <x:c r="K84" s="10" t="n">
        <x:v>24089</x:v>
      </x:c>
    </x:row>
    <x:row r="85">
      <x:c r="A85" t="inlineStr">
        <x:is>
          <x:t xml:space="preserve">ECHFIT001052</x:t>
        </x:is>
      </x:c>
      <x:c r="B85" t="inlineStr">
        <x:is>
          <x:t xml:space="preserve">STUB END 4 PLG DE DIMENSIÓN ANTIESTATICO ECHEVERRIA</x:t>
        </x:is>
      </x:c>
      <x:c r="C85" s="8" t="n">
        <x:v>5</x:v>
      </x:c>
      <x:c r="D85" s="8" t="n">
        <x:v>0</x:v>
      </x:c>
      <x:c r="E85" s="8" t="n">
        <x:v>0</x:v>
      </x:c>
      <x:c r="F85" s="8" t="n">
        <x:v>5</x:v>
      </x:c>
      <x:c r="G85" s="9" t="n">
        <x:v>243210</x:v>
      </x:c>
      <x:c r="H85" s="9" t="n">
        <x:v>0</x:v>
      </x:c>
      <x:c r="I85" s="9" t="n">
        <x:v>0</x:v>
      </x:c>
      <x:c r="J85" s="9" t="n">
        <x:v>243210</x:v>
      </x:c>
      <x:c r="K85" s="10" t="n">
        <x:v>48642</x:v>
      </x:c>
    </x:row>
    <x:row r="86">
      <x:c r="A86" t="inlineStr">
        <x:is>
          <x:t xml:space="preserve">ECHFIT001054</x:t>
        </x:is>
      </x:c>
      <x:c r="B86" t="inlineStr">
        <x:is>
          <x:t xml:space="preserve">STUB END 4  PLG DE DIMENSIÓN NATURAL  ECHEVERRIA</x:t>
        </x:is>
      </x:c>
      <x:c r="C86" s="8" t="n">
        <x:v>5</x:v>
      </x:c>
      <x:c r="D86" s="8" t="n">
        <x:v>0</x:v>
      </x:c>
      <x:c r="E86" s="8" t="n">
        <x:v>0</x:v>
      </x:c>
      <x:c r="F86" s="8" t="n">
        <x:v>5</x:v>
      </x:c>
      <x:c r="G86" s="9" t="n">
        <x:v>243210</x:v>
      </x:c>
      <x:c r="H86" s="9" t="n">
        <x:v>0</x:v>
      </x:c>
      <x:c r="I86" s="9" t="n">
        <x:v>0</x:v>
      </x:c>
      <x:c r="J86" s="9" t="n">
        <x:v>243210</x:v>
      </x:c>
      <x:c r="K86" s="10" t="n">
        <x:v>48642</x:v>
      </x:c>
    </x:row>
    <x:row r="87">
      <x:c r="A87" t="inlineStr">
        <x:is>
          <x:t xml:space="preserve">EMPDUR150001</x:t>
        </x:is>
      </x:c>
      <x:c r="B87" t="inlineStr">
        <x:is>
          <x:t xml:space="preserve">EMPAQUETADURA DURLON 9000 FF CLASE 150 1/2 PLG</x:t>
        </x:is>
      </x:c>
      <x:c r="C87" s="8" t="n">
        <x:v>369</x:v>
      </x:c>
      <x:c r="D87" s="8" t="n">
        <x:v>0</x:v>
      </x:c>
      <x:c r="E87" s="8" t="n">
        <x:v>0</x:v>
      </x:c>
      <x:c r="F87" s="8" t="n">
        <x:v>369</x:v>
      </x:c>
      <x:c r="G87" s="9" t="n">
        <x:v>756450</x:v>
      </x:c>
      <x:c r="H87" s="9" t="n">
        <x:v>0</x:v>
      </x:c>
      <x:c r="I87" s="9" t="n">
        <x:v>0</x:v>
      </x:c>
      <x:c r="J87" s="9" t="n">
        <x:v>756450</x:v>
      </x:c>
      <x:c r="K87" s="10" t="n">
        <x:v>2050</x:v>
      </x:c>
    </x:row>
    <x:row r="88">
      <x:c r="A88" t="inlineStr">
        <x:is>
          <x:t xml:space="preserve">EMPDUR150002</x:t>
        </x:is>
      </x:c>
      <x:c r="B88" t="inlineStr">
        <x:is>
          <x:t xml:space="preserve">EMPAQUETADURA DURLON 9000 FF CLASE 150 3/4 PLG</x:t>
        </x:is>
      </x:c>
      <x:c r="C88" s="8" t="n">
        <x:v>625</x:v>
      </x:c>
      <x:c r="D88" s="8" t="n">
        <x:v>0</x:v>
      </x:c>
      <x:c r="E88" s="8" t="n">
        <x:v>0</x:v>
      </x:c>
      <x:c r="F88" s="8" t="n">
        <x:v>625</x:v>
      </x:c>
      <x:c r="G88" s="9" t="n">
        <x:v>1569375</x:v>
      </x:c>
      <x:c r="H88" s="9" t="n">
        <x:v>0</x:v>
      </x:c>
      <x:c r="I88" s="9" t="n">
        <x:v>0</x:v>
      </x:c>
      <x:c r="J88" s="9" t="n">
        <x:v>1569375</x:v>
      </x:c>
      <x:c r="K88" s="10" t="n">
        <x:v>2511</x:v>
      </x:c>
    </x:row>
    <x:row r="89">
      <x:c r="A89" t="inlineStr">
        <x:is>
          <x:t xml:space="preserve">EMPDUR150003</x:t>
        </x:is>
      </x:c>
      <x:c r="B89" t="inlineStr">
        <x:is>
          <x:t xml:space="preserve">EMPAQUETADURA DURLON 9000 FF CLASE 150 1 PLG</x:t>
        </x:is>
      </x:c>
      <x:c r="C89" s="8" t="n">
        <x:v>800</x:v>
      </x:c>
      <x:c r="D89" s="8" t="n">
        <x:v>0</x:v>
      </x:c>
      <x:c r="E89" s="8" t="n">
        <x:v>0</x:v>
      </x:c>
      <x:c r="F89" s="8" t="n">
        <x:v>800</x:v>
      </x:c>
      <x:c r="G89" s="9" t="n">
        <x:v>2472000</x:v>
      </x:c>
      <x:c r="H89" s="9" t="n">
        <x:v>0</x:v>
      </x:c>
      <x:c r="I89" s="9" t="n">
        <x:v>0</x:v>
      </x:c>
      <x:c r="J89" s="9" t="n">
        <x:v>2472000</x:v>
      </x:c>
      <x:c r="K89" s="10" t="n">
        <x:v>3090</x:v>
      </x:c>
    </x:row>
    <x:row r="90">
      <x:c r="A90" t="inlineStr">
        <x:is>
          <x:t xml:space="preserve">EMPDUR150004</x:t>
        </x:is>
      </x:c>
      <x:c r="B90" t="inlineStr">
        <x:is>
          <x:t xml:space="preserve">EMPAQUETADURA DURLON 9000 1/8 ESP FF CLASE 150 1.1/2 PLG</x:t>
        </x:is>
      </x:c>
      <x:c r="C90" s="8" t="n">
        <x:v>68</x:v>
      </x:c>
      <x:c r="D90" s="8" t="n">
        <x:v>0</x:v>
      </x:c>
      <x:c r="E90" s="8" t="n">
        <x:v>0</x:v>
      </x:c>
      <x:c r="F90" s="8" t="n">
        <x:v>68</x:v>
      </x:c>
      <x:c r="G90" s="9" t="n">
        <x:v>140080</x:v>
      </x:c>
      <x:c r="H90" s="9" t="n">
        <x:v>0</x:v>
      </x:c>
      <x:c r="I90" s="9" t="n">
        <x:v>0</x:v>
      </x:c>
      <x:c r="J90" s="9" t="n">
        <x:v>140080</x:v>
      </x:c>
      <x:c r="K90" s="10" t="n">
        <x:v>2060</x:v>
      </x:c>
    </x:row>
    <x:row r="91">
      <x:c r="A91" t="inlineStr">
        <x:is>
          <x:t xml:space="preserve">EMPDUR150005</x:t>
        </x:is>
      </x:c>
      <x:c r="B91" t="inlineStr">
        <x:is>
          <x:t xml:space="preserve">EMPAQUETADURA DURLON 9000 1/8 ESP FF CLASE 150 2 PLG</x:t>
        </x:is>
      </x:c>
      <x:c r="C91" s="8" t="n">
        <x:v>723</x:v>
      </x:c>
      <x:c r="D91" s="8" t="n">
        <x:v>0</x:v>
      </x:c>
      <x:c r="E91" s="8" t="n">
        <x:v>0</x:v>
      </x:c>
      <x:c r="F91" s="8" t="n">
        <x:v>723</x:v>
      </x:c>
      <x:c r="G91" s="9" t="n">
        <x:v>4742880</x:v>
      </x:c>
      <x:c r="H91" s="9" t="n">
        <x:v>0</x:v>
      </x:c>
      <x:c r="I91" s="9" t="n">
        <x:v>0</x:v>
      </x:c>
      <x:c r="J91" s="9" t="n">
        <x:v>4742880</x:v>
      </x:c>
      <x:c r="K91" s="10" t="n">
        <x:v>6560</x:v>
      </x:c>
    </x:row>
    <x:row r="92">
      <x:c r="A92" t="inlineStr">
        <x:is>
          <x:t xml:space="preserve">EMPDUR150007</x:t>
        </x:is>
      </x:c>
      <x:c r="B92" t="inlineStr">
        <x:is>
          <x:t xml:space="preserve">EMPAQUETADURA DURLON 9000 1/8 ESP FF CLASE 150 3 PLG</x:t>
        </x:is>
      </x:c>
      <x:c r="C92" s="8" t="n">
        <x:v>32</x:v>
      </x:c>
      <x:c r="D92" s="8" t="n">
        <x:v>0</x:v>
      </x:c>
      <x:c r="E92" s="8" t="n">
        <x:v>0</x:v>
      </x:c>
      <x:c r="F92" s="8" t="n">
        <x:v>32</x:v>
      </x:c>
      <x:c r="G92" s="9" t="n">
        <x:v>489505</x:v>
      </x:c>
      <x:c r="H92" s="9" t="n">
        <x:v>0</x:v>
      </x:c>
      <x:c r="I92" s="9" t="n">
        <x:v>0</x:v>
      </x:c>
      <x:c r="J92" s="9" t="n">
        <x:v>489505</x:v>
      </x:c>
      <x:c r="K92" s="10" t="n">
        <x:v>15297</x:v>
      </x:c>
    </x:row>
    <x:row r="93">
      <x:c r="A93" t="inlineStr">
        <x:is>
          <x:t xml:space="preserve">EMPDUR150011</x:t>
        </x:is>
      </x:c>
      <x:c r="B93" t="inlineStr">
        <x:is>
          <x:t xml:space="preserve">EMPAQUETADURA DURLON 7900 1/8 ESP FF CLASE 150 6 PLG</x:t>
        </x:is>
      </x:c>
      <x:c r="C93" s="8" t="n">
        <x:v>100</x:v>
      </x:c>
      <x:c r="D93" s="8" t="n">
        <x:v>0</x:v>
      </x:c>
      <x:c r="E93" s="8" t="n">
        <x:v>0</x:v>
      </x:c>
      <x:c r="F93" s="8" t="n">
        <x:v>100</x:v>
      </x:c>
      <x:c r="G93" s="9" t="n">
        <x:v>339500</x:v>
      </x:c>
      <x:c r="H93" s="9" t="n">
        <x:v>0</x:v>
      </x:c>
      <x:c r="I93" s="9" t="n">
        <x:v>0</x:v>
      </x:c>
      <x:c r="J93" s="9" t="n">
        <x:v>339500</x:v>
      </x:c>
      <x:c r="K93" s="10" t="n">
        <x:v>3395</x:v>
      </x:c>
    </x:row>
    <x:row r="94">
      <x:c r="A94" t="inlineStr">
        <x:is>
          <x:t xml:space="preserve">EMPDUR150012</x:t>
        </x:is>
      </x:c>
      <x:c r="B94" t="inlineStr">
        <x:is>
          <x:t xml:space="preserve">EMPAQUETADURA DURLON 9000 1/8 ESP RF CLASE 150 3/4  PLG</x:t>
        </x:is>
      </x:c>
      <x:c r="C94" s="8" t="n">
        <x:v>206</x:v>
      </x:c>
      <x:c r="D94" s="8" t="n">
        <x:v>0</x:v>
      </x:c>
      <x:c r="E94" s="8" t="n">
        <x:v>0</x:v>
      </x:c>
      <x:c r="F94" s="8" t="n">
        <x:v>206</x:v>
      </x:c>
      <x:c r="G94" s="9" t="n">
        <x:v>183340</x:v>
      </x:c>
      <x:c r="H94" s="9" t="n">
        <x:v>0</x:v>
      </x:c>
      <x:c r="I94" s="9" t="n">
        <x:v>0</x:v>
      </x:c>
      <x:c r="J94" s="9" t="n">
        <x:v>183340</x:v>
      </x:c>
      <x:c r="K94" s="10" t="n">
        <x:v>890</x:v>
      </x:c>
    </x:row>
    <x:row r="95">
      <x:c r="A95" t="inlineStr">
        <x:is>
          <x:t xml:space="preserve">EMPDUR150013</x:t>
        </x:is>
      </x:c>
      <x:c r="B95" t="inlineStr">
        <x:is>
          <x:t xml:space="preserve">EMPAQUETADURA DURLON 9000 1/8 ESP RF CLASE 150 1 PLG</x:t>
        </x:is>
      </x:c>
      <x:c r="C95" s="8" t="n">
        <x:v>139</x:v>
      </x:c>
      <x:c r="D95" s="8" t="n">
        <x:v>0</x:v>
      </x:c>
      <x:c r="E95" s="8" t="n">
        <x:v>0</x:v>
      </x:c>
      <x:c r="F95" s="8" t="n">
        <x:v>139</x:v>
      </x:c>
      <x:c r="G95" s="9" t="n">
        <x:v>456059</x:v>
      </x:c>
      <x:c r="H95" s="9" t="n">
        <x:v>0</x:v>
      </x:c>
      <x:c r="I95" s="9" t="n">
        <x:v>0</x:v>
      </x:c>
      <x:c r="J95" s="9" t="n">
        <x:v>456059</x:v>
      </x:c>
      <x:c r="K95" s="10" t="n">
        <x:v>3281</x:v>
      </x:c>
    </x:row>
    <x:row r="96">
      <x:c r="A96" t="inlineStr">
        <x:is>
          <x:t xml:space="preserve">EMPDUR150014</x:t>
        </x:is>
      </x:c>
      <x:c r="B96" t="inlineStr">
        <x:is>
          <x:t xml:space="preserve">EMPAQUETADURA DURLON 9000 1/8 ESP RF CLASE 150 1.1/2 PLG</x:t>
        </x:is>
      </x:c>
      <x:c r="C96" s="8" t="n">
        <x:v>1164</x:v>
      </x:c>
      <x:c r="D96" s="8" t="n">
        <x:v>0</x:v>
      </x:c>
      <x:c r="E96" s="8" t="n">
        <x:v>0</x:v>
      </x:c>
      <x:c r="F96" s="8" t="n">
        <x:v>1164</x:v>
      </x:c>
      <x:c r="G96" s="9" t="n">
        <x:v>2135940</x:v>
      </x:c>
      <x:c r="H96" s="9" t="n">
        <x:v>0</x:v>
      </x:c>
      <x:c r="I96" s="9" t="n">
        <x:v>0</x:v>
      </x:c>
      <x:c r="J96" s="9" t="n">
        <x:v>2135940</x:v>
      </x:c>
      <x:c r="K96" s="10" t="n">
        <x:v>1835</x:v>
      </x:c>
    </x:row>
    <x:row r="97">
      <x:c r="A97" t="inlineStr">
        <x:is>
          <x:t xml:space="preserve">EMPDUR150015</x:t>
        </x:is>
      </x:c>
      <x:c r="B97" t="inlineStr">
        <x:is>
          <x:t xml:space="preserve">EMPAQUETADURA DURLON 9000 1/8 ESP RF CLASE 150 2 PLG</x:t>
        </x:is>
      </x:c>
      <x:c r="C97" s="8" t="n">
        <x:v>100</x:v>
      </x:c>
      <x:c r="D97" s="8" t="n">
        <x:v>0</x:v>
      </x:c>
      <x:c r="E97" s="8" t="n">
        <x:v>0</x:v>
      </x:c>
      <x:c r="F97" s="8" t="n">
        <x:v>100</x:v>
      </x:c>
      <x:c r="G97" s="9" t="n">
        <x:v>529000</x:v>
      </x:c>
      <x:c r="H97" s="9" t="n">
        <x:v>0</x:v>
      </x:c>
      <x:c r="I97" s="9" t="n">
        <x:v>0</x:v>
      </x:c>
      <x:c r="J97" s="9" t="n">
        <x:v>529000</x:v>
      </x:c>
      <x:c r="K97" s="10" t="n">
        <x:v>5290</x:v>
      </x:c>
    </x:row>
    <x:row r="98">
      <x:c r="A98" t="inlineStr">
        <x:is>
          <x:t xml:space="preserve">EMPDUR150016</x:t>
        </x:is>
      </x:c>
      <x:c r="B98" t="inlineStr">
        <x:is>
          <x:t xml:space="preserve">EMPAQUETADURA DURLON 9000 1/8 ESPRF CLASE 150 2.1/2 PLG</x:t>
        </x:is>
      </x:c>
      <x:c r="C98" s="8" t="n">
        <x:v>37</x:v>
      </x:c>
      <x:c r="D98" s="8" t="n">
        <x:v>0</x:v>
      </x:c>
      <x:c r="E98" s="8" t="n">
        <x:v>0</x:v>
      </x:c>
      <x:c r="F98" s="8" t="n">
        <x:v>37</x:v>
      </x:c>
      <x:c r="G98" s="9" t="n">
        <x:v>136160</x:v>
      </x:c>
      <x:c r="H98" s="9" t="n">
        <x:v>0</x:v>
      </x:c>
      <x:c r="I98" s="9" t="n">
        <x:v>0</x:v>
      </x:c>
      <x:c r="J98" s="9" t="n">
        <x:v>136160</x:v>
      </x:c>
      <x:c r="K98" s="10" t="n">
        <x:v>3680</x:v>
      </x:c>
    </x:row>
    <x:row r="99">
      <x:c r="A99" t="inlineStr">
        <x:is>
          <x:t xml:space="preserve">EMPDUR150017</x:t>
        </x:is>
      </x:c>
      <x:c r="B99" t="inlineStr">
        <x:is>
          <x:t xml:space="preserve">EMPAQUETADURA DURLON 9000 1/8 ESP RF CLASE 150 3 PLG</x:t>
        </x:is>
      </x:c>
      <x:c r="C99" s="8" t="n">
        <x:v>600</x:v>
      </x:c>
      <x:c r="D99" s="8" t="n">
        <x:v>0</x:v>
      </x:c>
      <x:c r="E99" s="8" t="n">
        <x:v>0</x:v>
      </x:c>
      <x:c r="F99" s="8" t="n">
        <x:v>600</x:v>
      </x:c>
      <x:c r="G99" s="9" t="n">
        <x:v>4182000</x:v>
      </x:c>
      <x:c r="H99" s="9" t="n">
        <x:v>0</x:v>
      </x:c>
      <x:c r="I99" s="9" t="n">
        <x:v>0</x:v>
      </x:c>
      <x:c r="J99" s="9" t="n">
        <x:v>4182000</x:v>
      </x:c>
      <x:c r="K99" s="10" t="n">
        <x:v>6970</x:v>
      </x:c>
    </x:row>
    <x:row r="100">
      <x:c r="A100" t="inlineStr">
        <x:is>
          <x:t xml:space="preserve">EMPDUR150021</x:t>
        </x:is>
      </x:c>
      <x:c r="B100" t="inlineStr">
        <x:is>
          <x:t xml:space="preserve">EMPAQUETADURA DURLON 7900 1/8 ESP CLASE 150 TIPO FF 2 PLG DIAM</x:t>
        </x:is>
      </x:c>
      <x:c r="C100" s="8" t="n">
        <x:v>71</x:v>
      </x:c>
      <x:c r="D100" s="8" t="n">
        <x:v>0</x:v>
      </x:c>
      <x:c r="E100" s="8" t="n">
        <x:v>0</x:v>
      </x:c>
      <x:c r="F100" s="8" t="n">
        <x:v>71</x:v>
      </x:c>
      <x:c r="G100" s="9" t="n">
        <x:v>149810</x:v>
      </x:c>
      <x:c r="H100" s="9" t="n">
        <x:v>0</x:v>
      </x:c>
      <x:c r="I100" s="9" t="n">
        <x:v>0</x:v>
      </x:c>
      <x:c r="J100" s="9" t="n">
        <x:v>149810</x:v>
      </x:c>
      <x:c r="K100" s="10" t="n">
        <x:v>2110</x:v>
      </x:c>
    </x:row>
    <x:row r="101">
      <x:c r="A101" t="inlineStr">
        <x:is>
          <x:t xml:space="preserve">EMPDUR150023</x:t>
        </x:is>
      </x:c>
      <x:c r="B101" t="inlineStr">
        <x:is>
          <x:t xml:space="preserve">EMPAQUETADURA DURLON 9000 1/8 ESP.CLASE 150 TIPO FF 6 PLG DIAM</x:t>
        </x:is>
      </x:c>
      <x:c r="C101" s="8" t="n">
        <x:v>87</x:v>
      </x:c>
      <x:c r="D101" s="8" t="n">
        <x:v>0</x:v>
      </x:c>
      <x:c r="E101" s="8" t="n">
        <x:v>0</x:v>
      </x:c>
      <x:c r="F101" s="8" t="n">
        <x:v>87</x:v>
      </x:c>
      <x:c r="G101" s="9" t="n">
        <x:v>2608434</x:v>
      </x:c>
      <x:c r="H101" s="9" t="n">
        <x:v>0</x:v>
      </x:c>
      <x:c r="I101" s="9" t="n">
        <x:v>0</x:v>
      </x:c>
      <x:c r="J101" s="9" t="n">
        <x:v>2608434</x:v>
      </x:c>
      <x:c r="K101" s="10" t="n">
        <x:v>29982</x:v>
      </x:c>
    </x:row>
    <x:row r="102">
      <x:c r="A102" t="inlineStr">
        <x:is>
          <x:t xml:space="preserve">EMPDUR150026</x:t>
        </x:is>
      </x:c>
      <x:c r="B102" t="inlineStr">
        <x:is>
          <x:t xml:space="preserve">EMPAQUETADURA DURLON 7900 1/8 ESP CLASE 150 8 PLG</x:t>
        </x:is>
      </x:c>
      <x:c r="C102" s="8" t="n">
        <x:v>13</x:v>
      </x:c>
      <x:c r="D102" s="8" t="n">
        <x:v>0</x:v>
      </x:c>
      <x:c r="E102" s="8" t="n">
        <x:v>0</x:v>
      </x:c>
      <x:c r="F102" s="8" t="n">
        <x:v>13</x:v>
      </x:c>
      <x:c r="G102" s="9" t="n">
        <x:v>101647</x:v>
      </x:c>
      <x:c r="H102" s="9" t="n">
        <x:v>0</x:v>
      </x:c>
      <x:c r="I102" s="9" t="n">
        <x:v>0</x:v>
      </x:c>
      <x:c r="J102" s="9" t="n">
        <x:v>101647</x:v>
      </x:c>
      <x:c r="K102" s="10" t="n">
        <x:v>7819</x:v>
      </x:c>
    </x:row>
    <x:row r="103">
      <x:c r="A103" t="inlineStr">
        <x:is>
          <x:t xml:space="preserve">EMPDUR150031</x:t>
        </x:is>
      </x:c>
      <x:c r="B103" t="inlineStr">
        <x:is>
          <x:t xml:space="preserve">EMPAQUETADURA DURLON 9000 1/8 PLG ESP. CLASE 150 TIPO RF 1/2 PLG DIAM.</x:t>
        </x:is>
      </x:c>
      <x:c r="C103" s="8" t="n">
        <x:v>122</x:v>
      </x:c>
      <x:c r="D103" s="8" t="n">
        <x:v>0</x:v>
      </x:c>
      <x:c r="E103" s="8" t="n">
        <x:v>0</x:v>
      </x:c>
      <x:c r="F103" s="8" t="n">
        <x:v>122</x:v>
      </x:c>
      <x:c r="G103" s="9" t="n">
        <x:v>95160</x:v>
      </x:c>
      <x:c r="H103" s="9" t="n">
        <x:v>0</x:v>
      </x:c>
      <x:c r="I103" s="9" t="n">
        <x:v>0</x:v>
      </x:c>
      <x:c r="J103" s="9" t="n">
        <x:v>95160</x:v>
      </x:c>
      <x:c r="K103" s="10" t="n">
        <x:v>780</x:v>
      </x:c>
    </x:row>
    <x:row r="104">
      <x:c r="A104" t="inlineStr">
        <x:is>
          <x:t xml:space="preserve">EMPDUR150034</x:t>
        </x:is>
      </x:c>
      <x:c r="B104" t="inlineStr">
        <x:is>
          <x:t xml:space="preserve">11134373 EMPAQUETADURA 12 PLG DURLON 9000 1/8 ESP.CLASE 150 ANSI</x:t>
        </x:is>
      </x:c>
      <x:c r="C104" s="8" t="n">
        <x:v>11</x:v>
      </x:c>
      <x:c r="D104" s="8" t="n">
        <x:v>0</x:v>
      </x:c>
      <x:c r="E104" s="8" t="n">
        <x:v>0</x:v>
      </x:c>
      <x:c r="F104" s="8" t="n">
        <x:v>11</x:v>
      </x:c>
      <x:c r="G104" s="9" t="n">
        <x:v>602646</x:v>
      </x:c>
      <x:c r="H104" s="9" t="n">
        <x:v>0</x:v>
      </x:c>
      <x:c r="I104" s="9" t="n">
        <x:v>0</x:v>
      </x:c>
      <x:c r="J104" s="9" t="n">
        <x:v>602646</x:v>
      </x:c>
      <x:c r="K104" s="10" t="n">
        <x:v>54786</x:v>
      </x:c>
    </x:row>
    <x:row r="105">
      <x:c r="A105" t="inlineStr">
        <x:is>
          <x:t xml:space="preserve">EMPDUR150035</x:t>
        </x:is>
      </x:c>
      <x:c r="B105" t="inlineStr">
        <x:is>
          <x:t xml:space="preserve">4033578 EMPAQUETADURA DURLON 7900 FF CLASE 150 ANSI 1/8 ESP.DE 18 PLG</x:t>
        </x:is>
      </x:c>
      <x:c r="C105" s="8" t="n">
        <x:v>13</x:v>
      </x:c>
      <x:c r="D105" s="8" t="n">
        <x:v>0</x:v>
      </x:c>
      <x:c r="E105" s="8" t="n">
        <x:v>0</x:v>
      </x:c>
      <x:c r="F105" s="8" t="n">
        <x:v>13</x:v>
      </x:c>
      <x:c r="G105" s="9" t="n">
        <x:v>404248</x:v>
      </x:c>
      <x:c r="H105" s="9" t="n">
        <x:v>0</x:v>
      </x:c>
      <x:c r="I105" s="9" t="n">
        <x:v>0</x:v>
      </x:c>
      <x:c r="J105" s="9" t="n">
        <x:v>404248</x:v>
      </x:c>
      <x:c r="K105" s="10" t="n">
        <x:v>31096</x:v>
      </x:c>
    </x:row>
    <x:row r="106">
      <x:c r="A106" t="inlineStr">
        <x:is>
          <x:t xml:space="preserve">EMPDUR300001</x:t>
        </x:is>
      </x:c>
      <x:c r="B106" t="inlineStr">
        <x:is>
          <x:t xml:space="preserve">EMPAQUETADURA DURLON 7900 1/8 ESP FF CLASE 300 3 PLG</x:t>
        </x:is>
      </x:c>
      <x:c r="C106" s="8" t="n">
        <x:v>9</x:v>
      </x:c>
      <x:c r="D106" s="8" t="n">
        <x:v>0</x:v>
      </x:c>
      <x:c r="E106" s="8" t="n">
        <x:v>0</x:v>
      </x:c>
      <x:c r="F106" s="8" t="n">
        <x:v>9</x:v>
      </x:c>
      <x:c r="G106" s="9" t="n">
        <x:v>11925</x:v>
      </x:c>
      <x:c r="H106" s="9" t="n">
        <x:v>0</x:v>
      </x:c>
      <x:c r="I106" s="9" t="n">
        <x:v>0</x:v>
      </x:c>
      <x:c r="J106" s="9" t="n">
        <x:v>11925</x:v>
      </x:c>
      <x:c r="K106" s="10" t="n">
        <x:v>1325</x:v>
      </x:c>
    </x:row>
    <x:row r="107">
      <x:c r="A107" t="inlineStr">
        <x:is>
          <x:t xml:space="preserve">EMPDUR300002</x:t>
        </x:is>
      </x:c>
      <x:c r="B107" t="inlineStr">
        <x:is>
          <x:t xml:space="preserve">EMPAQUETADURA DURLON 7900 1/8 ESP FF CLASE 300 4 PLG</x:t>
        </x:is>
      </x:c>
      <x:c r="C107" s="8" t="n">
        <x:v>4</x:v>
      </x:c>
      <x:c r="D107" s="8" t="n">
        <x:v>0</x:v>
      </x:c>
      <x:c r="E107" s="8" t="n">
        <x:v>0</x:v>
      </x:c>
      <x:c r="F107" s="8" t="n">
        <x:v>4</x:v>
      </x:c>
      <x:c r="G107" s="9" t="n">
        <x:v>6500</x:v>
      </x:c>
      <x:c r="H107" s="9" t="n">
        <x:v>0</x:v>
      </x:c>
      <x:c r="I107" s="9" t="n">
        <x:v>0</x:v>
      </x:c>
      <x:c r="J107" s="9" t="n">
        <x:v>6500</x:v>
      </x:c>
      <x:c r="K107" s="10" t="n">
        <x:v>1625</x:v>
      </x:c>
    </x:row>
    <x:row r="108">
      <x:c r="A108" t="inlineStr">
        <x:is>
          <x:t xml:space="preserve">EMPDUR300004</x:t>
        </x:is>
      </x:c>
      <x:c r="B108" t="inlineStr">
        <x:is>
          <x:t xml:space="preserve">EMPAQUETADURA DURLON 9000 1/8 ESP FF CLASE 300 8 PLG</x:t>
        </x:is>
      </x:c>
      <x:c r="C108" s="8" t="n">
        <x:v>12</x:v>
      </x:c>
      <x:c r="D108" s="8" t="n">
        <x:v>0</x:v>
      </x:c>
      <x:c r="E108" s="8" t="n">
        <x:v>0</x:v>
      </x:c>
      <x:c r="F108" s="8" t="n">
        <x:v>12</x:v>
      </x:c>
      <x:c r="G108" s="9" t="n">
        <x:v>453564</x:v>
      </x:c>
      <x:c r="H108" s="9" t="n">
        <x:v>0</x:v>
      </x:c>
      <x:c r="I108" s="9" t="n">
        <x:v>0</x:v>
      </x:c>
      <x:c r="J108" s="9" t="n">
        <x:v>453564</x:v>
      </x:c>
      <x:c r="K108" s="10" t="n">
        <x:v>37797</x:v>
      </x:c>
    </x:row>
    <x:row r="109">
      <x:c r="A109" t="inlineStr">
        <x:is>
          <x:t xml:space="preserve">EMPDUR300008</x:t>
        </x:is>
      </x:c>
      <x:c r="B109" t="inlineStr">
        <x:is>
          <x:t xml:space="preserve">EMPAQUETADURA DURLON 9000 1/8 CLASE 300 TIPO FF 4 PLG DIAM.</x:t>
        </x:is>
      </x:c>
      <x:c r="C109" s="8" t="n">
        <x:v>32</x:v>
      </x:c>
      <x:c r="D109" s="8" t="n">
        <x:v>0</x:v>
      </x:c>
      <x:c r="E109" s="8" t="n">
        <x:v>0</x:v>
      </x:c>
      <x:c r="F109" s="8" t="n">
        <x:v>32</x:v>
      </x:c>
      <x:c r="G109" s="9" t="n">
        <x:v>506784</x:v>
      </x:c>
      <x:c r="H109" s="9" t="n">
        <x:v>0</x:v>
      </x:c>
      <x:c r="I109" s="9" t="n">
        <x:v>0</x:v>
      </x:c>
      <x:c r="J109" s="9" t="n">
        <x:v>506784</x:v>
      </x:c>
      <x:c r="K109" s="10" t="n">
        <x:v>15837</x:v>
      </x:c>
    </x:row>
    <x:row r="110">
      <x:c r="A110" t="inlineStr">
        <x:is>
          <x:t xml:space="preserve">EMPDUR300025</x:t>
        </x:is>
      </x:c>
      <x:c r="B110" t="inlineStr">
        <x:is>
          <x:t xml:space="preserve">EMPAQUETADURA DURLON 7900 CLASE 300 1/8 ESP 8 PLG</x:t>
        </x:is>
      </x:c>
      <x:c r="C110" s="8" t="n">
        <x:v>2</x:v>
      </x:c>
      <x:c r="D110" s="8" t="n">
        <x:v>0</x:v>
      </x:c>
      <x:c r="E110" s="8" t="n">
        <x:v>0</x:v>
      </x:c>
      <x:c r="F110" s="8" t="n">
        <x:v>2</x:v>
      </x:c>
      <x:c r="G110" s="9" t="n">
        <x:v>26942</x:v>
      </x:c>
      <x:c r="H110" s="9" t="n">
        <x:v>0</x:v>
      </x:c>
      <x:c r="I110" s="9" t="n">
        <x:v>0</x:v>
      </x:c>
      <x:c r="J110" s="9" t="n">
        <x:v>26942</x:v>
      </x:c>
      <x:c r="K110" s="10" t="n">
        <x:v>13471</x:v>
      </x:c>
    </x:row>
    <x:row r="111">
      <x:c r="A111" t="inlineStr">
        <x:is>
          <x:t xml:space="preserve">EMPGENPLA001</x:t>
        </x:is>
      </x:c>
      <x:c r="B111" t="inlineStr">
        <x:is>
          <x:t xml:space="preserve">PLANCHA VITON ROLLO 1000MM X 3MM</x:t>
        </x:is>
      </x:c>
      <x:c r="C111" s="8" t="n">
        <x:v>17</x:v>
      </x:c>
      <x:c r="D111" s="8" t="n">
        <x:v>0</x:v>
      </x:c>
      <x:c r="E111" s="8" t="n">
        <x:v>0</x:v>
      </x:c>
      <x:c r="F111" s="8" t="n">
        <x:v>17</x:v>
      </x:c>
      <x:c r="G111" s="9" t="n">
        <x:v>2734875</x:v>
      </x:c>
      <x:c r="H111" s="9" t="n">
        <x:v>0</x:v>
      </x:c>
      <x:c r="I111" s="9" t="n">
        <x:v>0</x:v>
      </x:c>
      <x:c r="J111" s="9" t="n">
        <x:v>2734875</x:v>
      </x:c>
      <x:c r="K111" s="10" t="n">
        <x:v>160875</x:v>
      </x:c>
    </x:row>
    <x:row r="112">
      <x:c r="A112" t="inlineStr">
        <x:is>
          <x:t xml:space="preserve">EMPGENPLA003</x:t>
        </x:is>
      </x:c>
      <x:c r="B112" t="inlineStr">
        <x:is>
          <x:t xml:space="preserve">PLANCHA VITON ROLLO 1000MM X 6.5MM (1/4)</x:t>
        </x:is>
      </x:c>
      <x:c r="C112" s="8" t="n">
        <x:v>2.4</x:v>
      </x:c>
      <x:c r="D112" s="8" t="n">
        <x:v>0</x:v>
      </x:c>
      <x:c r="E112" s="8" t="n">
        <x:v>0</x:v>
      </x:c>
      <x:c r="F112" s="8" t="n">
        <x:v>2.4</x:v>
      </x:c>
      <x:c r="G112" s="9" t="n">
        <x:v>864000</x:v>
      </x:c>
      <x:c r="H112" s="9" t="n">
        <x:v>0</x:v>
      </x:c>
      <x:c r="I112" s="9" t="n">
        <x:v>0</x:v>
      </x:c>
      <x:c r="J112" s="9" t="n">
        <x:v>864000</x:v>
      </x:c>
      <x:c r="K112" s="10" t="n">
        <x:v>360000</x:v>
      </x:c>
    </x:row>
    <x:row r="113">
      <x:c r="A113" t="inlineStr">
        <x:is>
          <x:t xml:space="preserve">EMPSPI001002</x:t>
        </x:is>
      </x:c>
      <x:c r="B113" t="inlineStr">
        <x:is>
          <x:t xml:space="preserve">EMPAQUETADURA ESPIROMETALICA CG CLASE 150 16 PLG  316/FG</x:t>
        </x:is>
      </x:c>
      <x:c r="C113" s="8" t="n">
        <x:v>5</x:v>
      </x:c>
      <x:c r="D113" s="8" t="n">
        <x:v>0</x:v>
      </x:c>
      <x:c r="E113" s="8" t="n">
        <x:v>0</x:v>
      </x:c>
      <x:c r="F113" s="8" t="n">
        <x:v>5</x:v>
      </x:c>
      <x:c r="G113" s="9" t="n">
        <x:v>23762</x:v>
      </x:c>
      <x:c r="H113" s="9" t="n">
        <x:v>0</x:v>
      </x:c>
      <x:c r="I113" s="9" t="n">
        <x:v>0</x:v>
      </x:c>
      <x:c r="J113" s="9" t="n">
        <x:v>23762</x:v>
      </x:c>
      <x:c r="K113" s="10" t="n">
        <x:v>4752.4</x:v>
      </x:c>
    </x:row>
    <x:row r="114">
      <x:c r="A114" t="inlineStr">
        <x:is>
          <x:t xml:space="preserve">EMPSPI001003</x:t>
        </x:is>
      </x:c>
      <x:c r="B114" t="inlineStr">
        <x:is>
          <x:t xml:space="preserve">EMPAQ ESPIROMETALICA TIPO DR, ANILLO EXI. 304 EMPAQUE GRAFITO CLASE 150 .1/2 PLG (8510050BABA)</x:t>
        </x:is>
      </x:c>
      <x:c r="C114" s="8" t="n">
        <x:v>20</x:v>
      </x:c>
      <x:c r="D114" s="8" t="n">
        <x:v>0</x:v>
      </x:c>
      <x:c r="E114" s="8" t="n">
        <x:v>0</x:v>
      </x:c>
      <x:c r="F114" s="8" t="n">
        <x:v>20</x:v>
      </x:c>
      <x:c r="G114" s="9" t="n">
        <x:v>6421</x:v>
      </x:c>
      <x:c r="H114" s="9" t="n">
        <x:v>0</x:v>
      </x:c>
      <x:c r="I114" s="9" t="n">
        <x:v>0</x:v>
      </x:c>
      <x:c r="J114" s="9" t="n">
        <x:v>6421</x:v>
      </x:c>
      <x:c r="K114" s="10" t="n">
        <x:v>321.07</x:v>
      </x:c>
    </x:row>
    <x:row r="115">
      <x:c r="A115" t="inlineStr">
        <x:is>
          <x:t xml:space="preserve">EMPSPI001004</x:t>
        </x:is>
      </x:c>
      <x:c r="B115" t="inlineStr">
        <x:is>
          <x:t xml:space="preserve">EMPAQ ESPIROMETALICA TIPO  DR , ANILLO EXI 304 EMPAQUE GRAFITO CLASE 150. 3/4  PLG (8510075BABA)</x:t>
        </x:is>
      </x:c>
      <x:c r="C115" s="8" t="n">
        <x:v>20</x:v>
      </x:c>
      <x:c r="D115" s="8" t="n">
        <x:v>0</x:v>
      </x:c>
      <x:c r="E115" s="8" t="n">
        <x:v>0</x:v>
      </x:c>
      <x:c r="F115" s="8" t="n">
        <x:v>20</x:v>
      </x:c>
      <x:c r="G115" s="9" t="n">
        <x:v>6547</x:v>
      </x:c>
      <x:c r="H115" s="9" t="n">
        <x:v>0</x:v>
      </x:c>
      <x:c r="I115" s="9" t="n">
        <x:v>0</x:v>
      </x:c>
      <x:c r="J115" s="9" t="n">
        <x:v>6547</x:v>
      </x:c>
      <x:c r="K115" s="10" t="n">
        <x:v>327.37</x:v>
      </x:c>
    </x:row>
    <x:row r="116">
      <x:c r="A116" t="inlineStr">
        <x:is>
          <x:t xml:space="preserve">EMPSPI001005</x:t>
        </x:is>
      </x:c>
      <x:c r="B116" t="inlineStr">
        <x:is>
          <x:t xml:space="preserve">EMPAQ ESPIROMETALICA TIPO  DR , ANILLO EXI 304 EMPAQUE GRAFITO CLASE 150. 1PLG (8510100BABA)</x:t>
        </x:is>
      </x:c>
      <x:c r="C116" s="8" t="n">
        <x:v>20</x:v>
      </x:c>
      <x:c r="D116" s="8" t="n">
        <x:v>0</x:v>
      </x:c>
      <x:c r="E116" s="8" t="n">
        <x:v>0</x:v>
      </x:c>
      <x:c r="F116" s="8" t="n">
        <x:v>20</x:v>
      </x:c>
      <x:c r="G116" s="9" t="n">
        <x:v>7051</x:v>
      </x:c>
      <x:c r="H116" s="9" t="n">
        <x:v>0</x:v>
      </x:c>
      <x:c r="I116" s="9" t="n">
        <x:v>0</x:v>
      </x:c>
      <x:c r="J116" s="9" t="n">
        <x:v>7051</x:v>
      </x:c>
      <x:c r="K116" s="10" t="n">
        <x:v>352.55</x:v>
      </x:c>
    </x:row>
    <x:row r="117">
      <x:c r="A117" t="inlineStr">
        <x:is>
          <x:t xml:space="preserve">EMPSPI001006</x:t>
        </x:is>
      </x:c>
      <x:c r="B117" t="inlineStr">
        <x:is>
          <x:t xml:space="preserve">EMPAQ ESPIROMETALICA TIPO  DR , ANILLO EXI 304 EMPAQUE GRAFITO CLASE 150. 1 1/4PLG (8510125BABA)</x:t>
        </x:is>
      </x:c>
      <x:c r="C117" s="8" t="n">
        <x:v>60</x:v>
      </x:c>
      <x:c r="D117" s="8" t="n">
        <x:v>0</x:v>
      </x:c>
      <x:c r="E117" s="8" t="n">
        <x:v>0</x:v>
      </x:c>
      <x:c r="F117" s="8" t="n">
        <x:v>60</x:v>
      </x:c>
      <x:c r="G117" s="9" t="n">
        <x:v>22664</x:v>
      </x:c>
      <x:c r="H117" s="9" t="n">
        <x:v>0</x:v>
      </x:c>
      <x:c r="I117" s="9" t="n">
        <x:v>0</x:v>
      </x:c>
      <x:c r="J117" s="9" t="n">
        <x:v>22664</x:v>
      </x:c>
      <x:c r="K117" s="10" t="n">
        <x:v>377.73</x:v>
      </x:c>
    </x:row>
    <x:row r="118">
      <x:c r="A118" t="inlineStr">
        <x:is>
          <x:t xml:space="preserve">EMPSPI001007</x:t>
        </x:is>
      </x:c>
      <x:c r="B118" t="inlineStr">
        <x:is>
          <x:t xml:space="preserve">EMPAQ ESPIROMETALICA TIPO  DR , ANILLO EXI 304 EMPAQUE GRAFITO CLASE 150. 1 1/2 PLG (8510150BABA)</x:t>
        </x:is>
      </x:c>
      <x:c r="C118" s="8" t="n">
        <x:v>20</x:v>
      </x:c>
      <x:c r="D118" s="8" t="n">
        <x:v>0</x:v>
      </x:c>
      <x:c r="E118" s="8" t="n">
        <x:v>0</x:v>
      </x:c>
      <x:c r="F118" s="8" t="n">
        <x:v>20</x:v>
      </x:c>
      <x:c r="G118" s="9" t="n">
        <x:v>8814</x:v>
      </x:c>
      <x:c r="H118" s="9" t="n">
        <x:v>0</x:v>
      </x:c>
      <x:c r="I118" s="9" t="n">
        <x:v>0</x:v>
      </x:c>
      <x:c r="J118" s="9" t="n">
        <x:v>8814</x:v>
      </x:c>
      <x:c r="K118" s="10" t="n">
        <x:v>440.68</x:v>
      </x:c>
    </x:row>
    <x:row r="119">
      <x:c r="A119" t="inlineStr">
        <x:is>
          <x:t xml:space="preserve">EMPSPI001009</x:t>
        </x:is>
      </x:c>
      <x:c r="B119" t="inlineStr">
        <x:is>
          <x:t xml:space="preserve">EMPAQ ESPIROMETALICA TIPO  DR , ANILLO EXI 304 EMPAQUE GRAFITO CLASE 150. 2 1/2 PLG (8510250BABA)</x:t>
        </x:is>
      </x:c>
      <x:c r="C119" s="8" t="n">
        <x:v>100</x:v>
      </x:c>
      <x:c r="D119" s="8" t="n">
        <x:v>0</x:v>
      </x:c>
      <x:c r="E119" s="8" t="n">
        <x:v>0</x:v>
      </x:c>
      <x:c r="F119" s="8" t="n">
        <x:v>100</x:v>
      </x:c>
      <x:c r="G119" s="9" t="n">
        <x:v>48475</x:v>
      </x:c>
      <x:c r="H119" s="9" t="n">
        <x:v>0</x:v>
      </x:c>
      <x:c r="I119" s="9" t="n">
        <x:v>0</x:v>
      </x:c>
      <x:c r="J119" s="9" t="n">
        <x:v>48475</x:v>
      </x:c>
      <x:c r="K119" s="10" t="n">
        <x:v>484.75</x:v>
      </x:c>
    </x:row>
    <x:row r="120">
      <x:c r="A120" t="inlineStr">
        <x:is>
          <x:t xml:space="preserve">EMPSPI001010</x:t>
        </x:is>
      </x:c>
      <x:c r="B120" t="inlineStr">
        <x:is>
          <x:t xml:space="preserve">EMPAQ ESPIROMETALICA TIPO  DR , ANILLO EXI 304 EMPAQUE GRAFITO CLASE 150. 3 PLG (8510300BABA)</x:t>
        </x:is>
      </x:c>
      <x:c r="C120" s="8" t="n">
        <x:v>100</x:v>
      </x:c>
      <x:c r="D120" s="8" t="n">
        <x:v>0</x:v>
      </x:c>
      <x:c r="E120" s="8" t="n">
        <x:v>0</x:v>
      </x:c>
      <x:c r="F120" s="8" t="n">
        <x:v>100</x:v>
      </x:c>
      <x:c r="G120" s="9" t="n">
        <x:v>59178</x:v>
      </x:c>
      <x:c r="H120" s="9" t="n">
        <x:v>0</x:v>
      </x:c>
      <x:c r="I120" s="9" t="n">
        <x:v>0</x:v>
      </x:c>
      <x:c r="J120" s="9" t="n">
        <x:v>59178</x:v>
      </x:c>
      <x:c r="K120" s="10" t="n">
        <x:v>591.78</x:v>
      </x:c>
    </x:row>
    <x:row r="121">
      <x:c r="A121" t="inlineStr">
        <x:is>
          <x:t xml:space="preserve">EMPSPI001011</x:t>
        </x:is>
      </x:c>
      <x:c r="B121" t="inlineStr">
        <x:is>
          <x:t xml:space="preserve">EMPAQ ESPIROMETALICA TIPO  DR , ANILLO EXI 304 EMPAQUE GRAFITO CLASE 150. 4 PLG (8510400BABA)</x:t>
        </x:is>
      </x:c>
      <x:c r="C121" s="8" t="n">
        <x:v>165</x:v>
      </x:c>
      <x:c r="D121" s="8" t="n">
        <x:v>0</x:v>
      </x:c>
      <x:c r="E121" s="8" t="n">
        <x:v>0</x:v>
      </x:c>
      <x:c r="F121" s="8" t="n">
        <x:v>165</x:v>
      </x:c>
      <x:c r="G121" s="9" t="n">
        <x:v>151658</x:v>
      </x:c>
      <x:c r="H121" s="9" t="n">
        <x:v>0</x:v>
      </x:c>
      <x:c r="I121" s="9" t="n">
        <x:v>0</x:v>
      </x:c>
      <x:c r="J121" s="9" t="n">
        <x:v>151658</x:v>
      </x:c>
      <x:c r="K121" s="10" t="n">
        <x:v>919.14</x:v>
      </x:c>
    </x:row>
    <x:row r="122">
      <x:c r="A122" t="inlineStr">
        <x:is>
          <x:t xml:space="preserve">EMPSPI001012</x:t>
        </x:is>
      </x:c>
      <x:c r="B122" t="inlineStr">
        <x:is>
          <x:t xml:space="preserve">EMPAQ ESPIROMETALICA TIPO  DR , ANILLO EXI 304 EMPAQUE GRAFITO CLASE 150. 6 PLG (8510600BABA)</x:t>
        </x:is>
      </x:c>
      <x:c r="C122" s="8" t="n">
        <x:v>165</x:v>
      </x:c>
      <x:c r="D122" s="8" t="n">
        <x:v>0</x:v>
      </x:c>
      <x:c r="E122" s="8" t="n">
        <x:v>0</x:v>
      </x:c>
      <x:c r="F122" s="8" t="n">
        <x:v>165</x:v>
      </x:c>
      <x:c r="G122" s="9" t="n">
        <x:v>234759</x:v>
      </x:c>
      <x:c r="H122" s="9" t="n">
        <x:v>0</x:v>
      </x:c>
      <x:c r="I122" s="9" t="n">
        <x:v>0</x:v>
      </x:c>
      <x:c r="J122" s="9" t="n">
        <x:v>234759</x:v>
      </x:c>
      <x:c r="K122" s="10" t="n">
        <x:v>1422.78</x:v>
      </x:c>
    </x:row>
    <x:row r="123">
      <x:c r="A123" t="inlineStr">
        <x:is>
          <x:t xml:space="preserve">EMPSPI001013</x:t>
        </x:is>
      </x:c>
      <x:c r="B123" t="inlineStr">
        <x:is>
          <x:t xml:space="preserve">EMPAQ ESPIROMETALICA TIPO  DR , ANILLO EXI 304 EMPAQUE GRAFITO CLASE 150. 8PLG (8510800BABA)</x:t>
        </x:is>
      </x:c>
      <x:c r="C123" s="8" t="n">
        <x:v>145</x:v>
      </x:c>
      <x:c r="D123" s="8" t="n">
        <x:v>0</x:v>
      </x:c>
      <x:c r="E123" s="8" t="n">
        <x:v>0</x:v>
      </x:c>
      <x:c r="F123" s="8" t="n">
        <x:v>145</x:v>
      </x:c>
      <x:c r="G123" s="9" t="n">
        <x:v>303065</x:v>
      </x:c>
      <x:c r="H123" s="9" t="n">
        <x:v>0</x:v>
      </x:c>
      <x:c r="I123" s="9" t="n">
        <x:v>0</x:v>
      </x:c>
      <x:c r="J123" s="9" t="n">
        <x:v>303065</x:v>
      </x:c>
      <x:c r="K123" s="10" t="n">
        <x:v>2090.1</x:v>
      </x:c>
    </x:row>
    <x:row r="124">
      <x:c r="A124" t="inlineStr">
        <x:is>
          <x:t xml:space="preserve">EMPSPI001014</x:t>
        </x:is>
      </x:c>
      <x:c r="B124" t="inlineStr">
        <x:is>
          <x:t xml:space="preserve">EMPAQ ESPIROMETALICA TIPO  DR , ANILLO EXI 304 EMPAQUE GRAFITO CLASE 150. 10PLG (8511000BABA)</x:t>
        </x:is>
      </x:c>
      <x:c r="C124" s="8" t="n">
        <x:v>110</x:v>
      </x:c>
      <x:c r="D124" s="8" t="n">
        <x:v>0</x:v>
      </x:c>
      <x:c r="E124" s="8" t="n">
        <x:v>0</x:v>
      </x:c>
      <x:c r="F124" s="8" t="n">
        <x:v>110</x:v>
      </x:c>
      <x:c r="G124" s="9" t="n">
        <x:v>253457</x:v>
      </x:c>
      <x:c r="H124" s="9" t="n">
        <x:v>0</x:v>
      </x:c>
      <x:c r="I124" s="9" t="n">
        <x:v>0</x:v>
      </x:c>
      <x:c r="J124" s="9" t="n">
        <x:v>253457</x:v>
      </x:c>
      <x:c r="K124" s="10" t="n">
        <x:v>2304.15</x:v>
      </x:c>
    </x:row>
    <x:row r="125">
      <x:c r="A125" t="inlineStr">
        <x:is>
          <x:t xml:space="preserve">EMPSPI001015</x:t>
        </x:is>
      </x:c>
      <x:c r="B125" t="inlineStr">
        <x:is>
          <x:t xml:space="preserve">EMPAQ ESPIROMETALICA TIPO  DR , ANILLO EXI 304 EMPAQUE GRAFITO CLASE 150.12 PLG (8511200BABA)</x:t>
        </x:is>
      </x:c>
      <x:c r="C125" s="8" t="n">
        <x:v>110</x:v>
      </x:c>
      <x:c r="D125" s="8" t="n">
        <x:v>0</x:v>
      </x:c>
      <x:c r="E125" s="8" t="n">
        <x:v>0</x:v>
      </x:c>
      <x:c r="F125" s="8" t="n">
        <x:v>110</x:v>
      </x:c>
      <x:c r="G125" s="9" t="n">
        <x:v>353177</x:v>
      </x:c>
      <x:c r="H125" s="9" t="n">
        <x:v>0</x:v>
      </x:c>
      <x:c r="I125" s="9" t="n">
        <x:v>0</x:v>
      </x:c>
      <x:c r="J125" s="9" t="n">
        <x:v>353177</x:v>
      </x:c>
      <x:c r="K125" s="10" t="n">
        <x:v>3210.7</x:v>
      </x:c>
    </x:row>
    <x:row r="126">
      <x:c r="A126" t="inlineStr">
        <x:is>
          <x:t xml:space="preserve">EMPSPI001016</x:t>
        </x:is>
      </x:c>
      <x:c r="B126" t="inlineStr">
        <x:is>
          <x:t xml:space="preserve">EMPAQ ESPIROMETALICA TIPO  DR , ANILLO EXI 304 EMPAQUE GRAFITO CLASE 150. 14PLG (851140BABA)</x:t>
        </x:is>
      </x:c>
      <x:c r="C126" s="8" t="n">
        <x:v>55</x:v>
      </x:c>
      <x:c r="D126" s="8" t="n">
        <x:v>0</x:v>
      </x:c>
      <x:c r="E126" s="8" t="n">
        <x:v>0</x:v>
      </x:c>
      <x:c r="F126" s="8" t="n">
        <x:v>55</x:v>
      </x:c>
      <x:c r="G126" s="9" t="n">
        <x:v>244800</x:v>
      </x:c>
      <x:c r="H126" s="9" t="n">
        <x:v>0</x:v>
      </x:c>
      <x:c r="I126" s="9" t="n">
        <x:v>0</x:v>
      </x:c>
      <x:c r="J126" s="9" t="n">
        <x:v>244800</x:v>
      </x:c>
      <x:c r="K126" s="10" t="n">
        <x:v>4450.91</x:v>
      </x:c>
    </x:row>
    <x:row r="127">
      <x:c r="A127" t="inlineStr">
        <x:is>
          <x:t xml:space="preserve">EMPSPI001017</x:t>
        </x:is>
      </x:c>
      <x:c r="B127" t="inlineStr">
        <x:is>
          <x:t xml:space="preserve">EMPAQ ESPIROMETALICA TIPO  DR , ANILLO EXI 304 EMPAQUE GRAFITO CLASE 150. 14 PLG (8511400BABA)</x:t>
        </x:is>
      </x:c>
      <x:c r="C127" s="8" t="n">
        <x:v>55</x:v>
      </x:c>
      <x:c r="D127" s="8" t="n">
        <x:v>0</x:v>
      </x:c>
      <x:c r="E127" s="8" t="n">
        <x:v>0</x:v>
      </x:c>
      <x:c r="F127" s="8" t="n">
        <x:v>55</x:v>
      </x:c>
      <x:c r="G127" s="9" t="n">
        <x:v>298816</x:v>
      </x:c>
      <x:c r="H127" s="9" t="n">
        <x:v>0</x:v>
      </x:c>
      <x:c r="I127" s="9" t="n">
        <x:v>0</x:v>
      </x:c>
      <x:c r="J127" s="9" t="n">
        <x:v>298816</x:v>
      </x:c>
      <x:c r="K127" s="10" t="n">
        <x:v>5433.01</x:v>
      </x:c>
    </x:row>
    <x:row r="128">
      <x:c r="A128" t="inlineStr">
        <x:is>
          <x:t xml:space="preserve">EMPSPI001018</x:t>
        </x:is>
      </x:c>
      <x:c r="B128" t="inlineStr">
        <x:is>
          <x:t xml:space="preserve">EMPAQ ESPIROMETALICA TIPO  DR , ANILLO EXI 304 EMPAQUE GRAFITO CLASE 150. 18PLG (8511800BABA)</x:t>
        </x:is>
      </x:c>
      <x:c r="C128" s="8" t="n">
        <x:v>55</x:v>
      </x:c>
      <x:c r="D128" s="8" t="n">
        <x:v>0</x:v>
      </x:c>
      <x:c r="E128" s="8" t="n">
        <x:v>0</x:v>
      </x:c>
      <x:c r="F128" s="8" t="n">
        <x:v>55</x:v>
      </x:c>
      <x:c r="G128" s="9" t="n">
        <x:v>367720</x:v>
      </x:c>
      <x:c r="H128" s="9" t="n">
        <x:v>0</x:v>
      </x:c>
      <x:c r="I128" s="9" t="n">
        <x:v>0</x:v>
      </x:c>
      <x:c r="J128" s="9" t="n">
        <x:v>367720</x:v>
      </x:c>
      <x:c r="K128" s="10" t="n">
        <x:v>6685.81</x:v>
      </x:c>
    </x:row>
    <x:row r="129">
      <x:c r="A129" t="inlineStr">
        <x:is>
          <x:t xml:space="preserve">EMPSPI001019</x:t>
        </x:is>
      </x:c>
      <x:c r="B129" t="inlineStr">
        <x:is>
          <x:t xml:space="preserve">EMPAQ ESPIROMETALICA TIPO  DR , ANILLO EXI 304 EMPAQUE GRAFITO CLASE 150. 20PLG (8512000BABA)</x:t>
        </x:is>
      </x:c>
      <x:c r="C129" s="8" t="n">
        <x:v>55</x:v>
      </x:c>
      <x:c r="D129" s="8" t="n">
        <x:v>0</x:v>
      </x:c>
      <x:c r="E129" s="8" t="n">
        <x:v>0</x:v>
      </x:c>
      <x:c r="F129" s="8" t="n">
        <x:v>55</x:v>
      </x:c>
      <x:c r="G129" s="9" t="n">
        <x:v>409962</x:v>
      </x:c>
      <x:c r="H129" s="9" t="n">
        <x:v>0</x:v>
      </x:c>
      <x:c r="I129" s="9" t="n">
        <x:v>0</x:v>
      </x:c>
      <x:c r="J129" s="9" t="n">
        <x:v>409962</x:v>
      </x:c>
      <x:c r="K129" s="10" t="n">
        <x:v>7453.86</x:v>
      </x:c>
    </x:row>
    <x:row r="130">
      <x:c r="A130" t="inlineStr">
        <x:is>
          <x:t xml:space="preserve">EMPSPI001020</x:t>
        </x:is>
      </x:c>
      <x:c r="B130" t="inlineStr">
        <x:is>
          <x:t xml:space="preserve">EMPAQ ESPIROMETALICA TIPO  DR , ANILLO EXI 304 EMPAQUE GRAFITO CLASE 150. 24 PLG (8512400BABA)</x:t>
        </x:is>
      </x:c>
      <x:c r="C130" s="8" t="n">
        <x:v>55</x:v>
      </x:c>
      <x:c r="D130" s="8" t="n">
        <x:v>0</x:v>
      </x:c>
      <x:c r="E130" s="8" t="n">
        <x:v>0</x:v>
      </x:c>
      <x:c r="F130" s="8" t="n">
        <x:v>55</x:v>
      </x:c>
      <x:c r="G130" s="9" t="n">
        <x:v>529073</x:v>
      </x:c>
      <x:c r="H130" s="9" t="n">
        <x:v>0</x:v>
      </x:c>
      <x:c r="I130" s="9" t="n">
        <x:v>0</x:v>
      </x:c>
      <x:c r="J130" s="9" t="n">
        <x:v>529073</x:v>
      </x:c>
      <x:c r="K130" s="10" t="n">
        <x:v>9619.51</x:v>
      </x:c>
    </x:row>
    <x:row r="131">
      <x:c r="A131" t="inlineStr">
        <x:is>
          <x:t xml:space="preserve">EMPSPI001021</x:t>
        </x:is>
      </x:c>
      <x:c r="B131" t="inlineStr">
        <x:is>
          <x:t xml:space="preserve">EMPAQ ESPIROMETALICA TIPO DR , ANILLO EXI 304 EMPAQUE GRAFITO CLASE300/400/600 1/2PLG(8510050BJBA)</x:t>
        </x:is>
      </x:c>
      <x:c r="C131" s="8" t="n">
        <x:v>20</x:v>
      </x:c>
      <x:c r="D131" s="8" t="n">
        <x:v>0</x:v>
      </x:c>
      <x:c r="E131" s="8" t="n">
        <x:v>0</x:v>
      </x:c>
      <x:c r="F131" s="8" t="n">
        <x:v>20</x:v>
      </x:c>
      <x:c r="G131" s="9" t="n">
        <x:v>6547</x:v>
      </x:c>
      <x:c r="H131" s="9" t="n">
        <x:v>0</x:v>
      </x:c>
      <x:c r="I131" s="9" t="n">
        <x:v>0</x:v>
      </x:c>
      <x:c r="J131" s="9" t="n">
        <x:v>6547</x:v>
      </x:c>
      <x:c r="K131" s="10" t="n">
        <x:v>327.37</x:v>
      </x:c>
    </x:row>
    <x:row r="132">
      <x:c r="A132" t="inlineStr">
        <x:is>
          <x:t xml:space="preserve">EMPSPI001022</x:t>
        </x:is>
      </x:c>
      <x:c r="B132" t="inlineStr">
        <x:is>
          <x:t xml:space="preserve">EMPAQ ESPIROMETALICA TIPO  DR , ANILLO EXI 304 EMPAQUE GRAFITO CLASE300/400/600 3/4PLG (B510075BJBA)</x:t>
        </x:is>
      </x:c>
      <x:c r="C132" s="8" t="n">
        <x:v>20</x:v>
      </x:c>
      <x:c r="D132" s="8" t="n">
        <x:v>0</x:v>
      </x:c>
      <x:c r="E132" s="8" t="n">
        <x:v>0</x:v>
      </x:c>
      <x:c r="F132" s="8" t="n">
        <x:v>20</x:v>
      </x:c>
      <x:c r="G132" s="9" t="n">
        <x:v>6799</x:v>
      </x:c>
      <x:c r="H132" s="9" t="n">
        <x:v>0</x:v>
      </x:c>
      <x:c r="I132" s="9" t="n">
        <x:v>0</x:v>
      </x:c>
      <x:c r="J132" s="9" t="n">
        <x:v>6799</x:v>
      </x:c>
      <x:c r="K132" s="10" t="n">
        <x:v>339.96</x:v>
      </x:c>
    </x:row>
    <x:row r="133">
      <x:c r="A133" t="inlineStr">
        <x:is>
          <x:t xml:space="preserve">EMPSPI001023</x:t>
        </x:is>
      </x:c>
      <x:c r="B133" t="inlineStr">
        <x:is>
          <x:t xml:space="preserve">EMPAQ ESPIROMETALICA TIPO  DR , ANILLO EXI 304 EMPAQUE GRAFITO CLASE 300/400/600 1PLG (8510100BJBA)</x:t>
        </x:is>
      </x:c>
      <x:c r="C133" s="8" t="n">
        <x:v>20</x:v>
      </x:c>
      <x:c r="D133" s="8" t="n">
        <x:v>0</x:v>
      </x:c>
      <x:c r="E133" s="8" t="n">
        <x:v>0</x:v>
      </x:c>
      <x:c r="F133" s="8" t="n">
        <x:v>20</x:v>
      </x:c>
      <x:c r="G133" s="9" t="n">
        <x:v>7051</x:v>
      </x:c>
      <x:c r="H133" s="9" t="n">
        <x:v>0</x:v>
      </x:c>
      <x:c r="I133" s="9" t="n">
        <x:v>0</x:v>
      </x:c>
      <x:c r="J133" s="9" t="n">
        <x:v>7051</x:v>
      </x:c>
      <x:c r="K133" s="10" t="n">
        <x:v>352.55</x:v>
      </x:c>
    </x:row>
    <x:row r="134">
      <x:c r="A134" t="inlineStr">
        <x:is>
          <x:t xml:space="preserve">EMPSPI001024</x:t>
        </x:is>
      </x:c>
      <x:c r="B134" t="inlineStr">
        <x:is>
          <x:t xml:space="preserve">EMPAQ ESPIROMETALICA TIPO DR , ANILLO EXI 304EMPAQUE GRAFITO CLASE300/400/600 1 1/4PLG (8510125BJBA)</x:t>
        </x:is>
      </x:c>
      <x:c r="C134" s="8" t="n">
        <x:v>20</x:v>
      </x:c>
      <x:c r="D134" s="8" t="n">
        <x:v>0</x:v>
      </x:c>
      <x:c r="E134" s="8" t="n">
        <x:v>0</x:v>
      </x:c>
      <x:c r="F134" s="8" t="n">
        <x:v>20</x:v>
      </x:c>
      <x:c r="G134" s="9" t="n">
        <x:v>8058</x:v>
      </x:c>
      <x:c r="H134" s="9" t="n">
        <x:v>0</x:v>
      </x:c>
      <x:c r="I134" s="9" t="n">
        <x:v>0</x:v>
      </x:c>
      <x:c r="J134" s="9" t="n">
        <x:v>8058</x:v>
      </x:c>
      <x:c r="K134" s="10" t="n">
        <x:v>402.91</x:v>
      </x:c>
    </x:row>
    <x:row r="135">
      <x:c r="A135" t="inlineStr">
        <x:is>
          <x:t xml:space="preserve">EMPSPI001025</x:t>
        </x:is>
      </x:c>
      <x:c r="B135" t="inlineStr">
        <x:is>
          <x:t xml:space="preserve">EMPAQ ESPIROMETALICA TIPO  DR ,ANILLO EXI 304 EMPAQUE GRAFITO CLASE300/400/600,1 1/4PLG(8510150BJBA)</x:t>
        </x:is>
      </x:c>
      <x:c r="C135" s="8" t="n">
        <x:v>20</x:v>
      </x:c>
      <x:c r="D135" s="8" t="n">
        <x:v>0</x:v>
      </x:c>
      <x:c r="E135" s="8" t="n">
        <x:v>0</x:v>
      </x:c>
      <x:c r="F135" s="8" t="n">
        <x:v>20</x:v>
      </x:c>
      <x:c r="G135" s="9" t="n">
        <x:v>9066</x:v>
      </x:c>
      <x:c r="H135" s="9" t="n">
        <x:v>0</x:v>
      </x:c>
      <x:c r="I135" s="9" t="n">
        <x:v>0</x:v>
      </x:c>
      <x:c r="J135" s="9" t="n">
        <x:v>9066</x:v>
      </x:c>
      <x:c r="K135" s="10" t="n">
        <x:v>453.28</x:v>
      </x:c>
    </x:row>
    <x:row r="136">
      <x:c r="A136" t="inlineStr">
        <x:is>
          <x:t xml:space="preserve">EMPSPI001026</x:t>
        </x:is>
      </x:c>
      <x:c r="B136" t="inlineStr">
        <x:is>
          <x:t xml:space="preserve">EMPAQ ESPIROMETALICA TIPO  DR , ANILLO EXI 304 EMPAQUE GRAFITO CLASE300/400/600, 2PLG (8510200BJBA)</x:t>
        </x:is>
      </x:c>
      <x:c r="C136" s="8" t="n">
        <x:v>20</x:v>
      </x:c>
      <x:c r="D136" s="8" t="n">
        <x:v>0</x:v>
      </x:c>
      <x:c r="E136" s="8" t="n">
        <x:v>0</x:v>
      </x:c>
      <x:c r="F136" s="8" t="n">
        <x:v>20</x:v>
      </x:c>
      <x:c r="G136" s="9" t="n">
        <x:v>9317</x:v>
      </x:c>
      <x:c r="H136" s="9" t="n">
        <x:v>0</x:v>
      </x:c>
      <x:c r="I136" s="9" t="n">
        <x:v>0</x:v>
      </x:c>
      <x:c r="J136" s="9" t="n">
        <x:v>9317</x:v>
      </x:c>
      <x:c r="K136" s="10" t="n">
        <x:v>465.87</x:v>
      </x:c>
    </x:row>
    <x:row r="137">
      <x:c r="A137" t="inlineStr">
        <x:is>
          <x:t xml:space="preserve">EMPSPI001027</x:t>
        </x:is>
      </x:c>
      <x:c r="B137" t="inlineStr">
        <x:is>
          <x:t xml:space="preserve">EMPAQ ESPIROMETALICA TIPO DR, ANILLO EXI 304EMPAQUE GRAFITO CLASE300/400/600, 2 1/2PLG (8510250BJBA)</x:t>
        </x:is>
      </x:c>
      <x:c r="C137" s="8" t="n">
        <x:v>20</x:v>
      </x:c>
      <x:c r="D137" s="8" t="n">
        <x:v>0</x:v>
      </x:c>
      <x:c r="E137" s="8" t="n">
        <x:v>0</x:v>
      </x:c>
      <x:c r="F137" s="8" t="n">
        <x:v>20</x:v>
      </x:c>
      <x:c r="G137" s="9" t="n">
        <x:v>10073</x:v>
      </x:c>
      <x:c r="H137" s="9" t="n">
        <x:v>0</x:v>
      </x:c>
      <x:c r="I137" s="9" t="n">
        <x:v>0</x:v>
      </x:c>
      <x:c r="J137" s="9" t="n">
        <x:v>10073</x:v>
      </x:c>
      <x:c r="K137" s="10" t="n">
        <x:v>503.64</x:v>
      </x:c>
    </x:row>
    <x:row r="138">
      <x:c r="A138" t="inlineStr">
        <x:is>
          <x:t xml:space="preserve">EMPSPI001028</x:t>
        </x:is>
      </x:c>
      <x:c r="B138" t="inlineStr">
        <x:is>
          <x:t xml:space="preserve">EMPAQ ESPIROMETALICA TIPO  DR , ANILLO EXI 304 EMPAQUE GRAFITO CLASE300/400/600, 3PLG (8510300BJBA)</x:t>
        </x:is>
      </x:c>
      <x:c r="C138" s="8" t="n">
        <x:v>20</x:v>
      </x:c>
      <x:c r="D138" s="8" t="n">
        <x:v>0</x:v>
      </x:c>
      <x:c r="E138" s="8" t="n">
        <x:v>0</x:v>
      </x:c>
      <x:c r="F138" s="8" t="n">
        <x:v>20</x:v>
      </x:c>
      <x:c r="G138" s="9" t="n">
        <x:v>12591</x:v>
      </x:c>
      <x:c r="H138" s="9" t="n">
        <x:v>0</x:v>
      </x:c>
      <x:c r="I138" s="9" t="n">
        <x:v>0</x:v>
      </x:c>
      <x:c r="J138" s="9" t="n">
        <x:v>12591</x:v>
      </x:c>
      <x:c r="K138" s="10" t="n">
        <x:v>629.55</x:v>
      </x:c>
    </x:row>
    <x:row r="139">
      <x:c r="A139" t="inlineStr">
        <x:is>
          <x:t xml:space="preserve">EMPSPI001029</x:t>
        </x:is>
      </x:c>
      <x:c r="B139" t="inlineStr">
        <x:is>
          <x:t xml:space="preserve">EMPAQ ESPIROMETALICA TIPO  DR , ANILLO EXI 304 EMPAQUE GRAFITO CLASE 300, 4PLG (8510400BBBA)</x:t>
        </x:is>
      </x:c>
      <x:c r="C139" s="8" t="n">
        <x:v>110</x:v>
      </x:c>
      <x:c r="D139" s="8" t="n">
        <x:v>0</x:v>
      </x:c>
      <x:c r="E139" s="8" t="n">
        <x:v>0</x:v>
      </x:c>
      <x:c r="F139" s="8" t="n">
        <x:v>110</x:v>
      </x:c>
      <x:c r="G139" s="9" t="n">
        <x:v>105260</x:v>
      </x:c>
      <x:c r="H139" s="9" t="n">
        <x:v>0</x:v>
      </x:c>
      <x:c r="I139" s="9" t="n">
        <x:v>0</x:v>
      </x:c>
      <x:c r="J139" s="9" t="n">
        <x:v>105260</x:v>
      </x:c>
      <x:c r="K139" s="10" t="n">
        <x:v>956.91</x:v>
      </x:c>
    </x:row>
    <x:row r="140">
      <x:c r="A140" t="inlineStr">
        <x:is>
          <x:t xml:space="preserve">EMPSPI001030</x:t>
        </x:is>
      </x:c>
      <x:c r="B140" t="inlineStr">
        <x:is>
          <x:t xml:space="preserve">EMPAQ ESPIROMETALICA TIPO  DR , ANILLO EXI 304 EMPAQUE GRAFITO CLASE 300 , 6PLG (8510600BBBA)</x:t>
        </x:is>
      </x:c>
      <x:c r="C140" s="8" t="n">
        <x:v>165</x:v>
      </x:c>
      <x:c r="D140" s="8" t="n">
        <x:v>0</x:v>
      </x:c>
      <x:c r="E140" s="8" t="n">
        <x:v>0</x:v>
      </x:c>
      <x:c r="F140" s="8" t="n">
        <x:v>165</x:v>
      </x:c>
      <x:c r="G140" s="9" t="n">
        <x:v>259689</x:v>
      </x:c>
      <x:c r="H140" s="9" t="n">
        <x:v>0</x:v>
      </x:c>
      <x:c r="I140" s="9" t="n">
        <x:v>0</x:v>
      </x:c>
      <x:c r="J140" s="9" t="n">
        <x:v>259689</x:v>
      </x:c>
      <x:c r="K140" s="10" t="n">
        <x:v>1573.87</x:v>
      </x:c>
    </x:row>
    <x:row r="141">
      <x:c r="A141" t="inlineStr">
        <x:is>
          <x:t xml:space="preserve">EMPSPI001031</x:t>
        </x:is>
      </x:c>
      <x:c r="B141" t="inlineStr">
        <x:is>
          <x:t xml:space="preserve">EMPAQ ESPIROMETALICA TIPO  DR , ANILLO EXI 304 EMPAQUE GRAFITO CLASE 300, 8 PLG (8510800BBBA)</x:t>
        </x:is>
      </x:c>
      <x:c r="C141" s="8" t="n">
        <x:v>145</x:v>
      </x:c>
      <x:c r="D141" s="8" t="n">
        <x:v>0</x:v>
      </x:c>
      <x:c r="E141" s="8" t="n">
        <x:v>0</x:v>
      </x:c>
      <x:c r="F141" s="8" t="n">
        <x:v>145</x:v>
      </x:c>
      <x:c r="G141" s="9" t="n">
        <x:v>314019</x:v>
      </x:c>
      <x:c r="H141" s="9" t="n">
        <x:v>0</x:v>
      </x:c>
      <x:c r="I141" s="9" t="n">
        <x:v>0</x:v>
      </x:c>
      <x:c r="J141" s="9" t="n">
        <x:v>314019</x:v>
      </x:c>
      <x:c r="K141" s="10" t="n">
        <x:v>2165.65</x:v>
      </x:c>
    </x:row>
    <x:row r="142">
      <x:c r="A142" t="inlineStr">
        <x:is>
          <x:t xml:space="preserve">EMPSPI001032</x:t>
        </x:is>
      </x:c>
      <x:c r="B142" t="inlineStr">
        <x:is>
          <x:t xml:space="preserve">EMPAQ ESPIROMETALICA TIPO  DR , ANILLO EXI 304 EMPAQUE GRAFITO CLASE 300, 10 PLG  (8511000BBBA)</x:t>
        </x:is>
      </x:c>
      <x:c r="C142" s="8" t="n">
        <x:v>55</x:v>
      </x:c>
      <x:c r="D142" s="8" t="n">
        <x:v>0</x:v>
      </x:c>
      <x:c r="E142" s="8" t="n">
        <x:v>0</x:v>
      </x:c>
      <x:c r="F142" s="8" t="n">
        <x:v>55</x:v>
      </x:c>
      <x:c r="G142" s="9" t="n">
        <x:v>134000</x:v>
      </x:c>
      <x:c r="H142" s="9" t="n">
        <x:v>0</x:v>
      </x:c>
      <x:c r="I142" s="9" t="n">
        <x:v>0</x:v>
      </x:c>
      <x:c r="J142" s="9" t="n">
        <x:v>134000</x:v>
      </x:c>
      <x:c r="K142" s="10" t="n">
        <x:v>2436.36</x:v>
      </x:c>
    </x:row>
    <x:row r="143">
      <x:c r="A143" t="inlineStr">
        <x:is>
          <x:t xml:space="preserve">EMPSPI001033</x:t>
        </x:is>
      </x:c>
      <x:c r="B143" t="inlineStr">
        <x:is>
          <x:t xml:space="preserve">EMPAQ ESPIROMETALICA TIPO  DR , ANILLO EXI 304 EMPAQUE GRAFITO CLASE 300, 12PLG (8511200BBBA)</x:t>
        </x:is>
      </x:c>
      <x:c r="C143" s="8" t="n">
        <x:v>110</x:v>
      </x:c>
      <x:c r="D143" s="8" t="n">
        <x:v>0</x:v>
      </x:c>
      <x:c r="E143" s="8" t="n">
        <x:v>0</x:v>
      </x:c>
      <x:c r="F143" s="8" t="n">
        <x:v>110</x:v>
      </x:c>
      <x:c r="G143" s="9" t="n">
        <x:v>388495</x:v>
      </x:c>
      <x:c r="H143" s="9" t="n">
        <x:v>0</x:v>
      </x:c>
      <x:c r="I143" s="9" t="n">
        <x:v>0</x:v>
      </x:c>
      <x:c r="J143" s="9" t="n">
        <x:v>388495</x:v>
      </x:c>
      <x:c r="K143" s="10" t="n">
        <x:v>3531.77</x:v>
      </x:c>
    </x:row>
    <x:row r="144">
      <x:c r="A144" t="inlineStr">
        <x:is>
          <x:t xml:space="preserve">EMPSPI001034</x:t>
        </x:is>
      </x:c>
      <x:c r="B144" t="inlineStr">
        <x:is>
          <x:t xml:space="preserve">EMPAQ ESPIROMETALICA TIPO  DR , ANILLO EXI 304 EMPAQUE GRAFITO CLASE 300, 14PLG (8511400BBBA)</x:t>
        </x:is>
      </x:c>
      <x:c r="C144" s="8" t="n">
        <x:v>55</x:v>
      </x:c>
      <x:c r="D144" s="8" t="n">
        <x:v>0</x:v>
      </x:c>
      <x:c r="E144" s="8" t="n">
        <x:v>0</x:v>
      </x:c>
      <x:c r="F144" s="8" t="n">
        <x:v>55</x:v>
      </x:c>
      <x:c r="G144" s="9" t="n">
        <x:v>262459</x:v>
      </x:c>
      <x:c r="H144" s="9" t="n">
        <x:v>0</x:v>
      </x:c>
      <x:c r="I144" s="9" t="n">
        <x:v>0</x:v>
      </x:c>
      <x:c r="J144" s="9" t="n">
        <x:v>262459</x:v>
      </x:c>
      <x:c r="K144" s="10" t="n">
        <x:v>4771.98</x:v>
      </x:c>
    </x:row>
    <x:row r="145">
      <x:c r="A145" t="inlineStr">
        <x:is>
          <x:t xml:space="preserve">EMPSPI001035</x:t>
        </x:is>
      </x:c>
      <x:c r="B145" t="inlineStr">
        <x:is>
          <x:t xml:space="preserve">EMPAQ ESPIROMETALICA TIPO  DR , ANILLO EXI 304 EMPAQUE GRAFITO CLASE 300 ,16 PLG (8511600BBBA)</x:t>
        </x:is>
      </x:c>
      <x:c r="C145" s="8" t="n">
        <x:v>55</x:v>
      </x:c>
      <x:c r="D145" s="8" t="n">
        <x:v>0</x:v>
      </x:c>
      <x:c r="E145" s="8" t="n">
        <x:v>0</x:v>
      </x:c>
      <x:c r="F145" s="8" t="n">
        <x:v>55</x:v>
      </x:c>
      <x:c r="G145" s="9" t="n">
        <x:v>318223</x:v>
      </x:c>
      <x:c r="H145" s="9" t="n">
        <x:v>0</x:v>
      </x:c>
      <x:c r="I145" s="9" t="n">
        <x:v>0</x:v>
      </x:c>
      <x:c r="J145" s="9" t="n">
        <x:v>318223</x:v>
      </x:c>
      <x:c r="K145" s="10" t="n">
        <x:v>5785.877818</x:v>
      </x:c>
    </x:row>
    <x:row r="146">
      <x:c r="A146" t="inlineStr">
        <x:is>
          <x:t xml:space="preserve">EMPSPI001036</x:t>
        </x:is>
      </x:c>
      <x:c r="B146" t="inlineStr">
        <x:is>
          <x:t xml:space="preserve">EMPAQ ESPIROMETALICA TIPO  DR , ANILLO EXI 304 EMPAQUE GRAFITO CLASE 300,18PLG (8511800BBBA)</x:t>
        </x:is>
      </x:c>
      <x:c r="C146" s="8" t="n">
        <x:v>55</x:v>
      </x:c>
      <x:c r="D146" s="8" t="n">
        <x:v>0</x:v>
      </x:c>
      <x:c r="E146" s="8" t="n">
        <x:v>0</x:v>
      </x:c>
      <x:c r="F146" s="8" t="n">
        <x:v>55</x:v>
      </x:c>
      <x:c r="G146" s="9" t="n">
        <x:v>380460</x:v>
      </x:c>
      <x:c r="H146" s="9" t="n">
        <x:v>0</x:v>
      </x:c>
      <x:c r="I146" s="9" t="n">
        <x:v>0</x:v>
      </x:c>
      <x:c r="J146" s="9" t="n">
        <x:v>380460</x:v>
      </x:c>
      <x:c r="K146" s="10" t="n">
        <x:v>6917.447818</x:v>
      </x:c>
    </x:row>
    <x:row r="147">
      <x:c r="A147" t="inlineStr">
        <x:is>
          <x:t xml:space="preserve">EMPSPI001037</x:t>
        </x:is>
      </x:c>
      <x:c r="B147" t="inlineStr">
        <x:is>
          <x:t xml:space="preserve">EMPAQ ESPIROMETALICA TIPO  DR , ANILLO EXI 304 EMPAQUE GRAFITO CLASE 300 ,20PLG (8512000BBBA)</x:t>
        </x:is>
      </x:c>
      <x:c r="C147" s="8" t="n">
        <x:v>55</x:v>
      </x:c>
      <x:c r="D147" s="8" t="n">
        <x:v>0</x:v>
      </x:c>
      <x:c r="E147" s="8" t="n">
        <x:v>0</x:v>
      </x:c>
      <x:c r="F147" s="8" t="n">
        <x:v>55</x:v>
      </x:c>
      <x:c r="G147" s="9" t="n">
        <x:v>416541</x:v>
      </x:c>
      <x:c r="H147" s="9" t="n">
        <x:v>0</x:v>
      </x:c>
      <x:c r="I147" s="9" t="n">
        <x:v>0</x:v>
      </x:c>
      <x:c r="J147" s="9" t="n">
        <x:v>416541</x:v>
      </x:c>
      <x:c r="K147" s="10" t="n">
        <x:v>7573.48</x:v>
      </x:c>
    </x:row>
    <x:row r="148">
      <x:c r="A148" t="inlineStr">
        <x:is>
          <x:t xml:space="preserve">EMPSPI001038</x:t>
        </x:is>
      </x:c>
      <x:c r="B148" t="inlineStr">
        <x:is>
          <x:t xml:space="preserve">EMPAQ ESPIROMETALICA TIPO  DR , ANILLO EXI 304 EMPAQUE GRAFITO CLASE 300, 24PLG (8512400BBBA)</x:t>
        </x:is>
      </x:c>
      <x:c r="C148" s="8" t="n">
        <x:v>55</x:v>
      </x:c>
      <x:c r="D148" s="8" t="n">
        <x:v>0</x:v>
      </x:c>
      <x:c r="E148" s="8" t="n">
        <x:v>0</x:v>
      </x:c>
      <x:c r="F148" s="8" t="n">
        <x:v>55</x:v>
      </x:c>
      <x:c r="G148" s="9" t="n">
        <x:v>574432</x:v>
      </x:c>
      <x:c r="H148" s="9" t="n">
        <x:v>0</x:v>
      </x:c>
      <x:c r="I148" s="9" t="n">
        <x:v>0</x:v>
      </x:c>
      <x:c r="J148" s="9" t="n">
        <x:v>574432</x:v>
      </x:c>
      <x:c r="K148" s="10" t="n">
        <x:v>10444.22</x:v>
      </x:c>
    </x:row>
    <x:row r="149">
      <x:c r="A149" t="inlineStr">
        <x:is>
          <x:t xml:space="preserve">EMPSPI001039</x:t>
        </x:is>
      </x:c>
      <x:c r="B149" t="inlineStr">
        <x:is>
          <x:t xml:space="preserve">EMPAQ ESPIROMETALICA TIPO  DR , ANILLO EXI 316 EMPAQUE GRAFITO CLASE 150. 1/2PLG (8510050BACA)</x:t>
        </x:is>
      </x:c>
      <x:c r="C149" s="8" t="n">
        <x:v>20</x:v>
      </x:c>
      <x:c r="D149" s="8" t="n">
        <x:v>0</x:v>
      </x:c>
      <x:c r="E149" s="8" t="n">
        <x:v>0</x:v>
      </x:c>
      <x:c r="F149" s="8" t="n">
        <x:v>20</x:v>
      </x:c>
      <x:c r="G149" s="9" t="n">
        <x:v>7051</x:v>
      </x:c>
      <x:c r="H149" s="9" t="n">
        <x:v>0</x:v>
      </x:c>
      <x:c r="I149" s="9" t="n">
        <x:v>0</x:v>
      </x:c>
      <x:c r="J149" s="9" t="n">
        <x:v>7051</x:v>
      </x:c>
      <x:c r="K149" s="10" t="n">
        <x:v>352.55</x:v>
      </x:c>
    </x:row>
    <x:row r="150">
      <x:c r="A150" t="inlineStr">
        <x:is>
          <x:t xml:space="preserve">EMPSPI001040</x:t>
        </x:is>
      </x:c>
      <x:c r="B150" t="inlineStr">
        <x:is>
          <x:t xml:space="preserve">EMPAQ ESPIROMETALICA TIPO  DR , ANILLO EXI 316 EMPAQUE GRAFITO CLASE 150. 3/4 PLG (8510075BACA)</x:t>
        </x:is>
      </x:c>
      <x:c r="C150" s="8" t="n">
        <x:v>20</x:v>
      </x:c>
      <x:c r="D150" s="8" t="n">
        <x:v>0</x:v>
      </x:c>
      <x:c r="E150" s="8" t="n">
        <x:v>0</x:v>
      </x:c>
      <x:c r="F150" s="8" t="n">
        <x:v>20</x:v>
      </x:c>
      <x:c r="G150" s="9" t="n">
        <x:v>7429</x:v>
      </x:c>
      <x:c r="H150" s="9" t="n">
        <x:v>0</x:v>
      </x:c>
      <x:c r="I150" s="9" t="n">
        <x:v>0</x:v>
      </x:c>
      <x:c r="J150" s="9" t="n">
        <x:v>7429</x:v>
      </x:c>
      <x:c r="K150" s="10" t="n">
        <x:v>371.43</x:v>
      </x:c>
    </x:row>
    <x:row r="151">
      <x:c r="A151" t="inlineStr">
        <x:is>
          <x:t xml:space="preserve">EMPSPI001041</x:t>
        </x:is>
      </x:c>
      <x:c r="B151" t="inlineStr">
        <x:is>
          <x:t xml:space="preserve">EMPAQ ESPIROMETALICA TIPO  DR , ANILLO EXI 316 EMPAQUE GRAFITO CLASE 150. 1 PLG (8510100BACA)</x:t>
        </x:is>
      </x:c>
      <x:c r="C151" s="8" t="n">
        <x:v>10</x:v>
      </x:c>
      <x:c r="D151" s="8" t="n">
        <x:v>0</x:v>
      </x:c>
      <x:c r="E151" s="8" t="n">
        <x:v>0</x:v>
      </x:c>
      <x:c r="F151" s="8" t="n">
        <x:v>10</x:v>
      </x:c>
      <x:c r="G151" s="9" t="n">
        <x:v>3902</x:v>
      </x:c>
      <x:c r="H151" s="9" t="n">
        <x:v>0</x:v>
      </x:c>
      <x:c r="I151" s="9" t="n">
        <x:v>0</x:v>
      </x:c>
      <x:c r="J151" s="9" t="n">
        <x:v>3902</x:v>
      </x:c>
      <x:c r="K151" s="10" t="n">
        <x:v>390.32</x:v>
      </x:c>
    </x:row>
    <x:row r="152">
      <x:c r="A152" t="inlineStr">
        <x:is>
          <x:t xml:space="preserve">EMPSPI001042</x:t>
        </x:is>
      </x:c>
      <x:c r="B152" t="inlineStr">
        <x:is>
          <x:t xml:space="preserve">EMPAQ ESPIROMETALICA TIPO  DR , ANILLO EXI 316 EMPAQUE GRAFITO CLASE 150. 1/4PLG (8510125BACA)</x:t>
        </x:is>
      </x:c>
      <x:c r="C152" s="8" t="n">
        <x:v>20</x:v>
      </x:c>
      <x:c r="D152" s="8" t="n">
        <x:v>0</x:v>
      </x:c>
      <x:c r="E152" s="8" t="n">
        <x:v>0</x:v>
      </x:c>
      <x:c r="F152" s="8" t="n">
        <x:v>20</x:v>
      </x:c>
      <x:c r="G152" s="9" t="n">
        <x:v>8436</x:v>
      </x:c>
      <x:c r="H152" s="9" t="n">
        <x:v>0</x:v>
      </x:c>
      <x:c r="I152" s="9" t="n">
        <x:v>0</x:v>
      </x:c>
      <x:c r="J152" s="9" t="n">
        <x:v>8436</x:v>
      </x:c>
      <x:c r="K152" s="10" t="n">
        <x:v>421.8</x:v>
      </x:c>
    </x:row>
    <x:row r="153">
      <x:c r="A153" t="inlineStr">
        <x:is>
          <x:t xml:space="preserve">EMPSPI001043</x:t>
        </x:is>
      </x:c>
      <x:c r="B153" t="inlineStr">
        <x:is>
          <x:t xml:space="preserve">EMPAQ ESPIROMETALICA TIPO  DR , ANILLO EXI 316 EMPAQUE GRAFITO CLASE 150, 1 1/2 PLG (8510150BACA)</x:t>
        </x:is>
      </x:c>
      <x:c r="C153" s="8" t="n">
        <x:v>8</x:v>
      </x:c>
      <x:c r="D153" s="8" t="n">
        <x:v>0</x:v>
      </x:c>
      <x:c r="E153" s="8" t="n">
        <x:v>0</x:v>
      </x:c>
      <x:c r="F153" s="8" t="n">
        <x:v>8</x:v>
      </x:c>
      <x:c r="G153" s="9" t="n">
        <x:v>3979</x:v>
      </x:c>
      <x:c r="H153" s="9" t="n">
        <x:v>0</x:v>
      </x:c>
      <x:c r="I153" s="9" t="n">
        <x:v>0</x:v>
      </x:c>
      <x:c r="J153" s="9" t="n">
        <x:v>3979</x:v>
      </x:c>
      <x:c r="K153" s="10" t="n">
        <x:v>497.34</x:v>
      </x:c>
    </x:row>
    <x:row r="154">
      <x:c r="A154" t="inlineStr">
        <x:is>
          <x:t xml:space="preserve">EMPSPI001044</x:t>
        </x:is>
      </x:c>
      <x:c r="B154" t="inlineStr">
        <x:is>
          <x:t xml:space="preserve">EMPAQ ESPIROMETALICA TIPO  DR , ANILLO EXI 316 EMPAQUE GRAFITO CLASE 150,2 PLG (8510200BCA)</x:t>
        </x:is>
      </x:c>
      <x:c r="C154" s="8" t="n">
        <x:v>2</x:v>
      </x:c>
      <x:c r="D154" s="8" t="n">
        <x:v>0</x:v>
      </x:c>
      <x:c r="E154" s="8" t="n">
        <x:v>0</x:v>
      </x:c>
      <x:c r="F154" s="8" t="n">
        <x:v>2</x:v>
      </x:c>
      <x:c r="G154" s="9" t="n">
        <x:v>995</x:v>
      </x:c>
      <x:c r="H154" s="9" t="n">
        <x:v>0</x:v>
      </x:c>
      <x:c r="I154" s="9" t="n">
        <x:v>0</x:v>
      </x:c>
      <x:c r="J154" s="9" t="n">
        <x:v>995</x:v>
      </x:c>
      <x:c r="K154" s="10" t="n">
        <x:v>497.34</x:v>
      </x:c>
    </x:row>
    <x:row r="155">
      <x:c r="A155" t="inlineStr">
        <x:is>
          <x:t xml:space="preserve">EMPSPI001045</x:t>
        </x:is>
      </x:c>
      <x:c r="B155" t="inlineStr">
        <x:is>
          <x:t xml:space="preserve">EMPAQ ESPIROMETALICA TIPO  DR , ANILLO EXI 316 EMPAQUE GRAFITO CLASE 150, 2 1/2 PLG (8510250BACA)</x:t>
        </x:is>
      </x:c>
      <x:c r="C155" s="8" t="n">
        <x:v>60</x:v>
      </x:c>
      <x:c r="D155" s="8" t="n">
        <x:v>0</x:v>
      </x:c>
      <x:c r="E155" s="8" t="n">
        <x:v>0</x:v>
      </x:c>
      <x:c r="F155" s="8" t="n">
        <x:v>60</x:v>
      </x:c>
      <x:c r="G155" s="9" t="n">
        <x:v>32107</x:v>
      </x:c>
      <x:c r="H155" s="9" t="n">
        <x:v>0</x:v>
      </x:c>
      <x:c r="I155" s="9" t="n">
        <x:v>0</x:v>
      </x:c>
      <x:c r="J155" s="9" t="n">
        <x:v>32107</x:v>
      </x:c>
      <x:c r="K155" s="10" t="n">
        <x:v>535.12</x:v>
      </x:c>
    </x:row>
    <x:row r="156">
      <x:c r="A156" t="inlineStr">
        <x:is>
          <x:t xml:space="preserve">EMPSPI001046</x:t>
        </x:is>
      </x:c>
      <x:c r="B156" t="inlineStr">
        <x:is>
          <x:t xml:space="preserve">EMPAQ ESPIROMETALICA TIPO  DR , ANILLO EXI 316 EMPAQUE GRAFITO CLASE 150, 3 PLG (8510300BACA)</x:t>
        </x:is>
      </x:c>
      <x:c r="C156" s="8" t="n">
        <x:v>20</x:v>
      </x:c>
      <x:c r="D156" s="8" t="n">
        <x:v>0</x:v>
      </x:c>
      <x:c r="E156" s="8" t="n">
        <x:v>0</x:v>
      </x:c>
      <x:c r="F156" s="8" t="n">
        <x:v>20</x:v>
      </x:c>
      <x:c r="G156" s="9" t="n">
        <x:v>14228</x:v>
      </x:c>
      <x:c r="H156" s="9" t="n">
        <x:v>0</x:v>
      </x:c>
      <x:c r="I156" s="9" t="n">
        <x:v>0</x:v>
      </x:c>
      <x:c r="J156" s="9" t="n">
        <x:v>14228</x:v>
      </x:c>
      <x:c r="K156" s="10" t="n">
        <x:v>711.39</x:v>
      </x:c>
    </x:row>
    <x:row r="157">
      <x:c r="A157" t="inlineStr">
        <x:is>
          <x:t xml:space="preserve">EMPSPI001047</x:t>
        </x:is>
      </x:c>
      <x:c r="B157" t="inlineStr">
        <x:is>
          <x:t xml:space="preserve">EMPAQ ESPIROMETALICA TIPO  DR , ANILLO EXI 316 EMPAQUE GRAFITO CLASE 150. 4 PLG (8510400BACA)</x:t>
        </x:is>
      </x:c>
      <x:c r="C157" s="8" t="n">
        <x:v>43</x:v>
      </x:c>
      <x:c r="D157" s="8" t="n">
        <x:v>0</x:v>
      </x:c>
      <x:c r="E157" s="8" t="n">
        <x:v>0</x:v>
      </x:c>
      <x:c r="F157" s="8" t="n">
        <x:v>43</x:v>
      </x:c>
      <x:c r="G157" s="9" t="n">
        <x:v>43042</x:v>
      </x:c>
      <x:c r="H157" s="9" t="n">
        <x:v>0</x:v>
      </x:c>
      <x:c r="I157" s="9" t="n">
        <x:v>0</x:v>
      </x:c>
      <x:c r="J157" s="9" t="n">
        <x:v>43042</x:v>
      </x:c>
      <x:c r="K157" s="10" t="n">
        <x:v>1000.98</x:v>
      </x:c>
    </x:row>
    <x:row r="158">
      <x:c r="A158" t="inlineStr">
        <x:is>
          <x:t xml:space="preserve">EMPSPI001048</x:t>
        </x:is>
      </x:c>
      <x:c r="B158" t="inlineStr">
        <x:is>
          <x:t xml:space="preserve">EMPAQ ESPIROMETALICA TIPO  DR , ANILLO EXI 316 EMPAQUE GRAFITO CLASE 150, 6PLG (8510600BACA)</x:t>
        </x:is>
      </x:c>
      <x:c r="C158" s="8" t="n">
        <x:v>40</x:v>
      </x:c>
      <x:c r="D158" s="8" t="n">
        <x:v>0</x:v>
      </x:c>
      <x:c r="E158" s="8" t="n">
        <x:v>0</x:v>
      </x:c>
      <x:c r="F158" s="8" t="n">
        <x:v>40</x:v>
      </x:c>
      <x:c r="G158" s="9" t="n">
        <x:v>60437</x:v>
      </x:c>
      <x:c r="H158" s="9" t="n">
        <x:v>0</x:v>
      </x:c>
      <x:c r="I158" s="9" t="n">
        <x:v>0</x:v>
      </x:c>
      <x:c r="J158" s="9" t="n">
        <x:v>60437</x:v>
      </x:c>
      <x:c r="K158" s="10" t="n">
        <x:v>1510.92</x:v>
      </x:c>
    </x:row>
    <x:row r="159">
      <x:c r="A159" t="inlineStr">
        <x:is>
          <x:t xml:space="preserve">EMPSPI001049</x:t>
        </x:is>
      </x:c>
      <x:c r="B159" t="inlineStr">
        <x:is>
          <x:t xml:space="preserve">EMPAQ ESPIROMETALICA TIPO  DR , ANILLO EXI 316 EMPAQUE GRAFITO CLASE 150. 8PLG (8510800BACA)</x:t>
        </x:is>
      </x:c>
      <x:c r="C159" s="8" t="n">
        <x:v>45</x:v>
      </x:c>
      <x:c r="D159" s="8" t="n">
        <x:v>0</x:v>
      </x:c>
      <x:c r="E159" s="8" t="n">
        <x:v>0</x:v>
      </x:c>
      <x:c r="F159" s="8" t="n">
        <x:v>45</x:v>
      </x:c>
      <x:c r="G159" s="9" t="n">
        <x:v>94055</x:v>
      </x:c>
      <x:c r="H159" s="9" t="n">
        <x:v>0</x:v>
      </x:c>
      <x:c r="I159" s="9" t="n">
        <x:v>0</x:v>
      </x:c>
      <x:c r="J159" s="9" t="n">
        <x:v>94055</x:v>
      </x:c>
      <x:c r="K159" s="10" t="n">
        <x:v>2090.1</x:v>
      </x:c>
    </x:row>
    <x:row r="160">
      <x:c r="A160" t="inlineStr">
        <x:is>
          <x:t xml:space="preserve">EMPSPI001050</x:t>
        </x:is>
      </x:c>
      <x:c r="B160" t="inlineStr">
        <x:is>
          <x:t xml:space="preserve">EMPAQ ESPIROMETALICA TIPO  DR , ANILLO EXI 316 EMPAQUE GRAFITO CLASE 150. 10PLG (851100BACA)</x:t>
        </x:is>
      </x:c>
      <x:c r="C160" s="8" t="n">
        <x:v>55</x:v>
      </x:c>
      <x:c r="D160" s="8" t="n">
        <x:v>0</x:v>
      </x:c>
      <x:c r="E160" s="8" t="n">
        <x:v>0</x:v>
      </x:c>
      <x:c r="F160" s="8" t="n">
        <x:v>55</x:v>
      </x:c>
      <x:c r="G160" s="9" t="n">
        <x:v>136423</x:v>
      </x:c>
      <x:c r="H160" s="9" t="n">
        <x:v>0</x:v>
      </x:c>
      <x:c r="I160" s="9" t="n">
        <x:v>0</x:v>
      </x:c>
      <x:c r="J160" s="9" t="n">
        <x:v>136423</x:v>
      </x:c>
      <x:c r="K160" s="10" t="n">
        <x:v>2480.42</x:v>
      </x:c>
    </x:row>
    <x:row r="161">
      <x:c r="A161" t="inlineStr">
        <x:is>
          <x:t xml:space="preserve">EMPSPI001051</x:t>
        </x:is>
      </x:c>
      <x:c r="B161" t="inlineStr">
        <x:is>
          <x:t xml:space="preserve">EMPAQ ESPIROMETALICA TIPO  DR , ANILLO EXI 316 EMPAQUE GRAFITO CLASE 150. 12 PLG (8511200BACA)</x:t>
        </x:is>
      </x:c>
      <x:c r="C161" s="8" t="n">
        <x:v>165</x:v>
      </x:c>
      <x:c r="D161" s="8" t="n">
        <x:v>0</x:v>
      </x:c>
      <x:c r="E161" s="8" t="n">
        <x:v>0</x:v>
      </x:c>
      <x:c r="F161" s="8" t="n">
        <x:v>165</x:v>
      </x:c>
      <x:c r="G161" s="9" t="n">
        <x:v>602479</x:v>
      </x:c>
      <x:c r="H161" s="9" t="n">
        <x:v>0</x:v>
      </x:c>
      <x:c r="I161" s="9" t="n">
        <x:v>0</x:v>
      </x:c>
      <x:c r="J161" s="9" t="n">
        <x:v>602479</x:v>
      </x:c>
      <x:c r="K161" s="10" t="n">
        <x:v>3651.39</x:v>
      </x:c>
    </x:row>
    <x:row r="162">
      <x:c r="A162" t="inlineStr">
        <x:is>
          <x:t xml:space="preserve">EMPSPI001052</x:t>
        </x:is>
      </x:c>
      <x:c r="B162" t="inlineStr">
        <x:is>
          <x:t xml:space="preserve">EMPAQ ESPIROMETALICA TIPO  DR , ANILLO EXI 316 EMPAQUE GRAFITO CLASE 150, 16PLG (8511600BACA)</x:t>
        </x:is>
      </x:c>
      <x:c r="C162" s="8" t="n">
        <x:v>160</x:v>
      </x:c>
      <x:c r="D162" s="8" t="n">
        <x:v>0</x:v>
      </x:c>
      <x:c r="E162" s="8" t="n">
        <x:v>0</x:v>
      </x:c>
      <x:c r="F162" s="8" t="n">
        <x:v>160</x:v>
      </x:c>
      <x:c r="G162" s="9" t="n">
        <x:v>938784</x:v>
      </x:c>
      <x:c r="H162" s="9" t="n">
        <x:v>0</x:v>
      </x:c>
      <x:c r="I162" s="9" t="n">
        <x:v>0</x:v>
      </x:c>
      <x:c r="J162" s="9" t="n">
        <x:v>938784</x:v>
      </x:c>
      <x:c r="K162" s="10" t="n">
        <x:v>5867.4</x:v>
      </x:c>
    </x:row>
    <x:row r="163">
      <x:c r="A163" t="inlineStr">
        <x:is>
          <x:t xml:space="preserve">EMPSPI001053</x:t>
        </x:is>
      </x:c>
      <x:c r="B163" t="inlineStr">
        <x:is>
          <x:t xml:space="preserve">EMPAQ ESPIROMETALICA TIPO  DR , ANILLO EXI 316 EMPAQUE GRAFITO CLASE 300/400/600 1/2PLG(8510050BJCA)</x:t>
        </x:is>
      </x:c>
      <x:c r="C163" s="8" t="n">
        <x:v>20</x:v>
      </x:c>
      <x:c r="D163" s="8" t="n">
        <x:v>0</x:v>
      </x:c>
      <x:c r="E163" s="8" t="n">
        <x:v>0</x:v>
      </x:c>
      <x:c r="F163" s="8" t="n">
        <x:v>20</x:v>
      </x:c>
      <x:c r="G163" s="9" t="n">
        <x:v>7177</x:v>
      </x:c>
      <x:c r="H163" s="9" t="n">
        <x:v>0</x:v>
      </x:c>
      <x:c r="I163" s="9" t="n">
        <x:v>0</x:v>
      </x:c>
      <x:c r="J163" s="9" t="n">
        <x:v>7177</x:v>
      </x:c>
      <x:c r="K163" s="10" t="n">
        <x:v>358.84</x:v>
      </x:c>
    </x:row>
    <x:row r="164">
      <x:c r="A164" t="inlineStr">
        <x:is>
          <x:t xml:space="preserve">EMPSPI001054</x:t>
        </x:is>
      </x:c>
      <x:c r="B164" t="inlineStr">
        <x:is>
          <x:t xml:space="preserve">EMPAQ ESPIROMETALICA TIPO DR , ANILLO EXI 316 EMPAQUE GRAFITO CLASE 300/400/600 3/4PLG (8510075BJCA)</x:t>
        </x:is>
      </x:c>
      <x:c r="C164" s="8" t="n">
        <x:v>20</x:v>
      </x:c>
      <x:c r="D164" s="8" t="n">
        <x:v>0</x:v>
      </x:c>
      <x:c r="E164" s="8" t="n">
        <x:v>0</x:v>
      </x:c>
      <x:c r="F164" s="8" t="n">
        <x:v>20</x:v>
      </x:c>
      <x:c r="G164" s="9" t="n">
        <x:v>7555</x:v>
      </x:c>
      <x:c r="H164" s="9" t="n">
        <x:v>0</x:v>
      </x:c>
      <x:c r="I164" s="9" t="n">
        <x:v>0</x:v>
      </x:c>
      <x:c r="J164" s="9" t="n">
        <x:v>7555</x:v>
      </x:c>
      <x:c r="K164" s="10" t="n">
        <x:v>377.73</x:v>
      </x:c>
    </x:row>
    <x:row r="165">
      <x:c r="A165" t="inlineStr">
        <x:is>
          <x:t xml:space="preserve">EMPSPI001055</x:t>
        </x:is>
      </x:c>
      <x:c r="B165" t="inlineStr">
        <x:is>
          <x:t xml:space="preserve">EMPAQ ESPIROMETALICA TIPO  DR , ANILLO EXI 316 EMPAQUE GRAFITO CLASE300/400/600 1PLG (8510100BJBA)</x:t>
        </x:is>
      </x:c>
      <x:c r="C165" s="8" t="n">
        <x:v>20</x:v>
      </x:c>
      <x:c r="D165" s="8" t="n">
        <x:v>0</x:v>
      </x:c>
      <x:c r="E165" s="8" t="n">
        <x:v>0</x:v>
      </x:c>
      <x:c r="F165" s="8" t="n">
        <x:v>20</x:v>
      </x:c>
      <x:c r="G165" s="9" t="n">
        <x:v>7806</x:v>
      </x:c>
      <x:c r="H165" s="9" t="n">
        <x:v>0</x:v>
      </x:c>
      <x:c r="I165" s="9" t="n">
        <x:v>0</x:v>
      </x:c>
      <x:c r="J165" s="9" t="n">
        <x:v>7806</x:v>
      </x:c>
      <x:c r="K165" s="10" t="n">
        <x:v>390.32</x:v>
      </x:c>
    </x:row>
    <x:row r="166">
      <x:c r="A166" t="inlineStr">
        <x:is>
          <x:t xml:space="preserve">EMPSPI001056</x:t>
        </x:is>
      </x:c>
      <x:c r="B166" t="inlineStr">
        <x:is>
          <x:t xml:space="preserve">EMPAQ ESPIROMETALICA TIPO DR ,ANILLO EXI 316EMPAQUE GRAFITO CLASE300/400/600,1 1/4 PLG (8510150BABA)</x:t>
        </x:is>
      </x:c>
      <x:c r="C166" s="8" t="n">
        <x:v>20</x:v>
      </x:c>
      <x:c r="D166" s="8" t="n">
        <x:v>0</x:v>
      </x:c>
      <x:c r="E166" s="8" t="n">
        <x:v>0</x:v>
      </x:c>
      <x:c r="F166" s="8" t="n">
        <x:v>20</x:v>
      </x:c>
      <x:c r="G166" s="9" t="n">
        <x:v>8814</x:v>
      </x:c>
      <x:c r="H166" s="9" t="n">
        <x:v>0</x:v>
      </x:c>
      <x:c r="I166" s="9" t="n">
        <x:v>0</x:v>
      </x:c>
      <x:c r="J166" s="9" t="n">
        <x:v>8814</x:v>
      </x:c>
      <x:c r="K166" s="10" t="n">
        <x:v>440.68</x:v>
      </x:c>
    </x:row>
    <x:row r="167">
      <x:c r="A167" t="inlineStr">
        <x:is>
          <x:t xml:space="preserve">EMPSPI001057</x:t>
        </x:is>
      </x:c>
      <x:c r="B167" t="inlineStr">
        <x:is>
          <x:t xml:space="preserve">EMPAQ ESPIROMETALICA TIPO DR ,ANILLO EXI 316EMPAQUE GRAFITO CLASE300/400/600 1 1/2 PLG (851050BJBA)</x:t>
        </x:is>
      </x:c>
      <x:c r="C167" s="8" t="n">
        <x:v>18</x:v>
      </x:c>
      <x:c r="D167" s="8" t="n">
        <x:v>0</x:v>
      </x:c>
      <x:c r="E167" s="8" t="n">
        <x:v>0</x:v>
      </x:c>
      <x:c r="F167" s="8" t="n">
        <x:v>18</x:v>
      </x:c>
      <x:c r="G167" s="9" t="n">
        <x:v>9066</x:v>
      </x:c>
      <x:c r="H167" s="9" t="n">
        <x:v>0</x:v>
      </x:c>
      <x:c r="I167" s="9" t="n">
        <x:v>0</x:v>
      </x:c>
      <x:c r="J167" s="9" t="n">
        <x:v>9066</x:v>
      </x:c>
      <x:c r="K167" s="10" t="n">
        <x:v>503.64</x:v>
      </x:c>
    </x:row>
    <x:row r="168">
      <x:c r="A168" t="inlineStr">
        <x:is>
          <x:t xml:space="preserve">EMPSPI001058</x:t>
        </x:is>
      </x:c>
      <x:c r="B168" t="inlineStr">
        <x:is>
          <x:t xml:space="preserve">EMPAQ ESPIROMETALICA TIPO DR ,ANILLO EXI 316EMPAQUE GRAFITO CLASE300/400/600 2 PLG (8510200BJCA)</x:t>
        </x:is>
      </x:c>
      <x:c r="C168" s="8" t="n">
        <x:v>20</x:v>
      </x:c>
      <x:c r="D168" s="8" t="n">
        <x:v>0</x:v>
      </x:c>
      <x:c r="E168" s="8" t="n">
        <x:v>0</x:v>
      </x:c>
      <x:c r="F168" s="8" t="n">
        <x:v>20</x:v>
      </x:c>
      <x:c r="G168" s="9" t="n">
        <x:v>10325</x:v>
      </x:c>
      <x:c r="H168" s="9" t="n">
        <x:v>0</x:v>
      </x:c>
      <x:c r="I168" s="9" t="n">
        <x:v>0</x:v>
      </x:c>
      <x:c r="J168" s="9" t="n">
        <x:v>10325</x:v>
      </x:c>
      <x:c r="K168" s="10" t="n">
        <x:v>516.23</x:v>
      </x:c>
    </x:row>
    <x:row r="169">
      <x:c r="A169" t="inlineStr">
        <x:is>
          <x:t xml:space="preserve">EMPSPI001059</x:t>
        </x:is>
      </x:c>
      <x:c r="B169" t="inlineStr">
        <x:is>
          <x:t xml:space="preserve">EMPAQ ESPIROMETALICA TIPO DR,ANILLO EXI 316EMPAQUE GRAFITO CLASE300/400/600 2 1/2(851025BJCA)</x:t>
        </x:is>
      </x:c>
      <x:c r="C169" s="8" t="n">
        <x:v>15</x:v>
      </x:c>
      <x:c r="D169" s="8" t="n">
        <x:v>0</x:v>
      </x:c>
      <x:c r="E169" s="8" t="n">
        <x:v>0</x:v>
      </x:c>
      <x:c r="F169" s="8" t="n">
        <x:v>15</x:v>
      </x:c>
      <x:c r="G169" s="9" t="n">
        <x:v>8310</x:v>
      </x:c>
      <x:c r="H169" s="9" t="n">
        <x:v>0</x:v>
      </x:c>
      <x:c r="I169" s="9" t="n">
        <x:v>0</x:v>
      </x:c>
      <x:c r="J169" s="9" t="n">
        <x:v>8310</x:v>
      </x:c>
      <x:c r="K169" s="10" t="n">
        <x:v>554</x:v>
      </x:c>
    </x:row>
    <x:row r="170">
      <x:c r="A170" t="inlineStr">
        <x:is>
          <x:t xml:space="preserve">EMPSPI001060</x:t>
        </x:is>
      </x:c>
      <x:c r="B170" t="inlineStr">
        <x:is>
          <x:t xml:space="preserve">EMPAQ ESPIROMETALICA TIPO DR , ANILLO EXI 316 EMPAQUE GRAFITO CLASE 300/400/600  3 PLG (8510300BJCA)</x:t>
        </x:is>
      </x:c>
      <x:c r="C170" s="8" t="n">
        <x:v>17</x:v>
      </x:c>
      <x:c r="D170" s="8" t="n">
        <x:v>0</x:v>
      </x:c>
      <x:c r="E170" s="8" t="n">
        <x:v>0</x:v>
      </x:c>
      <x:c r="F170" s="8" t="n">
        <x:v>17</x:v>
      </x:c>
      <x:c r="G170" s="9" t="n">
        <x:v>12308</x:v>
      </x:c>
      <x:c r="H170" s="9" t="n">
        <x:v>0</x:v>
      </x:c>
      <x:c r="I170" s="9" t="n">
        <x:v>0</x:v>
      </x:c>
      <x:c r="J170" s="9" t="n">
        <x:v>12308</x:v>
      </x:c>
      <x:c r="K170" s="10" t="n">
        <x:v>723.98</x:v>
      </x:c>
    </x:row>
    <x:row r="171">
      <x:c r="A171" t="inlineStr">
        <x:is>
          <x:t xml:space="preserve">EMPSPI001061</x:t>
        </x:is>
      </x:c>
      <x:c r="B171" t="inlineStr">
        <x:is>
          <x:t xml:space="preserve">EMPAQ ESPIROMETALICA TIPO  DR , ANILLO EXI 316 EMPAQUE GRAFITO CLASE 300, 4PLG (8510400BBCA)</x:t>
        </x:is>
      </x:c>
      <x:c r="C171" s="8" t="n">
        <x:v>55</x:v>
      </x:c>
      <x:c r="D171" s="8" t="n">
        <x:v>0</x:v>
      </x:c>
      <x:c r="E171" s="8" t="n">
        <x:v>0</x:v>
      </x:c>
      <x:c r="F171" s="8" t="n">
        <x:v>55</x:v>
      </x:c>
      <x:c r="G171" s="9" t="n">
        <x:v>59902</x:v>
      </x:c>
      <x:c r="H171" s="9" t="n">
        <x:v>0</x:v>
      </x:c>
      <x:c r="I171" s="9" t="n">
        <x:v>0</x:v>
      </x:c>
      <x:c r="J171" s="9" t="n">
        <x:v>59902</x:v>
      </x:c>
      <x:c r="K171" s="10" t="n">
        <x:v>1089.12</x:v>
      </x:c>
    </x:row>
    <x:row r="172">
      <x:c r="A172" t="inlineStr">
        <x:is>
          <x:t xml:space="preserve">EMPSPI001062</x:t>
        </x:is>
      </x:c>
      <x:c r="B172" t="inlineStr">
        <x:is>
          <x:t xml:space="preserve">EMPAQ ESPIROMETALICA TIPO  DR , ANILLO EXI 316 EMPAQUE GRAFITO CLASE 300. 6 PLG (8510600BBCA)</x:t>
        </x:is>
      </x:c>
      <x:c r="C172" s="8" t="n">
        <x:v>49</x:v>
      </x:c>
      <x:c r="D172" s="8" t="n">
        <x:v>0</x:v>
      </x:c>
      <x:c r="E172" s="8" t="n">
        <x:v>0</x:v>
      </x:c>
      <x:c r="F172" s="8" t="n">
        <x:v>49</x:v>
      </x:c>
      <x:c r="G172" s="9" t="n">
        <x:v>86991</x:v>
      </x:c>
      <x:c r="H172" s="9" t="n">
        <x:v>0</x:v>
      </x:c>
      <x:c r="I172" s="9" t="n">
        <x:v>0</x:v>
      </x:c>
      <x:c r="J172" s="9" t="n">
        <x:v>86991</x:v>
      </x:c>
      <x:c r="K172" s="10" t="n">
        <x:v>1775.33</x:v>
      </x:c>
    </x:row>
    <x:row r="173">
      <x:c r="A173" t="inlineStr">
        <x:is>
          <x:t xml:space="preserve">EMPSPI001063</x:t>
        </x:is>
      </x:c>
      <x:c r="B173" t="inlineStr">
        <x:is>
          <x:t xml:space="preserve">EMPAQ ESPIROMETALICA TIPO  DR , ANILLO EXI 316 EMPAQUE GRAFITO CLASE 300,  8 PLG (8510800BBCA)</x:t>
        </x:is>
      </x:c>
      <x:c r="C173" s="8" t="n">
        <x:v>51</x:v>
      </x:c>
      <x:c r="D173" s="8" t="n">
        <x:v>0</x:v>
      </x:c>
      <x:c r="E173" s="8" t="n">
        <x:v>0</x:v>
      </x:c>
      <x:c r="F173" s="8" t="n">
        <x:v>51</x:v>
      </x:c>
      <x:c r="G173" s="9" t="n">
        <x:v>130997</x:v>
      </x:c>
      <x:c r="H173" s="9" t="n">
        <x:v>0</x:v>
      </x:c>
      <x:c r="I173" s="9" t="n">
        <x:v>0</x:v>
      </x:c>
      <x:c r="J173" s="9" t="n">
        <x:v>130997</x:v>
      </x:c>
      <x:c r="K173" s="10" t="n">
        <x:v>2568.56</x:v>
      </x:c>
    </x:row>
    <x:row r="174">
      <x:c r="A174" t="inlineStr">
        <x:is>
          <x:t xml:space="preserve">EMPSPI001064</x:t>
        </x:is>
      </x:c>
      <x:c r="B174" t="inlineStr">
        <x:is>
          <x:t xml:space="preserve">EMPAQ ESPIROMETALICA TIPO  DR , ANILLO EXI 316 EMPAQUE GRAFITO CLASE 300. 10PLG (8511000BBCA)</x:t>
        </x:is>
      </x:c>
      <x:c r="C174" s="8" t="n">
        <x:v>55</x:v>
      </x:c>
      <x:c r="D174" s="8" t="n">
        <x:v>0</x:v>
      </x:c>
      <x:c r="E174" s="8" t="n">
        <x:v>0</x:v>
      </x:c>
      <x:c r="F174" s="8" t="n">
        <x:v>55</x:v>
      </x:c>
      <x:c r="G174" s="9" t="n">
        <x:v>166547</x:v>
      </x:c>
      <x:c r="H174" s="9" t="n">
        <x:v>0</x:v>
      </x:c>
      <x:c r="I174" s="9" t="n">
        <x:v>0</x:v>
      </x:c>
      <x:c r="J174" s="9" t="n">
        <x:v>166547</x:v>
      </x:c>
      <x:c r="K174" s="10" t="n">
        <x:v>3028.13</x:v>
      </x:c>
    </x:row>
    <x:row r="175">
      <x:c r="A175" t="inlineStr">
        <x:is>
          <x:t xml:space="preserve">EMPSPI001065</x:t>
        </x:is>
      </x:c>
      <x:c r="B175" t="inlineStr">
        <x:is>
          <x:t xml:space="preserve">EMPAQ ESPIROMETALICA TIPO  DR , ANILLO EXI 316 EMPAQUE GRAFITO CLASE 300, 12PLG (8511200BBCA)</x:t>
        </x:is>
      </x:c>
      <x:c r="C175" s="8" t="n">
        <x:v>165</x:v>
      </x:c>
      <x:c r="D175" s="8" t="n">
        <x:v>0</x:v>
      </x:c>
      <x:c r="E175" s="8" t="n">
        <x:v>0</x:v>
      </x:c>
      <x:c r="F175" s="8" t="n">
        <x:v>165</x:v>
      </x:c>
      <x:c r="G175" s="9" t="n">
        <x:v>600400</x:v>
      </x:c>
      <x:c r="H175" s="9" t="n">
        <x:v>0</x:v>
      </x:c>
      <x:c r="I175" s="9" t="n">
        <x:v>0</x:v>
      </x:c>
      <x:c r="J175" s="9" t="n">
        <x:v>600400</x:v>
      </x:c>
      <x:c r="K175" s="10" t="n">
        <x:v>3638.79</x:v>
      </x:c>
    </x:row>
    <x:row r="176">
      <x:c r="A176" t="inlineStr">
        <x:is>
          <x:t xml:space="preserve">EMPSPI001066</x:t>
        </x:is>
      </x:c>
      <x:c r="B176" t="inlineStr">
        <x:is>
          <x:t xml:space="preserve">EMPAQ ESPIROMETALICA TIPO  DR , ANILLO EXI 316 EMPAQUE GRAFITO CLASE 300, 16PLG (8511600BBCA)</x:t>
        </x:is>
      </x:c>
      <x:c r="C176" s="8" t="n">
        <x:v>165</x:v>
      </x:c>
      <x:c r="D176" s="8" t="n">
        <x:v>0</x:v>
      </x:c>
      <x:c r="E176" s="8" t="n">
        <x:v>0</x:v>
      </x:c>
      <x:c r="F176" s="8" t="n">
        <x:v>165</x:v>
      </x:c>
      <x:c r="G176" s="9" t="n">
        <x:v>1057454</x:v>
      </x:c>
      <x:c r="H176" s="9" t="n">
        <x:v>0</x:v>
      </x:c>
      <x:c r="I176" s="9" t="n">
        <x:v>0</x:v>
      </x:c>
      <x:c r="J176" s="9" t="n">
        <x:v>1057454</x:v>
      </x:c>
      <x:c r="K176" s="10" t="n">
        <x:v>6408.81</x:v>
      </x:c>
    </x:row>
    <x:row r="177">
      <x:c r="A177" t="inlineStr">
        <x:is>
          <x:t xml:space="preserve">EMPSPI001068</x:t>
        </x:is>
      </x:c>
      <x:c r="B177" t="inlineStr">
        <x:is>
          <x:t xml:space="preserve">EMPAQ ESPIROMETALICA TIPO DRI, ANILL EXT304 EMPAQ GRAFIT, ANILL INT304 CLAS150 3/4PLG (8610075BABB)</x:t>
        </x:is>
      </x:c>
      <x:c r="C177" s="8" t="n">
        <x:v>20</x:v>
      </x:c>
      <x:c r="D177" s="8" t="n">
        <x:v>0</x:v>
      </x:c>
      <x:c r="E177" s="8" t="n">
        <x:v>0</x:v>
      </x:c>
      <x:c r="F177" s="8" t="n">
        <x:v>20</x:v>
      </x:c>
      <x:c r="G177" s="9" t="n">
        <x:v>9443</x:v>
      </x:c>
      <x:c r="H177" s="9" t="n">
        <x:v>0</x:v>
      </x:c>
      <x:c r="I177" s="9" t="n">
        <x:v>0</x:v>
      </x:c>
      <x:c r="J177" s="9" t="n">
        <x:v>9443</x:v>
      </x:c>
      <x:c r="K177" s="10" t="n">
        <x:v>472.16</x:v>
      </x:c>
    </x:row>
    <x:row r="178">
      <x:c r="A178" t="inlineStr">
        <x:is>
          <x:t xml:space="preserve">EMPSPI001069</x:t>
        </x:is>
      </x:c>
      <x:c r="B178" t="inlineStr">
        <x:is>
          <x:t xml:space="preserve">EMPAQ ESPIROMETALICA TIPO DRI, ANILL EXT304 EMPAQUE GRAFIT, ANILL INT304 CLAS150 1 PLG (8610100BABB)</x:t>
        </x:is>
      </x:c>
      <x:c r="C178" s="8" t="n">
        <x:v>20</x:v>
      </x:c>
      <x:c r="D178" s="8" t="n">
        <x:v>0</x:v>
      </x:c>
      <x:c r="E178" s="8" t="n">
        <x:v>0</x:v>
      </x:c>
      <x:c r="F178" s="8" t="n">
        <x:v>20</x:v>
      </x:c>
      <x:c r="G178" s="9" t="n">
        <x:v>10325</x:v>
      </x:c>
      <x:c r="H178" s="9" t="n">
        <x:v>0</x:v>
      </x:c>
      <x:c r="I178" s="9" t="n">
        <x:v>0</x:v>
      </x:c>
      <x:c r="J178" s="9" t="n">
        <x:v>10325</x:v>
      </x:c>
      <x:c r="K178" s="10" t="n">
        <x:v>516.23</x:v>
      </x:c>
    </x:row>
    <x:row r="179">
      <x:c r="A179" t="inlineStr">
        <x:is>
          <x:t xml:space="preserve">EMPSPI001070</x:t>
        </x:is>
      </x:c>
      <x:c r="B179" t="inlineStr">
        <x:is>
          <x:t xml:space="preserve">EMPAQ ESPIROMETALICA TIPO DRI,ANILL EXIT304, EMPAQ GRAF, ANILL INT304 CLA150 1 1/4PLG(8610125BABB)</x:t>
        </x:is>
      </x:c>
      <x:c r="C179" s="8" t="n">
        <x:v>20</x:v>
      </x:c>
      <x:c r="D179" s="8" t="n">
        <x:v>0</x:v>
      </x:c>
      <x:c r="E179" s="8" t="n">
        <x:v>0</x:v>
      </x:c>
      <x:c r="F179" s="8" t="n">
        <x:v>20</x:v>
      </x:c>
      <x:c r="G179" s="9" t="n">
        <x:v>11961</x:v>
      </x:c>
      <x:c r="H179" s="9" t="n">
        <x:v>0</x:v>
      </x:c>
      <x:c r="I179" s="9" t="n">
        <x:v>0</x:v>
      </x:c>
      <x:c r="J179" s="9" t="n">
        <x:v>11961</x:v>
      </x:c>
      <x:c r="K179" s="10" t="n">
        <x:v>598.0700000000001</x:v>
      </x:c>
    </x:row>
    <x:row r="180">
      <x:c r="A180" t="inlineStr">
        <x:is>
          <x:t xml:space="preserve">EMPSPI001071</x:t>
        </x:is>
      </x:c>
      <x:c r="B180" t="inlineStr">
        <x:is>
          <x:t xml:space="preserve">EMPAQ ESPIROMETALICA TIPO DRI, ANILL  EXIT304 EMPAQ GRAF, ANILL INT304 CL150 1 1/2PLG(861D150BABB))</x:t>
        </x:is>
      </x:c>
      <x:c r="C180" s="8" t="n">
        <x:v>20</x:v>
      </x:c>
      <x:c r="D180" s="8" t="n">
        <x:v>0</x:v>
      </x:c>
      <x:c r="E180" s="8" t="n">
        <x:v>0</x:v>
      </x:c>
      <x:c r="F180" s="8" t="n">
        <x:v>20</x:v>
      </x:c>
      <x:c r="G180" s="9" t="n">
        <x:v>12969</x:v>
      </x:c>
      <x:c r="H180" s="9" t="n">
        <x:v>0</x:v>
      </x:c>
      <x:c r="I180" s="9" t="n">
        <x:v>0</x:v>
      </x:c>
      <x:c r="J180" s="9" t="n">
        <x:v>12969</x:v>
      </x:c>
      <x:c r="K180" s="10" t="n">
        <x:v>648.4400000000001</x:v>
      </x:c>
    </x:row>
    <x:row r="181">
      <x:c r="A181" t="inlineStr">
        <x:is>
          <x:t xml:space="preserve">EMPSPI001073</x:t>
        </x:is>
      </x:c>
      <x:c r="B181" t="inlineStr">
        <x:is>
          <x:t xml:space="preserve">EMPAQ ESPIROMETALICA TIPO DRI, ANILL EXIT304 EMPAQ GRAF ANILL INT304 CLAS150 2 1/2PLG (8610250BABB)</x:t>
        </x:is>
      </x:c>
      <x:c r="C181" s="8" t="n">
        <x:v>20</x:v>
      </x:c>
      <x:c r="D181" s="8" t="n">
        <x:v>0</x:v>
      </x:c>
      <x:c r="E181" s="8" t="n">
        <x:v>0</x:v>
      </x:c>
      <x:c r="F181" s="8" t="n">
        <x:v>20</x:v>
      </x:c>
      <x:c r="G181" s="9" t="n">
        <x:v>17376</x:v>
      </x:c>
      <x:c r="H181" s="9" t="n">
        <x:v>0</x:v>
      </x:c>
      <x:c r="I181" s="9" t="n">
        <x:v>0</x:v>
      </x:c>
      <x:c r="J181" s="9" t="n">
        <x:v>17376</x:v>
      </x:c>
      <x:c r="K181" s="10" t="n">
        <x:v>868.78</x:v>
      </x:c>
    </x:row>
    <x:row r="182">
      <x:c r="A182" t="inlineStr">
        <x:is>
          <x:t xml:space="preserve">EMPSPI001074</x:t>
        </x:is>
      </x:c>
      <x:c r="B182" t="inlineStr">
        <x:is>
          <x:t xml:space="preserve">EMPAQ ESPIROMETALICA TIPO  DRI, ANILL EXT304 EMPAQ GRAF ANILL INT304 CLAS150  3PLG (B610300BABB)</x:t>
        </x:is>
      </x:c>
      <x:c r="C182" s="8" t="n">
        <x:v>60</x:v>
      </x:c>
      <x:c r="D182" s="8" t="n">
        <x:v>0</x:v>
      </x:c>
      <x:c r="E182" s="8" t="n">
        <x:v>0</x:v>
      </x:c>
      <x:c r="F182" s="8" t="n">
        <x:v>60</x:v>
      </x:c>
      <x:c r="G182" s="9" t="n">
        <x:v>71391</x:v>
      </x:c>
      <x:c r="H182" s="9" t="n">
        <x:v>0</x:v>
      </x:c>
      <x:c r="I182" s="9" t="n">
        <x:v>0</x:v>
      </x:c>
      <x:c r="J182" s="9" t="n">
        <x:v>71391</x:v>
      </x:c>
      <x:c r="K182" s="10" t="n">
        <x:v>1189.85</x:v>
      </x:c>
    </x:row>
    <x:row r="183">
      <x:c r="A183" t="inlineStr">
        <x:is>
          <x:t xml:space="preserve">EMPSPI001075</x:t>
        </x:is>
      </x:c>
      <x:c r="B183" t="inlineStr">
        <x:is>
          <x:t xml:space="preserve">EMPAQ ESPIROMETALICA TIPO  DRI , ANILL EXI 304 EMPAQ GRAF ,ANILL INT304 CLAS150 4PLG (8610400BABB)</x:t>
        </x:is>
      </x:c>
      <x:c r="C183" s="8" t="n">
        <x:v>55</x:v>
      </x:c>
      <x:c r="D183" s="8" t="n">
        <x:v>0</x:v>
      </x:c>
      <x:c r="E183" s="8" t="n">
        <x:v>0</x:v>
      </x:c>
      <x:c r="F183" s="8" t="n">
        <x:v>55</x:v>
      </x:c>
      <x:c r="G183" s="9" t="n">
        <x:v>102491</x:v>
      </x:c>
      <x:c r="H183" s="9" t="n">
        <x:v>0</x:v>
      </x:c>
      <x:c r="I183" s="9" t="n">
        <x:v>0</x:v>
      </x:c>
      <x:c r="J183" s="9" t="n">
        <x:v>102491</x:v>
      </x:c>
      <x:c r="K183" s="10" t="n">
        <x:v>1863.47</x:v>
      </x:c>
    </x:row>
    <x:row r="184">
      <x:c r="A184" t="inlineStr">
        <x:is>
          <x:t xml:space="preserve">EMPSPI001077</x:t>
        </x:is>
      </x:c>
      <x:c r="B184" t="inlineStr">
        <x:is>
          <x:t xml:space="preserve">EMPAQ ESPIROMETALICA TIPO  DRI, ANILL EXI304 EMPAQ GRAF ANILL INT304 CLAS150, 8PLG(8610800BABB)</x:t>
        </x:is>
      </x:c>
      <x:c r="C184" s="8" t="n">
        <x:v>55</x:v>
      </x:c>
      <x:c r="D184" s="8" t="n">
        <x:v>0</x:v>
      </x:c>
      <x:c r="E184" s="8" t="n">
        <x:v>0</x:v>
      </x:c>
      <x:c r="F184" s="8" t="n">
        <x:v>55</x:v>
      </x:c>
      <x:c r="G184" s="9" t="n">
        <x:v>220216</x:v>
      </x:c>
      <x:c r="H184" s="9" t="n">
        <x:v>0</x:v>
      </x:c>
      <x:c r="I184" s="9" t="n">
        <x:v>0</x:v>
      </x:c>
      <x:c r="J184" s="9" t="n">
        <x:v>220216</x:v>
      </x:c>
      <x:c r="K184" s="10" t="n">
        <x:v>4003.93</x:v>
      </x:c>
    </x:row>
    <x:row r="185">
      <x:c r="A185" t="inlineStr">
        <x:is>
          <x:t xml:space="preserve">EMPSPI001078</x:t>
        </x:is>
      </x:c>
      <x:c r="B185" t="inlineStr">
        <x:is>
          <x:t xml:space="preserve">EMPAQ ESPIROMETALICA TIPO  DRI, ANILL EXI304 EMPAQ GRAF ANILL INT304 CLAS150, 10PLG(8611000BABB)</x:t>
        </x:is>
      </x:c>
      <x:c r="C185" s="8" t="n">
        <x:v>55</x:v>
      </x:c>
      <x:c r="D185" s="8" t="n">
        <x:v>0</x:v>
      </x:c>
      <x:c r="E185" s="8" t="n">
        <x:v>0</x:v>
      </x:c>
      <x:c r="F185" s="8" t="n">
        <x:v>55</x:v>
      </x:c>
      <x:c r="G185" s="9" t="n">
        <x:v>263151</x:v>
      </x:c>
      <x:c r="H185" s="9" t="n">
        <x:v>0</x:v>
      </x:c>
      <x:c r="I185" s="9" t="n">
        <x:v>0</x:v>
      </x:c>
      <x:c r="J185" s="9" t="n">
        <x:v>263151</x:v>
      </x:c>
      <x:c r="K185" s="10" t="n">
        <x:v>4784.57</x:v>
      </x:c>
    </x:row>
    <x:row r="186">
      <x:c r="A186" t="inlineStr">
        <x:is>
          <x:t xml:space="preserve">EMPSPI001079</x:t>
        </x:is>
      </x:c>
      <x:c r="B186" t="inlineStr">
        <x:is>
          <x:t xml:space="preserve">EMPAQ ESPIROMETALICA TIPO  DRI, ANILL EXI304 EMPAQ GRAF ANILL INT304 CLAS150, 12PLG(8611200BABB)</x:t>
        </x:is>
      </x:c>
      <x:c r="C186" s="8" t="n">
        <x:v>55</x:v>
      </x:c>
      <x:c r="D186" s="8" t="n">
        <x:v>0</x:v>
      </x:c>
      <x:c r="E186" s="8" t="n">
        <x:v>0</x:v>
      </x:c>
      <x:c r="F186" s="8" t="n">
        <x:v>55</x:v>
      </x:c>
      <x:c r="G186" s="9" t="n">
        <x:v>370490</x:v>
      </x:c>
      <x:c r="H186" s="9" t="n">
        <x:v>0</x:v>
      </x:c>
      <x:c r="I186" s="9" t="n">
        <x:v>0</x:v>
      </x:c>
      <x:c r="J186" s="9" t="n">
        <x:v>370490</x:v>
      </x:c>
      <x:c r="K186" s="10" t="n">
        <x:v>6736.18</x:v>
      </x:c>
    </x:row>
    <x:row r="187">
      <x:c r="A187" t="inlineStr">
        <x:is>
          <x:t xml:space="preserve">EMPSPI001080</x:t>
        </x:is>
      </x:c>
      <x:c r="B187" t="inlineStr">
        <x:is>
          <x:t xml:space="preserve">EMPAQ ESPIROMETALICA TIPO  DRI, ANILL EXI304 EMPAQ GRAF ANILL INT304 CLAS3/4/600,1/2PLG(8610050BJBB)</x:t>
        </x:is>
      </x:c>
      <x:c r="C187" s="8" t="n">
        <x:v>20</x:v>
      </x:c>
      <x:c r="D187" s="8" t="n">
        <x:v>0</x:v>
      </x:c>
      <x:c r="E187" s="8" t="n">
        <x:v>0</x:v>
      </x:c>
      <x:c r="F187" s="8" t="n">
        <x:v>20</x:v>
      </x:c>
      <x:c r="G187" s="9" t="n">
        <x:v>8688</x:v>
      </x:c>
      <x:c r="H187" s="9" t="n">
        <x:v>0</x:v>
      </x:c>
      <x:c r="I187" s="9" t="n">
        <x:v>0</x:v>
      </x:c>
      <x:c r="J187" s="9" t="n">
        <x:v>8688</x:v>
      </x:c>
      <x:c r="K187" s="10" t="n">
        <x:v>434.39</x:v>
      </x:c>
    </x:row>
    <x:row r="188">
      <x:c r="A188" t="inlineStr">
        <x:is>
          <x:t xml:space="preserve">EMPSPI001081</x:t>
        </x:is>
      </x:c>
      <x:c r="B188" t="inlineStr">
        <x:is>
          <x:t xml:space="preserve">EMPAQ ESPIROMETALICA TIPO DRI, ANILL EXI304 EMPAQ GRAF ANILL INT304 CLAS3/4/600, 3/4PLG(8610075BJBB)</x:t>
        </x:is>
      </x:c>
      <x:c r="C188" s="8" t="n">
        <x:v>20</x:v>
      </x:c>
      <x:c r="D188" s="8" t="n">
        <x:v>0</x:v>
      </x:c>
      <x:c r="E188" s="8" t="n">
        <x:v>0</x:v>
      </x:c>
      <x:c r="F188" s="8" t="n">
        <x:v>20</x:v>
      </x:c>
      <x:c r="G188" s="9" t="n">
        <x:v>9695</x:v>
      </x:c>
      <x:c r="H188" s="9" t="n">
        <x:v>0</x:v>
      </x:c>
      <x:c r="I188" s="9" t="n">
        <x:v>0</x:v>
      </x:c>
      <x:c r="J188" s="9" t="n">
        <x:v>9695</x:v>
      </x:c>
      <x:c r="K188" s="10" t="n">
        <x:v>484.75</x:v>
      </x:c>
    </x:row>
    <x:row r="189">
      <x:c r="A189" t="inlineStr">
        <x:is>
          <x:t xml:space="preserve">EMPSPI001082</x:t>
        </x:is>
      </x:c>
      <x:c r="B189" t="inlineStr">
        <x:is>
          <x:t xml:space="preserve">EMPAQ ESPIROMETALICA TIPO  DRI, ANILL EXI304 EMPAQ GRAF ANILL INT304 CLAS3/4/600, 1PLG(860100BJBB)</x:t>
        </x:is>
      </x:c>
      <x:c r="C189" s="8" t="n">
        <x:v>20</x:v>
      </x:c>
      <x:c r="D189" s="8" t="n">
        <x:v>0</x:v>
      </x:c>
      <x:c r="E189" s="8" t="n">
        <x:v>0</x:v>
      </x:c>
      <x:c r="F189" s="8" t="n">
        <x:v>20</x:v>
      </x:c>
      <x:c r="G189" s="9" t="n">
        <x:v>10325</x:v>
      </x:c>
      <x:c r="H189" s="9" t="n">
        <x:v>0</x:v>
      </x:c>
      <x:c r="I189" s="9" t="n">
        <x:v>0</x:v>
      </x:c>
      <x:c r="J189" s="9" t="n">
        <x:v>10325</x:v>
      </x:c>
      <x:c r="K189" s="10" t="n">
        <x:v>516.23</x:v>
      </x:c>
    </x:row>
    <x:row r="190">
      <x:c r="A190" t="inlineStr">
        <x:is>
          <x:t xml:space="preserve">EMPSPI001083</x:t>
        </x:is>
      </x:c>
      <x:c r="B190" t="inlineStr">
        <x:is>
          <x:t xml:space="preserve">EMPAQ ESPIROMETALICA TIPO DRI, ANILL EXI304 EMPAQ GRAF ANILL INT304 CLA3/4/600,1 1/4PLG(8610125BJBB)</x:t>
        </x:is>
      </x:c>
      <x:c r="C190" s="8" t="n">
        <x:v>20</x:v>
      </x:c>
      <x:c r="D190" s="8" t="n">
        <x:v>0</x:v>
      </x:c>
      <x:c r="E190" s="8" t="n">
        <x:v>0</x:v>
      </x:c>
      <x:c r="F190" s="8" t="n">
        <x:v>20</x:v>
      </x:c>
      <x:c r="G190" s="9" t="n">
        <x:v>12339</x:v>
      </x:c>
      <x:c r="H190" s="9" t="n">
        <x:v>0</x:v>
      </x:c>
      <x:c r="I190" s="9" t="n">
        <x:v>0</x:v>
      </x:c>
      <x:c r="J190" s="9" t="n">
        <x:v>12339</x:v>
      </x:c>
      <x:c r="K190" s="10" t="n">
        <x:v>616.96</x:v>
      </x:c>
    </x:row>
    <x:row r="191">
      <x:c r="A191" t="inlineStr">
        <x:is>
          <x:t xml:space="preserve">EMPSPI001084</x:t>
        </x:is>
      </x:c>
      <x:c r="B191" t="inlineStr">
        <x:is>
          <x:t xml:space="preserve">EMPAQ ESPIROMETALICA TIPO DRI, ANILL EXI304 EMPAQ GRAF ANILL INT304 CLA3/4/600,1 1/4PLG(8610150BJBB)</x:t>
        </x:is>
      </x:c>
      <x:c r="C191" s="8" t="n">
        <x:v>20</x:v>
      </x:c>
      <x:c r="D191" s="8" t="n">
        <x:v>0</x:v>
      </x:c>
      <x:c r="E191" s="8" t="n">
        <x:v>0</x:v>
      </x:c>
      <x:c r="F191" s="8" t="n">
        <x:v>20</x:v>
      </x:c>
      <x:c r="G191" s="9" t="n">
        <x:v>13346</x:v>
      </x:c>
      <x:c r="H191" s="9" t="n">
        <x:v>0</x:v>
      </x:c>
      <x:c r="I191" s="9" t="n">
        <x:v>0</x:v>
      </x:c>
      <x:c r="J191" s="9" t="n">
        <x:v>13346</x:v>
      </x:c>
      <x:c r="K191" s="10" t="n">
        <x:v>667.3200000000001</x:v>
      </x:c>
    </x:row>
    <x:row r="192">
      <x:c r="A192" t="inlineStr">
        <x:is>
          <x:t xml:space="preserve">EMPSPI001085</x:t>
        </x:is>
      </x:c>
      <x:c r="B192" t="inlineStr">
        <x:is>
          <x:t xml:space="preserve">EMPAQ ESPIROMETALICA TIPO  DRI, ANILL EXI304 EMPAQ GRAF ANILL INT304 CLAS3/4/600, 2PLG(8610200BJBB)</x:t>
        </x:is>
      </x:c>
      <x:c r="C192" s="8" t="n">
        <x:v>20</x:v>
      </x:c>
      <x:c r="D192" s="8" t="n">
        <x:v>0</x:v>
      </x:c>
      <x:c r="E192" s="8" t="n">
        <x:v>0</x:v>
      </x:c>
      <x:c r="F192" s="8" t="n">
        <x:v>20</x:v>
      </x:c>
      <x:c r="G192" s="9" t="n">
        <x:v>16242</x:v>
      </x:c>
      <x:c r="H192" s="9" t="n">
        <x:v>0</x:v>
      </x:c>
      <x:c r="I192" s="9" t="n">
        <x:v>0</x:v>
      </x:c>
      <x:c r="J192" s="9" t="n">
        <x:v>16242</x:v>
      </x:c>
      <x:c r="K192" s="10" t="n">
        <x:v>812.12</x:v>
      </x:c>
    </x:row>
    <x:row r="193">
      <x:c r="A193" t="inlineStr">
        <x:is>
          <x:t xml:space="preserve">EMPSPI001086</x:t>
        </x:is>
      </x:c>
      <x:c r="B193" t="inlineStr">
        <x:is>
          <x:t xml:space="preserve">EMPAQ ESPIROMETALICA TIPO DRI, ANILL EXI304 EMPAQ GRAF ANILL INT304 CLA3/4/600,2 1/2PLG(861025BJBB)</x:t>
        </x:is>
      </x:c>
      <x:c r="C193" s="8" t="n">
        <x:v>20</x:v>
      </x:c>
      <x:c r="D193" s="8" t="n">
        <x:v>0</x:v>
      </x:c>
      <x:c r="E193" s="8" t="n">
        <x:v>0</x:v>
      </x:c>
      <x:c r="F193" s="8" t="n">
        <x:v>20</x:v>
      </x:c>
      <x:c r="G193" s="9" t="n">
        <x:v>17753</x:v>
      </x:c>
      <x:c r="H193" s="9" t="n">
        <x:v>0</x:v>
      </x:c>
      <x:c r="I193" s="9" t="n">
        <x:v>0</x:v>
      </x:c>
      <x:c r="J193" s="9" t="n">
        <x:v>17753</x:v>
      </x:c>
      <x:c r="K193" s="10" t="n">
        <x:v>887.66</x:v>
      </x:c>
    </x:row>
    <x:row r="194">
      <x:c r="A194" t="inlineStr">
        <x:is>
          <x:t xml:space="preserve">EMPSPI001087</x:t>
        </x:is>
      </x:c>
      <x:c r="B194" t="inlineStr">
        <x:is>
          <x:t xml:space="preserve">EMPAQ ESPIROMETALICA TIPO  DRI, ANILL EXI304 EMPAQ GRAF ANILL INT304 CLA3/4/600, 3PLG(8610300BJBB)</x:t>
        </x:is>
      </x:c>
      <x:c r="C194" s="8" t="n">
        <x:v>60</x:v>
      </x:c>
      <x:c r="D194" s="8" t="n">
        <x:v>0</x:v>
      </x:c>
      <x:c r="E194" s="8" t="n">
        <x:v>0</x:v>
      </x:c>
      <x:c r="F194" s="8" t="n">
        <x:v>60</x:v>
      </x:c>
      <x:c r="G194" s="9" t="n">
        <x:v>74791</x:v>
      </x:c>
      <x:c r="H194" s="9" t="n">
        <x:v>0</x:v>
      </x:c>
      <x:c r="I194" s="9" t="n">
        <x:v>0</x:v>
      </x:c>
      <x:c r="J194" s="9" t="n">
        <x:v>74791</x:v>
      </x:c>
      <x:c r="K194" s="10" t="n">
        <x:v>1246.51</x:v>
      </x:c>
    </x:row>
    <x:row r="195">
      <x:c r="A195" t="inlineStr">
        <x:is>
          <x:t xml:space="preserve">EMPSPI001088</x:t>
        </x:is>
      </x:c>
      <x:c r="B195" t="inlineStr">
        <x:is>
          <x:t xml:space="preserve">EMPAQ ESPIROMETALICA TIPO  DR I, ANILL EXI304 EMPAQ GRAF ANILL INT304 CLAS300, 4PLG(8610400BBBB)</x:t>
        </x:is>
      </x:c>
      <x:c r="C195" s="8" t="n">
        <x:v>55</x:v>
      </x:c>
      <x:c r="D195" s="8" t="n">
        <x:v>0</x:v>
      </x:c>
      <x:c r="E195" s="8" t="n">
        <x:v>0</x:v>
      </x:c>
      <x:c r="F195" s="8" t="n">
        <x:v>55</x:v>
      </x:c>
      <x:c r="G195" s="9" t="n">
        <x:v>104568</x:v>
      </x:c>
      <x:c r="H195" s="9" t="n">
        <x:v>0</x:v>
      </x:c>
      <x:c r="I195" s="9" t="n">
        <x:v>0</x:v>
      </x:c>
      <x:c r="J195" s="9" t="n">
        <x:v>104568</x:v>
      </x:c>
      <x:c r="K195" s="10" t="n">
        <x:v>1901.24</x:v>
      </x:c>
    </x:row>
    <x:row r="196">
      <x:c r="A196" t="inlineStr">
        <x:is>
          <x:t xml:space="preserve">EMPSPI001089</x:t>
        </x:is>
      </x:c>
      <x:c r="B196" t="inlineStr">
        <x:is>
          <x:t xml:space="preserve">EMPAQ ESPIROMETALICA TIPO  DRI, ANILL EXI304 EMPAQ GRAF ANILL INT304 CLAS300, 6PLG(8610600BBBB)</x:t>
        </x:is>
      </x:c>
      <x:c r="C196" s="8" t="n">
        <x:v>55</x:v>
      </x:c>
      <x:c r="D196" s="8" t="n">
        <x:v>0</x:v>
      </x:c>
      <x:c r="E196" s="8" t="n">
        <x:v>0</x:v>
      </x:c>
      <x:c r="F196" s="8" t="n">
        <x:v>55</x:v>
      </x:c>
      <x:c r="G196" s="9" t="n">
        <x:v>176589</x:v>
      </x:c>
      <x:c r="H196" s="9" t="n">
        <x:v>0</x:v>
      </x:c>
      <x:c r="I196" s="9" t="n">
        <x:v>0</x:v>
      </x:c>
      <x:c r="J196" s="9" t="n">
        <x:v>176589</x:v>
      </x:c>
      <x:c r="K196" s="10" t="n">
        <x:v>3210.7</x:v>
      </x:c>
    </x:row>
    <x:row r="197">
      <x:c r="A197" t="inlineStr">
        <x:is>
          <x:t xml:space="preserve">EMPSPI001090</x:t>
        </x:is>
      </x:c>
      <x:c r="B197" t="inlineStr">
        <x:is>
          <x:t xml:space="preserve">EMPAQ ESPIROMETALICA TIPO  DRI, ANILL EXI304 EMPAQ GRAF ANILL INT304 CLAS300, 8PLG(8610800BBBB)</x:t>
        </x:is>
      </x:c>
      <x:c r="C197" s="8" t="n">
        <x:v>55</x:v>
      </x:c>
      <x:c r="D197" s="8" t="n">
        <x:v>0</x:v>
      </x:c>
      <x:c r="E197" s="8" t="n">
        <x:v>0</x:v>
      </x:c>
      <x:c r="F197" s="8" t="n">
        <x:v>55</x:v>
      </x:c>
      <x:c r="G197" s="9" t="n">
        <x:v>233028</x:v>
      </x:c>
      <x:c r="H197" s="9" t="n">
        <x:v>0</x:v>
      </x:c>
      <x:c r="I197" s="9" t="n">
        <x:v>0</x:v>
      </x:c>
      <x:c r="J197" s="9" t="n">
        <x:v>233028</x:v>
      </x:c>
      <x:c r="K197" s="10" t="n">
        <x:v>4236.87</x:v>
      </x:c>
    </x:row>
    <x:row r="198">
      <x:c r="A198" t="inlineStr">
        <x:is>
          <x:t xml:space="preserve">EMPSPI001091</x:t>
        </x:is>
      </x:c>
      <x:c r="B198" t="inlineStr">
        <x:is>
          <x:t xml:space="preserve">EMPAQ ESPIROMETALICA TIPO  DRI, ANILL EXI304 EMPAQ GRAF ANILL INT304 CLAS300, 10PLG(8611000BBBB)</x:t>
        </x:is>
      </x:c>
      <x:c r="C198" s="8" t="n">
        <x:v>55</x:v>
      </x:c>
      <x:c r="D198" s="8" t="n">
        <x:v>0</x:v>
      </x:c>
      <x:c r="E198" s="8" t="n">
        <x:v>0</x:v>
      </x:c>
      <x:c r="F198" s="8" t="n">
        <x:v>55</x:v>
      </x:c>
      <x:c r="G198" s="9" t="n">
        <x:v>272154</x:v>
      </x:c>
      <x:c r="H198" s="9" t="n">
        <x:v>0</x:v>
      </x:c>
      <x:c r="I198" s="9" t="n">
        <x:v>0</x:v>
      </x:c>
      <x:c r="J198" s="9" t="n">
        <x:v>272154</x:v>
      </x:c>
      <x:c r="K198" s="10" t="n">
        <x:v>4948.26</x:v>
      </x:c>
    </x:row>
    <x:row r="199">
      <x:c r="A199" t="inlineStr">
        <x:is>
          <x:t xml:space="preserve">EMPSPI001092</x:t>
        </x:is>
      </x:c>
      <x:c r="B199" t="inlineStr">
        <x:is>
          <x:t xml:space="preserve">EMPAQ ESPIROMETALICA TIPO  DRI, ANILL EXI304 EMPAQ GRAF ANILL INT304 CLAS300, 12PLG(8611200BBBB)</x:t>
        </x:is>
      </x:c>
      <x:c r="C199" s="8" t="n">
        <x:v>55</x:v>
      </x:c>
      <x:c r="D199" s="8" t="n">
        <x:v>0</x:v>
      </x:c>
      <x:c r="E199" s="8" t="n">
        <x:v>0</x:v>
      </x:c>
      <x:c r="F199" s="8" t="n">
        <x:v>55</x:v>
      </x:c>
      <x:c r="G199" s="9" t="n">
        <x:v>381916</x:v>
      </x:c>
      <x:c r="H199" s="9" t="n">
        <x:v>0</x:v>
      </x:c>
      <x:c r="I199" s="9" t="n">
        <x:v>0</x:v>
      </x:c>
      <x:c r="J199" s="9" t="n">
        <x:v>381916</x:v>
      </x:c>
      <x:c r="K199" s="10" t="n">
        <x:v>6943.93</x:v>
      </x:c>
    </x:row>
    <x:row r="200">
      <x:c r="A200" t="inlineStr">
        <x:is>
          <x:t xml:space="preserve">EMPSPI001093</x:t>
        </x:is>
      </x:c>
      <x:c r="B200" t="inlineStr">
        <x:is>
          <x:t xml:space="preserve">EMPAQ ESPIROMETALICA TIPO  DRI, ANILL EXI304 EMPAQ GRAF ANILL INT304 CLAS300, 16PLG(8611600BBBB)</x:t>
        </x:is>
      </x:c>
      <x:c r="C200" s="8" t="n">
        <x:v>55</x:v>
      </x:c>
      <x:c r="D200" s="8" t="n">
        <x:v>0</x:v>
      </x:c>
      <x:c r="E200" s="8" t="n">
        <x:v>0</x:v>
      </x:c>
      <x:c r="F200" s="8" t="n">
        <x:v>55</x:v>
      </x:c>
      <x:c r="G200" s="9" t="n">
        <x:v>580568</x:v>
      </x:c>
      <x:c r="H200" s="9" t="n">
        <x:v>0</x:v>
      </x:c>
      <x:c r="I200" s="9" t="n">
        <x:v>0</x:v>
      </x:c>
      <x:c r="J200" s="9" t="n">
        <x:v>580568</x:v>
      </x:c>
      <x:c r="K200" s="10" t="n">
        <x:v>10555.781091</x:v>
      </x:c>
    </x:row>
    <x:row r="201">
      <x:c r="A201" t="inlineStr">
        <x:is>
          <x:t xml:space="preserve">EMPSPI001094</x:t>
        </x:is>
      </x:c>
      <x:c r="B201" t="inlineStr">
        <x:is>
          <x:t xml:space="preserve">EMPAQ ESPIROMETALICA TIPO  DRI, ANILL EXI316 EMPAQ GRAF ANILL INT316 CLAS150, 1/2PLG(8610050BACC)</x:t>
        </x:is>
      </x:c>
      <x:c r="C201" s="8" t="n">
        <x:v>20</x:v>
      </x:c>
      <x:c r="D201" s="8" t="n">
        <x:v>0</x:v>
      </x:c>
      <x:c r="E201" s="8" t="n">
        <x:v>0</x:v>
      </x:c>
      <x:c r="F201" s="8" t="n">
        <x:v>20</x:v>
      </x:c>
      <x:c r="G201" s="9" t="n">
        <x:v>9066</x:v>
      </x:c>
      <x:c r="H201" s="9" t="n">
        <x:v>0</x:v>
      </x:c>
      <x:c r="I201" s="9" t="n">
        <x:v>0</x:v>
      </x:c>
      <x:c r="J201" s="9" t="n">
        <x:v>9066</x:v>
      </x:c>
      <x:c r="K201" s="10" t="n">
        <x:v>453.28</x:v>
      </x:c>
    </x:row>
    <x:row r="202">
      <x:c r="A202" t="inlineStr">
        <x:is>
          <x:t xml:space="preserve">EMPSPI001095</x:t>
        </x:is>
      </x:c>
      <x:c r="B202" t="inlineStr">
        <x:is>
          <x:t xml:space="preserve">EMPAQ ESPIROMETALICA TIPO  DRI, ANILL EXI316 EMPAQ GRAF ANILL INT316 CLAS150, 3/4PLG(8610075BACC)</x:t>
        </x:is>
      </x:c>
      <x:c r="C202" s="8" t="n">
        <x:v>20</x:v>
      </x:c>
      <x:c r="D202" s="8" t="n">
        <x:v>0</x:v>
      </x:c>
      <x:c r="E202" s="8" t="n">
        <x:v>0</x:v>
      </x:c>
      <x:c r="F202" s="8" t="n">
        <x:v>20</x:v>
      </x:c>
      <x:c r="G202" s="9" t="n">
        <x:v>9695</x:v>
      </x:c>
      <x:c r="H202" s="9" t="n">
        <x:v>0</x:v>
      </x:c>
      <x:c r="I202" s="9" t="n">
        <x:v>0</x:v>
      </x:c>
      <x:c r="J202" s="9" t="n">
        <x:v>9695</x:v>
      </x:c>
      <x:c r="K202" s="10" t="n">
        <x:v>484.75</x:v>
      </x:c>
    </x:row>
    <x:row r="203">
      <x:c r="A203" t="inlineStr">
        <x:is>
          <x:t xml:space="preserve">EMPSPI001096</x:t>
        </x:is>
      </x:c>
      <x:c r="B203" t="inlineStr">
        <x:is>
          <x:t xml:space="preserve">EMPAQ ESPIROMETALICA TIPO  DRI, ANILL EXI316 EMPAQ GRAF ANILL INT316 CLAS150, 1PLG(8610100BACC)</x:t>
        </x:is>
      </x:c>
      <x:c r="C203" s="8" t="n">
        <x:v>20</x:v>
      </x:c>
      <x:c r="D203" s="8" t="n">
        <x:v>0</x:v>
      </x:c>
      <x:c r="E203" s="8" t="n">
        <x:v>0</x:v>
      </x:c>
      <x:c r="F203" s="8" t="n">
        <x:v>20</x:v>
      </x:c>
      <x:c r="G203" s="9" t="n">
        <x:v>11584</x:v>
      </x:c>
      <x:c r="H203" s="9" t="n">
        <x:v>0</x:v>
      </x:c>
      <x:c r="I203" s="9" t="n">
        <x:v>0</x:v>
      </x:c>
      <x:c r="J203" s="9" t="n">
        <x:v>11584</x:v>
      </x:c>
      <x:c r="K203" s="10" t="n">
        <x:v>579.1900000000001</x:v>
      </x:c>
    </x:row>
    <x:row r="204">
      <x:c r="A204" t="inlineStr">
        <x:is>
          <x:t xml:space="preserve">EMPSPI001097</x:t>
        </x:is>
      </x:c>
      <x:c r="B204" t="inlineStr">
        <x:is>
          <x:t xml:space="preserve">EMPAQ ESPIROMETALICA TIPO  DRI, ANILL EXI316 EMPAQ GRAF ANILL INT316 CLAS150, 1 1/4PLG(8610125BACC)</x:t>
        </x:is>
      </x:c>
      <x:c r="C204" s="8" t="n">
        <x:v>20</x:v>
      </x:c>
      <x:c r="D204" s="8" t="n">
        <x:v>0</x:v>
      </x:c>
      <x:c r="E204" s="8" t="n">
        <x:v>0</x:v>
      </x:c>
      <x:c r="F204" s="8" t="n">
        <x:v>20</x:v>
      </x:c>
      <x:c r="G204" s="9" t="n">
        <x:v>14228</x:v>
      </x:c>
      <x:c r="H204" s="9" t="n">
        <x:v>0</x:v>
      </x:c>
      <x:c r="I204" s="9" t="n">
        <x:v>0</x:v>
      </x:c>
      <x:c r="J204" s="9" t="n">
        <x:v>14228</x:v>
      </x:c>
      <x:c r="K204" s="10" t="n">
        <x:v>711.39</x:v>
      </x:c>
    </x:row>
    <x:row r="205">
      <x:c r="A205" t="inlineStr">
        <x:is>
          <x:t xml:space="preserve">EMPSPI001098</x:t>
        </x:is>
      </x:c>
      <x:c r="B205" t="inlineStr">
        <x:is>
          <x:t xml:space="preserve">EMPAQ ESPIROMETALICA TIPO  DRI, ANILL EXI316 EMPAQ GRAF ANILL INT316 CLAS150, 1 1/2PLG(8610150BACC)</x:t>
        </x:is>
      </x:c>
      <x:c r="C205" s="8" t="n">
        <x:v>20</x:v>
      </x:c>
      <x:c r="D205" s="8" t="n">
        <x:v>0</x:v>
      </x:c>
      <x:c r="E205" s="8" t="n">
        <x:v>0</x:v>
      </x:c>
      <x:c r="F205" s="8" t="n">
        <x:v>20</x:v>
      </x:c>
      <x:c r="G205" s="9" t="n">
        <x:v>17250</x:v>
      </x:c>
      <x:c r="H205" s="9" t="n">
        <x:v>0</x:v>
      </x:c>
      <x:c r="I205" s="9" t="n">
        <x:v>0</x:v>
      </x:c>
      <x:c r="J205" s="9" t="n">
        <x:v>17250</x:v>
      </x:c>
      <x:c r="K205" s="10" t="n">
        <x:v>862.48</x:v>
      </x:c>
    </x:row>
    <x:row r="206">
      <x:c r="A206" t="inlineStr">
        <x:is>
          <x:t xml:space="preserve">EMPSPI001099</x:t>
        </x:is>
      </x:c>
      <x:c r="B206" t="inlineStr">
        <x:is>
          <x:t xml:space="preserve">EMPAQ ESPIROMETALICA TIPO  DRI, ANILL EXI316 EMPAQ GRAF ANILL INT316 CLAS150, 2PLG(8610200BACC)</x:t>
        </x:is>
      </x:c>
      <x:c r="C206" s="8" t="n">
        <x:v>20</x:v>
      </x:c>
      <x:c r="D206" s="8" t="n">
        <x:v>0</x:v>
      </x:c>
      <x:c r="E206" s="8" t="n">
        <x:v>0</x:v>
      </x:c>
      <x:c r="F206" s="8" t="n">
        <x:v>20</x:v>
      </x:c>
      <x:c r="G206" s="9" t="n">
        <x:v>19768</x:v>
      </x:c>
      <x:c r="H206" s="9" t="n">
        <x:v>0</x:v>
      </x:c>
      <x:c r="I206" s="9" t="n">
        <x:v>0</x:v>
      </x:c>
      <x:c r="J206" s="9" t="n">
        <x:v>19768</x:v>
      </x:c>
      <x:c r="K206" s="10" t="n">
        <x:v>988.39</x:v>
      </x:c>
    </x:row>
    <x:row r="207">
      <x:c r="A207" t="inlineStr">
        <x:is>
          <x:t xml:space="preserve">EMPSPI001100</x:t>
        </x:is>
      </x:c>
      <x:c r="B207" t="inlineStr">
        <x:is>
          <x:t xml:space="preserve">EMPAQ ESPIROMETALICA TIPO  DRI, ANILL EXI316 EMPAQ GRAF ANILL INT316 CLAS150, 2 1/2PLG(8610250BACC)</x:t>
        </x:is>
      </x:c>
      <x:c r="C207" s="8" t="n">
        <x:v>40</x:v>
      </x:c>
      <x:c r="D207" s="8" t="n">
        <x:v>0</x:v>
      </x:c>
      <x:c r="E207" s="8" t="n">
        <x:v>0</x:v>
      </x:c>
      <x:c r="F207" s="8" t="n">
        <x:v>40</x:v>
      </x:c>
      <x:c r="G207" s="9" t="n">
        <x:v>46335</x:v>
      </x:c>
      <x:c r="H207" s="9" t="n">
        <x:v>0</x:v>
      </x:c>
      <x:c r="I207" s="9" t="n">
        <x:v>0</x:v>
      </x:c>
      <x:c r="J207" s="9" t="n">
        <x:v>46335</x:v>
      </x:c>
      <x:c r="K207" s="10" t="n">
        <x:v>1158.37</x:v>
      </x:c>
    </x:row>
    <x:row r="208">
      <x:c r="A208" t="inlineStr">
        <x:is>
          <x:t xml:space="preserve">EMPSPI001101</x:t>
        </x:is>
      </x:c>
      <x:c r="B208" t="inlineStr">
        <x:is>
          <x:t xml:space="preserve">EMPAQ ESPIROMETALICA TIPO  DRI, ANILL EXI316 EMPAQ GRAF ANILL INT316 CLAS150, (8610300BACC)</x:t>
        </x:is>
      </x:c>
      <x:c r="C208" s="8" t="n">
        <x:v>60</x:v>
      </x:c>
      <x:c r="D208" s="8" t="n">
        <x:v>0</x:v>
      </x:c>
      <x:c r="E208" s="8" t="n">
        <x:v>0</x:v>
      </x:c>
      <x:c r="F208" s="8" t="n">
        <x:v>60</x:v>
      </x:c>
      <x:c r="G208" s="9" t="n">
        <x:v>91411</x:v>
      </x:c>
      <x:c r="H208" s="9" t="n">
        <x:v>0</x:v>
      </x:c>
      <x:c r="I208" s="9" t="n">
        <x:v>0</x:v>
      </x:c>
      <x:c r="J208" s="9" t="n">
        <x:v>91411</x:v>
      </x:c>
      <x:c r="K208" s="10" t="n">
        <x:v>1523.51</x:v>
      </x:c>
    </x:row>
    <x:row r="209">
      <x:c r="A209" t="inlineStr">
        <x:is>
          <x:t xml:space="preserve">EMPSPI001102</x:t>
        </x:is>
      </x:c>
      <x:c r="B209" t="inlineStr">
        <x:is>
          <x:t xml:space="preserve">EMPAQ ESPIROMETALICA TIPO  DRI, ANILL EXI316 EMPAQ GRAF ANILL INT316 CLAS150, 4PLG(8610400BACC)</x:t>
        </x:is>
      </x:c>
      <x:c r="C209" s="8" t="n">
        <x:v>55</x:v>
      </x:c>
      <x:c r="D209" s="8" t="n">
        <x:v>0</x:v>
      </x:c>
      <x:c r="E209" s="8" t="n">
        <x:v>0</x:v>
      </x:c>
      <x:c r="F209" s="8" t="n">
        <x:v>55</x:v>
      </x:c>
      <x:c r="G209" s="9" t="n">
        <x:v>120150</x:v>
      </x:c>
      <x:c r="H209" s="9" t="n">
        <x:v>0</x:v>
      </x:c>
      <x:c r="I209" s="9" t="n">
        <x:v>0</x:v>
      </x:c>
      <x:c r="J209" s="9" t="n">
        <x:v>120150</x:v>
      </x:c>
      <x:c r="K209" s="10" t="n">
        <x:v>2184.54</x:v>
      </x:c>
    </x:row>
    <x:row r="210">
      <x:c r="A210" t="inlineStr">
        <x:is>
          <x:t xml:space="preserve">EMPSPI001103</x:t>
        </x:is>
      </x:c>
      <x:c r="B210" t="inlineStr">
        <x:is>
          <x:t xml:space="preserve">EMPAQ ESPIROMETALICA TIPO  DRI, ANILL EXI316 EMPAQ GRAF ANILL INT316 CLAS150, 6PLG(8610600BACC)</x:t>
        </x:is>
      </x:c>
      <x:c r="C210" s="8" t="n">
        <x:v>40</x:v>
      </x:c>
      <x:c r="D210" s="8" t="n">
        <x:v>0</x:v>
      </x:c>
      <x:c r="E210" s="8" t="n">
        <x:v>0</x:v>
      </x:c>
      <x:c r="F210" s="8" t="n">
        <x:v>40</x:v>
      </x:c>
      <x:c r="G210" s="9" t="n">
        <x:v>142782</x:v>
      </x:c>
      <x:c r="H210" s="9" t="n">
        <x:v>0</x:v>
      </x:c>
      <x:c r="I210" s="9" t="n">
        <x:v>0</x:v>
      </x:c>
      <x:c r="J210" s="9" t="n">
        <x:v>142782</x:v>
      </x:c>
      <x:c r="K210" s="10" t="n">
        <x:v>3569.54</x:v>
      </x:c>
    </x:row>
    <x:row r="211">
      <x:c r="A211" t="inlineStr">
        <x:is>
          <x:t xml:space="preserve">EMPSPI001104</x:t>
        </x:is>
      </x:c>
      <x:c r="B211" t="inlineStr">
        <x:is>
          <x:t xml:space="preserve">EMPAQ ESPIROMETALICA TIPO  DRI, ANILL EXI316 EMPAQ GRAF ANILL INT316 CLAS150, 8PLG(8610800BACC)</x:t>
        </x:is>
      </x:c>
      <x:c r="C211" s="8" t="n">
        <x:v>50</x:v>
      </x:c>
      <x:c r="D211" s="8" t="n">
        <x:v>0</x:v>
      </x:c>
      <x:c r="E211" s="8" t="n">
        <x:v>0</x:v>
      </x:c>
      <x:c r="F211" s="8" t="n">
        <x:v>50</x:v>
      </x:c>
      <x:c r="G211" s="9" t="n">
        <x:v>218139</x:v>
      </x:c>
      <x:c r="H211" s="9" t="n">
        <x:v>0</x:v>
      </x:c>
      <x:c r="I211" s="9" t="n">
        <x:v>0</x:v>
      </x:c>
      <x:c r="J211" s="9" t="n">
        <x:v>218139</x:v>
      </x:c>
      <x:c r="K211" s="10" t="n">
        <x:v>4362.78</x:v>
      </x:c>
    </x:row>
    <x:row r="212">
      <x:c r="A212" t="inlineStr">
        <x:is>
          <x:t xml:space="preserve">EMPSPI001105</x:t>
        </x:is>
      </x:c>
      <x:c r="B212" t="inlineStr">
        <x:is>
          <x:t xml:space="preserve">EMPAQ ESPIROMETALICA TIPO  DRI, ANILL EXI316 EMPAQ GRAF ANILL INT316 CLAS150, 10PLG(8611000BACC)</x:t>
        </x:is>
      </x:c>
      <x:c r="C212" s="8" t="n">
        <x:v>55</x:v>
      </x:c>
      <x:c r="D212" s="8" t="n">
        <x:v>0</x:v>
      </x:c>
      <x:c r="E212" s="8" t="n">
        <x:v>0</x:v>
      </x:c>
      <x:c r="F212" s="8" t="n">
        <x:v>55</x:v>
      </x:c>
      <x:c r="G212" s="9" t="n">
        <x:v>288428</x:v>
      </x:c>
      <x:c r="H212" s="9" t="n">
        <x:v>0</x:v>
      </x:c>
      <x:c r="I212" s="9" t="n">
        <x:v>0</x:v>
      </x:c>
      <x:c r="J212" s="9" t="n">
        <x:v>288428</x:v>
      </x:c>
      <x:c r="K212" s="10" t="n">
        <x:v>5244.14</x:v>
      </x:c>
    </x:row>
    <x:row r="213">
      <x:c r="A213" t="inlineStr">
        <x:is>
          <x:t xml:space="preserve">EMPSPI001106</x:t>
        </x:is>
      </x:c>
      <x:c r="B213" t="inlineStr">
        <x:is>
          <x:t xml:space="preserve">EMPAQ ESPIROMETALICA TIPO  DRI, ANILL EXI316 EMPAQ GRAF ANILL INT316 CLAS150, 12PLG(8611200BACC)</x:t>
        </x:is>
      </x:c>
      <x:c r="C213" s="8" t="n">
        <x:v>220</x:v>
      </x:c>
      <x:c r="D213" s="8" t="n">
        <x:v>0</x:v>
      </x:c>
      <x:c r="E213" s="8" t="n">
        <x:v>0</x:v>
      </x:c>
      <x:c r="F213" s="8" t="n">
        <x:v>220</x:v>
      </x:c>
      <x:c r="G213" s="9" t="n">
        <x:v>1610765</x:v>
      </x:c>
      <x:c r="H213" s="9" t="n">
        <x:v>0</x:v>
      </x:c>
      <x:c r="I213" s="9" t="n">
        <x:v>0</x:v>
      </x:c>
      <x:c r="J213" s="9" t="n">
        <x:v>1610765</x:v>
      </x:c>
      <x:c r="K213" s="10" t="n">
        <x:v>7321.66</x:v>
      </x:c>
    </x:row>
    <x:row r="214">
      <x:c r="A214" t="inlineStr">
        <x:is>
          <x:t xml:space="preserve">EMPSPI001107</x:t>
        </x:is>
      </x:c>
      <x:c r="B214" t="inlineStr">
        <x:is>
          <x:t xml:space="preserve">EMPAQ ESPIROMETALICA TIPO  DRI, ANILL EXI316 EMPAQ GRAF ANILL INT316 CLAS150, 16PLG(8611600BACC)</x:t>
        </x:is>
      </x:c>
      <x:c r="C214" s="8" t="n">
        <x:v>220</x:v>
      </x:c>
      <x:c r="D214" s="8" t="n">
        <x:v>0</x:v>
      </x:c>
      <x:c r="E214" s="8" t="n">
        <x:v>0</x:v>
      </x:c>
      <x:c r="F214" s="8" t="n">
        <x:v>220</x:v>
      </x:c>
      <x:c r="G214" s="9" t="n">
        <x:v>2400220</x:v>
      </x:c>
      <x:c r="H214" s="9" t="n">
        <x:v>0</x:v>
      </x:c>
      <x:c r="I214" s="9" t="n">
        <x:v>0</x:v>
      </x:c>
      <x:c r="J214" s="9" t="n">
        <x:v>2400220</x:v>
      </x:c>
      <x:c r="K214" s="10" t="n">
        <x:v>10910.09</x:v>
      </x:c>
    </x:row>
    <x:row r="215">
      <x:c r="A215" t="inlineStr">
        <x:is>
          <x:t xml:space="preserve">EMPSPI001108</x:t>
        </x:is>
      </x:c>
      <x:c r="B215" t="inlineStr">
        <x:is>
          <x:t xml:space="preserve">EMPAQ ESPIROMETALICA TIPO  DRI, ANILL EXI316 EMPAQ GRAF ANILL INT316 CLA3/4/600, 1/2PLG(8610050BJCC)</x:t>
        </x:is>
      </x:c>
      <x:c r="C215" s="8" t="n">
        <x:v>20</x:v>
      </x:c>
      <x:c r="D215" s="8" t="n">
        <x:v>0</x:v>
      </x:c>
      <x:c r="E215" s="8" t="n">
        <x:v>0</x:v>
      </x:c>
      <x:c r="F215" s="8" t="n">
        <x:v>20</x:v>
      </x:c>
      <x:c r="G215" s="9" t="n">
        <x:v>9317</x:v>
      </x:c>
      <x:c r="H215" s="9" t="n">
        <x:v>0</x:v>
      </x:c>
      <x:c r="I215" s="9" t="n">
        <x:v>0</x:v>
      </x:c>
      <x:c r="J215" s="9" t="n">
        <x:v>9317</x:v>
      </x:c>
      <x:c r="K215" s="10" t="n">
        <x:v>465.87</x:v>
      </x:c>
    </x:row>
    <x:row r="216">
      <x:c r="A216" t="inlineStr">
        <x:is>
          <x:t xml:space="preserve">EMPSPI001109</x:t>
        </x:is>
      </x:c>
      <x:c r="B216" t="inlineStr">
        <x:is>
          <x:t xml:space="preserve">EMPAQ ESPIROMETALICA TIPO  DRI, ANILL EXI316 EMPAQ GRAF ANILL INT316 CLA3/4/600, 3/4PLG(8610075BJCC)</x:t>
        </x:is>
      </x:c>
      <x:c r="C216" s="8" t="n">
        <x:v>20</x:v>
      </x:c>
      <x:c r="D216" s="8" t="n">
        <x:v>0</x:v>
      </x:c>
      <x:c r="E216" s="8" t="n">
        <x:v>0</x:v>
      </x:c>
      <x:c r="F216" s="8" t="n">
        <x:v>20</x:v>
      </x:c>
      <x:c r="G216" s="9" t="n">
        <x:v>9947</x:v>
      </x:c>
      <x:c r="H216" s="9" t="n">
        <x:v>0</x:v>
      </x:c>
      <x:c r="I216" s="9" t="n">
        <x:v>0</x:v>
      </x:c>
      <x:c r="J216" s="9" t="n">
        <x:v>9947</x:v>
      </x:c>
      <x:c r="K216" s="10" t="n">
        <x:v>497.34</x:v>
      </x:c>
    </x:row>
    <x:row r="217">
      <x:c r="A217" t="inlineStr">
        <x:is>
          <x:t xml:space="preserve">EMPSPI001110</x:t>
        </x:is>
      </x:c>
      <x:c r="B217" t="inlineStr">
        <x:is>
          <x:t xml:space="preserve">EMPAQ ESPIROMETALICA TIPO  DRI, ANILL EXI316 EMPAQ GRAF ANILL INT316 CLA3/4/600, 1 PLG(8610100BJCC)</x:t>
        </x:is>
      </x:c>
      <x:c r="C217" s="8" t="n">
        <x:v>20</x:v>
      </x:c>
      <x:c r="D217" s="8" t="n">
        <x:v>0</x:v>
      </x:c>
      <x:c r="E217" s="8" t="n">
        <x:v>0</x:v>
      </x:c>
      <x:c r="F217" s="8" t="n">
        <x:v>20</x:v>
      </x:c>
      <x:c r="G217" s="9" t="n">
        <x:v>11584</x:v>
      </x:c>
      <x:c r="H217" s="9" t="n">
        <x:v>0</x:v>
      </x:c>
      <x:c r="I217" s="9" t="n">
        <x:v>0</x:v>
      </x:c>
      <x:c r="J217" s="9" t="n">
        <x:v>11584</x:v>
      </x:c>
      <x:c r="K217" s="10" t="n">
        <x:v>579.1900000000001</x:v>
      </x:c>
    </x:row>
    <x:row r="218">
      <x:c r="A218" t="inlineStr">
        <x:is>
          <x:t xml:space="preserve">EMPSPI001111</x:t>
        </x:is>
      </x:c>
      <x:c r="B218" t="inlineStr">
        <x:is>
          <x:t xml:space="preserve">EMPAQ ESPIROMETALICA TIPO DRI, ANILL EXI316 EMPAQ GRAF ANILL INT316 CLA3/4/600,1 1/4PLG(8610125BJCC)</x:t>
        </x:is>
      </x:c>
      <x:c r="C218" s="8" t="n">
        <x:v>20</x:v>
      </x:c>
      <x:c r="D218" s="8" t="n">
        <x:v>0</x:v>
      </x:c>
      <x:c r="E218" s="8" t="n">
        <x:v>0</x:v>
      </x:c>
      <x:c r="F218" s="8" t="n">
        <x:v>20</x:v>
      </x:c>
      <x:c r="G218" s="9" t="n">
        <x:v>14606</x:v>
      </x:c>
      <x:c r="H218" s="9" t="n">
        <x:v>0</x:v>
      </x:c>
      <x:c r="I218" s="9" t="n">
        <x:v>0</x:v>
      </x:c>
      <x:c r="J218" s="9" t="n">
        <x:v>14606</x:v>
      </x:c>
      <x:c r="K218" s="10" t="n">
        <x:v>730.28</x:v>
      </x:c>
    </x:row>
    <x:row r="219">
      <x:c r="A219" t="inlineStr">
        <x:is>
          <x:t xml:space="preserve">EMPSPI001112</x:t>
        </x:is>
      </x:c>
      <x:c r="B219" t="inlineStr">
        <x:is>
          <x:t xml:space="preserve">EMPAQ ESPIROMETALICA TIPO DRI, ANILL EXI316 EMPAQ GRAF ANILL INT316 CLA3/4/600,1 1/2PLG(8610150BJCC)</x:t>
        </x:is>
      </x:c>
      <x:c r="C219" s="8" t="n">
        <x:v>20</x:v>
      </x:c>
      <x:c r="D219" s="8" t="n">
        <x:v>0</x:v>
      </x:c>
      <x:c r="E219" s="8" t="n">
        <x:v>0</x:v>
      </x:c>
      <x:c r="F219" s="8" t="n">
        <x:v>20</x:v>
      </x:c>
      <x:c r="G219" s="9" t="n">
        <x:v>17376</x:v>
      </x:c>
      <x:c r="H219" s="9" t="n">
        <x:v>0</x:v>
      </x:c>
      <x:c r="I219" s="9" t="n">
        <x:v>0</x:v>
      </x:c>
      <x:c r="J219" s="9" t="n">
        <x:v>17376</x:v>
      </x:c>
      <x:c r="K219" s="10" t="n">
        <x:v>868.78</x:v>
      </x:c>
    </x:row>
    <x:row r="220">
      <x:c r="A220" t="inlineStr">
        <x:is>
          <x:t xml:space="preserve">EMPSPI001113</x:t>
        </x:is>
      </x:c>
      <x:c r="B220" t="inlineStr">
        <x:is>
          <x:t xml:space="preserve">EMPAQ ESPIROMETALICA TIPO  DRI, ANILL EXI316 EMPAQ GRAF ANILL INT316 CLA3/4/600, 2PLG(8610200BJCC)</x:t>
        </x:is>
      </x:c>
      <x:c r="C220" s="8" t="n">
        <x:v>20</x:v>
      </x:c>
      <x:c r="D220" s="8" t="n">
        <x:v>0</x:v>
      </x:c>
      <x:c r="E220" s="8" t="n">
        <x:v>0</x:v>
      </x:c>
      <x:c r="F220" s="8" t="n">
        <x:v>20</x:v>
      </x:c>
      <x:c r="G220" s="9" t="n">
        <x:v>20397</x:v>
      </x:c>
      <x:c r="H220" s="9" t="n">
        <x:v>0</x:v>
      </x:c>
      <x:c r="I220" s="9" t="n">
        <x:v>0</x:v>
      </x:c>
      <x:c r="J220" s="9" t="n">
        <x:v>20397</x:v>
      </x:c>
      <x:c r="K220" s="10" t="n">
        <x:v>1019.87</x:v>
      </x:c>
    </x:row>
    <x:row r="221">
      <x:c r="A221" t="inlineStr">
        <x:is>
          <x:t xml:space="preserve">EMPSPI001114</x:t>
        </x:is>
      </x:c>
      <x:c r="B221" t="inlineStr">
        <x:is>
          <x:t xml:space="preserve">EMPAQ ESPIROMETALICA TIPO  DRI, ANILL EXI316 EMPAQ GRAF ANILL INT316 CLA3/4/600, 3PLG(8610300BJCC)</x:t>
        </x:is>
      </x:c>
      <x:c r="C221" s="8" t="n">
        <x:v>60</x:v>
      </x:c>
      <x:c r="D221" s="8" t="n">
        <x:v>0</x:v>
      </x:c>
      <x:c r="E221" s="8" t="n">
        <x:v>0</x:v>
      </x:c>
      <x:c r="F221" s="8" t="n">
        <x:v>60</x:v>
      </x:c>
      <x:c r="G221" s="9" t="n">
        <x:v>95566</x:v>
      </x:c>
      <x:c r="H221" s="9" t="n">
        <x:v>0</x:v>
      </x:c>
      <x:c r="I221" s="9" t="n">
        <x:v>0</x:v>
      </x:c>
      <x:c r="J221" s="9" t="n">
        <x:v>95566</x:v>
      </x:c>
      <x:c r="K221" s="10" t="n">
        <x:v>1592.76</x:v>
      </x:c>
    </x:row>
    <x:row r="222">
      <x:c r="A222" t="inlineStr">
        <x:is>
          <x:t xml:space="preserve">EMPSPI001115</x:t>
        </x:is>
      </x:c>
      <x:c r="B222" t="inlineStr">
        <x:is>
          <x:t xml:space="preserve">EMPAQ ESPIROMETALICA TIPO  DRI, ANILL EXI316 EMPAQ GRAF ANILL INT316 CLAS300, 4PLG(8610400BBCC)</x:t>
        </x:is>
      </x:c>
      <x:c r="C222" s="8" t="n">
        <x:v>45</x:v>
      </x:c>
      <x:c r="D222" s="8" t="n">
        <x:v>0</x:v>
      </x:c>
      <x:c r="E222" s="8" t="n">
        <x:v>0</x:v>
      </x:c>
      <x:c r="F222" s="8" t="n">
        <x:v>45</x:v>
      </x:c>
      <x:c r="G222" s="9" t="n">
        <x:v>100571</x:v>
      </x:c>
      <x:c r="H222" s="9" t="n">
        <x:v>0</x:v>
      </x:c>
      <x:c r="I222" s="9" t="n">
        <x:v>0</x:v>
      </x:c>
      <x:c r="J222" s="9" t="n">
        <x:v>100571</x:v>
      </x:c>
      <x:c r="K222" s="10" t="n">
        <x:v>2234.9</x:v>
      </x:c>
    </x:row>
    <x:row r="223">
      <x:c r="A223" t="inlineStr">
        <x:is>
          <x:t xml:space="preserve">EMPSPI001116</x:t>
        </x:is>
      </x:c>
      <x:c r="B223" t="inlineStr">
        <x:is>
          <x:t xml:space="preserve">EMPAQ ESPIROMETALICA TIPO  DRI, ANILL EXI316 EMPAQ GRAF ANILL INT316 CLAS300, 6PLG(8610600BBCC)</x:t>
        </x:is>
      </x:c>
      <x:c r="C223" s="8" t="n">
        <x:v>55</x:v>
      </x:c>
      <x:c r="D223" s="8" t="n">
        <x:v>0</x:v>
      </x:c>
      <x:c r="E223" s="8" t="n">
        <x:v>0</x:v>
      </x:c>
      <x:c r="F223" s="8" t="n">
        <x:v>55</x:v>
      </x:c>
      <x:c r="G223" s="9" t="n">
        <x:v>202904</x:v>
      </x:c>
      <x:c r="H223" s="9" t="n">
        <x:v>0</x:v>
      </x:c>
      <x:c r="I223" s="9" t="n">
        <x:v>0</x:v>
      </x:c>
      <x:c r="J223" s="9" t="n">
        <x:v>202904</x:v>
      </x:c>
      <x:c r="K223" s="10" t="n">
        <x:v>3689.16</x:v>
      </x:c>
    </x:row>
    <x:row r="224">
      <x:c r="A224" t="inlineStr">
        <x:is>
          <x:t xml:space="preserve">EMPSPI001117</x:t>
        </x:is>
      </x:c>
      <x:c r="B224" t="inlineStr">
        <x:is>
          <x:t xml:space="preserve">EMPAQ ESPIROMETALICA TIPO  DRI, ANILL EXI316 EMPAQ GRAF ANILL INT316 CLAS300, 8PLG(8610800BBCC)</x:t>
        </x:is>
      </x:c>
      <x:c r="C224" s="8" t="n">
        <x:v>55</x:v>
      </x:c>
      <x:c r="D224" s="8" t="n">
        <x:v>0</x:v>
      </x:c>
      <x:c r="E224" s="8" t="n">
        <x:v>0</x:v>
      </x:c>
      <x:c r="F224" s="8" t="n">
        <x:v>55</x:v>
      </x:c>
      <x:c r="G224" s="9" t="n">
        <x:v>256226</x:v>
      </x:c>
      <x:c r="H224" s="9" t="n">
        <x:v>0</x:v>
      </x:c>
      <x:c r="I224" s="9" t="n">
        <x:v>0</x:v>
      </x:c>
      <x:c r="J224" s="9" t="n">
        <x:v>256226</x:v>
      </x:c>
      <x:c r="K224" s="10" t="n">
        <x:v>4658.66</x:v>
      </x:c>
    </x:row>
    <x:row r="225">
      <x:c r="A225" t="inlineStr">
        <x:is>
          <x:t xml:space="preserve">EMPSPI001118</x:t>
        </x:is>
      </x:c>
      <x:c r="B225" t="inlineStr">
        <x:is>
          <x:t xml:space="preserve">EMPAQ ESPIROMETALICA TIPO  DRI, ANILL EXI316 EMPAQ GRAF ANILL INT316 CLAS300, 10PLG(8611000BBCC)</x:t>
        </x:is>
      </x:c>
      <x:c r="C225" s="8" t="n">
        <x:v>55</x:v>
      </x:c>
      <x:c r="D225" s="8" t="n">
        <x:v>0</x:v>
      </x:c>
      <x:c r="E225" s="8" t="n">
        <x:v>0</x:v>
      </x:c>
      <x:c r="F225" s="8" t="n">
        <x:v>55</x:v>
      </x:c>
      <x:c r="G225" s="9" t="n">
        <x:v>297777</x:v>
      </x:c>
      <x:c r="H225" s="9" t="n">
        <x:v>0</x:v>
      </x:c>
      <x:c r="I225" s="9" t="n">
        <x:v>0</x:v>
      </x:c>
      <x:c r="J225" s="9" t="n">
        <x:v>297777</x:v>
      </x:c>
      <x:c r="K225" s="10" t="n">
        <x:v>5414.12</x:v>
      </x:c>
    </x:row>
    <x:row r="226">
      <x:c r="A226" t="inlineStr">
        <x:is>
          <x:t xml:space="preserve">EMPSPI001119</x:t>
        </x:is>
      </x:c>
      <x:c r="B226" t="inlineStr">
        <x:is>
          <x:t xml:space="preserve">EMPAQ ESPIROMETALICA TIPO  DRI, ANILL EXI316 EMPAQ GRAF ANILL INT316 CLAS300, 12PLG(8611200BBCC)</x:t>
        </x:is>
      </x:c>
      <x:c r="C226" s="8" t="n">
        <x:v>220</x:v>
      </x:c>
      <x:c r="D226" s="8" t="n">
        <x:v>0</x:v>
      </x:c>
      <x:c r="E226" s="8" t="n">
        <x:v>0</x:v>
      </x:c>
      <x:c r="F226" s="8" t="n">
        <x:v>220</x:v>
      </x:c>
      <x:c r="G226" s="9" t="n">
        <x:v>1650931</x:v>
      </x:c>
      <x:c r="H226" s="9" t="n">
        <x:v>0</x:v>
      </x:c>
      <x:c r="I226" s="9" t="n">
        <x:v>0</x:v>
      </x:c>
      <x:c r="J226" s="9" t="n">
        <x:v>1650931</x:v>
      </x:c>
      <x:c r="K226" s="10" t="n">
        <x:v>7504.23</x:v>
      </x:c>
    </x:row>
    <x:row r="227">
      <x:c r="A227" t="inlineStr">
        <x:is>
          <x:t xml:space="preserve">EMPSPI001120</x:t>
        </x:is>
      </x:c>
      <x:c r="B227" t="inlineStr">
        <x:is>
          <x:t xml:space="preserve">EMPAQ ESPIROMETALICA TIPO  DRI, ANILL EXI316 EMPAQ GRAF ANILL INT316 CLAS300, 16PLG(8611600BBCC)</x:t>
        </x:is>
      </x:c>
      <x:c r="C227" s="8" t="n">
        <x:v>220</x:v>
      </x:c>
      <x:c r="D227" s="8" t="n">
        <x:v>0</x:v>
      </x:c>
      <x:c r="E227" s="8" t="n">
        <x:v>0</x:v>
      </x:c>
      <x:c r="F227" s="8" t="n">
        <x:v>220</x:v>
      </x:c>
      <x:c r="G227" s="9" t="n">
        <x:v>2537335</x:v>
      </x:c>
      <x:c r="H227" s="9" t="n">
        <x:v>0</x:v>
      </x:c>
      <x:c r="I227" s="9" t="n">
        <x:v>0</x:v>
      </x:c>
      <x:c r="J227" s="9" t="n">
        <x:v>2537335</x:v>
      </x:c>
      <x:c r="K227" s="10" t="n">
        <x:v>11533.34</x:v>
      </x:c>
    </x:row>
    <x:row r="228">
      <x:c r="A228" t="inlineStr">
        <x:is>
          <x:t xml:space="preserve">EMPSPI001126</x:t>
        </x:is>
      </x:c>
      <x:c r="B228" t="inlineStr">
        <x:is>
          <x:t xml:space="preserve">EMPAQ.ESPIROMETALICA TIPO DRI ANSI CLASE 1500 SWG 10 PLG 304/GRF/304 RED. 206 INT. 8610206BFBB0435</x:t>
        </x:is>
      </x:c>
      <x:c r="C228" s="8" t="n">
        <x:v>80</x:v>
      </x:c>
      <x:c r="D228" s="8" t="n">
        <x:v>0</x:v>
      </x:c>
      <x:c r="E228" s="8" t="n">
        <x:v>0</x:v>
      </x:c>
      <x:c r="F228" s="8" t="n">
        <x:v>80</x:v>
      </x:c>
      <x:c r="G228" s="9" t="n">
        <x:v>1962112</x:v>
      </x:c>
      <x:c r="H228" s="9" t="n">
        <x:v>0</x:v>
      </x:c>
      <x:c r="I228" s="9" t="n">
        <x:v>0</x:v>
      </x:c>
      <x:c r="J228" s="9" t="n">
        <x:v>1962112</x:v>
      </x:c>
      <x:c r="K228" s="10" t="n">
        <x:v>24526.394955</x:v>
      </x:c>
    </x:row>
    <x:row r="229">
      <x:c r="A229" t="inlineStr">
        <x:is>
          <x:t xml:space="preserve">EMPSPI001141</x:t>
        </x:is>
      </x:c>
      <x:c r="B229" t="inlineStr">
        <x:is>
          <x:t xml:space="preserve">8610200BKBB 2 PLG 9/1500# CS/304/FG/304 DURLON SWG STYLE DRI</x:t>
        </x:is>
      </x:c>
      <x:c r="C229" s="8" t="n">
        <x:v>52</x:v>
      </x:c>
      <x:c r="D229" s="8" t="n">
        <x:v>0</x:v>
      </x:c>
      <x:c r="E229" s="8" t="n">
        <x:v>0</x:v>
      </x:c>
      <x:c r="F229" s="8" t="n">
        <x:v>52</x:v>
      </x:c>
      <x:c r="G229" s="9" t="n">
        <x:v>75140</x:v>
      </x:c>
      <x:c r="H229" s="9" t="n">
        <x:v>0</x:v>
      </x:c>
      <x:c r="I229" s="9" t="n">
        <x:v>0</x:v>
      </x:c>
      <x:c r="J229" s="9" t="n">
        <x:v>75140</x:v>
      </x:c>
      <x:c r="K229" s="10" t="n">
        <x:v>1445</x:v>
      </x:c>
    </x:row>
    <x:row r="230">
      <x:c r="A230" t="inlineStr">
        <x:is>
          <x:t xml:space="preserve">EMPTEFEXP001</x:t>
        </x:is>
      </x:c>
      <x:c r="B230" t="inlineStr">
        <x:is>
          <x:t xml:space="preserve">EMPAQUETADURA TEFLON EXPANDIDO 1/8 ESP CLASE 150 FF 2 PLG</x:t>
        </x:is>
      </x:c>
      <x:c r="C230" s="8" t="n">
        <x:v>6</x:v>
      </x:c>
      <x:c r="D230" s="8" t="n">
        <x:v>0</x:v>
      </x:c>
      <x:c r="E230" s="8" t="n">
        <x:v>0</x:v>
      </x:c>
      <x:c r="F230" s="8" t="n">
        <x:v>6</x:v>
      </x:c>
      <x:c r="G230" s="9" t="n">
        <x:v>12858</x:v>
      </x:c>
      <x:c r="H230" s="9" t="n">
        <x:v>0</x:v>
      </x:c>
      <x:c r="I230" s="9" t="n">
        <x:v>0</x:v>
      </x:c>
      <x:c r="J230" s="9" t="n">
        <x:v>12858</x:v>
      </x:c>
      <x:c r="K230" s="10" t="n">
        <x:v>2143</x:v>
      </x:c>
    </x:row>
    <x:row r="231">
      <x:c r="A231" t="inlineStr">
        <x:is>
          <x:t xml:space="preserve">EMPTEFEXP002</x:t>
        </x:is>
      </x:c>
      <x:c r="B231" t="inlineStr">
        <x:is>
          <x:t xml:space="preserve">EMPAQUETADURA TIPO RF 4 PLG C/MANGUITO PTFE EXPANDIDO CLASE 150  (664011)</x:t>
        </x:is>
      </x:c>
      <x:c r="C231" s="8" t="n">
        <x:v>10</x:v>
      </x:c>
      <x:c r="D231" s="8" t="n">
        <x:v>0</x:v>
      </x:c>
      <x:c r="E231" s="8" t="n">
        <x:v>0</x:v>
      </x:c>
      <x:c r="F231" s="8" t="n">
        <x:v>10</x:v>
      </x:c>
      <x:c r="G231" s="9" t="n">
        <x:v>40990</x:v>
      </x:c>
      <x:c r="H231" s="9" t="n">
        <x:v>0</x:v>
      </x:c>
      <x:c r="I231" s="9" t="n">
        <x:v>0</x:v>
      </x:c>
      <x:c r="J231" s="9" t="n">
        <x:v>40990</x:v>
      </x:c>
      <x:c r="K231" s="10" t="n">
        <x:v>4099</x:v>
      </x:c>
    </x:row>
    <x:row r="232">
      <x:c r="A232" t="inlineStr">
        <x:is>
          <x:t xml:space="preserve">EMPTEFEXP003</x:t>
        </x:is>
      </x:c>
      <x:c r="B232" t="inlineStr">
        <x:is>
          <x:t xml:space="preserve">EMPAQUETADURA TEFLON EXPANDIDO 1/8 TIPO FF CLASE 150 DE 10 PLG  C/MANGUITO 679324</x:t>
        </x:is>
      </x:c>
      <x:c r="C232" s="8" t="n">
        <x:v>11</x:v>
      </x:c>
      <x:c r="D232" s="8" t="n">
        <x:v>0</x:v>
      </x:c>
      <x:c r="E232" s="8" t="n">
        <x:v>0</x:v>
      </x:c>
      <x:c r="F232" s="8" t="n">
        <x:v>11</x:v>
      </x:c>
      <x:c r="G232" s="9" t="n">
        <x:v>281358</x:v>
      </x:c>
      <x:c r="H232" s="9" t="n">
        <x:v>0</x:v>
      </x:c>
      <x:c r="I232" s="9" t="n">
        <x:v>0</x:v>
      </x:c>
      <x:c r="J232" s="9" t="n">
        <x:v>281358</x:v>
      </x:c>
      <x:c r="K232" s="10" t="n">
        <x:v>25578</x:v>
      </x:c>
    </x:row>
    <x:row r="233">
      <x:c r="A233" t="inlineStr">
        <x:is>
          <x:t xml:space="preserve">EMPTEFEXP004</x:t>
        </x:is>
      </x:c>
      <x:c r="B233" t="inlineStr">
        <x:is>
          <x:t xml:space="preserve">EMPAQUETADURA TEFLON EXPANDIDO 1/8 TIPO FF CLASE 300 DE 10 PLG  C/MANGUITO 679316</x:t>
        </x:is>
      </x:c>
      <x:c r="C233" s="8" t="n">
        <x:v>8</x:v>
      </x:c>
      <x:c r="D233" s="8" t="n">
        <x:v>0</x:v>
      </x:c>
      <x:c r="E233" s="8" t="n">
        <x:v>0</x:v>
      </x:c>
      <x:c r="F233" s="8" t="n">
        <x:v>8</x:v>
      </x:c>
      <x:c r="G233" s="9" t="n">
        <x:v>305896</x:v>
      </x:c>
      <x:c r="H233" s="9" t="n">
        <x:v>0</x:v>
      </x:c>
      <x:c r="I233" s="9" t="n">
        <x:v>0</x:v>
      </x:c>
      <x:c r="J233" s="9" t="n">
        <x:v>305896</x:v>
      </x:c>
      <x:c r="K233" s="10" t="n">
        <x:v>38237</x:v>
      </x:c>
    </x:row>
    <x:row r="234">
      <x:c r="A234" t="inlineStr">
        <x:is>
          <x:t xml:space="preserve">EMPTEFEXP005</x:t>
        </x:is>
      </x:c>
      <x:c r="B234" t="inlineStr">
        <x:is>
          <x:t xml:space="preserve">EMPAQUETADURA TEFLON EXPANDIDO 1/8 TIPO RF CLASE 150 DE 8 PLG  C/MANGUITO 664052</x:t>
        </x:is>
      </x:c>
      <x:c r="C234" s="8" t="n">
        <x:v>9</x:v>
      </x:c>
      <x:c r="D234" s="8" t="n">
        <x:v>0</x:v>
      </x:c>
      <x:c r="E234" s="8" t="n">
        <x:v>0</x:v>
      </x:c>
      <x:c r="F234" s="8" t="n">
        <x:v>9</x:v>
      </x:c>
      <x:c r="G234" s="9" t="n">
        <x:v>151326</x:v>
      </x:c>
      <x:c r="H234" s="9" t="n">
        <x:v>0</x:v>
      </x:c>
      <x:c r="I234" s="9" t="n">
        <x:v>0</x:v>
      </x:c>
      <x:c r="J234" s="9" t="n">
        <x:v>151326</x:v>
      </x:c>
      <x:c r="K234" s="10" t="n">
        <x:v>16814</x:v>
      </x:c>
    </x:row>
    <x:row r="235">
      <x:c r="A235" t="inlineStr">
        <x:is>
          <x:t xml:space="preserve">EMPTEFEXP006</x:t>
        </x:is>
      </x:c>
      <x:c r="B235" t="inlineStr">
        <x:is>
          <x:t xml:space="preserve">EMPAQUETADURA TEFLON EXPANDIDO 1/8 TIPO RF CLASE 300 DE 8 PLG  C/MANGUITO 664060</x:t>
        </x:is>
      </x:c>
      <x:c r="C235" s="8" t="n">
        <x:v>7</x:v>
      </x:c>
      <x:c r="D235" s="8" t="n">
        <x:v>0</x:v>
      </x:c>
      <x:c r="E235" s="8" t="n">
        <x:v>0</x:v>
      </x:c>
      <x:c r="F235" s="8" t="n">
        <x:v>7</x:v>
      </x:c>
      <x:c r="G235" s="9" t="n">
        <x:v>205828</x:v>
      </x:c>
      <x:c r="H235" s="9" t="n">
        <x:v>0</x:v>
      </x:c>
      <x:c r="I235" s="9" t="n">
        <x:v>0</x:v>
      </x:c>
      <x:c r="J235" s="9" t="n">
        <x:v>205828</x:v>
      </x:c>
      <x:c r="K235" s="10" t="n">
        <x:v>29404</x:v>
      </x:c>
    </x:row>
    <x:row r="236">
      <x:c r="A236" t="inlineStr">
        <x:is>
          <x:t xml:space="preserve">EMPTEFEXP008</x:t>
        </x:is>
      </x:c>
      <x:c r="B236" t="inlineStr">
        <x:is>
          <x:t xml:space="preserve">EMPAQUETADURA TEFLON EXPANDIDO 1/8 TIPO FF CLASE 300 DE 4 PLG  S/MANGUITO 710921</x:t>
        </x:is>
      </x:c>
      <x:c r="C236" s="8" t="n">
        <x:v>47</x:v>
      </x:c>
      <x:c r="D236" s="8" t="n">
        <x:v>0</x:v>
      </x:c>
      <x:c r="E236" s="8" t="n">
        <x:v>0</x:v>
      </x:c>
      <x:c r="F236" s="8" t="n">
        <x:v>47</x:v>
      </x:c>
      <x:c r="G236" s="9" t="n">
        <x:v>445090</x:v>
      </x:c>
      <x:c r="H236" s="9" t="n">
        <x:v>0</x:v>
      </x:c>
      <x:c r="I236" s="9" t="n">
        <x:v>0</x:v>
      </x:c>
      <x:c r="J236" s="9" t="n">
        <x:v>445090</x:v>
      </x:c>
      <x:c r="K236" s="10" t="n">
        <x:v>9470</x:v>
      </x:c>
    </x:row>
    <x:row r="237">
      <x:c r="A237" t="inlineStr">
        <x:is>
          <x:t xml:space="preserve">EMPTEFEXP010</x:t>
        </x:is>
      </x:c>
      <x:c r="B237" t="inlineStr">
        <x:is>
          <x:t xml:space="preserve">664037 EMPAQUETADURA TIPO RF 6 PLG CLASE 150  C/MANGUITO PTFE-EXP</x:t>
        </x:is>
      </x:c>
      <x:c r="C237" s="8" t="n">
        <x:v>39</x:v>
      </x:c>
      <x:c r="D237" s="8" t="n">
        <x:v>0</x:v>
      </x:c>
      <x:c r="E237" s="8" t="n">
        <x:v>0</x:v>
      </x:c>
      <x:c r="F237" s="8" t="n">
        <x:v>39</x:v>
      </x:c>
      <x:c r="G237" s="9" t="n">
        <x:v>368316</x:v>
      </x:c>
      <x:c r="H237" s="9" t="n">
        <x:v>0</x:v>
      </x:c>
      <x:c r="I237" s="9" t="n">
        <x:v>0</x:v>
      </x:c>
      <x:c r="J237" s="9" t="n">
        <x:v>368316</x:v>
      </x:c>
      <x:c r="K237" s="10" t="n">
        <x:v>9444</x:v>
      </x:c>
    </x:row>
    <x:row r="238">
      <x:c r="A238" t="inlineStr">
        <x:is>
          <x:t xml:space="preserve">EMPTEFEXP011</x:t>
        </x:is>
      </x:c>
      <x:c r="B238" t="inlineStr">
        <x:is>
          <x:t xml:space="preserve">679456 EMPAQUETADURA PTFE-EXP 6 PLG CLASE 150 TIPO  FF 1/8 EXPESOR</x:t>
        </x:is>
      </x:c>
      <x:c r="C238" s="8" t="n">
        <x:v>3</x:v>
      </x:c>
      <x:c r="D238" s="8" t="n">
        <x:v>0</x:v>
      </x:c>
      <x:c r="E238" s="8" t="n">
        <x:v>0</x:v>
      </x:c>
      <x:c r="F238" s="8" t="n">
        <x:v>3</x:v>
      </x:c>
      <x:c r="G238" s="9" t="n">
        <x:v>54318</x:v>
      </x:c>
      <x:c r="H238" s="9" t="n">
        <x:v>0</x:v>
      </x:c>
      <x:c r="I238" s="9" t="n">
        <x:v>0</x:v>
      </x:c>
      <x:c r="J238" s="9" t="n">
        <x:v>54318</x:v>
      </x:c>
      <x:c r="K238" s="10" t="n">
        <x:v>18106</x:v>
      </x:c>
    </x:row>
    <x:row r="239">
      <x:c r="A239" t="inlineStr">
        <x:is>
          <x:t xml:space="preserve">EMPTEFEXP013</x:t>
        </x:is>
      </x:c>
      <x:c r="B239" t="inlineStr">
        <x:is>
          <x:t xml:space="preserve">EMPAQUETADURA PTFE EXP. DN 3" FF.CL 150.NORMA ANSI</x:t>
        </x:is>
      </x:c>
      <x:c r="C239" s="8" t="n">
        <x:v>34</x:v>
      </x:c>
      <x:c r="D239" s="8" t="n">
        <x:v>0</x:v>
      </x:c>
      <x:c r="E239" s="8" t="n">
        <x:v>0</x:v>
      </x:c>
      <x:c r="F239" s="8" t="n">
        <x:v>34</x:v>
      </x:c>
      <x:c r="G239" s="9" t="n">
        <x:v>126548</x:v>
      </x:c>
      <x:c r="H239" s="9" t="n">
        <x:v>0</x:v>
      </x:c>
      <x:c r="I239" s="9" t="n">
        <x:v>0</x:v>
      </x:c>
      <x:c r="J239" s="9" t="n">
        <x:v>126548</x:v>
      </x:c>
      <x:c r="K239" s="10" t="n">
        <x:v>3722</x:v>
      </x:c>
    </x:row>
    <x:row r="240">
      <x:c r="A240" t="inlineStr">
        <x:is>
          <x:t xml:space="preserve">EMPTEFEXP014</x:t>
        </x:is>
      </x:c>
      <x:c r="B240" t="inlineStr">
        <x:is>
          <x:t xml:space="preserve">EMPAQUETADURA PTFE EXP. DN 12" FF.CL 150.NORMA ANSI</x:t>
        </x:is>
      </x:c>
      <x:c r="C240" s="8" t="n">
        <x:v>35</x:v>
      </x:c>
      <x:c r="D240" s="8" t="n">
        <x:v>0</x:v>
      </x:c>
      <x:c r="E240" s="8" t="n">
        <x:v>0</x:v>
      </x:c>
      <x:c r="F240" s="8" t="n">
        <x:v>35</x:v>
      </x:c>
      <x:c r="G240" s="9" t="n">
        <x:v>829570</x:v>
      </x:c>
      <x:c r="H240" s="9" t="n">
        <x:v>0</x:v>
      </x:c>
      <x:c r="I240" s="9" t="n">
        <x:v>0</x:v>
      </x:c>
      <x:c r="J240" s="9" t="n">
        <x:v>829570</x:v>
      </x:c>
      <x:c r="K240" s="10" t="n">
        <x:v>23702</x:v>
      </x:c>
    </x:row>
    <x:row r="241">
      <x:c r="A241" t="inlineStr">
        <x:is>
          <x:t xml:space="preserve">EMPTRE210001</x:t>
        </x:is>
      </x:c>
      <x:c r="B241" t="inlineStr">
        <x:is>
          <x:t xml:space="preserve">EMPAQUETADURAS TRENZADAS ESTILO 2100 DE 1 SECCION</x:t>
        </x:is>
      </x:c>
      <x:c r="C241" s="8" t="n">
        <x:v>74</x:v>
      </x:c>
      <x:c r="D241" s="8" t="n">
        <x:v>0</x:v>
      </x:c>
      <x:c r="E241" s="8" t="n">
        <x:v>0</x:v>
      </x:c>
      <x:c r="F241" s="8" t="n">
        <x:v>74</x:v>
      </x:c>
      <x:c r="G241" s="9" t="n">
        <x:v>3209899</x:v>
      </x:c>
      <x:c r="H241" s="9" t="n">
        <x:v>0</x:v>
      </x:c>
      <x:c r="I241" s="9" t="n">
        <x:v>0</x:v>
      </x:c>
      <x:c r="J241" s="9" t="n">
        <x:v>3209899</x:v>
      </x:c>
      <x:c r="K241" s="10" t="n">
        <x:v>43377.005478</x:v>
      </x:c>
    </x:row>
    <x:row r="242">
      <x:c r="A242" t="inlineStr">
        <x:is>
          <x:t xml:space="preserve">EMPTRE210002</x:t>
        </x:is>
      </x:c>
      <x:c r="B242" t="inlineStr">
        <x:is>
          <x:t xml:space="preserve">EMPAQUETADURAS TRENZADAS ESTILO 2100 DE 3/4 SECCION</x:t>
        </x:is>
      </x:c>
      <x:c r="C242" s="8" t="n">
        <x:v>28</x:v>
      </x:c>
      <x:c r="D242" s="8" t="n">
        <x:v>0</x:v>
      </x:c>
      <x:c r="E242" s="8" t="n">
        <x:v>0</x:v>
      </x:c>
      <x:c r="F242" s="8" t="n">
        <x:v>28</x:v>
      </x:c>
      <x:c r="G242" s="9" t="n">
        <x:v>1153456</x:v>
      </x:c>
      <x:c r="H242" s="9" t="n">
        <x:v>0</x:v>
      </x:c>
      <x:c r="I242" s="9" t="n">
        <x:v>0</x:v>
      </x:c>
      <x:c r="J242" s="9" t="n">
        <x:v>1153456</x:v>
      </x:c>
      <x:c r="K242" s="10" t="n">
        <x:v>41194.920194</x:v>
      </x:c>
    </x:row>
    <x:row r="243">
      <x:c r="A243" t="inlineStr">
        <x:is>
          <x:t xml:space="preserve">EMPTRE210003</x:t>
        </x:is>
      </x:c>
      <x:c r="B243" t="inlineStr">
        <x:is>
          <x:t xml:space="preserve">EMPAQUETADURAS TRENZADAS ESTILO 2100 DE 5/8 SECCION</x:t>
        </x:is>
      </x:c>
      <x:c r="C243" s="8" t="n">
        <x:v>21</x:v>
      </x:c>
      <x:c r="D243" s="8" t="n">
        <x:v>0</x:v>
      </x:c>
      <x:c r="E243" s="8" t="n">
        <x:v>0</x:v>
      </x:c>
      <x:c r="F243" s="8" t="n">
        <x:v>21</x:v>
      </x:c>
      <x:c r="G243" s="9" t="n">
        <x:v>599508</x:v>
      </x:c>
      <x:c r="H243" s="9" t="n">
        <x:v>0</x:v>
      </x:c>
      <x:c r="I243" s="9" t="n">
        <x:v>0</x:v>
      </x:c>
      <x:c r="J243" s="9" t="n">
        <x:v>599508</x:v>
      </x:c>
      <x:c r="K243" s="10" t="n">
        <x:v>28548</x:v>
      </x:c>
    </x:row>
    <x:row r="244">
      <x:c r="A244" t="inlineStr">
        <x:is>
          <x:t xml:space="preserve">EMPTRE400003</x:t>
        </x:is>
      </x:c>
      <x:c r="B244" t="inlineStr">
        <x:is>
          <x:t xml:space="preserve">EMPAQUETADURAS TRENZADAS ESTILO 400 5/8 SECCION</x:t>
        </x:is>
      </x:c>
      <x:c r="C244" s="8" t="n">
        <x:v>2</x:v>
      </x:c>
      <x:c r="D244" s="8" t="n">
        <x:v>0</x:v>
      </x:c>
      <x:c r="E244" s="8" t="n">
        <x:v>0</x:v>
      </x:c>
      <x:c r="F244" s="8" t="n">
        <x:v>2</x:v>
      </x:c>
      <x:c r="G244" s="9" t="n">
        <x:v>28600</x:v>
      </x:c>
      <x:c r="H244" s="9" t="n">
        <x:v>0</x:v>
      </x:c>
      <x:c r="I244" s="9" t="n">
        <x:v>0</x:v>
      </x:c>
      <x:c r="J244" s="9" t="n">
        <x:v>28600</x:v>
      </x:c>
      <x:c r="K244" s="10" t="n">
        <x:v>14300</x:v>
      </x:c>
    </x:row>
    <x:row r="245">
      <x:c r="A245" t="inlineStr">
        <x:is>
          <x:t xml:space="preserve">EMPTRE430001</x:t>
        </x:is>
      </x:c>
      <x:c r="B245" t="inlineStr">
        <x:is>
          <x:t xml:space="preserve">EMPAQUETADURAS TRENZADAS ESTILO 430 3/8 SECCION</x:t>
        </x:is>
      </x:c>
      <x:c r="C245" s="8" t="n">
        <x:v>61</x:v>
      </x:c>
      <x:c r="D245" s="8" t="n">
        <x:v>0</x:v>
      </x:c>
      <x:c r="E245" s="8" t="n">
        <x:v>0</x:v>
      </x:c>
      <x:c r="F245" s="8" t="n">
        <x:v>61</x:v>
      </x:c>
      <x:c r="G245" s="9" t="n">
        <x:v>1347493</x:v>
      </x:c>
      <x:c r="H245" s="9" t="n">
        <x:v>0</x:v>
      </x:c>
      <x:c r="I245" s="9" t="n">
        <x:v>0</x:v>
      </x:c>
      <x:c r="J245" s="9" t="n">
        <x:v>1347493</x:v>
      </x:c>
      <x:c r="K245" s="10" t="n">
        <x:v>22090.036268</x:v>
      </x:c>
    </x:row>
    <x:row r="246">
      <x:c r="A246" t="inlineStr">
        <x:is>
          <x:t xml:space="preserve">EMPTRE430003</x:t>
        </x:is>
      </x:c>
      <x:c r="B246" t="inlineStr">
        <x:is>
          <x:t xml:space="preserve">EMPAQUETADURAS TRENZADAS ESTILO 430 DE 5/8 SECCION</x:t>
        </x:is>
      </x:c>
      <x:c r="C246" s="8" t="n">
        <x:v>153</x:v>
      </x:c>
      <x:c r="D246" s="8" t="n">
        <x:v>0</x:v>
      </x:c>
      <x:c r="E246" s="8" t="n">
        <x:v>0</x:v>
      </x:c>
      <x:c r="F246" s="8" t="n">
        <x:v>153</x:v>
      </x:c>
      <x:c r="G246" s="9" t="n">
        <x:v>3081726</x:v>
      </x:c>
      <x:c r="H246" s="9" t="n">
        <x:v>0</x:v>
      </x:c>
      <x:c r="I246" s="9" t="n">
        <x:v>0</x:v>
      </x:c>
      <x:c r="J246" s="9" t="n">
        <x:v>3081726</x:v>
      </x:c>
      <x:c r="K246" s="10" t="n">
        <x:v>20142</x:v>
      </x:c>
    </x:row>
    <x:row r="247">
      <x:c r="A247" t="inlineStr">
        <x:is>
          <x:t xml:space="preserve">EMPTRE430004</x:t>
        </x:is>
      </x:c>
      <x:c r="B247" t="inlineStr">
        <x:is>
          <x:t xml:space="preserve">EMPAQUETADURAS TRENZADAS ESTILO 430 1/2 SECCION</x:t>
        </x:is>
      </x:c>
      <x:c r="C247" s="8" t="n">
        <x:v>77</x:v>
      </x:c>
      <x:c r="D247" s="8" t="n">
        <x:v>0</x:v>
      </x:c>
      <x:c r="E247" s="8" t="n">
        <x:v>0</x:v>
      </x:c>
      <x:c r="F247" s="8" t="n">
        <x:v>77</x:v>
      </x:c>
      <x:c r="G247" s="9" t="n">
        <x:v>1577811</x:v>
      </x:c>
      <x:c r="H247" s="9" t="n">
        <x:v>0</x:v>
      </x:c>
      <x:c r="I247" s="9" t="n">
        <x:v>0</x:v>
      </x:c>
      <x:c r="J247" s="9" t="n">
        <x:v>1577811</x:v>
      </x:c>
      <x:c r="K247" s="10" t="n">
        <x:v>20491</x:v>
      </x:c>
    </x:row>
    <x:row r="248">
      <x:c r="A248" t="inlineStr">
        <x:is>
          <x:t xml:space="preserve">EMPTRE430005</x:t>
        </x:is>
      </x:c>
      <x:c r="B248" t="inlineStr">
        <x:is>
          <x:t xml:space="preserve">EMPAQUETADURAS TRENZADAS ESTILO 430 7/8 SECCION</x:t>
        </x:is>
      </x:c>
      <x:c r="C248" s="8" t="n">
        <x:v>46</x:v>
      </x:c>
      <x:c r="D248" s="8" t="n">
        <x:v>0</x:v>
      </x:c>
      <x:c r="E248" s="8" t="n">
        <x:v>0</x:v>
      </x:c>
      <x:c r="F248" s="8" t="n">
        <x:v>46</x:v>
      </x:c>
      <x:c r="G248" s="9" t="n">
        <x:v>942585</x:v>
      </x:c>
      <x:c r="H248" s="9" t="n">
        <x:v>0</x:v>
      </x:c>
      <x:c r="I248" s="9" t="n">
        <x:v>0</x:v>
      </x:c>
      <x:c r="J248" s="9" t="n">
        <x:v>942585</x:v>
      </x:c>
      <x:c r="K248" s="10" t="n">
        <x:v>20491</x:v>
      </x:c>
    </x:row>
    <x:row r="249">
      <x:c r="A249" t="inlineStr">
        <x:is>
          <x:t xml:space="preserve">EMPTRE430006</x:t>
        </x:is>
      </x:c>
      <x:c r="B249" t="inlineStr">
        <x:is>
          <x:t xml:space="preserve">EMPAQUETADURAS TRENZADAS ESTILO 430 3/4 SECCION</x:t>
        </x:is>
      </x:c>
      <x:c r="C249" s="8" t="n">
        <x:v>68</x:v>
      </x:c>
      <x:c r="D249" s="8" t="n">
        <x:v>0</x:v>
      </x:c>
      <x:c r="E249" s="8" t="n">
        <x:v>0</x:v>
      </x:c>
      <x:c r="F249" s="8" t="n">
        <x:v>68</x:v>
      </x:c>
      <x:c r="G249" s="9" t="n">
        <x:v>1393388</x:v>
      </x:c>
      <x:c r="H249" s="9" t="n">
        <x:v>0</x:v>
      </x:c>
      <x:c r="I249" s="9" t="n">
        <x:v>0</x:v>
      </x:c>
      <x:c r="J249" s="9" t="n">
        <x:v>1393388</x:v>
      </x:c>
      <x:c r="K249" s="10" t="n">
        <x:v>20491</x:v>
      </x:c>
    </x:row>
    <x:row r="250">
      <x:c r="A250" t="inlineStr">
        <x:is>
          <x:t xml:space="preserve">EMPTRE430007</x:t>
        </x:is>
      </x:c>
      <x:c r="B250" t="inlineStr">
        <x:is>
          <x:t xml:space="preserve">EMPAQUETADURAS TRENZADAS ESTILO 430  DE 1 SECCION</x:t>
        </x:is>
      </x:c>
      <x:c r="C250" s="8" t="n">
        <x:v>46</x:v>
      </x:c>
      <x:c r="D250" s="8" t="n">
        <x:v>0</x:v>
      </x:c>
      <x:c r="E250" s="8" t="n">
        <x:v>0</x:v>
      </x:c>
      <x:c r="F250" s="8" t="n">
        <x:v>46</x:v>
      </x:c>
      <x:c r="G250" s="9" t="n">
        <x:v>1283568</x:v>
      </x:c>
      <x:c r="H250" s="9" t="n">
        <x:v>0</x:v>
      </x:c>
      <x:c r="I250" s="9" t="n">
        <x:v>0</x:v>
      </x:c>
      <x:c r="J250" s="9" t="n">
        <x:v>1283568</x:v>
      </x:c>
      <x:c r="K250" s="10" t="n">
        <x:v>27903.652174</x:v>
      </x:c>
    </x:row>
    <x:row r="251">
      <x:c r="A251" t="inlineStr">
        <x:is>
          <x:t xml:space="preserve">EMPTRE430008</x:t>
        </x:is>
      </x:c>
      <x:c r="B251" t="inlineStr">
        <x:is>
          <x:t xml:space="preserve">EMPAQUETADURA TRENZADA KEVLON 1 PLG SECCION</x:t>
        </x:is>
      </x:c>
      <x:c r="C251" s="8" t="n">
        <x:v>22</x:v>
      </x:c>
      <x:c r="D251" s="8" t="n">
        <x:v>0</x:v>
      </x:c>
      <x:c r="E251" s="8" t="n">
        <x:v>0</x:v>
      </x:c>
      <x:c r="F251" s="8" t="n">
        <x:v>22</x:v>
      </x:c>
      <x:c r="G251" s="9" t="n">
        <x:v>829554</x:v>
      </x:c>
      <x:c r="H251" s="9" t="n">
        <x:v>0</x:v>
      </x:c>
      <x:c r="I251" s="9" t="n">
        <x:v>0</x:v>
      </x:c>
      <x:c r="J251" s="9" t="n">
        <x:v>829554</x:v>
      </x:c>
      <x:c r="K251" s="10" t="n">
        <x:v>37707</x:v>
      </x:c>
    </x:row>
    <x:row r="252">
      <x:c r="A252" t="inlineStr">
        <x:is>
          <x:t xml:space="preserve">EMPTRE430011</x:t>
        </x:is>
      </x:c>
      <x:c r="B252" t="inlineStr">
        <x:is>
          <x:t xml:space="preserve">EMPAQUETADURAS TRENZADAS ESTILO 430 5/16 PLG SECCION CUADRADA</x:t>
        </x:is>
      </x:c>
      <x:c r="C252" s="8" t="n">
        <x:v>17</x:v>
      </x:c>
      <x:c r="D252" s="8" t="n">
        <x:v>0</x:v>
      </x:c>
      <x:c r="E252" s="8" t="n">
        <x:v>0</x:v>
      </x:c>
      <x:c r="F252" s="8" t="n">
        <x:v>17</x:v>
      </x:c>
      <x:c r="G252" s="9" t="n">
        <x:v>378188</x:v>
      </x:c>
      <x:c r="H252" s="9" t="n">
        <x:v>0</x:v>
      </x:c>
      <x:c r="I252" s="9" t="n">
        <x:v>0</x:v>
      </x:c>
      <x:c r="J252" s="9" t="n">
        <x:v>378188</x:v>
      </x:c>
      <x:c r="K252" s="10" t="n">
        <x:v>22246.352941</x:v>
      </x:c>
    </x:row>
    <x:row r="253">
      <x:c r="A253" t="inlineStr">
        <x:is>
          <x:t xml:space="preserve">EMPTRE430I01</x:t>
        </x:is>
      </x:c>
      <x:c r="B253" t="inlineStr">
        <x:is>
          <x:t xml:space="preserve">EMPAQUETADURA TRENZADA GFO 7/8 (IMPORTADA)</x:t>
        </x:is>
      </x:c>
      <x:c r="C253" s="8" t="n">
        <x:v>200</x:v>
      </x:c>
      <x:c r="D253" s="8" t="n">
        <x:v>0</x:v>
      </x:c>
      <x:c r="E253" s="8" t="n">
        <x:v>0</x:v>
      </x:c>
      <x:c r="F253" s="8" t="n">
        <x:v>200</x:v>
      </x:c>
      <x:c r="G253" s="9" t="n">
        <x:v>5003600</x:v>
      </x:c>
      <x:c r="H253" s="9" t="n">
        <x:v>0</x:v>
      </x:c>
      <x:c r="I253" s="9" t="n">
        <x:v>0</x:v>
      </x:c>
      <x:c r="J253" s="9" t="n">
        <x:v>5003600</x:v>
      </x:c>
      <x:c r="K253" s="10" t="n">
        <x:v>25018</x:v>
      </x:c>
    </x:row>
    <x:row r="254">
      <x:c r="A254" t="inlineStr">
        <x:is>
          <x:t xml:space="preserve">EMPTRE430I02</x:t>
        </x:is>
      </x:c>
      <x:c r="B254" t="inlineStr">
        <x:is>
          <x:t xml:space="preserve">EMPAQUETADURA TRENZADA GFO 3/4 (IMPORTADA)</x:t>
        </x:is>
      </x:c>
      <x:c r="C254" s="8" t="n">
        <x:v>60</x:v>
      </x:c>
      <x:c r="D254" s="8" t="n">
        <x:v>0</x:v>
      </x:c>
      <x:c r="E254" s="8" t="n">
        <x:v>0</x:v>
      </x:c>
      <x:c r="F254" s="8" t="n">
        <x:v>60</x:v>
      </x:c>
      <x:c r="G254" s="9" t="n">
        <x:v>1501080</x:v>
      </x:c>
      <x:c r="H254" s="9" t="n">
        <x:v>0</x:v>
      </x:c>
      <x:c r="I254" s="9" t="n">
        <x:v>0</x:v>
      </x:c>
      <x:c r="J254" s="9" t="n">
        <x:v>1501080</x:v>
      </x:c>
      <x:c r="K254" s="10" t="n">
        <x:v>25018</x:v>
      </x:c>
    </x:row>
    <x:row r="255">
      <x:c r="A255" t="inlineStr">
        <x:is>
          <x:t xml:space="preserve">EMPTRE555002</x:t>
        </x:is>
      </x:c>
      <x:c r="B255" t="inlineStr">
        <x:is>
          <x:t xml:space="preserve">EMPAQUETADURAS TRENZADAS ESTILO 55-55 DE 3/8 SECCION</x:t>
        </x:is>
      </x:c>
      <x:c r="C255" s="8" t="n">
        <x:v>89</x:v>
      </x:c>
      <x:c r="D255" s="8" t="n">
        <x:v>0</x:v>
      </x:c>
      <x:c r="E255" s="8" t="n">
        <x:v>0</x:v>
      </x:c>
      <x:c r="F255" s="8" t="n">
        <x:v>89</x:v>
      </x:c>
      <x:c r="G255" s="9" t="n">
        <x:v>954168</x:v>
      </x:c>
      <x:c r="H255" s="9" t="n">
        <x:v>0</x:v>
      </x:c>
      <x:c r="I255" s="9" t="n">
        <x:v>0</x:v>
      </x:c>
      <x:c r="J255" s="9" t="n">
        <x:v>954168</x:v>
      </x:c>
      <x:c r="K255" s="10" t="n">
        <x:v>10721</x:v>
      </x:c>
    </x:row>
    <x:row r="256">
      <x:c r="A256" t="inlineStr">
        <x:is>
          <x:t xml:space="preserve">EMPTRE555003</x:t>
        </x:is>
      </x:c>
      <x:c r="B256" t="inlineStr">
        <x:is>
          <x:t xml:space="preserve">EMPAQUETADURAS TRENZADAS ESTILO 55-55 DE 1/2 SECCION</x:t>
        </x:is>
      </x:c>
      <x:c r="C256" s="8" t="n">
        <x:v>37</x:v>
      </x:c>
      <x:c r="D256" s="8" t="n">
        <x:v>0</x:v>
      </x:c>
      <x:c r="E256" s="8" t="n">
        <x:v>0</x:v>
      </x:c>
      <x:c r="F256" s="8" t="n">
        <x:v>37</x:v>
      </x:c>
      <x:c r="G256" s="9" t="n">
        <x:v>396675</x:v>
      </x:c>
      <x:c r="H256" s="9" t="n">
        <x:v>0</x:v>
      </x:c>
      <x:c r="I256" s="9" t="n">
        <x:v>0</x:v>
      </x:c>
      <x:c r="J256" s="9" t="n">
        <x:v>396675</x:v>
      </x:c>
      <x:c r="K256" s="10" t="n">
        <x:v>10720.975689</x:v>
      </x:c>
    </x:row>
    <x:row r="257">
      <x:c r="A257" t="inlineStr">
        <x:is>
          <x:t xml:space="preserve">EMPTRE555004</x:t>
        </x:is>
      </x:c>
      <x:c r="B257" t="inlineStr">
        <x:is>
          <x:t xml:space="preserve">EMPAQUETADURAS TRENZADAS ESTILO 55-55 3/4 SECCION</x:t>
        </x:is>
      </x:c>
      <x:c r="C257" s="8" t="n">
        <x:v>222</x:v>
      </x:c>
      <x:c r="D257" s="8" t="n">
        <x:v>0</x:v>
      </x:c>
      <x:c r="E257" s="8" t="n">
        <x:v>0</x:v>
      </x:c>
      <x:c r="F257" s="8" t="n">
        <x:v>222</x:v>
      </x:c>
      <x:c r="G257" s="9" t="n">
        <x:v>2386505</x:v>
      </x:c>
      <x:c r="H257" s="9" t="n">
        <x:v>0</x:v>
      </x:c>
      <x:c r="I257" s="9" t="n">
        <x:v>0</x:v>
      </x:c>
      <x:c r="J257" s="9" t="n">
        <x:v>2386505</x:v>
      </x:c>
      <x:c r="K257" s="10" t="n">
        <x:v>10750.01695</x:v>
      </x:c>
    </x:row>
    <x:row r="258">
      <x:c r="A258" t="inlineStr">
        <x:is>
          <x:t xml:space="preserve">EMPTRE555005</x:t>
        </x:is>
      </x:c>
      <x:c r="B258" t="inlineStr">
        <x:is>
          <x:t xml:space="preserve">EMPAQUETADURAS TRENZADAS ESTILO 55-55 5/8 SECCION</x:t>
        </x:is>
      </x:c>
      <x:c r="C258" s="8" t="n">
        <x:v>173</x:v>
      </x:c>
      <x:c r="D258" s="8" t="n">
        <x:v>0</x:v>
      </x:c>
      <x:c r="E258" s="8" t="n">
        <x:v>0</x:v>
      </x:c>
      <x:c r="F258" s="8" t="n">
        <x:v>173</x:v>
      </x:c>
      <x:c r="G258" s="9" t="n">
        <x:v>1993650</x:v>
      </x:c>
      <x:c r="H258" s="9" t="n">
        <x:v>0</x:v>
      </x:c>
      <x:c r="I258" s="9" t="n">
        <x:v>0</x:v>
      </x:c>
      <x:c r="J258" s="9" t="n">
        <x:v>1993650</x:v>
      </x:c>
      <x:c r="K258" s="10" t="n">
        <x:v>11523.995237</x:v>
      </x:c>
    </x:row>
    <x:row r="259">
      <x:c r="A259" t="inlineStr">
        <x:is>
          <x:t xml:space="preserve">EMPTRE555006</x:t>
        </x:is>
      </x:c>
      <x:c r="B259" t="inlineStr">
        <x:is>
          <x:t xml:space="preserve">EMPAQUETADURAS TRENZADAS 55-55 DE 1 SECCION</x:t>
        </x:is>
      </x:c>
      <x:c r="C259" s="8" t="n">
        <x:v>250</x:v>
      </x:c>
      <x:c r="D259" s="8" t="n">
        <x:v>0</x:v>
      </x:c>
      <x:c r="E259" s="8" t="n">
        <x:v>0</x:v>
      </x:c>
      <x:c r="F259" s="8" t="n">
        <x:v>250</x:v>
      </x:c>
      <x:c r="G259" s="9" t="n">
        <x:v>2933602</x:v>
      </x:c>
      <x:c r="H259" s="9" t="n">
        <x:v>0</x:v>
      </x:c>
      <x:c r="I259" s="9" t="n">
        <x:v>0</x:v>
      </x:c>
      <x:c r="J259" s="9" t="n">
        <x:v>2933602</x:v>
      </x:c>
      <x:c r="K259" s="10" t="n">
        <x:v>11734.401298</x:v>
      </x:c>
    </x:row>
    <x:row r="260">
      <x:c r="A260" t="inlineStr">
        <x:is>
          <x:t xml:space="preserve">EMPTRE555009</x:t>
        </x:is>
      </x:c>
      <x:c r="B260" t="inlineStr">
        <x:is>
          <x:t xml:space="preserve">EMPAQUETADURA TRENZADAS ESTILO 55-55 1/4 PLG SECCION</x:t>
        </x:is>
      </x:c>
      <x:c r="C260" s="8" t="n">
        <x:v>12</x:v>
      </x:c>
      <x:c r="D260" s="8" t="n">
        <x:v>0</x:v>
      </x:c>
      <x:c r="E260" s="8" t="n">
        <x:v>0</x:v>
      </x:c>
      <x:c r="F260" s="8" t="n">
        <x:v>12</x:v>
      </x:c>
      <x:c r="G260" s="9" t="n">
        <x:v>140091</x:v>
      </x:c>
      <x:c r="H260" s="9" t="n">
        <x:v>0</x:v>
      </x:c>
      <x:c r="I260" s="9" t="n">
        <x:v>0</x:v>
      </x:c>
      <x:c r="J260" s="9" t="n">
        <x:v>140091</x:v>
      </x:c>
      <x:c r="K260" s="10" t="n">
        <x:v>11674.107564</x:v>
      </x:c>
    </x:row>
    <x:row r="261">
      <x:c r="A261" t="inlineStr">
        <x:is>
          <x:t xml:space="preserve">EPPGENPTA003</x:t>
        </x:is>
      </x:c>
      <x:c r="B261" t="inlineStr">
        <x:is>
          <x:t xml:space="preserve">GUANTES DE CABRITILLA SIN FORRO T-M  (ESTANDAR)</x:t>
        </x:is>
      </x:c>
      <x:c r="C261" s="8" t="n">
        <x:v>321</x:v>
      </x:c>
      <x:c r="D261" s="8" t="n">
        <x:v>0</x:v>
      </x:c>
      <x:c r="E261" s="8" t="n">
        <x:v>121</x:v>
      </x:c>
      <x:c r="F261" s="8" t="n">
        <x:v>200</x:v>
      </x:c>
      <x:c r="G261" s="9" t="n">
        <x:v>394180</x:v>
      </x:c>
      <x:c r="H261" s="9" t="n">
        <x:v>0</x:v>
      </x:c>
      <x:c r="I261" s="9" t="n">
        <x:v>146907</x:v>
      </x:c>
      <x:c r="J261" s="9" t="n">
        <x:v>247273</x:v>
      </x:c>
      <x:c r="K261" s="10" t="n">
        <x:v>1214.104752</x:v>
      </x:c>
    </x:row>
    <x:row r="262">
      <x:c r="A262" t="inlineStr">
        <x:is>
          <x:t xml:space="preserve">EPPGENPTA004</x:t>
        </x:is>
      </x:c>
      <x:c r="B262" t="inlineStr">
        <x:is>
          <x:t xml:space="preserve">LENTES DE SEGURIDAD CLAROS</x:t>
        </x:is>
      </x:c>
      <x:c r="C262" s="8" t="n">
        <x:v>37</x:v>
      </x:c>
      <x:c r="D262" s="8" t="n">
        <x:v>0</x:v>
      </x:c>
      <x:c r="E262" s="8" t="n">
        <x:v>0</x:v>
      </x:c>
      <x:c r="F262" s="8" t="n">
        <x:v>37</x:v>
      </x:c>
      <x:c r="G262" s="9" t="n">
        <x:v>40955</x:v>
      </x:c>
      <x:c r="H262" s="9" t="n">
        <x:v>0</x:v>
      </x:c>
      <x:c r="I262" s="9" t="n">
        <x:v>0</x:v>
      </x:c>
      <x:c r="J262" s="9" t="n">
        <x:v>40955</x:v>
      </x:c>
      <x:c r="K262" s="10" t="n">
        <x:v>1107</x:v>
      </x:c>
    </x:row>
    <x:row r="263">
      <x:c r="A263" t="inlineStr">
        <x:is>
          <x:t xml:space="preserve">EPPGENPTA006</x:t>
        </x:is>
      </x:c>
      <x:c r="B263" t="inlineStr">
        <x:is>
          <x:t xml:space="preserve">BUZO DE PAPEL TIPO TIVEK TALLA L</x:t>
        </x:is>
      </x:c>
      <x:c r="C263" s="8" t="n">
        <x:v>100</x:v>
      </x:c>
      <x:c r="D263" s="8" t="n">
        <x:v>0</x:v>
      </x:c>
      <x:c r="E263" s="8" t="n">
        <x:v>71</x:v>
      </x:c>
      <x:c r="F263" s="8" t="n">
        <x:v>29</x:v>
      </x:c>
      <x:c r="G263" s="9" t="n">
        <x:v>189001</x:v>
      </x:c>
      <x:c r="H263" s="9" t="n">
        <x:v>0</x:v>
      </x:c>
      <x:c r="I263" s="9" t="n">
        <x:v>134190</x:v>
      </x:c>
      <x:c r="J263" s="9" t="n">
        <x:v>54811</x:v>
      </x:c>
      <x:c r="K263" s="10" t="n">
        <x:v>1890</x:v>
      </x:c>
    </x:row>
    <x:row r="264">
      <x:c r="A264" t="inlineStr">
        <x:is>
          <x:t xml:space="preserve">EPPGENPTA007</x:t>
        </x:is>
      </x:c>
      <x:c r="B264" t="inlineStr">
        <x:is>
          <x:t xml:space="preserve">BUZO DE PAPEL TIPO TIVEK TALLA XL</x:t>
        </x:is>
      </x:c>
      <x:c r="C264" s="8" t="n">
        <x:v>169</x:v>
      </x:c>
      <x:c r="D264" s="8" t="n">
        <x:v>0</x:v>
      </x:c>
      <x:c r="E264" s="8" t="n">
        <x:v>39</x:v>
      </x:c>
      <x:c r="F264" s="8" t="n">
        <x:v>130</x:v>
      </x:c>
      <x:c r="G264" s="9" t="n">
        <x:v>276717</x:v>
      </x:c>
      <x:c r="H264" s="9" t="n">
        <x:v>0</x:v>
      </x:c>
      <x:c r="I264" s="9" t="n">
        <x:v>63854</x:v>
      </x:c>
      <x:c r="J264" s="9" t="n">
        <x:v>212863</x:v>
      </x:c>
      <x:c r="K264" s="10" t="n">
        <x:v>1637.262422</x:v>
      </x:c>
    </x:row>
    <x:row r="265">
      <x:c r="A265" t="inlineStr">
        <x:is>
          <x:t xml:space="preserve">EPPGENPTA008</x:t>
        </x:is>
      </x:c>
      <x:c r="B265" t="inlineStr">
        <x:is>
          <x:t xml:space="preserve">BUZO DE PAPEL TIPO TIVEK TALLA XXL</x:t>
        </x:is>
      </x:c>
      <x:c r="C265" s="8" t="n">
        <x:v>434</x:v>
      </x:c>
      <x:c r="D265" s="8" t="n">
        <x:v>0</x:v>
      </x:c>
      <x:c r="E265" s="8" t="n">
        <x:v>0</x:v>
      </x:c>
      <x:c r="F265" s="8" t="n">
        <x:v>434</x:v>
      </x:c>
      <x:c r="G265" s="9" t="n">
        <x:v>489549</x:v>
      </x:c>
      <x:c r="H265" s="9" t="n">
        <x:v>0</x:v>
      </x:c>
      <x:c r="I265" s="9" t="n">
        <x:v>0</x:v>
      </x:c>
      <x:c r="J265" s="9" t="n">
        <x:v>489549</x:v>
      </x:c>
      <x:c r="K265" s="10" t="n">
        <x:v>1128</x:v>
      </x:c>
    </x:row>
    <x:row r="266">
      <x:c r="A266" t="inlineStr">
        <x:is>
          <x:t xml:space="preserve">EPPGENPTA009</x:t>
        </x:is>
      </x:c>
      <x:c r="B266" t="inlineStr">
        <x:is>
          <x:t xml:space="preserve">LENTES DE SEGURIDAD GRIS</x:t>
        </x:is>
      </x:c>
      <x:c r="C266" s="8" t="n">
        <x:v>66</x:v>
      </x:c>
      <x:c r="D266" s="8" t="n">
        <x:v>0</x:v>
      </x:c>
      <x:c r="E266" s="8" t="n">
        <x:v>1</x:v>
      </x:c>
      <x:c r="F266" s="8" t="n">
        <x:v>65</x:v>
      </x:c>
      <x:c r="G266" s="9" t="n">
        <x:v>159960</x:v>
      </x:c>
      <x:c r="H266" s="9" t="n">
        <x:v>0</x:v>
      </x:c>
      <x:c r="I266" s="9" t="n">
        <x:v>2424</x:v>
      </x:c>
      <x:c r="J266" s="9" t="n">
        <x:v>157536</x:v>
      </x:c>
      <x:c r="K266" s="10" t="n">
        <x:v>2423.634274</x:v>
      </x:c>
    </x:row>
    <x:row r="267">
      <x:c r="A267" t="inlineStr">
        <x:is>
          <x:t xml:space="preserve">EPPGENPTA010</x:t>
        </x:is>
      </x:c>
      <x:c r="B267" t="inlineStr">
        <x:is>
          <x:t xml:space="preserve">SOBRE LENTE CLARO</x:t>
        </x:is>
      </x:c>
      <x:c r="C267" s="8" t="n">
        <x:v>45</x:v>
      </x:c>
      <x:c r="D267" s="8" t="n">
        <x:v>0</x:v>
      </x:c>
      <x:c r="E267" s="8" t="n">
        <x:v>1</x:v>
      </x:c>
      <x:c r="F267" s="8" t="n">
        <x:v>44</x:v>
      </x:c>
      <x:c r="G267" s="9" t="n">
        <x:v>116088</x:v>
      </x:c>
      <x:c r="H267" s="9" t="n">
        <x:v>0</x:v>
      </x:c>
      <x:c r="I267" s="9" t="n">
        <x:v>2552</x:v>
      </x:c>
      <x:c r="J267" s="9" t="n">
        <x:v>113536</x:v>
      </x:c>
      <x:c r="K267" s="10" t="n">
        <x:v>2552.330864</x:v>
      </x:c>
    </x:row>
    <x:row r="268">
      <x:c r="A268" t="inlineStr">
        <x:is>
          <x:t xml:space="preserve">EPPGENPTA012</x:t>
        </x:is>
      </x:c>
      <x:c r="B268" t="inlineStr">
        <x:is>
          <x:t xml:space="preserve">RESPIRADOR MEDIO ROSTRO 3M 6200 TALLA - M</x:t>
        </x:is>
      </x:c>
      <x:c r="C268" s="8" t="n">
        <x:v>20</x:v>
      </x:c>
      <x:c r="D268" s="8" t="n">
        <x:v>0</x:v>
      </x:c>
      <x:c r="E268" s="8" t="n">
        <x:v>0</x:v>
      </x:c>
      <x:c r="F268" s="8" t="n">
        <x:v>20</x:v>
      </x:c>
      <x:c r="G268" s="9" t="n">
        <x:v>201402</x:v>
      </x:c>
      <x:c r="H268" s="9" t="n">
        <x:v>0</x:v>
      </x:c>
      <x:c r="I268" s="9" t="n">
        <x:v>0</x:v>
      </x:c>
      <x:c r="J268" s="9" t="n">
        <x:v>201402</x:v>
      </x:c>
      <x:c r="K268" s="10" t="n">
        <x:v>10070.064286</x:v>
      </x:c>
    </x:row>
    <x:row r="269">
      <x:c r="A269" t="inlineStr">
        <x:is>
          <x:t xml:space="preserve">EPPGENPTA013</x:t>
        </x:is>
      </x:c>
      <x:c r="B269" t="inlineStr">
        <x:is>
          <x:t xml:space="preserve">FILTRO 3M MIXTO PARA POLVO Y GASES 60923</x:t>
        </x:is>
      </x:c>
      <x:c r="C269" s="8" t="n">
        <x:v>193</x:v>
      </x:c>
      <x:c r="D269" s="8" t="n">
        <x:v>0</x:v>
      </x:c>
      <x:c r="E269" s="8" t="n">
        <x:v>0</x:v>
      </x:c>
      <x:c r="F269" s="8" t="n">
        <x:v>193</x:v>
      </x:c>
      <x:c r="G269" s="9" t="n">
        <x:v>4052590</x:v>
      </x:c>
      <x:c r="H269" s="9" t="n">
        <x:v>0</x:v>
      </x:c>
      <x:c r="I269" s="9" t="n">
        <x:v>0</x:v>
      </x:c>
      <x:c r="J269" s="9" t="n">
        <x:v>4052590</x:v>
      </x:c>
      <x:c r="K269" s="10" t="n">
        <x:v>20997.843966</x:v>
      </x:c>
    </x:row>
    <x:row r="270">
      <x:c r="A270" t="inlineStr">
        <x:is>
          <x:t xml:space="preserve">EPPGENPTA015</x:t>
        </x:is>
      </x:c>
      <x:c r="B270" t="inlineStr">
        <x:is>
          <x:t xml:space="preserve">PROTECTORES AUDITIVOS DESECHABLES 3M</x:t>
        </x:is>
      </x:c>
      <x:c r="C270" s="8" t="n">
        <x:v>293</x:v>
      </x:c>
      <x:c r="D270" s="8" t="n">
        <x:v>0</x:v>
      </x:c>
      <x:c r="E270" s="8" t="n">
        <x:v>9</x:v>
      </x:c>
      <x:c r="F270" s="8" t="n">
        <x:v>284</x:v>
      </x:c>
      <x:c r="G270" s="9" t="n">
        <x:v>17287</x:v>
      </x:c>
      <x:c r="H270" s="9" t="n">
        <x:v>0</x:v>
      </x:c>
      <x:c r="I270" s="9" t="n">
        <x:v>531</x:v>
      </x:c>
      <x:c r="J270" s="9" t="n">
        <x:v>16756</x:v>
      </x:c>
      <x:c r="K270" s="10" t="n">
        <x:v>59</x:v>
      </x:c>
    </x:row>
    <x:row r="271">
      <x:c r="A271" t="inlineStr">
        <x:is>
          <x:t xml:space="preserve">EPPGENPTA016</x:t>
        </x:is>
      </x:c>
      <x:c r="B271" t="inlineStr">
        <x:is>
          <x:t xml:space="preserve">RODILLERA POLIESTER</x:t>
        </x:is>
      </x:c>
      <x:c r="C271" s="8" t="n">
        <x:v>15</x:v>
      </x:c>
      <x:c r="D271" s="8" t="n">
        <x:v>0</x:v>
      </x:c>
      <x:c r="E271" s="8" t="n">
        <x:v>0</x:v>
      </x:c>
      <x:c r="F271" s="8" t="n">
        <x:v>15</x:v>
      </x:c>
      <x:c r="G271" s="9" t="n">
        <x:v>104800</x:v>
      </x:c>
      <x:c r="H271" s="9" t="n">
        <x:v>0</x:v>
      </x:c>
      <x:c r="I271" s="9" t="n">
        <x:v>0</x:v>
      </x:c>
      <x:c r="J271" s="9" t="n">
        <x:v>104800</x:v>
      </x:c>
      <x:c r="K271" s="10" t="n">
        <x:v>6986.666667</x:v>
      </x:c>
    </x:row>
    <x:row r="272">
      <x:c r="A272" t="inlineStr">
        <x:is>
          <x:t xml:space="preserve">EPPGENPTA017</x:t>
        </x:is>
      </x:c>
      <x:c r="B272" t="inlineStr">
        <x:is>
          <x:t xml:space="preserve">ALCOHOL GEL 1 LT</x:t>
        </x:is>
      </x:c>
      <x:c r="C272" s="8" t="n">
        <x:v>2</x:v>
      </x:c>
      <x:c r="D272" s="8" t="n">
        <x:v>0</x:v>
      </x:c>
      <x:c r="E272" s="8" t="n">
        <x:v>0</x:v>
      </x:c>
      <x:c r="F272" s="8" t="n">
        <x:v>2</x:v>
      </x:c>
      <x:c r="G272" s="9" t="n">
        <x:v>9980</x:v>
      </x:c>
      <x:c r="H272" s="9" t="n">
        <x:v>0</x:v>
      </x:c>
      <x:c r="I272" s="9" t="n">
        <x:v>0</x:v>
      </x:c>
      <x:c r="J272" s="9" t="n">
        <x:v>9980</x:v>
      </x:c>
      <x:c r="K272" s="10" t="n">
        <x:v>4990</x:v>
      </x:c>
    </x:row>
    <x:row r="273">
      <x:c r="A273" t="inlineStr">
        <x:is>
          <x:t xml:space="preserve">EPPGENPTA023</x:t>
        </x:is>
      </x:c>
      <x:c r="B273" t="inlineStr">
        <x:is>
          <x:t xml:space="preserve">PROTECTOR SOLAR 1 KG</x:t>
        </x:is>
      </x:c>
      <x:c r="C273" s="8" t="n">
        <x:v>5</x:v>
      </x:c>
      <x:c r="D273" s="8" t="n">
        <x:v>0</x:v>
      </x:c>
      <x:c r="E273" s="8" t="n">
        <x:v>0</x:v>
      </x:c>
      <x:c r="F273" s="8" t="n">
        <x:v>5</x:v>
      </x:c>
      <x:c r="G273" s="9" t="n">
        <x:v>40083</x:v>
      </x:c>
      <x:c r="H273" s="9" t="n">
        <x:v>0</x:v>
      </x:c>
      <x:c r="I273" s="9" t="n">
        <x:v>0</x:v>
      </x:c>
      <x:c r="J273" s="9" t="n">
        <x:v>40083</x:v>
      </x:c>
      <x:c r="K273" s="10" t="n">
        <x:v>8016.666667</x:v>
      </x:c>
    </x:row>
    <x:row r="274">
      <x:c r="A274" t="inlineStr">
        <x:is>
          <x:t xml:space="preserve">EPPGENPTA027</x:t>
        </x:is>
      </x:c>
      <x:c r="B274" t="inlineStr">
        <x:is>
          <x:t xml:space="preserve">BOTA PVC C/PTA COLOR N 41</x:t>
        </x:is>
      </x:c>
      <x:c r="C274" s="8" t="n">
        <x:v>0</x:v>
      </x:c>
      <x:c r="D274" s="8" t="n">
        <x:v>8</x:v>
      </x:c>
      <x:c r="E274" s="8" t="n">
        <x:v>0</x:v>
      </x:c>
      <x:c r="F274" s="8" t="n">
        <x:v>8</x:v>
      </x:c>
      <x:c r="G274" s="9" t="n">
        <x:v>0</x:v>
      </x:c>
      <x:c r="H274" s="9" t="n">
        <x:v>215760</x:v>
      </x:c>
      <x:c r="I274" s="9" t="n">
        <x:v>0</x:v>
      </x:c>
      <x:c r="J274" s="9" t="n">
        <x:v>215760</x:v>
      </x:c>
      <x:c r="K274" s="10" t="n">
        <x:v>26970</x:v>
      </x:c>
    </x:row>
    <x:row r="275">
      <x:c r="A275" t="inlineStr">
        <x:is>
          <x:t xml:space="preserve">EPPGENPTA028</x:t>
        </x:is>
      </x:c>
      <x:c r="B275" t="inlineStr">
        <x:is>
          <x:t xml:space="preserve">BOTA PVC C/PTA COLOR N 42</x:t>
        </x:is>
      </x:c>
      <x:c r="C275" s="8" t="n">
        <x:v>0</x:v>
      </x:c>
      <x:c r="D275" s="8" t="n">
        <x:v>8</x:v>
      </x:c>
      <x:c r="E275" s="8" t="n">
        <x:v>0</x:v>
      </x:c>
      <x:c r="F275" s="8" t="n">
        <x:v>8</x:v>
      </x:c>
      <x:c r="G275" s="9" t="n">
        <x:v>0</x:v>
      </x:c>
      <x:c r="H275" s="9" t="n">
        <x:v>215760</x:v>
      </x:c>
      <x:c r="I275" s="9" t="n">
        <x:v>0</x:v>
      </x:c>
      <x:c r="J275" s="9" t="n">
        <x:v>215760</x:v>
      </x:c>
      <x:c r="K275" s="10" t="n">
        <x:v>26970</x:v>
      </x:c>
    </x:row>
    <x:row r="276">
      <x:c r="A276" t="inlineStr">
        <x:is>
          <x:t xml:space="preserve">EPPGENPTA029</x:t>
        </x:is>
      </x:c>
      <x:c r="B276" t="inlineStr">
        <x:is>
          <x:t xml:space="preserve">BOTA PVC C/PTA COLOR N 43</x:t>
        </x:is>
      </x:c>
      <x:c r="C276" s="8" t="n">
        <x:v>0</x:v>
      </x:c>
      <x:c r="D276" s="8" t="n">
        <x:v>4</x:v>
      </x:c>
      <x:c r="E276" s="8" t="n">
        <x:v>0</x:v>
      </x:c>
      <x:c r="F276" s="8" t="n">
        <x:v>4</x:v>
      </x:c>
      <x:c r="G276" s="9" t="n">
        <x:v>0</x:v>
      </x:c>
      <x:c r="H276" s="9" t="n">
        <x:v>74400</x:v>
      </x:c>
      <x:c r="I276" s="9" t="n">
        <x:v>0</x:v>
      </x:c>
      <x:c r="J276" s="9" t="n">
        <x:v>74400</x:v>
      </x:c>
      <x:c r="K276" s="10" t="n">
        <x:v>18600</x:v>
      </x:c>
    </x:row>
    <x:row r="277">
      <x:c r="A277" t="inlineStr">
        <x:is>
          <x:t xml:space="preserve">EPPGENPTA030</x:t>
        </x:is>
      </x:c>
      <x:c r="B277" t="inlineStr">
        <x:is>
          <x:t xml:space="preserve">BOTA PVC C/PTA COLOR N 44</x:t>
        </x:is>
      </x:c>
      <x:c r="C277" s="8" t="n">
        <x:v>0</x:v>
      </x:c>
      <x:c r="D277" s="8" t="n">
        <x:v>8</x:v>
      </x:c>
      <x:c r="E277" s="8" t="n">
        <x:v>0</x:v>
      </x:c>
      <x:c r="F277" s="8" t="n">
        <x:v>8</x:v>
      </x:c>
      <x:c r="G277" s="9" t="n">
        <x:v>0</x:v>
      </x:c>
      <x:c r="H277" s="9" t="n">
        <x:v>137600</x:v>
      </x:c>
      <x:c r="I277" s="9" t="n">
        <x:v>0</x:v>
      </x:c>
      <x:c r="J277" s="9" t="n">
        <x:v>137600</x:v>
      </x:c>
      <x:c r="K277" s="10" t="n">
        <x:v>17200</x:v>
      </x:c>
    </x:row>
    <x:row r="278">
      <x:c r="A278" t="inlineStr">
        <x:is>
          <x:t xml:space="preserve">EPPGENPTA033</x:t>
        </x:is>
      </x:c>
      <x:c r="B278" t="inlineStr">
        <x:is>
          <x:t xml:space="preserve">TAPON OIDO 3M</x:t>
        </x:is>
      </x:c>
      <x:c r="C278" s="8" t="n">
        <x:v>491</x:v>
      </x:c>
      <x:c r="D278" s="8" t="n">
        <x:v>0</x:v>
      </x:c>
      <x:c r="E278" s="8" t="n">
        <x:v>0</x:v>
      </x:c>
      <x:c r="F278" s="8" t="n">
        <x:v>491</x:v>
      </x:c>
      <x:c r="G278" s="9" t="n">
        <x:v>51597</x:v>
      </x:c>
      <x:c r="H278" s="9" t="n">
        <x:v>0</x:v>
      </x:c>
      <x:c r="I278" s="9" t="n">
        <x:v>0</x:v>
      </x:c>
      <x:c r="J278" s="9" t="n">
        <x:v>51597</x:v>
      </x:c>
      <x:c r="K278" s="10" t="n">
        <x:v>105.082631</x:v>
      </x:c>
    </x:row>
    <x:row r="279">
      <x:c r="A279" t="inlineStr">
        <x:is>
          <x:t xml:space="preserve">EPPGENPTA035</x:t>
        </x:is>
      </x:c>
      <x:c r="B279" t="inlineStr">
        <x:is>
          <x:t xml:space="preserve">MASCARA FULL FACE 3M TALLA M</x:t>
        </x:is>
      </x:c>
      <x:c r="C279" s="8" t="n">
        <x:v>7</x:v>
      </x:c>
      <x:c r="D279" s="8" t="n">
        <x:v>0</x:v>
      </x:c>
      <x:c r="E279" s="8" t="n">
        <x:v>0</x:v>
      </x:c>
      <x:c r="F279" s="8" t="n">
        <x:v>7</x:v>
      </x:c>
      <x:c r="G279" s="9" t="n">
        <x:v>522284</x:v>
      </x:c>
      <x:c r="H279" s="9" t="n">
        <x:v>0</x:v>
      </x:c>
      <x:c r="I279" s="9" t="n">
        <x:v>0</x:v>
      </x:c>
      <x:c r="J279" s="9" t="n">
        <x:v>522284</x:v>
      </x:c>
      <x:c r="K279" s="10" t="n">
        <x:v>74612</x:v>
      </x:c>
    </x:row>
    <x:row r="280">
      <x:c r="A280" t="inlineStr">
        <x:is>
          <x:t xml:space="preserve">EPPGENPTA040</x:t>
        </x:is>
      </x:c>
      <x:c r="B280" t="inlineStr">
        <x:is>
          <x:t xml:space="preserve">ARNES DE SEGURIDAD 3 ARGOLLAS CHILESIN TALLA L</x:t>
        </x:is>
      </x:c>
      <x:c r="C280" s="8" t="n">
        <x:v>10</x:v>
      </x:c>
      <x:c r="D280" s="8" t="n">
        <x:v>0</x:v>
      </x:c>
      <x:c r="E280" s="8" t="n">
        <x:v>0</x:v>
      </x:c>
      <x:c r="F280" s="8" t="n">
        <x:v>10</x:v>
      </x:c>
      <x:c r="G280" s="9" t="n">
        <x:v>76300</x:v>
      </x:c>
      <x:c r="H280" s="9" t="n">
        <x:v>0</x:v>
      </x:c>
      <x:c r="I280" s="9" t="n">
        <x:v>0</x:v>
      </x:c>
      <x:c r="J280" s="9" t="n">
        <x:v>76300</x:v>
      </x:c>
      <x:c r="K280" s="10" t="n">
        <x:v>7630</x:v>
      </x:c>
    </x:row>
    <x:row r="281">
      <x:c r="A281" t="inlineStr">
        <x:is>
          <x:t xml:space="preserve">EPPGENPTA041</x:t>
        </x:is>
      </x:c>
      <x:c r="B281" t="inlineStr">
        <x:is>
          <x:t xml:space="preserve">ARNES DE SEGURIDAD 3 ARGOLLAS CHILESIN TALLA XL</x:t>
        </x:is>
      </x:c>
      <x:c r="C281" s="8" t="n">
        <x:v>10</x:v>
      </x:c>
      <x:c r="D281" s="8" t="n">
        <x:v>0</x:v>
      </x:c>
      <x:c r="E281" s="8" t="n">
        <x:v>0</x:v>
      </x:c>
      <x:c r="F281" s="8" t="n">
        <x:v>10</x:v>
      </x:c>
      <x:c r="G281" s="9" t="n">
        <x:v>76300</x:v>
      </x:c>
      <x:c r="H281" s="9" t="n">
        <x:v>0</x:v>
      </x:c>
      <x:c r="I281" s="9" t="n">
        <x:v>0</x:v>
      </x:c>
      <x:c r="J281" s="9" t="n">
        <x:v>76300</x:v>
      </x:c>
      <x:c r="K281" s="10" t="n">
        <x:v>7630</x:v>
      </x:c>
    </x:row>
    <x:row r="282">
      <x:c r="A282" t="inlineStr">
        <x:is>
          <x:t xml:space="preserve">EPPGENPTA045</x:t>
        </x:is>
      </x:c>
      <x:c r="B282" t="inlineStr">
        <x:is>
          <x:t xml:space="preserve">PROTECTOR AUDITIVO PARA CASCO</x:t>
        </x:is>
      </x:c>
      <x:c r="C282" s="8" t="n">
        <x:v>8</x:v>
      </x:c>
      <x:c r="D282" s="8" t="n">
        <x:v>0</x:v>
      </x:c>
      <x:c r="E282" s="8" t="n">
        <x:v>0</x:v>
      </x:c>
      <x:c r="F282" s="8" t="n">
        <x:v>8</x:v>
      </x:c>
      <x:c r="G282" s="9" t="n">
        <x:v>96000</x:v>
      </x:c>
      <x:c r="H282" s="9" t="n">
        <x:v>0</x:v>
      </x:c>
      <x:c r="I282" s="9" t="n">
        <x:v>0</x:v>
      </x:c>
      <x:c r="J282" s="9" t="n">
        <x:v>96000</x:v>
      </x:c>
      <x:c r="K282" s="10" t="n">
        <x:v>12000</x:v>
      </x:c>
    </x:row>
    <x:row r="283">
      <x:c r="A283" t="inlineStr">
        <x:is>
          <x:t xml:space="preserve">EPPGENPTA047</x:t>
        </x:is>
      </x:c>
      <x:c r="B283" t="inlineStr">
        <x:is>
          <x:t xml:space="preserve">BLISTER BALSAMO LABIAL</x:t>
        </x:is>
      </x:c>
      <x:c r="C283" s="8" t="n">
        <x:v>40</x:v>
      </x:c>
      <x:c r="D283" s="8" t="n">
        <x:v>0</x:v>
      </x:c>
      <x:c r="E283" s="8" t="n">
        <x:v>0</x:v>
      </x:c>
      <x:c r="F283" s="8" t="n">
        <x:v>40</x:v>
      </x:c>
      <x:c r="G283" s="9" t="n">
        <x:v>69000</x:v>
      </x:c>
      <x:c r="H283" s="9" t="n">
        <x:v>0</x:v>
      </x:c>
      <x:c r="I283" s="9" t="n">
        <x:v>0</x:v>
      </x:c>
      <x:c r="J283" s="9" t="n">
        <x:v>69000</x:v>
      </x:c>
      <x:c r="K283" s="10" t="n">
        <x:v>1725</x:v>
      </x:c>
    </x:row>
    <x:row r="284">
      <x:c r="A284" t="inlineStr">
        <x:is>
          <x:t xml:space="preserve">EPPGENPTA069</x:t>
        </x:is>
      </x:c>
      <x:c r="B284" t="inlineStr">
        <x:is>
          <x:t xml:space="preserve">BUZO ANTIACIDO CON REFLECTANTE TALLA M</x:t>
        </x:is>
      </x:c>
      <x:c r="C284" s="8" t="n">
        <x:v>12</x:v>
      </x:c>
      <x:c r="D284" s="8" t="n">
        <x:v>0</x:v>
      </x:c>
      <x:c r="E284" s="8" t="n">
        <x:v>8</x:v>
      </x:c>
      <x:c r="F284" s="8" t="n">
        <x:v>4</x:v>
      </x:c>
      <x:c r="G284" s="9" t="n">
        <x:v>155362</x:v>
      </x:c>
      <x:c r="H284" s="9" t="n">
        <x:v>0</x:v>
      </x:c>
      <x:c r="I284" s="9" t="n">
        <x:v>103575</x:v>
      </x:c>
      <x:c r="J284" s="9" t="n">
        <x:v>51787</x:v>
      </x:c>
      <x:c r="K284" s="10" t="n">
        <x:v>12946.833333</x:v>
      </x:c>
    </x:row>
    <x:row r="285">
      <x:c r="A285" t="inlineStr">
        <x:is>
          <x:t xml:space="preserve">EPPGENPTA070</x:t>
        </x:is>
      </x:c>
      <x:c r="B285" t="inlineStr">
        <x:is>
          <x:t xml:space="preserve">BUZO ANTIACIDO CON REFLECTANTE TALLA L</x:t>
        </x:is>
      </x:c>
      <x:c r="C285" s="8" t="n">
        <x:v>65</x:v>
      </x:c>
      <x:c r="D285" s="8" t="n">
        <x:v>0</x:v>
      </x:c>
      <x:c r="E285" s="8" t="n">
        <x:v>12</x:v>
      </x:c>
      <x:c r="F285" s="8" t="n">
        <x:v>53</x:v>
      </x:c>
      <x:c r="G285" s="9" t="n">
        <x:v>831866</x:v>
      </x:c>
      <x:c r="H285" s="9" t="n">
        <x:v>0</x:v>
      </x:c>
      <x:c r="I285" s="9" t="n">
        <x:v>153575</x:v>
      </x:c>
      <x:c r="J285" s="9" t="n">
        <x:v>678291</x:v>
      </x:c>
      <x:c r="K285" s="10" t="n">
        <x:v>12797.940343</x:v>
      </x:c>
    </x:row>
    <x:row r="286">
      <x:c r="A286" t="inlineStr">
        <x:is>
          <x:t xml:space="preserve">EPPGENPTA072</x:t>
        </x:is>
      </x:c>
      <x:c r="B286" t="inlineStr">
        <x:is>
          <x:t xml:space="preserve">BUZO ANTIACIDO CON REFLECTANTE TALLA XXL</x:t>
        </x:is>
      </x:c>
      <x:c r="C286" s="8" t="n">
        <x:v>80</x:v>
      </x:c>
      <x:c r="D286" s="8" t="n">
        <x:v>0</x:v>
      </x:c>
      <x:c r="E286" s="8" t="n">
        <x:v>0</x:v>
      </x:c>
      <x:c r="F286" s="8" t="n">
        <x:v>80</x:v>
      </x:c>
      <x:c r="G286" s="9" t="n">
        <x:v>239392</x:v>
      </x:c>
      <x:c r="H286" s="9" t="n">
        <x:v>0</x:v>
      </x:c>
      <x:c r="I286" s="9" t="n">
        <x:v>0</x:v>
      </x:c>
      <x:c r="J286" s="9" t="n">
        <x:v>239392</x:v>
      </x:c>
      <x:c r="K286" s="10" t="n">
        <x:v>2992.406863</x:v>
      </x:c>
    </x:row>
    <x:row r="287">
      <x:c r="A287" t="inlineStr">
        <x:is>
          <x:t xml:space="preserve">EPPGENPTA073</x:t>
        </x:is>
      </x:c>
      <x:c r="B287" t="inlineStr">
        <x:is>
          <x:t xml:space="preserve">BUZO CHEMAX TALLA M</x:t>
        </x:is>
      </x:c>
      <x:c r="C287" s="8" t="n">
        <x:v>24</x:v>
      </x:c>
      <x:c r="D287" s="8" t="n">
        <x:v>0</x:v>
      </x:c>
      <x:c r="E287" s="8" t="n">
        <x:v>0</x:v>
      </x:c>
      <x:c r="F287" s="8" t="n">
        <x:v>24</x:v>
      </x:c>
      <x:c r="G287" s="9" t="n">
        <x:v>1365600</x:v>
      </x:c>
      <x:c r="H287" s="9" t="n">
        <x:v>0</x:v>
      </x:c>
      <x:c r="I287" s="9" t="n">
        <x:v>0</x:v>
      </x:c>
      <x:c r="J287" s="9" t="n">
        <x:v>1365600</x:v>
      </x:c>
      <x:c r="K287" s="10" t="n">
        <x:v>56900</x:v>
      </x:c>
    </x:row>
    <x:row r="288">
      <x:c r="A288" t="inlineStr">
        <x:is>
          <x:t xml:space="preserve">EPPGENPTA074</x:t>
        </x:is>
      </x:c>
      <x:c r="B288" t="inlineStr">
        <x:is>
          <x:t xml:space="preserve">BUZO CHEMAX TALLA L</x:t>
        </x:is>
      </x:c>
      <x:c r="C288" s="8" t="n">
        <x:v>34</x:v>
      </x:c>
      <x:c r="D288" s="8" t="n">
        <x:v>0</x:v>
      </x:c>
      <x:c r="E288" s="8" t="n">
        <x:v>12</x:v>
      </x:c>
      <x:c r="F288" s="8" t="n">
        <x:v>22</x:v>
      </x:c>
      <x:c r="G288" s="9" t="n">
        <x:v>1924600</x:v>
      </x:c>
      <x:c r="H288" s="9" t="n">
        <x:v>0</x:v>
      </x:c>
      <x:c r="I288" s="9" t="n">
        <x:v>679271</x:v>
      </x:c>
      <x:c r="J288" s="9" t="n">
        <x:v>1245329</x:v>
      </x:c>
      <x:c r="K288" s="10" t="n">
        <x:v>56605.882353</x:v>
      </x:c>
    </x:row>
    <x:row r="289">
      <x:c r="A289" t="inlineStr">
        <x:is>
          <x:t xml:space="preserve">EPPGENPTA075</x:t>
        </x:is>
      </x:c>
      <x:c r="B289" t="inlineStr">
        <x:is>
          <x:t xml:space="preserve">BUZO CHEMAX TALLA XL</x:t>
        </x:is>
      </x:c>
      <x:c r="C289" s="8" t="n">
        <x:v>48</x:v>
      </x:c>
      <x:c r="D289" s="8" t="n">
        <x:v>0</x:v>
      </x:c>
      <x:c r="E289" s="8" t="n">
        <x:v>0</x:v>
      </x:c>
      <x:c r="F289" s="8" t="n">
        <x:v>48</x:v>
      </x:c>
      <x:c r="G289" s="9" t="n">
        <x:v>2299980</x:v>
      </x:c>
      <x:c r="H289" s="9" t="n">
        <x:v>0</x:v>
      </x:c>
      <x:c r="I289" s="9" t="n">
        <x:v>0</x:v>
      </x:c>
      <x:c r="J289" s="9" t="n">
        <x:v>2299980</x:v>
      </x:c>
      <x:c r="K289" s="10" t="n">
        <x:v>47916.25</x:v>
      </x:c>
    </x:row>
    <x:row r="290">
      <x:c r="A290" t="inlineStr">
        <x:is>
          <x:t xml:space="preserve">EPPGENPTA077</x:t>
        </x:is>
      </x:c>
      <x:c r="B290" t="inlineStr">
        <x:is>
          <x:t xml:space="preserve">BUZO OVEROL TIPO PILOTO TALLA M</x:t>
        </x:is>
      </x:c>
      <x:c r="C290" s="8" t="n">
        <x:v>3</x:v>
      </x:c>
      <x:c r="D290" s="8" t="n">
        <x:v>0</x:v>
      </x:c>
      <x:c r="E290" s="8" t="n">
        <x:v>0</x:v>
      </x:c>
      <x:c r="F290" s="8" t="n">
        <x:v>3</x:v>
      </x:c>
      <x:c r="G290" s="9" t="n">
        <x:v>16080</x:v>
      </x:c>
      <x:c r="H290" s="9" t="n">
        <x:v>0</x:v>
      </x:c>
      <x:c r="I290" s="9" t="n">
        <x:v>0</x:v>
      </x:c>
      <x:c r="J290" s="9" t="n">
        <x:v>16080</x:v>
      </x:c>
      <x:c r="K290" s="10" t="n">
        <x:v>5360</x:v>
      </x:c>
    </x:row>
    <x:row r="291">
      <x:c r="A291" t="inlineStr">
        <x:is>
          <x:t xml:space="preserve">EPPGENPTA078</x:t>
        </x:is>
      </x:c>
      <x:c r="B291" t="inlineStr">
        <x:is>
          <x:t xml:space="preserve">BUZO OVEROL TIPO PILOTO TALLA L</x:t>
        </x:is>
      </x:c>
      <x:c r="C291" s="8" t="n">
        <x:v>2</x:v>
      </x:c>
      <x:c r="D291" s="8" t="n">
        <x:v>0</x:v>
      </x:c>
      <x:c r="E291" s="8" t="n">
        <x:v>0</x:v>
      </x:c>
      <x:c r="F291" s="8" t="n">
        <x:v>2</x:v>
      </x:c>
      <x:c r="G291" s="9" t="n">
        <x:v>10720</x:v>
      </x:c>
      <x:c r="H291" s="9" t="n">
        <x:v>0</x:v>
      </x:c>
      <x:c r="I291" s="9" t="n">
        <x:v>0</x:v>
      </x:c>
      <x:c r="J291" s="9" t="n">
        <x:v>10720</x:v>
      </x:c>
      <x:c r="K291" s="10" t="n">
        <x:v>5360</x:v>
      </x:c>
    </x:row>
    <x:row r="292">
      <x:c r="A292" t="inlineStr">
        <x:is>
          <x:t xml:space="preserve">EPPGENPTA079</x:t>
        </x:is>
      </x:c>
      <x:c r="B292" t="inlineStr">
        <x:is>
          <x:t xml:space="preserve">BUZO OVEROL TIPO PILOTO TALLA XL</x:t>
        </x:is>
      </x:c>
      <x:c r="C292" s="8" t="n">
        <x:v>2</x:v>
      </x:c>
      <x:c r="D292" s="8" t="n">
        <x:v>0</x:v>
      </x:c>
      <x:c r="E292" s="8" t="n">
        <x:v>0</x:v>
      </x:c>
      <x:c r="F292" s="8" t="n">
        <x:v>2</x:v>
      </x:c>
      <x:c r="G292" s="9" t="n">
        <x:v>10580</x:v>
      </x:c>
      <x:c r="H292" s="9" t="n">
        <x:v>0</x:v>
      </x:c>
      <x:c r="I292" s="9" t="n">
        <x:v>0</x:v>
      </x:c>
      <x:c r="J292" s="9" t="n">
        <x:v>10580</x:v>
      </x:c>
      <x:c r="K292" s="10" t="n">
        <x:v>5290</x:v>
      </x:c>
    </x:row>
    <x:row r="293">
      <x:c r="A293" t="inlineStr">
        <x:is>
          <x:t xml:space="preserve">EPPGENPTA080</x:t>
        </x:is>
      </x:c>
      <x:c r="B293" t="inlineStr">
        <x:is>
          <x:t xml:space="preserve">BUZO OVEROL TIPO PILOTO TALLA XXL</x:t>
        </x:is>
      </x:c>
      <x:c r="C293" s="8" t="n">
        <x:v>4</x:v>
      </x:c>
      <x:c r="D293" s="8" t="n">
        <x:v>0</x:v>
      </x:c>
      <x:c r="E293" s="8" t="n">
        <x:v>0</x:v>
      </x:c>
      <x:c r="F293" s="8" t="n">
        <x:v>4</x:v>
      </x:c>
      <x:c r="G293" s="9" t="n">
        <x:v>19960</x:v>
      </x:c>
      <x:c r="H293" s="9" t="n">
        <x:v>0</x:v>
      </x:c>
      <x:c r="I293" s="9" t="n">
        <x:v>0</x:v>
      </x:c>
      <x:c r="J293" s="9" t="n">
        <x:v>19960</x:v>
      </x:c>
      <x:c r="K293" s="10" t="n">
        <x:v>4990</x:v>
      </x:c>
    </x:row>
    <x:row r="294">
      <x:c r="A294" t="inlineStr">
        <x:is>
          <x:t xml:space="preserve">EPPGENPTA081</x:t>
        </x:is>
      </x:c>
      <x:c r="B294" t="inlineStr">
        <x:is>
          <x:t xml:space="preserve">BARBOQUEJO PARA CASCO</x:t>
        </x:is>
      </x:c>
      <x:c r="C294" s="8" t="n">
        <x:v>100</x:v>
      </x:c>
      <x:c r="D294" s="8" t="n">
        <x:v>0</x:v>
      </x:c>
      <x:c r="E294" s="8" t="n">
        <x:v>0</x:v>
      </x:c>
      <x:c r="F294" s="8" t="n">
        <x:v>100</x:v>
      </x:c>
      <x:c r="G294" s="9" t="n">
        <x:v>17999</x:v>
      </x:c>
      <x:c r="H294" s="9" t="n">
        <x:v>0</x:v>
      </x:c>
      <x:c r="I294" s="9" t="n">
        <x:v>0</x:v>
      </x:c>
      <x:c r="J294" s="9" t="n">
        <x:v>17999</x:v>
      </x:c>
      <x:c r="K294" s="10" t="n">
        <x:v>180</x:v>
      </x:c>
    </x:row>
    <x:row r="295">
      <x:c r="A295" t="inlineStr">
        <x:is>
          <x:t xml:space="preserve">EPPGENPTA084</x:t>
        </x:is>
      </x:c>
      <x:c r="B295" t="inlineStr">
        <x:is>
          <x:t xml:space="preserve">LINTERNA PARA CASCO</x:t>
        </x:is>
      </x:c>
      <x:c r="C295" s="8" t="n">
        <x:v>3</x:v>
      </x:c>
      <x:c r="D295" s="8" t="n">
        <x:v>0</x:v>
      </x:c>
      <x:c r="E295" s="8" t="n">
        <x:v>0</x:v>
      </x:c>
      <x:c r="F295" s="8" t="n">
        <x:v>3</x:v>
      </x:c>
      <x:c r="G295" s="9" t="n">
        <x:v>31500</x:v>
      </x:c>
      <x:c r="H295" s="9" t="n">
        <x:v>0</x:v>
      </x:c>
      <x:c r="I295" s="9" t="n">
        <x:v>0</x:v>
      </x:c>
      <x:c r="J295" s="9" t="n">
        <x:v>31500</x:v>
      </x:c>
      <x:c r="K295" s="10" t="n">
        <x:v>10500</x:v>
      </x:c>
    </x:row>
    <x:row r="296">
      <x:c r="A296" t="inlineStr">
        <x:is>
          <x:t xml:space="preserve">EPPGENPTA089</x:t>
        </x:is>
      </x:c>
      <x:c r="B296" t="inlineStr">
        <x:is>
          <x:t xml:space="preserve">CHALECO GEOLOGO NARANJA TALLA L</x:t>
        </x:is>
      </x:c>
      <x:c r="C296" s="8" t="n">
        <x:v>70</x:v>
      </x:c>
      <x:c r="D296" s="8" t="n">
        <x:v>0</x:v>
      </x:c>
      <x:c r="E296" s="8" t="n">
        <x:v>5</x:v>
      </x:c>
      <x:c r="F296" s="8" t="n">
        <x:v>65</x:v>
      </x:c>
      <x:c r="G296" s="9" t="n">
        <x:v>318520</x:v>
      </x:c>
      <x:c r="H296" s="9" t="n">
        <x:v>0</x:v>
      </x:c>
      <x:c r="I296" s="9" t="n">
        <x:v>22752</x:v>
      </x:c>
      <x:c r="J296" s="9" t="n">
        <x:v>295768</x:v>
      </x:c>
      <x:c r="K296" s="10" t="n">
        <x:v>4550.307204</x:v>
      </x:c>
    </x:row>
    <x:row r="297">
      <x:c r="A297" t="inlineStr">
        <x:is>
          <x:t xml:space="preserve">EPPGENPTA090</x:t>
        </x:is>
      </x:c>
      <x:c r="B297" t="inlineStr">
        <x:is>
          <x:t xml:space="preserve">CHALECO GEOLOGO NARANJA TALLA XL</x:t>
        </x:is>
      </x:c>
      <x:c r="C297" s="8" t="n">
        <x:v>30</x:v>
      </x:c>
      <x:c r="D297" s="8" t="n">
        <x:v>0</x:v>
      </x:c>
      <x:c r="E297" s="8" t="n">
        <x:v>6</x:v>
      </x:c>
      <x:c r="F297" s="8" t="n">
        <x:v>24</x:v>
      </x:c>
      <x:c r="G297" s="9" t="n">
        <x:v>149627</x:v>
      </x:c>
      <x:c r="H297" s="9" t="n">
        <x:v>0</x:v>
      </x:c>
      <x:c r="I297" s="9" t="n">
        <x:v>29925</x:v>
      </x:c>
      <x:c r="J297" s="9" t="n">
        <x:v>119702</x:v>
      </x:c>
      <x:c r="K297" s="10" t="n">
        <x:v>4987.550105</x:v>
      </x:c>
    </x:row>
    <x:row r="298">
      <x:c r="A298" t="inlineStr">
        <x:is>
          <x:t xml:space="preserve">EPPGENPTA091</x:t>
        </x:is>
      </x:c>
      <x:c r="B298" t="inlineStr">
        <x:is>
          <x:t xml:space="preserve">CHALECO GEOLOGO NARANJA TALLA XXL</x:t>
        </x:is>
      </x:c>
      <x:c r="C298" s="8" t="n">
        <x:v>10</x:v>
      </x:c>
      <x:c r="D298" s="8" t="n">
        <x:v>0</x:v>
      </x:c>
      <x:c r="E298" s="8" t="n">
        <x:v>0</x:v>
      </x:c>
      <x:c r="F298" s="8" t="n">
        <x:v>10</x:v>
      </x:c>
      <x:c r="G298" s="9" t="n">
        <x:v>62900</x:v>
      </x:c>
      <x:c r="H298" s="9" t="n">
        <x:v>0</x:v>
      </x:c>
      <x:c r="I298" s="9" t="n">
        <x:v>0</x:v>
      </x:c>
      <x:c r="J298" s="9" t="n">
        <x:v>62900</x:v>
      </x:c>
      <x:c r="K298" s="10" t="n">
        <x:v>6290</x:v>
      </x:c>
    </x:row>
    <x:row r="299">
      <x:c r="A299" t="inlineStr">
        <x:is>
          <x:t xml:space="preserve">EPPGENPTA107</x:t>
        </x:is>
      </x:c>
      <x:c r="B299" t="inlineStr">
        <x:is>
          <x:t xml:space="preserve">PINZAS DE BLOQUEO COLOR ROJO</x:t>
        </x:is>
      </x:c>
      <x:c r="C299" s="8" t="n">
        <x:v>4</x:v>
      </x:c>
      <x:c r="D299" s="8" t="n">
        <x:v>0</x:v>
      </x:c>
      <x:c r="E299" s="8" t="n">
        <x:v>0</x:v>
      </x:c>
      <x:c r="F299" s="8" t="n">
        <x:v>4</x:v>
      </x:c>
      <x:c r="G299" s="9" t="n">
        <x:v>9552</x:v>
      </x:c>
      <x:c r="H299" s="9" t="n">
        <x:v>0</x:v>
      </x:c>
      <x:c r="I299" s="9" t="n">
        <x:v>0</x:v>
      </x:c>
      <x:c r="J299" s="9" t="n">
        <x:v>9552</x:v>
      </x:c>
      <x:c r="K299" s="10" t="n">
        <x:v>2388</x:v>
      </x:c>
    </x:row>
    <x:row r="300">
      <x:c r="A300" t="inlineStr">
        <x:is>
          <x:t xml:space="preserve">EPPGENPTA109</x:t>
        </x:is>
      </x:c>
      <x:c r="B300" t="inlineStr">
        <x:is>
          <x:t xml:space="preserve">CAJA DE BLOQUEO</x:t>
        </x:is>
      </x:c>
      <x:c r="C300" s="8" t="n">
        <x:v>3</x:v>
      </x:c>
      <x:c r="D300" s="8" t="n">
        <x:v>0</x:v>
      </x:c>
      <x:c r="E300" s="8" t="n">
        <x:v>0</x:v>
      </x:c>
      <x:c r="F300" s="8" t="n">
        <x:v>3</x:v>
      </x:c>
      <x:c r="G300" s="9" t="n">
        <x:v>48678</x:v>
      </x:c>
      <x:c r="H300" s="9" t="n">
        <x:v>0</x:v>
      </x:c>
      <x:c r="I300" s="9" t="n">
        <x:v>0</x:v>
      </x:c>
      <x:c r="J300" s="9" t="n">
        <x:v>48678</x:v>
      </x:c>
      <x:c r="K300" s="10" t="n">
        <x:v>16226</x:v>
      </x:c>
    </x:row>
    <x:row r="301">
      <x:c r="A301" t="inlineStr">
        <x:is>
          <x:t xml:space="preserve">EPPGENPTA119</x:t>
        </x:is>
      </x:c>
      <x:c r="B301" t="inlineStr">
        <x:is>
          <x:t xml:space="preserve">LEGIONARIO CUBRENUCAS COLOR NARANJA</x:t>
        </x:is>
      </x:c>
      <x:c r="C301" s="8" t="n">
        <x:v>47</x:v>
      </x:c>
      <x:c r="D301" s="8" t="n">
        <x:v>0</x:v>
      </x:c>
      <x:c r="E301" s="8" t="n">
        <x:v>0</x:v>
      </x:c>
      <x:c r="F301" s="8" t="n">
        <x:v>47</x:v>
      </x:c>
      <x:c r="G301" s="9" t="n">
        <x:v>27011</x:v>
      </x:c>
      <x:c r="H301" s="9" t="n">
        <x:v>0</x:v>
      </x:c>
      <x:c r="I301" s="9" t="n">
        <x:v>0</x:v>
      </x:c>
      <x:c r="J301" s="9" t="n">
        <x:v>27011</x:v>
      </x:c>
      <x:c r="K301" s="10" t="n">
        <x:v>574.692308</x:v>
      </x:c>
    </x:row>
    <x:row r="302">
      <x:c r="A302" t="inlineStr">
        <x:is>
          <x:t xml:space="preserve">EPPGENPTA121</x:t>
        </x:is>
      </x:c>
      <x:c r="B302" t="inlineStr">
        <x:is>
          <x:t xml:space="preserve">CASCO GENERICO COLOR AZUL</x:t>
        </x:is>
      </x:c>
      <x:c r="C302" s="8" t="n">
        <x:v>15</x:v>
      </x:c>
      <x:c r="D302" s="8" t="n">
        <x:v>0</x:v>
      </x:c>
      <x:c r="E302" s="8" t="n">
        <x:v>0</x:v>
      </x:c>
      <x:c r="F302" s="8" t="n">
        <x:v>15</x:v>
      </x:c>
      <x:c r="G302" s="9" t="n">
        <x:v>25193</x:v>
      </x:c>
      <x:c r="H302" s="9" t="n">
        <x:v>0</x:v>
      </x:c>
      <x:c r="I302" s="9" t="n">
        <x:v>0</x:v>
      </x:c>
      <x:c r="J302" s="9" t="n">
        <x:v>25193</x:v>
      </x:c>
      <x:c r="K302" s="10" t="n">
        <x:v>1679.494151</x:v>
      </x:c>
    </x:row>
    <x:row r="303">
      <x:c r="A303" t="inlineStr">
        <x:is>
          <x:t xml:space="preserve">EPPGENPTA124</x:t>
        </x:is>
      </x:c>
      <x:c r="B303" t="inlineStr">
        <x:is>
          <x:t xml:space="preserve">CASCO GENERICO COLOR BLANCO</x:t>
        </x:is>
      </x:c>
      <x:c r="C303" s="8" t="n">
        <x:v>7</x:v>
      </x:c>
      <x:c r="D303" s="8" t="n">
        <x:v>0</x:v>
      </x:c>
      <x:c r="E303" s="8" t="n">
        <x:v>0</x:v>
      </x:c>
      <x:c r="F303" s="8" t="n">
        <x:v>7</x:v>
      </x:c>
      <x:c r="G303" s="9" t="n">
        <x:v>11435</x:v>
      </x:c>
      <x:c r="H303" s="9" t="n">
        <x:v>0</x:v>
      </x:c>
      <x:c r="I303" s="9" t="n">
        <x:v>0</x:v>
      </x:c>
      <x:c r="J303" s="9" t="n">
        <x:v>11435</x:v>
      </x:c>
      <x:c r="K303" s="10" t="n">
        <x:v>1633.636364</x:v>
      </x:c>
    </x:row>
    <x:row r="304">
      <x:c r="A304" t="inlineStr">
        <x:is>
          <x:t xml:space="preserve">EPPGENPTA127</x:t>
        </x:is>
      </x:c>
      <x:c r="B304" t="inlineStr">
        <x:is>
          <x:t xml:space="preserve">PAÑO DE LIMPIEZA X KG</x:t>
        </x:is>
      </x:c>
      <x:c r="C304" s="8" t="n">
        <x:v>163</x:v>
      </x:c>
      <x:c r="D304" s="8" t="n">
        <x:v>0</x:v>
      </x:c>
      <x:c r="E304" s="8" t="n">
        <x:v>33</x:v>
      </x:c>
      <x:c r="F304" s="8" t="n">
        <x:v>130</x:v>
      </x:c>
      <x:c r="G304" s="9" t="n">
        <x:v>309685</x:v>
      </x:c>
      <x:c r="H304" s="9" t="n">
        <x:v>0</x:v>
      </x:c>
      <x:c r="I304" s="9" t="n">
        <x:v>62700</x:v>
      </x:c>
      <x:c r="J304" s="9" t="n">
        <x:v>246985</x:v>
      </x:c>
      <x:c r="K304" s="10" t="n">
        <x:v>1900</x:v>
      </x:c>
    </x:row>
    <x:row r="305">
      <x:c r="A305" t="inlineStr">
        <x:is>
          <x:t xml:space="preserve">EPPGENPTA128</x:t>
        </x:is>
      </x:c>
      <x:c r="B305" t="inlineStr">
        <x:is>
          <x:t xml:space="preserve">ALCOHOL ISOPROPILICO</x:t>
        </x:is>
      </x:c>
      <x:c r="C305" s="8" t="n">
        <x:v>51</x:v>
      </x:c>
      <x:c r="D305" s="8" t="n">
        <x:v>0</x:v>
      </x:c>
      <x:c r="E305" s="8" t="n">
        <x:v>1</x:v>
      </x:c>
      <x:c r="F305" s="8" t="n">
        <x:v>50</x:v>
      </x:c>
      <x:c r="G305" s="9" t="n">
        <x:v>163177</x:v>
      </x:c>
      <x:c r="H305" s="9" t="n">
        <x:v>0</x:v>
      </x:c>
      <x:c r="I305" s="9" t="n">
        <x:v>3200</x:v>
      </x:c>
      <x:c r="J305" s="9" t="n">
        <x:v>159977</x:v>
      </x:c>
      <x:c r="K305" s="10" t="n">
        <x:v>3199.609797</x:v>
      </x:c>
    </x:row>
    <x:row r="306">
      <x:c r="A306" t="inlineStr">
        <x:is>
          <x:t xml:space="preserve">EPPGENPTA133</x:t>
        </x:is>
      </x:c>
      <x:c r="B306" t="inlineStr">
        <x:is>
          <x:t xml:space="preserve">CAPUCHA FULL FACE BLS 5700C (ANTIACIDA)</x:t>
        </x:is>
      </x:c>
      <x:c r="C306" s="8" t="n">
        <x:v>32</x:v>
      </x:c>
      <x:c r="D306" s="8" t="n">
        <x:v>2</x:v>
      </x:c>
      <x:c r="E306" s="8" t="n">
        <x:v>0</x:v>
      </x:c>
      <x:c r="F306" s="8" t="n">
        <x:v>34</x:v>
      </x:c>
      <x:c r="G306" s="9" t="n">
        <x:v>7145918</x:v>
      </x:c>
      <x:c r="H306" s="9" t="n">
        <x:v>461800</x:v>
      </x:c>
      <x:c r="I306" s="9" t="n">
        <x:v>0</x:v>
      </x:c>
      <x:c r="J306" s="9" t="n">
        <x:v>7607718</x:v>
      </x:c>
      <x:c r="K306" s="10" t="n">
        <x:v>223756.379758</x:v>
      </x:c>
    </x:row>
    <x:row r="307">
      <x:c r="A307" t="inlineStr">
        <x:is>
          <x:t xml:space="preserve">EPPGENPTA144</x:t>
        </x:is>
      </x:c>
      <x:c r="B307" t="inlineStr">
        <x:is>
          <x:t xml:space="preserve">CHALECO GEOLOGO NARANJA TALLA M</x:t>
        </x:is>
      </x:c>
      <x:c r="C307" s="8" t="n">
        <x:v>15</x:v>
      </x:c>
      <x:c r="D307" s="8" t="n">
        <x:v>0</x:v>
      </x:c>
      <x:c r="E307" s="8" t="n">
        <x:v>6</x:v>
      </x:c>
      <x:c r="F307" s="8" t="n">
        <x:v>9</x:v>
      </x:c>
      <x:c r="G307" s="9" t="n">
        <x:v>74165</x:v>
      </x:c>
      <x:c r="H307" s="9" t="n">
        <x:v>0</x:v>
      </x:c>
      <x:c r="I307" s="9" t="n">
        <x:v>29666</x:v>
      </x:c>
      <x:c r="J307" s="9" t="n">
        <x:v>44499</x:v>
      </x:c>
      <x:c r="K307" s="10" t="n">
        <x:v>4944.322857</x:v>
      </x:c>
    </x:row>
    <x:row r="308">
      <x:c r="A308" t="inlineStr">
        <x:is>
          <x:t xml:space="preserve">EPPGENPTA149</x:t>
        </x:is>
      </x:c>
      <x:c r="B308" t="inlineStr">
        <x:is>
          <x:t xml:space="preserve">RESPIRADOR ROSTRO COMPLETO 3M 6900 TALLA - L</x:t>
        </x:is>
      </x:c>
      <x:c r="C308" s="8" t="n">
        <x:v>4</x:v>
      </x:c>
      <x:c r="D308" s="8" t="n">
        <x:v>0</x:v>
      </x:c>
      <x:c r="E308" s="8" t="n">
        <x:v>0</x:v>
      </x:c>
      <x:c r="F308" s="8" t="n">
        <x:v>4</x:v>
      </x:c>
      <x:c r="G308" s="9" t="n">
        <x:v>500000</x:v>
      </x:c>
      <x:c r="H308" s="9" t="n">
        <x:v>0</x:v>
      </x:c>
      <x:c r="I308" s="9" t="n">
        <x:v>0</x:v>
      </x:c>
      <x:c r="J308" s="9" t="n">
        <x:v>500000</x:v>
      </x:c>
      <x:c r="K308" s="10" t="n">
        <x:v>125000</x:v>
      </x:c>
    </x:row>
    <x:row r="309">
      <x:c r="A309" t="inlineStr">
        <x:is>
          <x:t xml:space="preserve">EPPGENPTA156</x:t>
        </x:is>
      </x:c>
      <x:c r="B309" t="inlineStr">
        <x:is>
          <x:t xml:space="preserve">GUANTE ANTIDESLIZANTE MULTIFLEX</x:t>
        </x:is>
      </x:c>
      <x:c r="C309" s="8" t="n">
        <x:v>135</x:v>
      </x:c>
      <x:c r="D309" s="8" t="n">
        <x:v>0</x:v>
      </x:c>
      <x:c r="E309" s="8" t="n">
        <x:v>0</x:v>
      </x:c>
      <x:c r="F309" s="8" t="n">
        <x:v>135</x:v>
      </x:c>
      <x:c r="G309" s="9" t="n">
        <x:v>103350</x:v>
      </x:c>
      <x:c r="H309" s="9" t="n">
        <x:v>0</x:v>
      </x:c>
      <x:c r="I309" s="9" t="n">
        <x:v>0</x:v>
      </x:c>
      <x:c r="J309" s="9" t="n">
        <x:v>103350</x:v>
      </x:c>
      <x:c r="K309" s="10" t="n">
        <x:v>765.4577880000001</x:v>
      </x:c>
    </x:row>
    <x:row r="310">
      <x:c r="A310" t="inlineStr">
        <x:is>
          <x:t xml:space="preserve">EPPGENPTA162</x:t>
        </x:is>
      </x:c>
      <x:c r="B310" t="inlineStr">
        <x:is>
          <x:t xml:space="preserve">RESPIRADOR MEDIO ROSTRO 3M 6300 TALLA - L</x:t>
        </x:is>
      </x:c>
      <x:c r="C310" s="8" t="n">
        <x:v>33</x:v>
      </x:c>
      <x:c r="D310" s="8" t="n">
        <x:v>0</x:v>
      </x:c>
      <x:c r="E310" s="8" t="n">
        <x:v>0</x:v>
      </x:c>
      <x:c r="F310" s="8" t="n">
        <x:v>33</x:v>
      </x:c>
      <x:c r="G310" s="9" t="n">
        <x:v>353695</x:v>
      </x:c>
      <x:c r="H310" s="9" t="n">
        <x:v>0</x:v>
      </x:c>
      <x:c r="I310" s="9" t="n">
        <x:v>0</x:v>
      </x:c>
      <x:c r="J310" s="9" t="n">
        <x:v>353695</x:v>
      </x:c>
      <x:c r="K310" s="10" t="n">
        <x:v>10718.181818</x:v>
      </x:c>
    </x:row>
    <x:row r="311">
      <x:c r="A311" t="inlineStr">
        <x:is>
          <x:t xml:space="preserve">EPPGENPTA165</x:t>
        </x:is>
      </x:c>
      <x:c r="B311" t="inlineStr">
        <x:is>
          <x:t xml:space="preserve">OVEROL RESISTELA VERDE C/CTA REFL. T/M</x:t>
        </x:is>
      </x:c>
      <x:c r="C311" s="8" t="n">
        <x:v>12</x:v>
      </x:c>
      <x:c r="D311" s="8" t="n">
        <x:v>10</x:v>
      </x:c>
      <x:c r="E311" s="8" t="n">
        <x:v>0</x:v>
      </x:c>
      <x:c r="F311" s="8" t="n">
        <x:v>22</x:v>
      </x:c>
      <x:c r="G311" s="9" t="n">
        <x:v>139775</x:v>
      </x:c>
      <x:c r="H311" s="9" t="n">
        <x:v>116480</x:v>
      </x:c>
      <x:c r="I311" s="9" t="n">
        <x:v>0</x:v>
      </x:c>
      <x:c r="J311" s="9" t="n">
        <x:v>256255</x:v>
      </x:c>
      <x:c r="K311" s="10" t="n">
        <x:v>11648</x:v>
      </x:c>
    </x:row>
    <x:row r="312">
      <x:c r="A312" t="inlineStr">
        <x:is>
          <x:t xml:space="preserve">EPPGENPTA166</x:t>
        </x:is>
      </x:c>
      <x:c r="B312" t="inlineStr">
        <x:is>
          <x:t xml:space="preserve">OVEROL RESISTELA VERDE C/CTA REFL. T/L</x:t>
        </x:is>
      </x:c>
      <x:c r="C312" s="8" t="n">
        <x:v>12</x:v>
      </x:c>
      <x:c r="D312" s="8" t="n">
        <x:v>8</x:v>
      </x:c>
      <x:c r="E312" s="8" t="n">
        <x:v>0</x:v>
      </x:c>
      <x:c r="F312" s="8" t="n">
        <x:v>20</x:v>
      </x:c>
      <x:c r="G312" s="9" t="n">
        <x:v>139776</x:v>
      </x:c>
      <x:c r="H312" s="9" t="n">
        <x:v>93184</x:v>
      </x:c>
      <x:c r="I312" s="9" t="n">
        <x:v>0</x:v>
      </x:c>
      <x:c r="J312" s="9" t="n">
        <x:v>232960</x:v>
      </x:c>
      <x:c r="K312" s="10" t="n">
        <x:v>11648</x:v>
      </x:c>
    </x:row>
    <x:row r="313">
      <x:c r="A313" t="inlineStr">
        <x:is>
          <x:t xml:space="preserve">EPPGENPTA167</x:t>
        </x:is>
      </x:c>
      <x:c r="B313" t="inlineStr">
        <x:is>
          <x:t xml:space="preserve">OVEROL RESISTELA VERDE C/CTA REFL. T/XL</x:t>
        </x:is>
      </x:c>
      <x:c r="C313" s="8" t="n">
        <x:v>12</x:v>
      </x:c>
      <x:c r="D313" s="8" t="n">
        <x:v>0</x:v>
      </x:c>
      <x:c r="E313" s="8" t="n">
        <x:v>0</x:v>
      </x:c>
      <x:c r="F313" s="8" t="n">
        <x:v>12</x:v>
      </x:c>
      <x:c r="G313" s="9" t="n">
        <x:v>139776</x:v>
      </x:c>
      <x:c r="H313" s="9" t="n">
        <x:v>0</x:v>
      </x:c>
      <x:c r="I313" s="9" t="n">
        <x:v>0</x:v>
      </x:c>
      <x:c r="J313" s="9" t="n">
        <x:v>139776</x:v>
      </x:c>
      <x:c r="K313" s="10" t="n">
        <x:v>11648</x:v>
      </x:c>
    </x:row>
    <x:row r="314">
      <x:c r="A314" t="inlineStr">
        <x:is>
          <x:t xml:space="preserve">EPPGENPTA170</x:t>
        </x:is>
      </x:c>
      <x:c r="B314" t="inlineStr">
        <x:is>
          <x:t xml:space="preserve">LENTE STEELPRO SPY-FLEX PLUS ANTIFOG CLARO</x:t>
        </x:is>
      </x:c>
      <x:c r="C314" s="8" t="n">
        <x:v>20</x:v>
      </x:c>
      <x:c r="D314" s="8" t="n">
        <x:v>0</x:v>
      </x:c>
      <x:c r="E314" s="8" t="n">
        <x:v>0</x:v>
      </x:c>
      <x:c r="F314" s="8" t="n">
        <x:v>20</x:v>
      </x:c>
      <x:c r="G314" s="9" t="n">
        <x:v>17680</x:v>
      </x:c>
      <x:c r="H314" s="9" t="n">
        <x:v>0</x:v>
      </x:c>
      <x:c r="I314" s="9" t="n">
        <x:v>0</x:v>
      </x:c>
      <x:c r="J314" s="9" t="n">
        <x:v>17680</x:v>
      </x:c>
      <x:c r="K314" s="10" t="n">
        <x:v>884</x:v>
      </x:c>
    </x:row>
    <x:row r="315">
      <x:c r="A315" t="inlineStr">
        <x:is>
          <x:t xml:space="preserve">EPPGENPTA172</x:t>
        </x:is>
      </x:c>
      <x:c r="B315" t="inlineStr">
        <x:is>
          <x:t xml:space="preserve">PROTECTOR 6885 DESECHABLE DE VISOR RESP. ROSTRO COMPLETO SERIE 6000</x:t>
        </x:is>
      </x:c>
      <x:c r="C315" s="8" t="n">
        <x:v>1</x:v>
      </x:c>
      <x:c r="D315" s="8" t="n">
        <x:v>0</x:v>
      </x:c>
      <x:c r="E315" s="8" t="n">
        <x:v>0</x:v>
      </x:c>
      <x:c r="F315" s="8" t="n">
        <x:v>1</x:v>
      </x:c>
      <x:c r="G315" s="9" t="n">
        <x:v>33970</x:v>
      </x:c>
      <x:c r="H315" s="9" t="n">
        <x:v>0</x:v>
      </x:c>
      <x:c r="I315" s="9" t="n">
        <x:v>0</x:v>
      </x:c>
      <x:c r="J315" s="9" t="n">
        <x:v>33970</x:v>
      </x:c>
      <x:c r="K315" s="10" t="n">
        <x:v>33970</x:v>
      </x:c>
    </x:row>
    <x:row r="316">
      <x:c r="A316" t="inlineStr">
        <x:is>
          <x:t xml:space="preserve">EPPGENPTA176</x:t>
        </x:is>
      </x:c>
      <x:c r="B316" t="inlineStr">
        <x:is>
          <x:t xml:space="preserve">RESPIRADOR AIR COMPLETO FFS990M T/M</x:t>
        </x:is>
      </x:c>
      <x:c r="C316" s="8" t="n">
        <x:v>13</x:v>
      </x:c>
      <x:c r="D316" s="8" t="n">
        <x:v>0</x:v>
      </x:c>
      <x:c r="E316" s="8" t="n">
        <x:v>0</x:v>
      </x:c>
      <x:c r="F316" s="8" t="n">
        <x:v>13</x:v>
      </x:c>
      <x:c r="G316" s="9" t="n">
        <x:v>935758</x:v>
      </x:c>
      <x:c r="H316" s="9" t="n">
        <x:v>0</x:v>
      </x:c>
      <x:c r="I316" s="9" t="n">
        <x:v>0</x:v>
      </x:c>
      <x:c r="J316" s="9" t="n">
        <x:v>935758</x:v>
      </x:c>
      <x:c r="K316" s="10" t="n">
        <x:v>71981.362637</x:v>
      </x:c>
    </x:row>
    <x:row r="317">
      <x:c r="A317" t="inlineStr">
        <x:is>
          <x:t xml:space="preserve">EPPGENPTA177</x:t>
        </x:is>
      </x:c>
      <x:c r="B317" t="inlineStr">
        <x:is>
          <x:t xml:space="preserve">LAMINA PROTECTORA PARA FULL FACE AIR FFS600</x:t>
        </x:is>
      </x:c>
      <x:c r="C317" s="8" t="n">
        <x:v>75</x:v>
      </x:c>
      <x:c r="D317" s="8" t="n">
        <x:v>0</x:v>
      </x:c>
      <x:c r="E317" s="8" t="n">
        <x:v>0</x:v>
      </x:c>
      <x:c r="F317" s="8" t="n">
        <x:v>75</x:v>
      </x:c>
      <x:c r="G317" s="9" t="n">
        <x:v>128275</x:v>
      </x:c>
      <x:c r="H317" s="9" t="n">
        <x:v>0</x:v>
      </x:c>
      <x:c r="I317" s="9" t="n">
        <x:v>0</x:v>
      </x:c>
      <x:c r="J317" s="9" t="n">
        <x:v>128275</x:v>
      </x:c>
      <x:c r="K317" s="10" t="n">
        <x:v>1710.333333</x:v>
      </x:c>
    </x:row>
    <x:row r="318">
      <x:c r="A318" t="inlineStr">
        <x:is>
          <x:t xml:space="preserve">EPPGENPTA180</x:t>
        </x:is>
      </x:c>
      <x:c r="B318" t="inlineStr">
        <x:is>
          <x:t xml:space="preserve">RESPIRADOR AIR COMPLETO FFS990 L T/L</x:t>
        </x:is>
      </x:c>
      <x:c r="C318" s="8" t="n">
        <x:v>28</x:v>
      </x:c>
      <x:c r="D318" s="8" t="n">
        <x:v>0</x:v>
      </x:c>
      <x:c r="E318" s="8" t="n">
        <x:v>0</x:v>
      </x:c>
      <x:c r="F318" s="8" t="n">
        <x:v>28</x:v>
      </x:c>
      <x:c r="G318" s="9" t="n">
        <x:v>1920288</x:v>
      </x:c>
      <x:c r="H318" s="9" t="n">
        <x:v>0</x:v>
      </x:c>
      <x:c r="I318" s="9" t="n">
        <x:v>0</x:v>
      </x:c>
      <x:c r="J318" s="9" t="n">
        <x:v>1920288</x:v>
      </x:c>
      <x:c r="K318" s="10" t="n">
        <x:v>68581.697942</x:v>
      </x:c>
    </x:row>
    <x:row r="319">
      <x:c r="A319" t="inlineStr">
        <x:is>
          <x:t xml:space="preserve">EPPGENPTA183</x:t>
        </x:is>
      </x:c>
      <x:c r="B319" t="inlineStr">
        <x:is>
          <x:t xml:space="preserve">LENTE SPY GRIS U.S. EAGLE</x:t>
        </x:is>
      </x:c>
      <x:c r="C319" s="8" t="n">
        <x:v>18</x:v>
      </x:c>
      <x:c r="D319" s="8" t="n">
        <x:v>0</x:v>
      </x:c>
      <x:c r="E319" s="8" t="n">
        <x:v>0</x:v>
      </x:c>
      <x:c r="F319" s="8" t="n">
        <x:v>18</x:v>
      </x:c>
      <x:c r="G319" s="9" t="n">
        <x:v>15912</x:v>
      </x:c>
      <x:c r="H319" s="9" t="n">
        <x:v>0</x:v>
      </x:c>
      <x:c r="I319" s="9" t="n">
        <x:v>0</x:v>
      </x:c>
      <x:c r="J319" s="9" t="n">
        <x:v>15912</x:v>
      </x:c>
      <x:c r="K319" s="10" t="n">
        <x:v>884</x:v>
      </x:c>
    </x:row>
    <x:row r="320">
      <x:c r="A320" t="inlineStr">
        <x:is>
          <x:t xml:space="preserve">EPPGENPTA192</x:t>
        </x:is>
      </x:c>
      <x:c r="B320" t="inlineStr">
        <x:is>
          <x:t xml:space="preserve">FILTRO AIR MIXTO PARA POLVOS Y GASES 6923</x:t>
        </x:is>
      </x:c>
      <x:c r="C320" s="8" t="n">
        <x:v>33</x:v>
      </x:c>
      <x:c r="D320" s="8" t="n">
        <x:v>0</x:v>
      </x:c>
      <x:c r="E320" s="8" t="n">
        <x:v>0</x:v>
      </x:c>
      <x:c r="F320" s="8" t="n">
        <x:v>33</x:v>
      </x:c>
      <x:c r="G320" s="9" t="n">
        <x:v>362669</x:v>
      </x:c>
      <x:c r="H320" s="9" t="n">
        <x:v>0</x:v>
      </x:c>
      <x:c r="I320" s="9" t="n">
        <x:v>0</x:v>
      </x:c>
      <x:c r="J320" s="9" t="n">
        <x:v>362669</x:v>
      </x:c>
      <x:c r="K320" s="10" t="n">
        <x:v>10990</x:v>
      </x:c>
    </x:row>
    <x:row r="321">
      <x:c r="A321" t="inlineStr">
        <x:is>
          <x:t xml:space="preserve">EPPGENPTA195</x:t>
        </x:is>
      </x:c>
      <x:c r="B321" t="inlineStr">
        <x:is>
          <x:t xml:space="preserve">BUZO CHEMMAX III TALLA M</x:t>
        </x:is>
      </x:c>
      <x:c r="C321" s="8" t="n">
        <x:v>11</x:v>
      </x:c>
      <x:c r="D321" s="8" t="n">
        <x:v>0</x:v>
      </x:c>
      <x:c r="E321" s="8" t="n">
        <x:v>0</x:v>
      </x:c>
      <x:c r="F321" s="8" t="n">
        <x:v>11</x:v>
      </x:c>
      <x:c r="G321" s="9" t="n">
        <x:v>674900</x:v>
      </x:c>
      <x:c r="H321" s="9" t="n">
        <x:v>0</x:v>
      </x:c>
      <x:c r="I321" s="9" t="n">
        <x:v>0</x:v>
      </x:c>
      <x:c r="J321" s="9" t="n">
        <x:v>674900</x:v>
      </x:c>
      <x:c r="K321" s="10" t="n">
        <x:v>61354.545455</x:v>
      </x:c>
    </x:row>
    <x:row r="322">
      <x:c r="A322" t="inlineStr">
        <x:is>
          <x:t xml:space="preserve">EPPGENPTA196</x:t>
        </x:is>
      </x:c>
      <x:c r="B322" t="inlineStr">
        <x:is>
          <x:t xml:space="preserve">BUZO CHEMMAX III TALLA L</x:t>
        </x:is>
      </x:c>
      <x:c r="C322" s="8" t="n">
        <x:v>26</x:v>
      </x:c>
      <x:c r="D322" s="8" t="n">
        <x:v>0</x:v>
      </x:c>
      <x:c r="E322" s="8" t="n">
        <x:v>0</x:v>
      </x:c>
      <x:c r="F322" s="8" t="n">
        <x:v>26</x:v>
      </x:c>
      <x:c r="G322" s="9" t="n">
        <x:v>1513064</x:v>
      </x:c>
      <x:c r="H322" s="9" t="n">
        <x:v>0</x:v>
      </x:c>
      <x:c r="I322" s="9" t="n">
        <x:v>0</x:v>
      </x:c>
      <x:c r="J322" s="9" t="n">
        <x:v>1513064</x:v>
      </x:c>
      <x:c r="K322" s="10" t="n">
        <x:v>58194.769231</x:v>
      </x:c>
    </x:row>
    <x:row r="323">
      <x:c r="A323" t="inlineStr">
        <x:is>
          <x:t xml:space="preserve">EPPGENPTA197</x:t>
        </x:is>
      </x:c>
      <x:c r="B323" t="inlineStr">
        <x:is>
          <x:t xml:space="preserve">BUZO CHEMMAX III TALLA XL</x:t>
        </x:is>
      </x:c>
      <x:c r="C323" s="8" t="n">
        <x:v>18</x:v>
      </x:c>
      <x:c r="D323" s="8" t="n">
        <x:v>0</x:v>
      </x:c>
      <x:c r="E323" s="8" t="n">
        <x:v>0</x:v>
      </x:c>
      <x:c r="F323" s="8" t="n">
        <x:v>18</x:v>
      </x:c>
      <x:c r="G323" s="9" t="n">
        <x:v>1066200</x:v>
      </x:c>
      <x:c r="H323" s="9" t="n">
        <x:v>0</x:v>
      </x:c>
      <x:c r="I323" s="9" t="n">
        <x:v>0</x:v>
      </x:c>
      <x:c r="J323" s="9" t="n">
        <x:v>1066200</x:v>
      </x:c>
      <x:c r="K323" s="10" t="n">
        <x:v>59233.333333</x:v>
      </x:c>
    </x:row>
    <x:row r="324">
      <x:c r="A324" t="inlineStr">
        <x:is>
          <x:t xml:space="preserve">EPPGENPTA238</x:t>
        </x:is>
      </x:c>
      <x:c r="B324" t="inlineStr">
        <x:is>
          <x:t xml:space="preserve">BOTIN NITRO 750 NOBUCK N° 39</x:t>
        </x:is>
      </x:c>
      <x:c r="C324" s="8" t="n">
        <x:v>0</x:v>
      </x:c>
      <x:c r="D324" s="8" t="n">
        <x:v>1</x:v>
      </x:c>
      <x:c r="E324" s="8" t="n">
        <x:v>0</x:v>
      </x:c>
      <x:c r="F324" s="8" t="n">
        <x:v>1</x:v>
      </x:c>
      <x:c r="G324" s="9" t="n">
        <x:v>0</x:v>
      </x:c>
      <x:c r="H324" s="9" t="n">
        <x:v>36500</x:v>
      </x:c>
      <x:c r="I324" s="9" t="n">
        <x:v>0</x:v>
      </x:c>
      <x:c r="J324" s="9" t="n">
        <x:v>36500</x:v>
      </x:c>
      <x:c r="K324" s="10" t="n">
        <x:v>36500</x:v>
      </x:c>
    </x:row>
    <x:row r="325">
      <x:c r="A325" t="inlineStr">
        <x:is>
          <x:t xml:space="preserve">EPPGENPTA239</x:t>
        </x:is>
      </x:c>
      <x:c r="B325" t="inlineStr">
        <x:is>
          <x:t xml:space="preserve">BOTIN NITRO 750 NOBUCK N° 40</x:t>
        </x:is>
      </x:c>
      <x:c r="C325" s="8" t="n">
        <x:v>11</x:v>
      </x:c>
      <x:c r="D325" s="8" t="n">
        <x:v>5</x:v>
      </x:c>
      <x:c r="E325" s="8" t="n">
        <x:v>0</x:v>
      </x:c>
      <x:c r="F325" s="8" t="n">
        <x:v>16</x:v>
      </x:c>
      <x:c r="G325" s="9" t="n">
        <x:v>388700</x:v>
      </x:c>
      <x:c r="H325" s="9" t="n">
        <x:v>182500</x:v>
      </x:c>
      <x:c r="I325" s="9" t="n">
        <x:v>0</x:v>
      </x:c>
      <x:c r="J325" s="9" t="n">
        <x:v>571200</x:v>
      </x:c>
      <x:c r="K325" s="10" t="n">
        <x:v>35700</x:v>
      </x:c>
    </x:row>
    <x:row r="326">
      <x:c r="A326" t="inlineStr">
        <x:is>
          <x:t xml:space="preserve">EPPGENPTA240</x:t>
        </x:is>
      </x:c>
      <x:c r="B326" t="inlineStr">
        <x:is>
          <x:t xml:space="preserve">BOTIN NITRO 750 NOBUCK N° 41</x:t>
        </x:is>
      </x:c>
      <x:c r="C326" s="8" t="n">
        <x:v>13</x:v>
      </x:c>
      <x:c r="D326" s="8" t="n">
        <x:v>4</x:v>
      </x:c>
      <x:c r="E326" s="8" t="n">
        <x:v>0</x:v>
      </x:c>
      <x:c r="F326" s="8" t="n">
        <x:v>17</x:v>
      </x:c>
      <x:c r="G326" s="9" t="n">
        <x:v>460100</x:v>
      </x:c>
      <x:c r="H326" s="9" t="n">
        <x:v>146000</x:v>
      </x:c>
      <x:c r="I326" s="9" t="n">
        <x:v>0</x:v>
      </x:c>
      <x:c r="J326" s="9" t="n">
        <x:v>606100</x:v>
      </x:c>
      <x:c r="K326" s="10" t="n">
        <x:v>35652.941176</x:v>
      </x:c>
    </x:row>
    <x:row r="327">
      <x:c r="A327" t="inlineStr">
        <x:is>
          <x:t xml:space="preserve">EPPGENPTA241</x:t>
        </x:is>
      </x:c>
      <x:c r="B327" t="inlineStr">
        <x:is>
          <x:t xml:space="preserve">BOTIN NITRO 750 NOBUCK N° 42</x:t>
        </x:is>
      </x:c>
      <x:c r="C327" s="8" t="n">
        <x:v>13</x:v>
      </x:c>
      <x:c r="D327" s="8" t="n">
        <x:v>6</x:v>
      </x:c>
      <x:c r="E327" s="8" t="n">
        <x:v>0</x:v>
      </x:c>
      <x:c r="F327" s="8" t="n">
        <x:v>19</x:v>
      </x:c>
      <x:c r="G327" s="9" t="n">
        <x:v>460100</x:v>
      </x:c>
      <x:c r="H327" s="9" t="n">
        <x:v>219000</x:v>
      </x:c>
      <x:c r="I327" s="9" t="n">
        <x:v>0</x:v>
      </x:c>
      <x:c r="J327" s="9" t="n">
        <x:v>679100</x:v>
      </x:c>
      <x:c r="K327" s="10" t="n">
        <x:v>35742.105263</x:v>
      </x:c>
    </x:row>
    <x:row r="328">
      <x:c r="A328" t="inlineStr">
        <x:is>
          <x:t xml:space="preserve">EPPGENPTA242</x:t>
        </x:is>
      </x:c>
      <x:c r="B328" t="inlineStr">
        <x:is>
          <x:t xml:space="preserve">BOTIN NITRO 750 NOBUCK N° 43</x:t>
        </x:is>
      </x:c>
      <x:c r="C328" s="8" t="n">
        <x:v>12</x:v>
      </x:c>
      <x:c r="D328" s="8" t="n">
        <x:v>1</x:v>
      </x:c>
      <x:c r="E328" s="8" t="n">
        <x:v>0</x:v>
      </x:c>
      <x:c r="F328" s="8" t="n">
        <x:v>13</x:v>
      </x:c>
      <x:c r="G328" s="9" t="n">
        <x:v>422000</x:v>
      </x:c>
      <x:c r="H328" s="9" t="n">
        <x:v>36500</x:v>
      </x:c>
      <x:c r="I328" s="9" t="n">
        <x:v>0</x:v>
      </x:c>
      <x:c r="J328" s="9" t="n">
        <x:v>458500</x:v>
      </x:c>
      <x:c r="K328" s="10" t="n">
        <x:v>35269.230769</x:v>
      </x:c>
    </x:row>
    <x:row r="329">
      <x:c r="A329" t="inlineStr">
        <x:is>
          <x:t xml:space="preserve">EPPGENPTA243</x:t>
        </x:is>
      </x:c>
      <x:c r="B329" t="inlineStr">
        <x:is>
          <x:t xml:space="preserve">BOTIN NITRO 750 NOBUCK N° 44</x:t>
        </x:is>
      </x:c>
      <x:c r="C329" s="8" t="n">
        <x:v>3</x:v>
      </x:c>
      <x:c r="D329" s="8" t="n">
        <x:v>1</x:v>
      </x:c>
      <x:c r="E329" s="8" t="n">
        <x:v>0</x:v>
      </x:c>
      <x:c r="F329" s="8" t="n">
        <x:v>4</x:v>
      </x:c>
      <x:c r="G329" s="9" t="n">
        <x:v>104700</x:v>
      </x:c>
      <x:c r="H329" s="9" t="n">
        <x:v>36500</x:v>
      </x:c>
      <x:c r="I329" s="9" t="n">
        <x:v>0</x:v>
      </x:c>
      <x:c r="J329" s="9" t="n">
        <x:v>141200</x:v>
      </x:c>
      <x:c r="K329" s="10" t="n">
        <x:v>35300</x:v>
      </x:c>
    </x:row>
    <x:row r="330">
      <x:c r="A330" t="inlineStr">
        <x:is>
          <x:t xml:space="preserve">EPPGENPTA244</x:t>
        </x:is>
      </x:c>
      <x:c r="B330" t="inlineStr">
        <x:is>
          <x:t xml:space="preserve">BOTIN NITRO 750 NOBUCK N° 45</x:t>
        </x:is>
      </x:c>
      <x:c r="C330" s="8" t="n">
        <x:v>3</x:v>
      </x:c>
      <x:c r="D330" s="8" t="n">
        <x:v>0</x:v>
      </x:c>
      <x:c r="E330" s="8" t="n">
        <x:v>0</x:v>
      </x:c>
      <x:c r="F330" s="8" t="n">
        <x:v>3</x:v>
      </x:c>
      <x:c r="G330" s="9" t="n">
        <x:v>107900</x:v>
      </x:c>
      <x:c r="H330" s="9" t="n">
        <x:v>0</x:v>
      </x:c>
      <x:c r="I330" s="9" t="n">
        <x:v>0</x:v>
      </x:c>
      <x:c r="J330" s="9" t="n">
        <x:v>107900</x:v>
      </x:c>
      <x:c r="K330" s="10" t="n">
        <x:v>35966.666667</x:v>
      </x:c>
    </x:row>
    <x:row r="331">
      <x:c r="A331" t="inlineStr">
        <x:is>
          <x:t xml:space="preserve">EPPGENPTA248</x:t>
        </x:is>
      </x:c>
      <x:c r="B331" t="inlineStr">
        <x:is>
          <x:t xml:space="preserve">BOTIN V-FLEX V17 CUERO NOBUCK N° 42</x:t>
        </x:is>
      </x:c>
      <x:c r="C331" s="8" t="n">
        <x:v>2</x:v>
      </x:c>
      <x:c r="D331" s="8" t="n">
        <x:v>0</x:v>
      </x:c>
      <x:c r="E331" s="8" t="n">
        <x:v>0</x:v>
      </x:c>
      <x:c r="F331" s="8" t="n">
        <x:v>2</x:v>
      </x:c>
      <x:c r="G331" s="9" t="n">
        <x:v>95500</x:v>
      </x:c>
      <x:c r="H331" s="9" t="n">
        <x:v>0</x:v>
      </x:c>
      <x:c r="I331" s="9" t="n">
        <x:v>0</x:v>
      </x:c>
      <x:c r="J331" s="9" t="n">
        <x:v>95500</x:v>
      </x:c>
      <x:c r="K331" s="10" t="n">
        <x:v>47750</x:v>
      </x:c>
    </x:row>
    <x:row r="332">
      <x:c r="A332" t="inlineStr">
        <x:is>
          <x:t xml:space="preserve">EPPGENPTA257</x:t>
        </x:is>
      </x:c>
      <x:c r="B332" t="inlineStr">
        <x:is>
          <x:t xml:space="preserve">AMORTIGUADOR DE IMPACTO AMR0S-01D ARG MOSQUETERO CHILESIN</x:t>
        </x:is>
      </x:c>
      <x:c r="C332" s="8" t="n">
        <x:v>12</x:v>
      </x:c>
      <x:c r="D332" s="8" t="n">
        <x:v>0</x:v>
      </x:c>
      <x:c r="E332" s="8" t="n">
        <x:v>0</x:v>
      </x:c>
      <x:c r="F332" s="8" t="n">
        <x:v>12</x:v>
      </x:c>
      <x:c r="G332" s="9" t="n">
        <x:v>120000</x:v>
      </x:c>
      <x:c r="H332" s="9" t="n">
        <x:v>0</x:v>
      </x:c>
      <x:c r="I332" s="9" t="n">
        <x:v>0</x:v>
      </x:c>
      <x:c r="J332" s="9" t="n">
        <x:v>120000</x:v>
      </x:c>
      <x:c r="K332" s="10" t="n">
        <x:v>10000</x:v>
      </x:c>
    </x:row>
    <x:row r="333">
      <x:c r="A333" t="inlineStr">
        <x:is>
          <x:t xml:space="preserve">EPPGENPTA266</x:t>
        </x:is>
      </x:c>
      <x:c r="B333" t="inlineStr">
        <x:is>
          <x:t xml:space="preserve">SOBRE LENTE OSCURO</x:t>
        </x:is>
      </x:c>
      <x:c r="C333" s="8" t="n">
        <x:v>23</x:v>
      </x:c>
      <x:c r="D333" s="8" t="n">
        <x:v>0</x:v>
      </x:c>
      <x:c r="E333" s="8" t="n">
        <x:v>0</x:v>
      </x:c>
      <x:c r="F333" s="8" t="n">
        <x:v>23</x:v>
      </x:c>
      <x:c r="G333" s="9" t="n">
        <x:v>59570</x:v>
      </x:c>
      <x:c r="H333" s="9" t="n">
        <x:v>0</x:v>
      </x:c>
      <x:c r="I333" s="9" t="n">
        <x:v>0</x:v>
      </x:c>
      <x:c r="J333" s="9" t="n">
        <x:v>59570</x:v>
      </x:c>
      <x:c r="K333" s="10" t="n">
        <x:v>2590</x:v>
      </x:c>
    </x:row>
    <x:row r="334">
      <x:c r="A334" t="inlineStr">
        <x:is>
          <x:t xml:space="preserve">EPPGENPTA267</x:t>
        </x:is>
      </x:c>
      <x:c r="B334" t="inlineStr">
        <x:is>
          <x:t xml:space="preserve">FULL FACE MASPROT M2100</x:t>
        </x:is>
      </x:c>
      <x:c r="C334" s="8" t="n">
        <x:v>3</x:v>
      </x:c>
      <x:c r="D334" s="8" t="n">
        <x:v>0</x:v>
      </x:c>
      <x:c r="E334" s="8" t="n">
        <x:v>0</x:v>
      </x:c>
      <x:c r="F334" s="8" t="n">
        <x:v>3</x:v>
      </x:c>
      <x:c r="G334" s="9" t="n">
        <x:v>177408</x:v>
      </x:c>
      <x:c r="H334" s="9" t="n">
        <x:v>0</x:v>
      </x:c>
      <x:c r="I334" s="9" t="n">
        <x:v>0</x:v>
      </x:c>
      <x:c r="J334" s="9" t="n">
        <x:v>177408</x:v>
      </x:c>
      <x:c r="K334" s="10" t="n">
        <x:v>59136</x:v>
      </x:c>
    </x:row>
    <x:row r="335">
      <x:c r="A335" t="inlineStr">
        <x:is>
          <x:t xml:space="preserve">EPPGENPTA269</x:t>
        </x:is>
      </x:c>
      <x:c r="B335" t="inlineStr">
        <x:is>
          <x:t xml:space="preserve">FILTRO AIR F600 VGP3 A1E1 P3 R</x:t>
        </x:is>
      </x:c>
      <x:c r="C335" s="8" t="n">
        <x:v>10</x:v>
      </x:c>
      <x:c r="D335" s="8" t="n">
        <x:v>0</x:v>
      </x:c>
      <x:c r="E335" s="8" t="n">
        <x:v>0</x:v>
      </x:c>
      <x:c r="F335" s="8" t="n">
        <x:v>10</x:v>
      </x:c>
      <x:c r="G335" s="9" t="n">
        <x:v>112945</x:v>
      </x:c>
      <x:c r="H335" s="9" t="n">
        <x:v>0</x:v>
      </x:c>
      <x:c r="I335" s="9" t="n">
        <x:v>0</x:v>
      </x:c>
      <x:c r="J335" s="9" t="n">
        <x:v>112945</x:v>
      </x:c>
      <x:c r="K335" s="10" t="n">
        <x:v>11294.209441</x:v>
      </x:c>
    </x:row>
    <x:row r="336">
      <x:c r="A336" t="inlineStr">
        <x:is>
          <x:t xml:space="preserve">EPPGENPTA275</x:t>
        </x:is>
      </x:c>
      <x:c r="B336" t="inlineStr">
        <x:is>
          <x:t xml:space="preserve">Lente Activex FX III sellado Claro</x:t>
        </x:is>
      </x:c>
      <x:c r="C336" s="8" t="n">
        <x:v>48</x:v>
      </x:c>
      <x:c r="D336" s="8" t="n">
        <x:v>0</x:v>
      </x:c>
      <x:c r="E336" s="8" t="n">
        <x:v>0</x:v>
      </x:c>
      <x:c r="F336" s="8" t="n">
        <x:v>48</x:v>
      </x:c>
      <x:c r="G336" s="9" t="n">
        <x:v>92642</x:v>
      </x:c>
      <x:c r="H336" s="9" t="n">
        <x:v>0</x:v>
      </x:c>
      <x:c r="I336" s="9" t="n">
        <x:v>0</x:v>
      </x:c>
      <x:c r="J336" s="9" t="n">
        <x:v>92642</x:v>
      </x:c>
      <x:c r="K336" s="10" t="n">
        <x:v>1930</x:v>
      </x:c>
    </x:row>
    <x:row r="337">
      <x:c r="A337" t="inlineStr">
        <x:is>
          <x:t xml:space="preserve">EPPGENPTA276</x:t>
        </x:is>
      </x:c>
      <x:c r="B337" t="inlineStr">
        <x:is>
          <x:t xml:space="preserve">Lente Activex FX III sellado Gris</x:t>
        </x:is>
      </x:c>
      <x:c r="C337" s="8" t="n">
        <x:v>12</x:v>
      </x:c>
      <x:c r="D337" s="8" t="n">
        <x:v>0</x:v>
      </x:c>
      <x:c r="E337" s="8" t="n">
        <x:v>0</x:v>
      </x:c>
      <x:c r="F337" s="8" t="n">
        <x:v>12</x:v>
      </x:c>
      <x:c r="G337" s="9" t="n">
        <x:v>23160</x:v>
      </x:c>
      <x:c r="H337" s="9" t="n">
        <x:v>0</x:v>
      </x:c>
      <x:c r="I337" s="9" t="n">
        <x:v>0</x:v>
      </x:c>
      <x:c r="J337" s="9" t="n">
        <x:v>23160</x:v>
      </x:c>
      <x:c r="K337" s="10" t="n">
        <x:v>1930</x:v>
      </x:c>
    </x:row>
    <x:row r="338">
      <x:c r="A338" t="inlineStr">
        <x:is>
          <x:t xml:space="preserve">EPPGENPTA282</x:t>
        </x:is>
      </x:c>
      <x:c r="B338" t="inlineStr">
        <x:is>
          <x:t xml:space="preserve">RESPIRADOR (EX-AIR S603) M/ROSTRO TPR AIR S900L T/M</x:t>
        </x:is>
      </x:c>
      <x:c r="C338" s="8" t="n">
        <x:v>6</x:v>
      </x:c>
      <x:c r="D338" s="8" t="n">
        <x:v>0</x:v>
      </x:c>
      <x:c r="E338" s="8" t="n">
        <x:v>0</x:v>
      </x:c>
      <x:c r="F338" s="8" t="n">
        <x:v>6</x:v>
      </x:c>
      <x:c r="G338" s="9" t="n">
        <x:v>49133</x:v>
      </x:c>
      <x:c r="H338" s="9" t="n">
        <x:v>0</x:v>
      </x:c>
      <x:c r="I338" s="9" t="n">
        <x:v>0</x:v>
      </x:c>
      <x:c r="J338" s="9" t="n">
        <x:v>49133</x:v>
      </x:c>
      <x:c r="K338" s="10" t="n">
        <x:v>8188.841755</x:v>
      </x:c>
    </x:row>
    <x:row r="339">
      <x:c r="A339" t="inlineStr">
        <x:is>
          <x:t xml:space="preserve">EPPGENPTA283</x:t>
        </x:is>
      </x:c>
      <x:c r="B339" t="inlineStr">
        <x:is>
          <x:t xml:space="preserve">RESPIRADOR (EX-AIR S603) M/ROSTRO TPR AIR S900L T/L</x:t>
        </x:is>
      </x:c>
      <x:c r="C339" s="8" t="n">
        <x:v>23</x:v>
      </x:c>
      <x:c r="D339" s="8" t="n">
        <x:v>0</x:v>
      </x:c>
      <x:c r="E339" s="8" t="n">
        <x:v>0</x:v>
      </x:c>
      <x:c r="F339" s="8" t="n">
        <x:v>23</x:v>
      </x:c>
      <x:c r="G339" s="9" t="n">
        <x:v>619165</x:v>
      </x:c>
      <x:c r="H339" s="9" t="n">
        <x:v>0</x:v>
      </x:c>
      <x:c r="I339" s="9" t="n">
        <x:v>0</x:v>
      </x:c>
      <x:c r="J339" s="9" t="n">
        <x:v>619165</x:v>
      </x:c>
      <x:c r="K339" s="10" t="n">
        <x:v>26920.228249</x:v>
      </x:c>
    </x:row>
    <x:row r="340">
      <x:c r="A340" t="inlineStr">
        <x:is>
          <x:t xml:space="preserve">EPPGENPTA284</x:t>
        </x:is>
      </x:c>
      <x:c r="B340" t="inlineStr">
        <x:is>
          <x:t xml:space="preserve">LENTE OSCURO SELLADO GENERICO</x:t>
        </x:is>
      </x:c>
      <x:c r="C340" s="8" t="n">
        <x:v>54</x:v>
      </x:c>
      <x:c r="D340" s="8" t="n">
        <x:v>0</x:v>
      </x:c>
      <x:c r="E340" s="8" t="n">
        <x:v>0</x:v>
      </x:c>
      <x:c r="F340" s="8" t="n">
        <x:v>54</x:v>
      </x:c>
      <x:c r="G340" s="9" t="n">
        <x:v>117720</x:v>
      </x:c>
      <x:c r="H340" s="9" t="n">
        <x:v>0</x:v>
      </x:c>
      <x:c r="I340" s="9" t="n">
        <x:v>0</x:v>
      </x:c>
      <x:c r="J340" s="9" t="n">
        <x:v>117720</x:v>
      </x:c>
      <x:c r="K340" s="10" t="n">
        <x:v>2180</x:v>
      </x:c>
    </x:row>
    <x:row r="341">
      <x:c r="A341" t="inlineStr">
        <x:is>
          <x:t xml:space="preserve">EPPGENPTA285</x:t>
        </x:is>
      </x:c>
      <x:c r="B341" t="inlineStr">
        <x:is>
          <x:t xml:space="preserve">BUZO ANTIACIDO CON REFLECTANTE TALLA S</x:t>
        </x:is>
      </x:c>
      <x:c r="C341" s="8" t="n">
        <x:v>2</x:v>
      </x:c>
      <x:c r="D341" s="8" t="n">
        <x:v>0</x:v>
      </x:c>
      <x:c r="E341" s="8" t="n">
        <x:v>0</x:v>
      </x:c>
      <x:c r="F341" s="8" t="n">
        <x:v>2</x:v>
      </x:c>
      <x:c r="G341" s="9" t="n">
        <x:v>24920</x:v>
      </x:c>
      <x:c r="H341" s="9" t="n">
        <x:v>0</x:v>
      </x:c>
      <x:c r="I341" s="9" t="n">
        <x:v>0</x:v>
      </x:c>
      <x:c r="J341" s="9" t="n">
        <x:v>24920</x:v>
      </x:c>
      <x:c r="K341" s="10" t="n">
        <x:v>12460</x:v>
      </x:c>
    </x:row>
    <x:row r="342">
      <x:c r="A342" t="inlineStr">
        <x:is>
          <x:t xml:space="preserve">EPPGENPTA287</x:t>
        </x:is>
      </x:c>
      <x:c r="B342" t="inlineStr">
        <x:is>
          <x:t xml:space="preserve">ZAPATO GENERICO TERRENO TALLA 39</x:t>
        </x:is>
      </x:c>
      <x:c r="C342" s="8" t="n">
        <x:v>1</x:v>
      </x:c>
      <x:c r="D342" s="8" t="n">
        <x:v>0</x:v>
      </x:c>
      <x:c r="E342" s="8" t="n">
        <x:v>0</x:v>
      </x:c>
      <x:c r="F342" s="8" t="n">
        <x:v>1</x:v>
      </x:c>
      <x:c r="G342" s="9" t="n">
        <x:v>17250</x:v>
      </x:c>
      <x:c r="H342" s="9" t="n">
        <x:v>0</x:v>
      </x:c>
      <x:c r="I342" s="9" t="n">
        <x:v>0</x:v>
      </x:c>
      <x:c r="J342" s="9" t="n">
        <x:v>17250</x:v>
      </x:c>
      <x:c r="K342" s="10" t="n">
        <x:v>17250</x:v>
      </x:c>
    </x:row>
    <x:row r="343">
      <x:c r="A343" t="inlineStr">
        <x:is>
          <x:t xml:space="preserve">EPPGENPTA288</x:t>
        </x:is>
      </x:c>
      <x:c r="B343" t="inlineStr">
        <x:is>
          <x:t xml:space="preserve">ZAPATO GENERICO TERRENO TALLA 40</x:t>
        </x:is>
      </x:c>
      <x:c r="C343" s="8" t="n">
        <x:v>3</x:v>
      </x:c>
      <x:c r="D343" s="8" t="n">
        <x:v>0</x:v>
      </x:c>
      <x:c r="E343" s="8" t="n">
        <x:v>1</x:v>
      </x:c>
      <x:c r="F343" s="8" t="n">
        <x:v>2</x:v>
      </x:c>
      <x:c r="G343" s="9" t="n">
        <x:v>78720</x:v>
      </x:c>
      <x:c r="H343" s="9" t="n">
        <x:v>0</x:v>
      </x:c>
      <x:c r="I343" s="9" t="n">
        <x:v>26240</x:v>
      </x:c>
      <x:c r="J343" s="9" t="n">
        <x:v>52480</x:v>
      </x:c>
      <x:c r="K343" s="10" t="n">
        <x:v>26240</x:v>
      </x:c>
    </x:row>
    <x:row r="344">
      <x:c r="A344" t="inlineStr">
        <x:is>
          <x:t xml:space="preserve">EPPGENPTA289</x:t>
        </x:is>
      </x:c>
      <x:c r="B344" t="inlineStr">
        <x:is>
          <x:t xml:space="preserve">ZAPATO GENERICO TERRENO TALLA 41</x:t>
        </x:is>
      </x:c>
      <x:c r="C344" s="8" t="n">
        <x:v>2</x:v>
      </x:c>
      <x:c r="D344" s="8" t="n">
        <x:v>0</x:v>
      </x:c>
      <x:c r="E344" s="8" t="n">
        <x:v>2</x:v>
      </x:c>
      <x:c r="F344" s="8" t="n">
        <x:v>0</x:v>
      </x:c>
      <x:c r="G344" s="9" t="n">
        <x:v>34500</x:v>
      </x:c>
      <x:c r="H344" s="9" t="n">
        <x:v>0</x:v>
      </x:c>
      <x:c r="I344" s="9" t="n">
        <x:v>34500</x:v>
      </x:c>
      <x:c r="J344" s="9" t="n">
        <x:v>0</x:v>
      </x:c>
      <x:c r="K344" s="10" t="n">
        <x:v>17250</x:v>
      </x:c>
    </x:row>
    <x:row r="345">
      <x:c r="A345" t="inlineStr">
        <x:is>
          <x:t xml:space="preserve">EPPGENPTA292</x:t>
        </x:is>
      </x:c>
      <x:c r="B345" t="inlineStr">
        <x:is>
          <x:t xml:space="preserve">ZAPATO GENERICO TERRENO TALLA 44</x:t>
        </x:is>
      </x:c>
      <x:c r="C345" s="8" t="n">
        <x:v>4</x:v>
      </x:c>
      <x:c r="D345" s="8" t="n">
        <x:v>0</x:v>
      </x:c>
      <x:c r="E345" s="8" t="n">
        <x:v>0</x:v>
      </x:c>
      <x:c r="F345" s="8" t="n">
        <x:v>4</x:v>
      </x:c>
      <x:c r="G345" s="9" t="n">
        <x:v>69000</x:v>
      </x:c>
      <x:c r="H345" s="9" t="n">
        <x:v>0</x:v>
      </x:c>
      <x:c r="I345" s="9" t="n">
        <x:v>0</x:v>
      </x:c>
      <x:c r="J345" s="9" t="n">
        <x:v>69000</x:v>
      </x:c>
      <x:c r="K345" s="10" t="n">
        <x:v>17250</x:v>
      </x:c>
    </x:row>
    <x:row r="346">
      <x:c r="A346" t="inlineStr">
        <x:is>
          <x:t xml:space="preserve">EPPGENPTA293</x:t>
        </x:is>
      </x:c>
      <x:c r="B346" t="inlineStr">
        <x:is>
          <x:t xml:space="preserve">ZAPATO GENERICO TERRENO TALLA 45</x:t>
        </x:is>
      </x:c>
      <x:c r="C346" s="8" t="n">
        <x:v>3</x:v>
      </x:c>
      <x:c r="D346" s="8" t="n">
        <x:v>0</x:v>
      </x:c>
      <x:c r="E346" s="8" t="n">
        <x:v>0</x:v>
      </x:c>
      <x:c r="F346" s="8" t="n">
        <x:v>3</x:v>
      </x:c>
      <x:c r="G346" s="9" t="n">
        <x:v>45000</x:v>
      </x:c>
      <x:c r="H346" s="9" t="n">
        <x:v>0</x:v>
      </x:c>
      <x:c r="I346" s="9" t="n">
        <x:v>0</x:v>
      </x:c>
      <x:c r="J346" s="9" t="n">
        <x:v>45000</x:v>
      </x:c>
      <x:c r="K346" s="10" t="n">
        <x:v>15000</x:v>
      </x:c>
    </x:row>
    <x:row r="347">
      <x:c r="A347" t="inlineStr">
        <x:is>
          <x:t xml:space="preserve">EPPGENPTA295</x:t>
        </x:is>
      </x:c>
      <x:c r="B347" t="inlineStr">
        <x:is>
          <x:t xml:space="preserve">LENTE CLARO SELLADO GENERICO</x:t>
        </x:is>
      </x:c>
      <x:c r="C347" s="8" t="n">
        <x:v>119</x:v>
      </x:c>
      <x:c r="D347" s="8" t="n">
        <x:v>0</x:v>
      </x:c>
      <x:c r="E347" s="8" t="n">
        <x:v>0</x:v>
      </x:c>
      <x:c r="F347" s="8" t="n">
        <x:v>119</x:v>
      </x:c>
      <x:c r="G347" s="9" t="n">
        <x:v>259418</x:v>
      </x:c>
      <x:c r="H347" s="9" t="n">
        <x:v>0</x:v>
      </x:c>
      <x:c r="I347" s="9" t="n">
        <x:v>0</x:v>
      </x:c>
      <x:c r="J347" s="9" t="n">
        <x:v>259418</x:v>
      </x:c>
      <x:c r="K347" s="10" t="n">
        <x:v>2180</x:v>
      </x:c>
    </x:row>
    <x:row r="348">
      <x:c r="A348" t="inlineStr">
        <x:is>
          <x:t xml:space="preserve">EPPGENPTA296</x:t>
        </x:is>
      </x:c>
      <x:c r="B348" t="inlineStr">
        <x:is>
          <x:t xml:space="preserve">CONO DE SEÑALIZACION DE 36 PULGADAS</x:t>
        </x:is>
      </x:c>
      <x:c r="C348" s="8" t="n">
        <x:v>20</x:v>
      </x:c>
      <x:c r="D348" s="8" t="n">
        <x:v>0</x:v>
      </x:c>
      <x:c r="E348" s="8" t="n">
        <x:v>0</x:v>
      </x:c>
      <x:c r="F348" s="8" t="n">
        <x:v>20</x:v>
      </x:c>
      <x:c r="G348" s="9" t="n">
        <x:v>175300</x:v>
      </x:c>
      <x:c r="H348" s="9" t="n">
        <x:v>0</x:v>
      </x:c>
      <x:c r="I348" s="9" t="n">
        <x:v>0</x:v>
      </x:c>
      <x:c r="J348" s="9" t="n">
        <x:v>175300</x:v>
      </x:c>
      <x:c r="K348" s="10" t="n">
        <x:v>8765</x:v>
      </x:c>
    </x:row>
    <x:row r="349">
      <x:c r="A349" t="inlineStr">
        <x:is>
          <x:t xml:space="preserve">EPPGENPTA298</x:t>
        </x:is>
      </x:c>
      <x:c r="B349" t="inlineStr">
        <x:is>
          <x:t xml:space="preserve">GUANTES QUIRURGICOS AZULES PURESHIELD  (CAJA DE 50 UNID) L</x:t>
        </x:is>
      </x:c>
      <x:c r="C349" s="8" t="n">
        <x:v>7</x:v>
      </x:c>
      <x:c r="D349" s="8" t="n">
        <x:v>0</x:v>
      </x:c>
      <x:c r="E349" s="8" t="n">
        <x:v>0</x:v>
      </x:c>
      <x:c r="F349" s="8" t="n">
        <x:v>7</x:v>
      </x:c>
      <x:c r="G349" s="9" t="n">
        <x:v>57400</x:v>
      </x:c>
      <x:c r="H349" s="9" t="n">
        <x:v>0</x:v>
      </x:c>
      <x:c r="I349" s="9" t="n">
        <x:v>0</x:v>
      </x:c>
      <x:c r="J349" s="9" t="n">
        <x:v>57400</x:v>
      </x:c>
      <x:c r="K349" s="10" t="n">
        <x:v>8200</x:v>
      </x:c>
    </x:row>
    <x:row r="350">
      <x:c r="A350" t="inlineStr">
        <x:is>
          <x:t xml:space="preserve">EPPGENPTA302</x:t>
        </x:is>
      </x:c>
      <x:c r="B350" t="inlineStr">
        <x:is>
          <x:t xml:space="preserve">RESPIRADOR FULL FACE SMALL ZICE FULL FACE PIECE 4 EA/CS TALLA S</x:t>
        </x:is>
      </x:c>
      <x:c r="C350" s="8" t="n">
        <x:v>1</x:v>
      </x:c>
      <x:c r="D350" s="8" t="n">
        <x:v>0</x:v>
      </x:c>
      <x:c r="E350" s="8" t="n">
        <x:v>0</x:v>
      </x:c>
      <x:c r="F350" s="8" t="n">
        <x:v>1</x:v>
      </x:c>
      <x:c r="G350" s="9" t="n">
        <x:v>10000</x:v>
      </x:c>
      <x:c r="H350" s="9" t="n">
        <x:v>0</x:v>
      </x:c>
      <x:c r="I350" s="9" t="n">
        <x:v>0</x:v>
      </x:c>
      <x:c r="J350" s="9" t="n">
        <x:v>10000</x:v>
      </x:c>
      <x:c r="K350" s="10" t="n">
        <x:v>10000</x:v>
      </x:c>
    </x:row>
    <x:row r="351">
      <x:c r="A351" t="inlineStr">
        <x:is>
          <x:t xml:space="preserve">EPPGENPTA304</x:t>
        </x:is>
      </x:c>
      <x:c r="B351" t="inlineStr">
        <x:is>
          <x:t xml:space="preserve">RESPIRADOR FULL FACE LARGE SICE FULL FACE PIECE 4 EA/CS TALLA L</x:t>
        </x:is>
      </x:c>
      <x:c r="C351" s="8" t="n">
        <x:v>14</x:v>
      </x:c>
      <x:c r="D351" s="8" t="n">
        <x:v>0</x:v>
      </x:c>
      <x:c r="E351" s="8" t="n">
        <x:v>0</x:v>
      </x:c>
      <x:c r="F351" s="8" t="n">
        <x:v>14</x:v>
      </x:c>
      <x:c r="G351" s="9" t="n">
        <x:v>106669</x:v>
      </x:c>
      <x:c r="H351" s="9" t="n">
        <x:v>0</x:v>
      </x:c>
      <x:c r="I351" s="9" t="n">
        <x:v>0</x:v>
      </x:c>
      <x:c r="J351" s="9" t="n">
        <x:v>106669</x:v>
      </x:c>
      <x:c r="K351" s="10" t="n">
        <x:v>7619.285714</x:v>
      </x:c>
    </x:row>
    <x:row r="352">
      <x:c r="A352" t="inlineStr">
        <x:is>
          <x:t xml:space="preserve">EPPGENPTA307</x:t>
        </x:is>
      </x:c>
      <x:c r="B352" t="inlineStr">
        <x:is>
          <x:t xml:space="preserve">BOLSA MOCHILA AZUL LOGO INVENIO</x:t>
        </x:is>
      </x:c>
      <x:c r="C352" s="8" t="n">
        <x:v>81</x:v>
      </x:c>
      <x:c r="D352" s="8" t="n">
        <x:v>100</x:v>
      </x:c>
      <x:c r="E352" s="8" t="n">
        <x:v>0</x:v>
      </x:c>
      <x:c r="F352" s="8" t="n">
        <x:v>181</x:v>
      </x:c>
      <x:c r="G352" s="9" t="n">
        <x:v>242190</x:v>
      </x:c>
      <x:c r="H352" s="9" t="n">
        <x:v>299000</x:v>
      </x:c>
      <x:c r="I352" s="9" t="n">
        <x:v>0</x:v>
      </x:c>
      <x:c r="J352" s="9" t="n">
        <x:v>541190</x:v>
      </x:c>
      <x:c r="K352" s="10" t="n">
        <x:v>2990</x:v>
      </x:c>
    </x:row>
    <x:row r="353">
      <x:c r="A353" t="inlineStr">
        <x:is>
          <x:t xml:space="preserve">EPPGENPTA309</x:t>
        </x:is>
      </x:c>
      <x:c r="B353" t="inlineStr">
        <x:is>
          <x:t xml:space="preserve">CABO DE VIDA  ACERO CON MOSQUETON</x:t>
        </x:is>
      </x:c>
      <x:c r="C353" s="8" t="n">
        <x:v>27</x:v>
      </x:c>
      <x:c r="D353" s="8" t="n">
        <x:v>0</x:v>
      </x:c>
      <x:c r="E353" s="8" t="n">
        <x:v>0</x:v>
      </x:c>
      <x:c r="F353" s="8" t="n">
        <x:v>27</x:v>
      </x:c>
      <x:c r="G353" s="9" t="n">
        <x:v>324000</x:v>
      </x:c>
      <x:c r="H353" s="9" t="n">
        <x:v>0</x:v>
      </x:c>
      <x:c r="I353" s="9" t="n">
        <x:v>0</x:v>
      </x:c>
      <x:c r="J353" s="9" t="n">
        <x:v>324000</x:v>
      </x:c>
      <x:c r="K353" s="10" t="n">
        <x:v>12000</x:v>
      </x:c>
    </x:row>
    <x:row r="354">
      <x:c r="A354" t="inlineStr">
        <x:is>
          <x:t xml:space="preserve">EPPGENPTA310</x:t>
        </x:is>
      </x:c>
      <x:c r="B354" t="inlineStr">
        <x:is>
          <x:t xml:space="preserve">Boquillas Alcotest DA-8000 ( Bolsa 100 unid )</x:t>
        </x:is>
      </x:c>
      <x:c r="C354" s="8" t="n">
        <x:v>2</x:v>
      </x:c>
      <x:c r="D354" s="8" t="n">
        <x:v>0</x:v>
      </x:c>
      <x:c r="E354" s="8" t="n">
        <x:v>0</x:v>
      </x:c>
      <x:c r="F354" s="8" t="n">
        <x:v>2</x:v>
      </x:c>
      <x:c r="G354" s="9" t="n">
        <x:v>87376</x:v>
      </x:c>
      <x:c r="H354" s="9" t="n">
        <x:v>0</x:v>
      </x:c>
      <x:c r="I354" s="9" t="n">
        <x:v>0</x:v>
      </x:c>
      <x:c r="J354" s="9" t="n">
        <x:v>87376</x:v>
      </x:c>
      <x:c r="K354" s="10" t="n">
        <x:v>43688</x:v>
      </x:c>
    </x:row>
    <x:row r="355">
      <x:c r="A355" t="inlineStr">
        <x:is>
          <x:t xml:space="preserve">EPPGENPTA311</x:t>
        </x:is>
      </x:c>
      <x:c r="B355" t="inlineStr">
        <x:is>
          <x:t xml:space="preserve">ANPHOTEROL PERSONAL 100ML</x:t>
        </x:is>
      </x:c>
      <x:c r="C355" s="8" t="n">
        <x:v>20</x:v>
      </x:c>
      <x:c r="D355" s="8" t="n">
        <x:v>0</x:v>
      </x:c>
      <x:c r="E355" s="8" t="n">
        <x:v>0</x:v>
      </x:c>
      <x:c r="F355" s="8" t="n">
        <x:v>20</x:v>
      </x:c>
      <x:c r="G355" s="9" t="n">
        <x:v>1085060</x:v>
      </x:c>
      <x:c r="H355" s="9" t="n">
        <x:v>0</x:v>
      </x:c>
      <x:c r="I355" s="9" t="n">
        <x:v>0</x:v>
      </x:c>
      <x:c r="J355" s="9" t="n">
        <x:v>1085060</x:v>
      </x:c>
      <x:c r="K355" s="10" t="n">
        <x:v>54253</x:v>
      </x:c>
    </x:row>
    <x:row r="356">
      <x:c r="A356" t="inlineStr">
        <x:is>
          <x:t xml:space="preserve">EPPGENPTA312</x:t>
        </x:is>
      </x:c>
      <x:c r="B356" t="inlineStr">
        <x:is>
          <x:t xml:space="preserve">FILTRO BLS 226 ABE103R GAS VAP ORG INORG</x:t>
        </x:is>
      </x:c>
      <x:c r="C356" s="8" t="n">
        <x:v>139</x:v>
      </x:c>
      <x:c r="D356" s="8" t="n">
        <x:v>0</x:v>
      </x:c>
      <x:c r="E356" s="8" t="n">
        <x:v>0</x:v>
      </x:c>
      <x:c r="F356" s="8" t="n">
        <x:v>139</x:v>
      </x:c>
      <x:c r="G356" s="9" t="n">
        <x:v>2182300</x:v>
      </x:c>
      <x:c r="H356" s="9" t="n">
        <x:v>0</x:v>
      </x:c>
      <x:c r="I356" s="9" t="n">
        <x:v>0</x:v>
      </x:c>
      <x:c r="J356" s="9" t="n">
        <x:v>2182300</x:v>
      </x:c>
      <x:c r="K356" s="10" t="n">
        <x:v>15700</x:v>
      </x:c>
    </x:row>
    <x:row r="357">
      <x:c r="A357" t="inlineStr">
        <x:is>
          <x:t xml:space="preserve">EPPGENPTA313</x:t>
        </x:is>
      </x:c>
      <x:c r="B357" t="inlineStr">
        <x:is>
          <x:t xml:space="preserve">GUANTES DE CABRITILLA SIN FORRO T-L</x:t>
        </x:is>
      </x:c>
      <x:c r="C357" s="8" t="n">
        <x:v>60</x:v>
      </x:c>
      <x:c r="D357" s="8" t="n">
        <x:v>0</x:v>
      </x:c>
      <x:c r="E357" s="8" t="n">
        <x:v>2</x:v>
      </x:c>
      <x:c r="F357" s="8" t="n">
        <x:v>58</x:v>
      </x:c>
      <x:c r="G357" s="9" t="n">
        <x:v>71400</x:v>
      </x:c>
      <x:c r="H357" s="9" t="n">
        <x:v>0</x:v>
      </x:c>
      <x:c r="I357" s="9" t="n">
        <x:v>2380</x:v>
      </x:c>
      <x:c r="J357" s="9" t="n">
        <x:v>69020</x:v>
      </x:c>
      <x:c r="K357" s="10" t="n">
        <x:v>1190</x:v>
      </x:c>
    </x:row>
    <x:row r="358">
      <x:c r="A358" t="inlineStr">
        <x:is>
          <x:t xml:space="preserve">EPPGENPTA314</x:t>
        </x:is>
      </x:c>
      <x:c r="B358" t="inlineStr">
        <x:is>
          <x:t xml:space="preserve">ARNES DE SEGURIDAD (PARACAIDISTA) 3 ARGOLLAS TALLA XXL</x:t>
        </x:is>
      </x:c>
      <x:c r="C358" s="8" t="n">
        <x:v>10</x:v>
      </x:c>
      <x:c r="D358" s="8" t="n">
        <x:v>0</x:v>
      </x:c>
      <x:c r="E358" s="8" t="n">
        <x:v>0</x:v>
      </x:c>
      <x:c r="F358" s="8" t="n">
        <x:v>10</x:v>
      </x:c>
      <x:c r="G358" s="9" t="n">
        <x:v>76300</x:v>
      </x:c>
      <x:c r="H358" s="9" t="n">
        <x:v>0</x:v>
      </x:c>
      <x:c r="I358" s="9" t="n">
        <x:v>0</x:v>
      </x:c>
      <x:c r="J358" s="9" t="n">
        <x:v>76300</x:v>
      </x:c>
      <x:c r="K358" s="10" t="n">
        <x:v>7630</x:v>
      </x:c>
    </x:row>
    <x:row r="359">
      <x:c r="A359" t="inlineStr">
        <x:is>
          <x:t xml:space="preserve">EPPGENPTA315</x:t>
        </x:is>
      </x:c>
      <x:c r="B359" t="inlineStr">
        <x:is>
          <x:t xml:space="preserve">BOTIN BUNKER TORONTO N°39</x:t>
        </x:is>
      </x:c>
      <x:c r="C359" s="8" t="n">
        <x:v>3</x:v>
      </x:c>
      <x:c r="D359" s="8" t="n">
        <x:v>0</x:v>
      </x:c>
      <x:c r="E359" s="8" t="n">
        <x:v>0</x:v>
      </x:c>
      <x:c r="F359" s="8" t="n">
        <x:v>3</x:v>
      </x:c>
      <x:c r="G359" s="9" t="n">
        <x:v>75960</x:v>
      </x:c>
      <x:c r="H359" s="9" t="n">
        <x:v>0</x:v>
      </x:c>
      <x:c r="I359" s="9" t="n">
        <x:v>0</x:v>
      </x:c>
      <x:c r="J359" s="9" t="n">
        <x:v>75960</x:v>
      </x:c>
      <x:c r="K359" s="10" t="n">
        <x:v>25320</x:v>
      </x:c>
    </x:row>
    <x:row r="360">
      <x:c r="A360" t="inlineStr">
        <x:is>
          <x:t xml:space="preserve">EPPGENPTA316</x:t>
        </x:is>
      </x:c>
      <x:c r="B360" t="inlineStr">
        <x:is>
          <x:t xml:space="preserve">BOTIN BUNKER TORONTO N°40</x:t>
        </x:is>
      </x:c>
      <x:c r="C360" s="8" t="n">
        <x:v>6</x:v>
      </x:c>
      <x:c r="D360" s="8" t="n">
        <x:v>0</x:v>
      </x:c>
      <x:c r="E360" s="8" t="n">
        <x:v>0</x:v>
      </x:c>
      <x:c r="F360" s="8" t="n">
        <x:v>6</x:v>
      </x:c>
      <x:c r="G360" s="9" t="n">
        <x:v>151920</x:v>
      </x:c>
      <x:c r="H360" s="9" t="n">
        <x:v>0</x:v>
      </x:c>
      <x:c r="I360" s="9" t="n">
        <x:v>0</x:v>
      </x:c>
      <x:c r="J360" s="9" t="n">
        <x:v>151920</x:v>
      </x:c>
      <x:c r="K360" s="10" t="n">
        <x:v>25320</x:v>
      </x:c>
    </x:row>
    <x:row r="361">
      <x:c r="A361" t="inlineStr">
        <x:is>
          <x:t xml:space="preserve">EPPGENPTA317</x:t>
        </x:is>
      </x:c>
      <x:c r="B361" t="inlineStr">
        <x:is>
          <x:t xml:space="preserve">BOTIN BUNKER TORONTO N°41</x:t>
        </x:is>
      </x:c>
      <x:c r="C361" s="8" t="n">
        <x:v>6</x:v>
      </x:c>
      <x:c r="D361" s="8" t="n">
        <x:v>0</x:v>
      </x:c>
      <x:c r="E361" s="8" t="n">
        <x:v>0</x:v>
      </x:c>
      <x:c r="F361" s="8" t="n">
        <x:v>6</x:v>
      </x:c>
      <x:c r="G361" s="9" t="n">
        <x:v>151920</x:v>
      </x:c>
      <x:c r="H361" s="9" t="n">
        <x:v>0</x:v>
      </x:c>
      <x:c r="I361" s="9" t="n">
        <x:v>0</x:v>
      </x:c>
      <x:c r="J361" s="9" t="n">
        <x:v>151920</x:v>
      </x:c>
      <x:c r="K361" s="10" t="n">
        <x:v>25320</x:v>
      </x:c>
    </x:row>
    <x:row r="362">
      <x:c r="A362" t="inlineStr">
        <x:is>
          <x:t xml:space="preserve">EPPGENPTA318</x:t>
        </x:is>
      </x:c>
      <x:c r="B362" t="inlineStr">
        <x:is>
          <x:t xml:space="preserve">BOTIN BUNKER TORONTO N°42</x:t>
        </x:is>
      </x:c>
      <x:c r="C362" s="8" t="n">
        <x:v>6</x:v>
      </x:c>
      <x:c r="D362" s="8" t="n">
        <x:v>0</x:v>
      </x:c>
      <x:c r="E362" s="8" t="n">
        <x:v>0</x:v>
      </x:c>
      <x:c r="F362" s="8" t="n">
        <x:v>6</x:v>
      </x:c>
      <x:c r="G362" s="9" t="n">
        <x:v>151920</x:v>
      </x:c>
      <x:c r="H362" s="9" t="n">
        <x:v>0</x:v>
      </x:c>
      <x:c r="I362" s="9" t="n">
        <x:v>0</x:v>
      </x:c>
      <x:c r="J362" s="9" t="n">
        <x:v>151920</x:v>
      </x:c>
      <x:c r="K362" s="10" t="n">
        <x:v>25320</x:v>
      </x:c>
    </x:row>
    <x:row r="363">
      <x:c r="A363" t="inlineStr">
        <x:is>
          <x:t xml:space="preserve">EPPGENPTA322</x:t>
        </x:is>
      </x:c>
      <x:c r="B363" t="inlineStr">
        <x:is>
          <x:t xml:space="preserve">GUANTE CUT 5 ANTIIMPACTO TALLA M</x:t>
        </x:is>
      </x:c>
      <x:c r="C363" s="8" t="n">
        <x:v>5</x:v>
      </x:c>
      <x:c r="D363" s="8" t="n">
        <x:v>0</x:v>
      </x:c>
      <x:c r="E363" s="8" t="n">
        <x:v>0</x:v>
      </x:c>
      <x:c r="F363" s="8" t="n">
        <x:v>5</x:v>
      </x:c>
      <x:c r="G363" s="9" t="n">
        <x:v>23400</x:v>
      </x:c>
      <x:c r="H363" s="9" t="n">
        <x:v>0</x:v>
      </x:c>
      <x:c r="I363" s="9" t="n">
        <x:v>0</x:v>
      </x:c>
      <x:c r="J363" s="9" t="n">
        <x:v>23400</x:v>
      </x:c>
      <x:c r="K363" s="10" t="n">
        <x:v>4680</x:v>
      </x:c>
    </x:row>
    <x:row r="364">
      <x:c r="A364" t="inlineStr">
        <x:is>
          <x:t xml:space="preserve">EPPGENPTA323</x:t>
        </x:is>
      </x:c>
      <x:c r="B364" t="inlineStr">
        <x:is>
          <x:t xml:space="preserve">GUANTE CUT 5 ANTIIMPACTO TALLA L</x:t>
        </x:is>
      </x:c>
      <x:c r="C364" s="8" t="n">
        <x:v>5</x:v>
      </x:c>
      <x:c r="D364" s="8" t="n">
        <x:v>0</x:v>
      </x:c>
      <x:c r="E364" s="8" t="n">
        <x:v>0</x:v>
      </x:c>
      <x:c r="F364" s="8" t="n">
        <x:v>5</x:v>
      </x:c>
      <x:c r="G364" s="9" t="n">
        <x:v>23400</x:v>
      </x:c>
      <x:c r="H364" s="9" t="n">
        <x:v>0</x:v>
      </x:c>
      <x:c r="I364" s="9" t="n">
        <x:v>0</x:v>
      </x:c>
      <x:c r="J364" s="9" t="n">
        <x:v>23400</x:v>
      </x:c>
      <x:c r="K364" s="10" t="n">
        <x:v>4680</x:v>
      </x:c>
    </x:row>
    <x:row r="365">
      <x:c r="A365" t="inlineStr">
        <x:is>
          <x:t xml:space="preserve">EPPGENPTA324</x:t>
        </x:is>
      </x:c>
      <x:c r="B365" t="inlineStr">
        <x:is>
          <x:t xml:space="preserve">GUANTE CUT 5 ANTIIMPACTO TALLA XL</x:t>
        </x:is>
      </x:c>
      <x:c r="C365" s="8" t="n">
        <x:v>5</x:v>
      </x:c>
      <x:c r="D365" s="8" t="n">
        <x:v>0</x:v>
      </x:c>
      <x:c r="E365" s="8" t="n">
        <x:v>0</x:v>
      </x:c>
      <x:c r="F365" s="8" t="n">
        <x:v>5</x:v>
      </x:c>
      <x:c r="G365" s="9" t="n">
        <x:v>23400</x:v>
      </x:c>
      <x:c r="H365" s="9" t="n">
        <x:v>0</x:v>
      </x:c>
      <x:c r="I365" s="9" t="n">
        <x:v>0</x:v>
      </x:c>
      <x:c r="J365" s="9" t="n">
        <x:v>23400</x:v>
      </x:c>
      <x:c r="K365" s="10" t="n">
        <x:v>4680</x:v>
      </x:c>
    </x:row>
    <x:row r="366">
      <x:c r="A366" t="inlineStr">
        <x:is>
          <x:t xml:space="preserve">EPPGENPTA326</x:t>
        </x:is>
      </x:c>
      <x:c r="B366" t="inlineStr">
        <x:is>
          <x:t xml:space="preserve">GUANTE NITRILO QUIR. AZUL BUNKER T/L (CAJA 100 UN)</x:t>
        </x:is>
      </x:c>
      <x:c r="C366" s="8" t="n">
        <x:v>6</x:v>
      </x:c>
      <x:c r="D366" s="8" t="n">
        <x:v>0</x:v>
      </x:c>
      <x:c r="E366" s="8" t="n">
        <x:v>0</x:v>
      </x:c>
      <x:c r="F366" s="8" t="n">
        <x:v>6</x:v>
      </x:c>
      <x:c r="G366" s="9" t="n">
        <x:v>16200</x:v>
      </x:c>
      <x:c r="H366" s="9" t="n">
        <x:v>0</x:v>
      </x:c>
      <x:c r="I366" s="9" t="n">
        <x:v>0</x:v>
      </x:c>
      <x:c r="J366" s="9" t="n">
        <x:v>16200</x:v>
      </x:c>
      <x:c r="K366" s="10" t="n">
        <x:v>2700</x:v>
      </x:c>
    </x:row>
    <x:row r="367">
      <x:c r="A367" t="inlineStr">
        <x:is>
          <x:t xml:space="preserve">EPPGENPTA327</x:t>
        </x:is>
      </x:c>
      <x:c r="B367" t="inlineStr">
        <x:is>
          <x:t xml:space="preserve">GUANTE NITRILO QUIR. AZUL BUNKER T/M (CAJA 100 UN)</x:t>
        </x:is>
      </x:c>
      <x:c r="C367" s="8" t="n">
        <x:v>5</x:v>
      </x:c>
      <x:c r="D367" s="8" t="n">
        <x:v>0</x:v>
      </x:c>
      <x:c r="E367" s="8" t="n">
        <x:v>0</x:v>
      </x:c>
      <x:c r="F367" s="8" t="n">
        <x:v>5</x:v>
      </x:c>
      <x:c r="G367" s="9" t="n">
        <x:v>13500</x:v>
      </x:c>
      <x:c r="H367" s="9" t="n">
        <x:v>0</x:v>
      </x:c>
      <x:c r="I367" s="9" t="n">
        <x:v>0</x:v>
      </x:c>
      <x:c r="J367" s="9" t="n">
        <x:v>13500</x:v>
      </x:c>
      <x:c r="K367" s="10" t="n">
        <x:v>2700</x:v>
      </x:c>
    </x:row>
    <x:row r="368">
      <x:c r="A368" t="inlineStr">
        <x:is>
          <x:t xml:space="preserve">EPPGENPTA328</x:t>
        </x:is>
      </x:c>
      <x:c r="B368" t="inlineStr">
        <x:is>
          <x:t xml:space="preserve">GUANTE NITRILO QUIR. AZUL BUNKER T/XL (CAJA 100 UN)</x:t>
        </x:is>
      </x:c>
      <x:c r="C368" s="8" t="n">
        <x:v>6</x:v>
      </x:c>
      <x:c r="D368" s="8" t="n">
        <x:v>0</x:v>
      </x:c>
      <x:c r="E368" s="8" t="n">
        <x:v>0</x:v>
      </x:c>
      <x:c r="F368" s="8" t="n">
        <x:v>6</x:v>
      </x:c>
      <x:c r="G368" s="9" t="n">
        <x:v>16200</x:v>
      </x:c>
      <x:c r="H368" s="9" t="n">
        <x:v>0</x:v>
      </x:c>
      <x:c r="I368" s="9" t="n">
        <x:v>0</x:v>
      </x:c>
      <x:c r="J368" s="9" t="n">
        <x:v>16200</x:v>
      </x:c>
      <x:c r="K368" s="10" t="n">
        <x:v>2700</x:v>
      </x:c>
    </x:row>
    <x:row r="369">
      <x:c r="A369" t="inlineStr">
        <x:is>
          <x:t xml:space="preserve">EPPGENPTA331</x:t>
        </x:is>
      </x:c>
      <x:c r="B369" t="inlineStr">
        <x:is>
          <x:t xml:space="preserve">GUANTE NITRILO VERDE T/L</x:t>
        </x:is>
      </x:c>
      <x:c r="C369" s="8" t="n">
        <x:v>130</x:v>
      </x:c>
      <x:c r="D369" s="8" t="n">
        <x:v>50</x:v>
      </x:c>
      <x:c r="E369" s="8" t="n">
        <x:v>0</x:v>
      </x:c>
      <x:c r="F369" s="8" t="n">
        <x:v>180</x:v>
      </x:c>
      <x:c r="G369" s="9" t="n">
        <x:v>101700</x:v>
      </x:c>
      <x:c r="H369" s="9" t="n">
        <x:v>199500</x:v>
      </x:c>
      <x:c r="I369" s="9" t="n">
        <x:v>0</x:v>
      </x:c>
      <x:c r="J369" s="9" t="n">
        <x:v>301200</x:v>
      </x:c>
      <x:c r="K369" s="10" t="n">
        <x:v>1673.333333</x:v>
      </x:c>
    </x:row>
    <x:row r="370">
      <x:c r="A370" t="inlineStr">
        <x:is>
          <x:t xml:space="preserve">EPPGENPTA332</x:t>
        </x:is>
      </x:c>
      <x:c r="B370" t="inlineStr">
        <x:is>
          <x:t xml:space="preserve">GUANTE NITRILO VERDE T/M</x:t>
        </x:is>
      </x:c>
      <x:c r="C370" s="8" t="n">
        <x:v>0</x:v>
      </x:c>
      <x:c r="D370" s="8" t="n">
        <x:v>50</x:v>
      </x:c>
      <x:c r="E370" s="8" t="n">
        <x:v>0</x:v>
      </x:c>
      <x:c r="F370" s="8" t="n">
        <x:v>50</x:v>
      </x:c>
      <x:c r="G370" s="9" t="n">
        <x:v>0</x:v>
      </x:c>
      <x:c r="H370" s="9" t="n">
        <x:v>199500</x:v>
      </x:c>
      <x:c r="I370" s="9" t="n">
        <x:v>0</x:v>
      </x:c>
      <x:c r="J370" s="9" t="n">
        <x:v>199500</x:v>
      </x:c>
      <x:c r="K370" s="10" t="n">
        <x:v>3990</x:v>
      </x:c>
    </x:row>
    <x:row r="371">
      <x:c r="A371" t="inlineStr">
        <x:is>
          <x:t xml:space="preserve">EPPGENPTA333</x:t>
        </x:is>
      </x:c>
      <x:c r="B371" t="inlineStr">
        <x:is>
          <x:t xml:space="preserve">GUANTE NITRILO VERDE T/XL</x:t>
        </x:is>
      </x:c>
      <x:c r="C371" s="8" t="n">
        <x:v>50</x:v>
      </x:c>
      <x:c r="D371" s="8" t="n">
        <x:v>50</x:v>
      </x:c>
      <x:c r="E371" s="8" t="n">
        <x:v>0</x:v>
      </x:c>
      <x:c r="F371" s="8" t="n">
        <x:v>100</x:v>
      </x:c>
      <x:c r="G371" s="9" t="n">
        <x:v>36000</x:v>
      </x:c>
      <x:c r="H371" s="9" t="n">
        <x:v>199500</x:v>
      </x:c>
      <x:c r="I371" s="9" t="n">
        <x:v>0</x:v>
      </x:c>
      <x:c r="J371" s="9" t="n">
        <x:v>235500</x:v>
      </x:c>
      <x:c r="K371" s="10" t="n">
        <x:v>2355</x:v>
      </x:c>
    </x:row>
    <x:row r="372">
      <x:c r="A372" t="inlineStr">
        <x:is>
          <x:t xml:space="preserve">EPPGENPTA335</x:t>
        </x:is>
      </x:c>
      <x:c r="B372" t="inlineStr">
        <x:is>
          <x:t xml:space="preserve">BARRA CONECTORA DE CONOS FLEXIBLE</x:t>
        </x:is>
      </x:c>
      <x:c r="C372" s="8" t="n">
        <x:v>30</x:v>
      </x:c>
      <x:c r="D372" s="8" t="n">
        <x:v>0</x:v>
      </x:c>
      <x:c r="E372" s="8" t="n">
        <x:v>0</x:v>
      </x:c>
      <x:c r="F372" s="8" t="n">
        <x:v>30</x:v>
      </x:c>
      <x:c r="G372" s="9" t="n">
        <x:v>116250</x:v>
      </x:c>
      <x:c r="H372" s="9" t="n">
        <x:v>0</x:v>
      </x:c>
      <x:c r="I372" s="9" t="n">
        <x:v>0</x:v>
      </x:c>
      <x:c r="J372" s="9" t="n">
        <x:v>116250</x:v>
      </x:c>
      <x:c r="K372" s="10" t="n">
        <x:v>3875</x:v>
      </x:c>
    </x:row>
    <x:row r="373">
      <x:c r="A373" t="inlineStr">
        <x:is>
          <x:t xml:space="preserve">EPPGENPTA336</x:t>
        </x:is>
      </x:c>
      <x:c r="B373" t="inlineStr">
        <x:is>
          <x:t xml:space="preserve">TAPON AUDITIVO REUTILIZABLE CON CORDON, CAJA 100 UN</x:t>
        </x:is>
      </x:c>
      <x:c r="C373" s="8" t="n">
        <x:v>101</x:v>
      </x:c>
      <x:c r="D373" s="8" t="n">
        <x:v>0</x:v>
      </x:c>
      <x:c r="E373" s="8" t="n">
        <x:v>0</x:v>
      </x:c>
      <x:c r="F373" s="8" t="n">
        <x:v>101</x:v>
      </x:c>
      <x:c r="G373" s="9" t="n">
        <x:v>50000</x:v>
      </x:c>
      <x:c r="H373" s="9" t="n">
        <x:v>0</x:v>
      </x:c>
      <x:c r="I373" s="9" t="n">
        <x:v>0</x:v>
      </x:c>
      <x:c r="J373" s="9" t="n">
        <x:v>50000</x:v>
      </x:c>
      <x:c r="K373" s="10" t="n">
        <x:v>495.049505</x:v>
      </x:c>
    </x:row>
    <x:row r="374">
      <x:c r="A374" t="inlineStr">
        <x:is>
          <x:t xml:space="preserve">EPPGENPTA337</x:t>
        </x:is>
      </x:c>
      <x:c r="B374" t="inlineStr">
        <x:is>
          <x:t xml:space="preserve">CLIP PORTA GUANTES</x:t>
        </x:is>
      </x:c>
      <x:c r="C374" s="8" t="n">
        <x:v>10</x:v>
      </x:c>
      <x:c r="D374" s="8" t="n">
        <x:v>0</x:v>
      </x:c>
      <x:c r="E374" s="8" t="n">
        <x:v>0</x:v>
      </x:c>
      <x:c r="F374" s="8" t="n">
        <x:v>10</x:v>
      </x:c>
      <x:c r="G374" s="9" t="n">
        <x:v>10790</x:v>
      </x:c>
      <x:c r="H374" s="9" t="n">
        <x:v>0</x:v>
      </x:c>
      <x:c r="I374" s="9" t="n">
        <x:v>0</x:v>
      </x:c>
      <x:c r="J374" s="9" t="n">
        <x:v>10790</x:v>
      </x:c>
      <x:c r="K374" s="10" t="n">
        <x:v>1079</x:v>
      </x:c>
    </x:row>
    <x:row r="375">
      <x:c r="A375" t="inlineStr">
        <x:is>
          <x:t xml:space="preserve">EPPGENPTA338</x:t>
        </x:is>
      </x:c>
      <x:c r="B375" t="inlineStr">
        <x:is>
          <x:t xml:space="preserve">GUANTES PROCEDIMIENTO LATEX /TALLA L</x:t>
        </x:is>
      </x:c>
      <x:c r="C375" s="8" t="n">
        <x:v>4</x:v>
      </x:c>
      <x:c r="D375" s="8" t="n">
        <x:v>0</x:v>
      </x:c>
      <x:c r="E375" s="8" t="n">
        <x:v>4</x:v>
      </x:c>
      <x:c r="F375" s="8" t="n">
        <x:v>0</x:v>
      </x:c>
      <x:c r="G375" s="9" t="n">
        <x:v>13520</x:v>
      </x:c>
      <x:c r="H375" s="9" t="n">
        <x:v>0</x:v>
      </x:c>
      <x:c r="I375" s="9" t="n">
        <x:v>13520</x:v>
      </x:c>
      <x:c r="J375" s="9" t="n">
        <x:v>0</x:v>
      </x:c>
      <x:c r="K375" s="10" t="n">
        <x:v>3380</x:v>
      </x:c>
    </x:row>
    <x:row r="376">
      <x:c r="A376" t="inlineStr">
        <x:is>
          <x:t xml:space="preserve">EPPGENPTA339</x:t>
        </x:is>
      </x:c>
      <x:c r="B376" t="inlineStr">
        <x:is>
          <x:t xml:space="preserve">GUANTES PROCEDIMIENTO LATEX /TALLA M</x:t>
        </x:is>
      </x:c>
      <x:c r="C376" s="8" t="n">
        <x:v>4</x:v>
      </x:c>
      <x:c r="D376" s="8" t="n">
        <x:v>0</x:v>
      </x:c>
      <x:c r="E376" s="8" t="n">
        <x:v>0</x:v>
      </x:c>
      <x:c r="F376" s="8" t="n">
        <x:v>4</x:v>
      </x:c>
      <x:c r="G376" s="9" t="n">
        <x:v>13520</x:v>
      </x:c>
      <x:c r="H376" s="9" t="n">
        <x:v>0</x:v>
      </x:c>
      <x:c r="I376" s="9" t="n">
        <x:v>0</x:v>
      </x:c>
      <x:c r="J376" s="9" t="n">
        <x:v>13520</x:v>
      </x:c>
      <x:c r="K376" s="10" t="n">
        <x:v>3380</x:v>
      </x:c>
    </x:row>
    <x:row r="377">
      <x:c r="A377" t="inlineStr">
        <x:is>
          <x:t xml:space="preserve">EPPGENPTA341</x:t>
        </x:is>
      </x:c>
      <x:c r="B377" t="inlineStr">
        <x:is>
          <x:t xml:space="preserve">Filtro Activex ATX VO/GA3500 Vapores Organicos y Gases Acidos A1E1P3 R (PAR)</x:t>
        </x:is>
      </x:c>
      <x:c r="C377" s="8" t="n">
        <x:v>22</x:v>
      </x:c>
      <x:c r="D377" s="8" t="n">
        <x:v>0</x:v>
      </x:c>
      <x:c r="E377" s="8" t="n">
        <x:v>1</x:v>
      </x:c>
      <x:c r="F377" s="8" t="n">
        <x:v>21</x:v>
      </x:c>
      <x:c r="G377" s="9" t="n">
        <x:v>185900</x:v>
      </x:c>
      <x:c r="H377" s="9" t="n">
        <x:v>0</x:v>
      </x:c>
      <x:c r="I377" s="9" t="n">
        <x:v>8450</x:v>
      </x:c>
      <x:c r="J377" s="9" t="n">
        <x:v>177450</x:v>
      </x:c>
      <x:c r="K377" s="10" t="n">
        <x:v>8450</x:v>
      </x:c>
    </x:row>
    <x:row r="378">
      <x:c r="A378" t="inlineStr">
        <x:is>
          <x:t xml:space="preserve">EPPGENPTA342</x:t>
        </x:is>
      </x:c>
      <x:c r="B378" t="inlineStr">
        <x:is>
          <x:t xml:space="preserve">ARNES PARACAIDISTA 3 ARGOLLAS TALLA-M-L (REF: 41102101)</x:t>
        </x:is>
      </x:c>
      <x:c r="C378" s="8" t="n">
        <x:v>1</x:v>
      </x:c>
      <x:c r="D378" s="8" t="n">
        <x:v>0</x:v>
      </x:c>
      <x:c r="E378" s="8" t="n">
        <x:v>0</x:v>
      </x:c>
      <x:c r="F378" s="8" t="n">
        <x:v>1</x:v>
      </x:c>
      <x:c r="G378" s="9" t="n">
        <x:v>7630</x:v>
      </x:c>
      <x:c r="H378" s="9" t="n">
        <x:v>0</x:v>
      </x:c>
      <x:c r="I378" s="9" t="n">
        <x:v>0</x:v>
      </x:c>
      <x:c r="J378" s="9" t="n">
        <x:v>7630</x:v>
      </x:c>
      <x:c r="K378" s="10" t="n">
        <x:v>7630</x:v>
      </x:c>
    </x:row>
    <x:row r="379">
      <x:c r="A379" t="inlineStr">
        <x:is>
          <x:t xml:space="preserve">EPPGENPTA343</x:t>
        </x:is>
      </x:c>
      <x:c r="B379" t="inlineStr">
        <x:is>
          <x:t xml:space="preserve">AMORTIGUADOR FLOYD STEELWIRE 41402036</x:t>
        </x:is>
      </x:c>
      <x:c r="C379" s="8" t="n">
        <x:v>0</x:v>
      </x:c>
      <x:c r="D379" s="8" t="n">
        <x:v>12</x:v>
      </x:c>
      <x:c r="E379" s="8" t="n">
        <x:v>0</x:v>
      </x:c>
      <x:c r="F379" s="8" t="n">
        <x:v>12</x:v>
      </x:c>
      <x:c r="G379" s="9" t="n">
        <x:v>0</x:v>
      </x:c>
      <x:c r="H379" s="9" t="n">
        <x:v>524136</x:v>
      </x:c>
      <x:c r="I379" s="9" t="n">
        <x:v>0</x:v>
      </x:c>
      <x:c r="J379" s="9" t="n">
        <x:v>524136</x:v>
      </x:c>
      <x:c r="K379" s="10" t="n">
        <x:v>43678</x:v>
      </x:c>
    </x:row>
    <x:row r="380">
      <x:c r="A380" t="inlineStr">
        <x:is>
          <x:t xml:space="preserve">EPPGENPTA344</x:t>
        </x:is>
      </x:c>
      <x:c r="B380" t="inlineStr">
        <x:is>
          <x:t xml:space="preserve">GUANTES NITRILO ALTA RESISTENCIA 8.0 TEXTURA T-M. CJ 50UDN, VERDE</x:t>
        </x:is>
      </x:c>
      <x:c r="C380" s="8" t="n">
        <x:v>60</x:v>
      </x:c>
      <x:c r="D380" s="8" t="n">
        <x:v>0</x:v>
      </x:c>
      <x:c r="E380" s="8" t="n">
        <x:v>0</x:v>
      </x:c>
      <x:c r="F380" s="8" t="n">
        <x:v>60</x:v>
      </x:c>
      <x:c r="G380" s="9" t="n">
        <x:v>239400</x:v>
      </x:c>
      <x:c r="H380" s="9" t="n">
        <x:v>0</x:v>
      </x:c>
      <x:c r="I380" s="9" t="n">
        <x:v>0</x:v>
      </x:c>
      <x:c r="J380" s="9" t="n">
        <x:v>239400</x:v>
      </x:c>
      <x:c r="K380" s="10" t="n">
        <x:v>3990</x:v>
      </x:c>
    </x:row>
    <x:row r="381">
      <x:c r="A381" t="inlineStr">
        <x:is>
          <x:t xml:space="preserve">EPPGENPTA345</x:t>
        </x:is>
      </x:c>
      <x:c r="B381" t="inlineStr">
        <x:is>
          <x:t xml:space="preserve">GUANTES NITRILO ALTA RESISTENCIA 8.0 TEXTURA T-L. CJ 50UDN, VERDE</x:t>
        </x:is>
      </x:c>
      <x:c r="C381" s="8" t="n">
        <x:v>80</x:v>
      </x:c>
      <x:c r="D381" s="8" t="n">
        <x:v>0</x:v>
      </x:c>
      <x:c r="E381" s="8" t="n">
        <x:v>0</x:v>
      </x:c>
      <x:c r="F381" s="8" t="n">
        <x:v>80</x:v>
      </x:c>
      <x:c r="G381" s="9" t="n">
        <x:v>319200</x:v>
      </x:c>
      <x:c r="H381" s="9" t="n">
        <x:v>0</x:v>
      </x:c>
      <x:c r="I381" s="9" t="n">
        <x:v>0</x:v>
      </x:c>
      <x:c r="J381" s="9" t="n">
        <x:v>319200</x:v>
      </x:c>
      <x:c r="K381" s="10" t="n">
        <x:v>3990</x:v>
      </x:c>
    </x:row>
    <x:row r="382">
      <x:c r="A382" t="inlineStr">
        <x:is>
          <x:t xml:space="preserve">EPPGENPTA400</x:t>
        </x:is>
      </x:c>
      <x:c r="B382" t="inlineStr">
        <x:is>
          <x:t xml:space="preserve">BUZO DE PAPEL TIPO TIVEK (KUPFER: BUZO GETPRO DESE BLCO LINE 1130 T-M)</x:t>
        </x:is>
      </x:c>
      <x:c r="C382" s="8" t="n">
        <x:v>100</x:v>
      </x:c>
      <x:c r="D382" s="8" t="n">
        <x:v>0</x:v>
      </x:c>
      <x:c r="E382" s="8" t="n">
        <x:v>0</x:v>
      </x:c>
      <x:c r="F382" s="8" t="n">
        <x:v>100</x:v>
      </x:c>
      <x:c r="G382" s="9" t="n">
        <x:v>112000</x:v>
      </x:c>
      <x:c r="H382" s="9" t="n">
        <x:v>0</x:v>
      </x:c>
      <x:c r="I382" s="9" t="n">
        <x:v>0</x:v>
      </x:c>
      <x:c r="J382" s="9" t="n">
        <x:v>112000</x:v>
      </x:c>
      <x:c r="K382" s="10" t="n">
        <x:v>1120</x:v>
      </x:c>
    </x:row>
    <x:row r="383">
      <x:c r="A383" t="inlineStr">
        <x:is>
          <x:t xml:space="preserve">EPPGENPTA401</x:t>
        </x:is>
      </x:c>
      <x:c r="B383" t="inlineStr">
        <x:is>
          <x:t xml:space="preserve">BUZO DE PAPEL TIPO TIVEK (KUPFER: BUZO GETPRO DESE BLCO LINE 1130 T-L)</x:t>
        </x:is>
      </x:c>
      <x:c r="C383" s="8" t="n">
        <x:v>350</x:v>
      </x:c>
      <x:c r="D383" s="8" t="n">
        <x:v>0</x:v>
      </x:c>
      <x:c r="E383" s="8" t="n">
        <x:v>0</x:v>
      </x:c>
      <x:c r="F383" s="8" t="n">
        <x:v>350</x:v>
      </x:c>
      <x:c r="G383" s="9" t="n">
        <x:v>384000</x:v>
      </x:c>
      <x:c r="H383" s="9" t="n">
        <x:v>0</x:v>
      </x:c>
      <x:c r="I383" s="9" t="n">
        <x:v>0</x:v>
      </x:c>
      <x:c r="J383" s="9" t="n">
        <x:v>384000</x:v>
      </x:c>
      <x:c r="K383" s="10" t="n">
        <x:v>1097.142857</x:v>
      </x:c>
    </x:row>
    <x:row r="384">
      <x:c r="A384" t="inlineStr">
        <x:is>
          <x:t xml:space="preserve">EPPGENPTA402</x:t>
        </x:is>
      </x:c>
      <x:c r="B384" t="inlineStr">
        <x:is>
          <x:t xml:space="preserve">BUZO DE PAPEL TIPO TIVEK (KUPFER: BUZO GETPRO DESE BLCO LINE 1130 T-XL)</x:t>
        </x:is>
      </x:c>
      <x:c r="C384" s="8" t="n">
        <x:v>950</x:v>
      </x:c>
      <x:c r="D384" s="8" t="n">
        <x:v>0</x:v>
      </x:c>
      <x:c r="E384" s="8" t="n">
        <x:v>0</x:v>
      </x:c>
      <x:c r="F384" s="8" t="n">
        <x:v>950</x:v>
      </x:c>
      <x:c r="G384" s="9" t="n">
        <x:v>1032000</x:v>
      </x:c>
      <x:c r="H384" s="9" t="n">
        <x:v>0</x:v>
      </x:c>
      <x:c r="I384" s="9" t="n">
        <x:v>0</x:v>
      </x:c>
      <x:c r="J384" s="9" t="n">
        <x:v>1032000</x:v>
      </x:c>
      <x:c r="K384" s="10" t="n">
        <x:v>1086.315789</x:v>
      </x:c>
    </x:row>
    <x:row r="385">
      <x:c r="A385" t="inlineStr">
        <x:is>
          <x:t xml:space="preserve">EPPGENPTA403</x:t>
        </x:is>
      </x:c>
      <x:c r="B385" t="inlineStr">
        <x:is>
          <x:t xml:space="preserve">BUZO DE PAPEL TIPO TIVEK (KUPFER: BUZO GETPRO DESE BLCO LINE 1130 T-XXL)</x:t>
        </x:is>
      </x:c>
      <x:c r="C385" s="8" t="n">
        <x:v>1352</x:v>
      </x:c>
      <x:c r="D385" s="8" t="n">
        <x:v>0</x:v>
      </x:c>
      <x:c r="E385" s="8" t="n">
        <x:v>10</x:v>
      </x:c>
      <x:c r="F385" s="8" t="n">
        <x:v>1342</x:v>
      </x:c>
      <x:c r="G385" s="9" t="n">
        <x:v>1475611</x:v>
      </x:c>
      <x:c r="H385" s="9" t="n">
        <x:v>0</x:v>
      </x:c>
      <x:c r="I385" s="9" t="n">
        <x:v>10914</x:v>
      </x:c>
      <x:c r="J385" s="9" t="n">
        <x:v>1464697</x:v>
      </x:c>
      <x:c r="K385" s="10" t="n">
        <x:v>1091.428571</x:v>
      </x:c>
    </x:row>
    <x:row r="386">
      <x:c r="A386" t="inlineStr">
        <x:is>
          <x:t xml:space="preserve">FACFLA001001</x:t>
        </x:is>
      </x:c>
      <x:c r="B386" t="inlineStr">
        <x:is>
          <x:t xml:space="preserve">FLANGE DE ACERO 316L DN 100</x:t>
        </x:is>
      </x:c>
      <x:c r="C386" s="8" t="n">
        <x:v>1</x:v>
      </x:c>
      <x:c r="D386" s="8" t="n">
        <x:v>0</x:v>
      </x:c>
      <x:c r="E386" s="8" t="n">
        <x:v>0</x:v>
      </x:c>
      <x:c r="F386" s="8" t="n">
        <x:v>1</x:v>
      </x:c>
      <x:c r="G386" s="9" t="n">
        <x:v>15000</x:v>
      </x:c>
      <x:c r="H386" s="9" t="n">
        <x:v>0</x:v>
      </x:c>
      <x:c r="I386" s="9" t="n">
        <x:v>0</x:v>
      </x:c>
      <x:c r="J386" s="9" t="n">
        <x:v>15000</x:v>
      </x:c>
      <x:c r="K386" s="10" t="n">
        <x:v>15000</x:v>
      </x:c>
    </x:row>
    <x:row r="387">
      <x:c r="A387" t="inlineStr">
        <x:is>
          <x:t xml:space="preserve">FACFLA001003</x:t>
        </x:is>
      </x:c>
      <x:c r="B387" t="inlineStr">
        <x:is>
          <x:t xml:space="preserve">FLANGE DE ACERO 316L DN 250</x:t>
        </x:is>
      </x:c>
      <x:c r="C387" s="8" t="n">
        <x:v>2</x:v>
      </x:c>
      <x:c r="D387" s="8" t="n">
        <x:v>0</x:v>
      </x:c>
      <x:c r="E387" s="8" t="n">
        <x:v>0</x:v>
      </x:c>
      <x:c r="F387" s="8" t="n">
        <x:v>2</x:v>
      </x:c>
      <x:c r="G387" s="9" t="n">
        <x:v>91200</x:v>
      </x:c>
      <x:c r="H387" s="9" t="n">
        <x:v>0</x:v>
      </x:c>
      <x:c r="I387" s="9" t="n">
        <x:v>0</x:v>
      </x:c>
      <x:c r="J387" s="9" t="n">
        <x:v>91200</x:v>
      </x:c>
      <x:c r="K387" s="10" t="n">
        <x:v>45600</x:v>
      </x:c>
    </x:row>
    <x:row r="388">
      <x:c r="A388" t="inlineStr">
        <x:is>
          <x:t xml:space="preserve">FIBTELPLA002</x:t>
        </x:is>
      </x:c>
      <x:c r="B388" t="inlineStr">
        <x:is>
          <x:t xml:space="preserve">FIBRA DE VIDRIO MAT 450 PLASTIQUIMICA</x:t>
        </x:is>
      </x:c>
      <x:c r="C388" s="8" t="n">
        <x:v>295</x:v>
      </x:c>
      <x:c r="D388" s="8" t="n">
        <x:v>0</x:v>
      </x:c>
      <x:c r="E388" s="8" t="n">
        <x:v>0</x:v>
      </x:c>
      <x:c r="F388" s="8" t="n">
        <x:v>295</x:v>
      </x:c>
      <x:c r="G388" s="9" t="n">
        <x:v>447220</x:v>
      </x:c>
      <x:c r="H388" s="9" t="n">
        <x:v>0</x:v>
      </x:c>
      <x:c r="I388" s="9" t="n">
        <x:v>0</x:v>
      </x:c>
      <x:c r="J388" s="9" t="n">
        <x:v>447220</x:v>
      </x:c>
      <x:c r="K388" s="10" t="n">
        <x:v>1516</x:v>
      </x:c>
    </x:row>
    <x:row r="389">
      <x:c r="A389" t="inlineStr">
        <x:is>
          <x:t xml:space="preserve">FRPCAN001001</x:t>
        </x:is>
      </x:c>
      <x:c r="B389" t="inlineStr">
        <x:is>
          <x:t xml:space="preserve">CAÑERIA FRP DN600 X 6000  ARAUCO</x:t>
        </x:is>
      </x:c>
      <x:c r="C389" s="8" t="n">
        <x:v>2</x:v>
      </x:c>
      <x:c r="D389" s="8" t="n">
        <x:v>0</x:v>
      </x:c>
      <x:c r="E389" s="8" t="n">
        <x:v>0</x:v>
      </x:c>
      <x:c r="F389" s="8" t="n">
        <x:v>2</x:v>
      </x:c>
      <x:c r="G389" s="9" t="n">
        <x:v>769230</x:v>
      </x:c>
      <x:c r="H389" s="9" t="n">
        <x:v>0</x:v>
      </x:c>
      <x:c r="I389" s="9" t="n">
        <x:v>0</x:v>
      </x:c>
      <x:c r="J389" s="9" t="n">
        <x:v>769230</x:v>
      </x:c>
      <x:c r="K389" s="10" t="n">
        <x:v>384615</x:v>
      </x:c>
    </x:row>
    <x:row r="390">
      <x:c r="A390" t="inlineStr">
        <x:is>
          <x:t xml:space="preserve">FRPCAN001002</x:t>
        </x:is>
      </x:c>
      <x:c r="B390" t="inlineStr">
        <x:is>
          <x:t xml:space="preserve">CAÑERIA FRP DN700 X 6000  ARAUCO</x:t>
        </x:is>
      </x:c>
      <x:c r="C390" s="8" t="n">
        <x:v>8</x:v>
      </x:c>
      <x:c r="D390" s="8" t="n">
        <x:v>0</x:v>
      </x:c>
      <x:c r="E390" s="8" t="n">
        <x:v>0</x:v>
      </x:c>
      <x:c r="F390" s="8" t="n">
        <x:v>8</x:v>
      </x:c>
      <x:c r="G390" s="9" t="n">
        <x:v>3076920</x:v>
      </x:c>
      <x:c r="H390" s="9" t="n">
        <x:v>0</x:v>
      </x:c>
      <x:c r="I390" s="9" t="n">
        <x:v>0</x:v>
      </x:c>
      <x:c r="J390" s="9" t="n">
        <x:v>3076920</x:v>
      </x:c>
      <x:c r="K390" s="10" t="n">
        <x:v>384614.972222</x:v>
      </x:c>
    </x:row>
    <x:row r="391">
      <x:c r="A391" t="inlineStr">
        <x:is>
          <x:t xml:space="preserve">LONPAQ001001</x:t>
        </x:is>
      </x:c>
      <x:c r="B391" t="inlineStr">
        <x:is>
          <x:t xml:space="preserve">PLANCHA DE TEFLON EXPANDIDO 1/8 X60 X60</x:t>
        </x:is>
      </x:c>
      <x:c r="C391" s="8" t="n">
        <x:v>78</x:v>
      </x:c>
      <x:c r="D391" s="8" t="n">
        <x:v>0</x:v>
      </x:c>
      <x:c r="E391" s="8" t="n">
        <x:v>0</x:v>
      </x:c>
      <x:c r="F391" s="8" t="n">
        <x:v>78</x:v>
      </x:c>
      <x:c r="G391" s="9" t="n">
        <x:v>13447581</x:v>
      </x:c>
      <x:c r="H391" s="9" t="n">
        <x:v>0</x:v>
      </x:c>
      <x:c r="I391" s="9" t="n">
        <x:v>0</x:v>
      </x:c>
      <x:c r="J391" s="9" t="n">
        <x:v>13447581</x:v>
      </x:c>
      <x:c r="K391" s="10" t="n">
        <x:v>172404.795128</x:v>
      </x:c>
    </x:row>
    <x:row r="392">
      <x:c r="A392" t="inlineStr">
        <x:is>
          <x:t xml:space="preserve">LONPAQ001002</x:t>
        </x:is>
      </x:c>
      <x:c r="B392" t="inlineStr">
        <x:is>
          <x:t xml:space="preserve">CINTA TEFLON TEFLON EXPANDIDO 5/8 X 15!</x:t>
        </x:is>
      </x:c>
      <x:c r="C392" s="8" t="n">
        <x:v>230</x:v>
      </x:c>
      <x:c r="D392" s="8" t="n">
        <x:v>0</x:v>
      </x:c>
      <x:c r="E392" s="8" t="n">
        <x:v>0</x:v>
      </x:c>
      <x:c r="F392" s="8" t="n">
        <x:v>230</x:v>
      </x:c>
      <x:c r="G392" s="9" t="n">
        <x:v>712278</x:v>
      </x:c>
      <x:c r="H392" s="9" t="n">
        <x:v>0</x:v>
      </x:c>
      <x:c r="I392" s="9" t="n">
        <x:v>0</x:v>
      </x:c>
      <x:c r="J392" s="9" t="n">
        <x:v>712278</x:v>
      </x:c>
      <x:c r="K392" s="10" t="n">
        <x:v>3096.867314</x:v>
      </x:c>
    </x:row>
    <x:row r="393">
      <x:c r="A393" t="inlineStr">
        <x:is>
          <x:t xml:space="preserve">LONPAQ001003</x:t>
        </x:is>
      </x:c>
      <x:c r="B393" t="inlineStr">
        <x:is>
          <x:t xml:space="preserve">CINTA TEFLON EXPANDIDO 1/2 PLG X 15 FT</x:t>
        </x:is>
      </x:c>
      <x:c r="C393" s="8" t="n">
        <x:v>350</x:v>
      </x:c>
      <x:c r="D393" s="8" t="n">
        <x:v>0</x:v>
      </x:c>
      <x:c r="E393" s="8" t="n">
        <x:v>0</x:v>
      </x:c>
      <x:c r="F393" s="8" t="n">
        <x:v>350</x:v>
      </x:c>
      <x:c r="G393" s="9" t="n">
        <x:v>982251</x:v>
      </x:c>
      <x:c r="H393" s="9" t="n">
        <x:v>0</x:v>
      </x:c>
      <x:c r="I393" s="9" t="n">
        <x:v>0</x:v>
      </x:c>
      <x:c r="J393" s="9" t="n">
        <x:v>982251</x:v>
      </x:c>
      <x:c r="K393" s="10" t="n">
        <x:v>2806.433503</x:v>
      </x:c>
    </x:row>
    <x:row r="394">
      <x:c r="A394" t="inlineStr">
        <x:is>
          <x:t xml:space="preserve">LONPAQ001004</x:t>
        </x:is>
      </x:c>
      <x:c r="B394" t="inlineStr">
        <x:is>
          <x:t xml:space="preserve">CINTA TEFLON EXPANDIDO 3/8 PLG X 30 FT</x:t>
        </x:is>
      </x:c>
      <x:c r="C394" s="8" t="n">
        <x:v>79</x:v>
      </x:c>
      <x:c r="D394" s="8" t="n">
        <x:v>0</x:v>
      </x:c>
      <x:c r="E394" s="8" t="n">
        <x:v>0</x:v>
      </x:c>
      <x:c r="F394" s="8" t="n">
        <x:v>79</x:v>
      </x:c>
      <x:c r="G394" s="9" t="n">
        <x:v>226094</x:v>
      </x:c>
      <x:c r="H394" s="9" t="n">
        <x:v>0</x:v>
      </x:c>
      <x:c r="I394" s="9" t="n">
        <x:v>0</x:v>
      </x:c>
      <x:c r="J394" s="9" t="n">
        <x:v>226094</x:v>
      </x:c>
      <x:c r="K394" s="10" t="n">
        <x:v>2861.951456</x:v>
      </x:c>
    </x:row>
    <x:row r="395">
      <x:c r="A395" t="inlineStr">
        <x:is>
          <x:t xml:space="preserve">LONPAQ001006</x:t>
        </x:is>
      </x:c>
      <x:c r="B395" t="inlineStr">
        <x:is>
          <x:t xml:space="preserve">CINTA TEFLON EXPANDIDO 1 PLG X 15 FT</x:t>
        </x:is>
      </x:c>
      <x:c r="C395" s="8" t="n">
        <x:v>292</x:v>
      </x:c>
      <x:c r="D395" s="8" t="n">
        <x:v>0</x:v>
      </x:c>
      <x:c r="E395" s="8" t="n">
        <x:v>0</x:v>
      </x:c>
      <x:c r="F395" s="8" t="n">
        <x:v>292</x:v>
      </x:c>
      <x:c r="G395" s="9" t="n">
        <x:v>1253870</x:v>
      </x:c>
      <x:c r="H395" s="9" t="n">
        <x:v>0</x:v>
      </x:c>
      <x:c r="I395" s="9" t="n">
        <x:v>0</x:v>
      </x:c>
      <x:c r="J395" s="9" t="n">
        <x:v>1253870</x:v>
      </x:c>
      <x:c r="K395" s="10" t="n">
        <x:v>4294.072725</x:v>
      </x:c>
    </x:row>
    <x:row r="396">
      <x:c r="A396" t="inlineStr">
        <x:is>
          <x:t xml:space="preserve">LONPAQ001007</x:t>
        </x:is>
      </x:c>
      <x:c r="B396" t="inlineStr">
        <x:is>
          <x:t xml:space="preserve">CINTA TEFLON EXPANDIDO JOINT SEALANT 3/4 PLG X 15 FT</x:t>
        </x:is>
      </x:c>
      <x:c r="C396" s="8" t="n">
        <x:v>358</x:v>
      </x:c>
      <x:c r="D396" s="8" t="n">
        <x:v>0</x:v>
      </x:c>
      <x:c r="E396" s="8" t="n">
        <x:v>0</x:v>
      </x:c>
      <x:c r="F396" s="8" t="n">
        <x:v>358</x:v>
      </x:c>
      <x:c r="G396" s="9" t="n">
        <x:v>1175242</x:v>
      </x:c>
      <x:c r="H396" s="9" t="n">
        <x:v>0</x:v>
      </x:c>
      <x:c r="I396" s="9" t="n">
        <x:v>0</x:v>
      </x:c>
      <x:c r="J396" s="9" t="n">
        <x:v>1175242</x:v>
      </x:c>
      <x:c r="K396" s="10" t="n">
        <x:v>3282.798877</x:v>
      </x:c>
    </x:row>
    <x:row r="397">
      <x:c r="A397" t="inlineStr">
        <x:is>
          <x:t xml:space="preserve">LONPAQ001008</x:t>
        </x:is>
      </x:c>
      <x:c r="B397" t="inlineStr">
        <x:is>
          <x:t xml:space="preserve">CINTA TEFLON EXPANDIDO 3/4  X 30 PIES</x:t>
        </x:is>
      </x:c>
      <x:c r="C397" s="8" t="n">
        <x:v>9</x:v>
      </x:c>
      <x:c r="D397" s="8" t="n">
        <x:v>0</x:v>
      </x:c>
      <x:c r="E397" s="8" t="n">
        <x:v>0</x:v>
      </x:c>
      <x:c r="F397" s="8" t="n">
        <x:v>9</x:v>
      </x:c>
      <x:c r="G397" s="9" t="n">
        <x:v>153315</x:v>
      </x:c>
      <x:c r="H397" s="9" t="n">
        <x:v>0</x:v>
      </x:c>
      <x:c r="I397" s="9" t="n">
        <x:v>0</x:v>
      </x:c>
      <x:c r="J397" s="9" t="n">
        <x:v>153315</x:v>
      </x:c>
      <x:c r="K397" s="10" t="n">
        <x:v>17035</x:v>
      </x:c>
    </x:row>
    <x:row r="398">
      <x:c r="A398" t="inlineStr">
        <x:is>
          <x:t xml:space="preserve">LONPAQ001010</x:t>
        </x:is>
      </x:c>
      <x:c r="B398" t="inlineStr">
        <x:is>
          <x:t xml:space="preserve">PLANCHA TEFLON EXPANDIDO 1/16 X 60 X 60 IN</x:t>
        </x:is>
      </x:c>
      <x:c r="C398" s="8" t="n">
        <x:v>17</x:v>
      </x:c>
      <x:c r="D398" s="8" t="n">
        <x:v>0</x:v>
      </x:c>
      <x:c r="E398" s="8" t="n">
        <x:v>0</x:v>
      </x:c>
      <x:c r="F398" s="8" t="n">
        <x:v>17</x:v>
      </x:c>
      <x:c r="G398" s="9" t="n">
        <x:v>2191810</x:v>
      </x:c>
      <x:c r="H398" s="9" t="n">
        <x:v>0</x:v>
      </x:c>
      <x:c r="I398" s="9" t="n">
        <x:v>0</x:v>
      </x:c>
      <x:c r="J398" s="9" t="n">
        <x:v>2191810</x:v>
      </x:c>
      <x:c r="K398" s="10" t="n">
        <x:v>128930</x:v>
      </x:c>
    </x:row>
    <x:row r="399">
      <x:c r="A399" t="inlineStr">
        <x:is>
          <x:t xml:space="preserve">LONPAQ001011</x:t>
        </x:is>
      </x:c>
      <x:c r="B399" t="inlineStr">
        <x:is>
          <x:t xml:space="preserve">PLANCHA TEFLON EXPANDIDO 1/4 X 60 X 60 IN</x:t>
        </x:is>
      </x:c>
      <x:c r="C399" s="8" t="n">
        <x:v>4</x:v>
      </x:c>
      <x:c r="D399" s="8" t="n">
        <x:v>0</x:v>
      </x:c>
      <x:c r="E399" s="8" t="n">
        <x:v>0</x:v>
      </x:c>
      <x:c r="F399" s="8" t="n">
        <x:v>4</x:v>
      </x:c>
      <x:c r="G399" s="9" t="n">
        <x:v>1658056</x:v>
      </x:c>
      <x:c r="H399" s="9" t="n">
        <x:v>0</x:v>
      </x:c>
      <x:c r="I399" s="9" t="n">
        <x:v>0</x:v>
      </x:c>
      <x:c r="J399" s="9" t="n">
        <x:v>1658056</x:v>
      </x:c>
      <x:c r="K399" s="10" t="n">
        <x:v>414514</x:v>
      </x:c>
    </x:row>
    <x:row r="400">
      <x:c r="A400" t="inlineStr">
        <x:is>
          <x:t xml:space="preserve">LONPAQ001012</x:t>
        </x:is>
      </x:c>
      <x:c r="B400" t="inlineStr">
        <x:is>
          <x:t xml:space="preserve">CINTA TEFLON EXPANDIDO 1/4  PLG X 15 FT</x:t>
        </x:is>
      </x:c>
      <x:c r="C400" s="8" t="n">
        <x:v>50</x:v>
      </x:c>
      <x:c r="D400" s="8" t="n">
        <x:v>0</x:v>
      </x:c>
      <x:c r="E400" s="8" t="n">
        <x:v>0</x:v>
      </x:c>
      <x:c r="F400" s="8" t="n">
        <x:v>50</x:v>
      </x:c>
      <x:c r="G400" s="9" t="n">
        <x:v>78000</x:v>
      </x:c>
      <x:c r="H400" s="9" t="n">
        <x:v>0</x:v>
      </x:c>
      <x:c r="I400" s="9" t="n">
        <x:v>0</x:v>
      </x:c>
      <x:c r="J400" s="9" t="n">
        <x:v>78000</x:v>
      </x:c>
      <x:c r="K400" s="10" t="n">
        <x:v>1560</x:v>
      </x:c>
    </x:row>
    <x:row r="401">
      <x:c r="A401" t="inlineStr">
        <x:is>
          <x:t xml:space="preserve">MTPQUIADT001</x:t>
        </x:is>
      </x:c>
      <x:c r="B401" t="inlineStr">
        <x:is>
          <x:t xml:space="preserve">AGENTE TIXOTROPICO VINILESTER (10 KG)</x:t>
        </x:is>
      </x:c>
      <x:c r="C401" s="8" t="n">
        <x:v>9</x:v>
      </x:c>
      <x:c r="D401" s="8" t="n">
        <x:v>0</x:v>
      </x:c>
      <x:c r="E401" s="8" t="n">
        <x:v>0</x:v>
      </x:c>
      <x:c r="F401" s="8" t="n">
        <x:v>9</x:v>
      </x:c>
      <x:c r="G401" s="9" t="n">
        <x:v>149406</x:v>
      </x:c>
      <x:c r="H401" s="9" t="n">
        <x:v>0</x:v>
      </x:c>
      <x:c r="I401" s="9" t="n">
        <x:v>0</x:v>
      </x:c>
      <x:c r="J401" s="9" t="n">
        <x:v>149406</x:v>
      </x:c>
      <x:c r="K401" s="10" t="n">
        <x:v>16600</x:v>
      </x:c>
    </x:row>
    <x:row r="402">
      <x:c r="A402" t="inlineStr">
        <x:is>
          <x:t xml:space="preserve">MTPQUIADT002</x:t>
        </x:is>
      </x:c>
      <x:c r="B402" t="inlineStr">
        <x:is>
          <x:t xml:space="preserve">DIOXIDO TITANIO (25 KG)</x:t>
        </x:is>
      </x:c>
      <x:c r="C402" s="8" t="n">
        <x:v>60</x:v>
      </x:c>
      <x:c r="D402" s="8" t="n">
        <x:v>0</x:v>
      </x:c>
      <x:c r="E402" s="8" t="n">
        <x:v>8</x:v>
      </x:c>
      <x:c r="F402" s="8" t="n">
        <x:v>52</x:v>
      </x:c>
      <x:c r="G402" s="9" t="n">
        <x:v>246217</x:v>
      </x:c>
      <x:c r="H402" s="9" t="n">
        <x:v>0</x:v>
      </x:c>
      <x:c r="I402" s="9" t="n">
        <x:v>32829</x:v>
      </x:c>
      <x:c r="J402" s="9" t="n">
        <x:v>213388</x:v>
      </x:c>
      <x:c r="K402" s="10" t="n">
        <x:v>4103.590784</x:v>
      </x:c>
    </x:row>
    <x:row r="403">
      <x:c r="A403" t="inlineStr">
        <x:is>
          <x:t xml:space="preserve">MTPQUIADT003</x:t>
        </x:is>
      </x:c>
      <x:c r="B403" t="inlineStr">
        <x:is>
          <x:t xml:space="preserve">DILUYENTE POLIESTER</x:t>
        </x:is>
      </x:c>
      <x:c r="C403" s="8" t="n">
        <x:v>927</x:v>
      </x:c>
      <x:c r="D403" s="8" t="n">
        <x:v>200</x:v>
      </x:c>
      <x:c r="E403" s="8" t="n">
        <x:v>190</x:v>
      </x:c>
      <x:c r="F403" s="8" t="n">
        <x:v>937</x:v>
      </x:c>
      <x:c r="G403" s="9" t="n">
        <x:v>1353240</x:v>
      </x:c>
      <x:c r="H403" s="9" t="n">
        <x:v>271600</x:v>
      </x:c>
      <x:c r="I403" s="9" t="n">
        <x:v>268001</x:v>
      </x:c>
      <x:c r="J403" s="9" t="n">
        <x:v>1356839</x:v>
      </x:c>
      <x:c r="K403" s="10" t="n">
        <x:v>1399.299311</x:v>
      </x:c>
    </x:row>
    <x:row r="404">
      <x:c r="A404" t="inlineStr">
        <x:is>
          <x:t xml:space="preserve">MTPQUIADT004</x:t>
        </x:is>
      </x:c>
      <x:c r="B404" t="inlineStr">
        <x:is>
          <x:t xml:space="preserve">CERA DESMOLDANTE</x:t>
        </x:is>
      </x:c>
      <x:c r="C404" s="8" t="n">
        <x:v>85</x:v>
      </x:c>
      <x:c r="D404" s="8" t="n">
        <x:v>30</x:v>
      </x:c>
      <x:c r="E404" s="8" t="n">
        <x:v>3</x:v>
      </x:c>
      <x:c r="F404" s="8" t="n">
        <x:v>112</x:v>
      </x:c>
      <x:c r="G404" s="9" t="n">
        <x:v>545930</x:v>
      </x:c>
      <x:c r="H404" s="9" t="n">
        <x:v>173400</x:v>
      </x:c>
      <x:c r="I404" s="9" t="n">
        <x:v>19224</x:v>
      </x:c>
      <x:c r="J404" s="9" t="n">
        <x:v>700106</x:v>
      </x:c>
      <x:c r="K404" s="10" t="n">
        <x:v>6239.669975</x:v>
      </x:c>
    </x:row>
    <x:row r="405">
      <x:c r="A405" t="inlineStr">
        <x:is>
          <x:t xml:space="preserve">MTPQUIADT005</x:t>
        </x:is>
      </x:c>
      <x:c r="B405" t="inlineStr">
        <x:is>
          <x:t xml:space="preserve">BYK-500 ELIMINADOR DE BURBUJAS</x:t>
        </x:is>
      </x:c>
      <x:c r="C405" s="8" t="n">
        <x:v>33</x:v>
      </x:c>
      <x:c r="D405" s="8" t="n">
        <x:v>54</x:v>
      </x:c>
      <x:c r="E405" s="8" t="n">
        <x:v>0.224</x:v>
      </x:c>
      <x:c r="F405" s="8" t="n">
        <x:v>86.776</x:v>
      </x:c>
      <x:c r="G405" s="9" t="n">
        <x:v>512100</x:v>
      </x:c>
      <x:c r="H405" s="9" t="n">
        <x:v>839970</x:v>
      </x:c>
      <x:c r="I405" s="9" t="n">
        <x:v>3476</x:v>
      </x:c>
      <x:c r="J405" s="9" t="n">
        <x:v>1348594</x:v>
      </x:c>
      <x:c r="K405" s="10" t="n">
        <x:v>15540.650017</x:v>
      </x:c>
    </x:row>
    <x:row r="406">
      <x:c r="A406" t="inlineStr">
        <x:is>
          <x:t xml:space="preserve">MTPQUIADT006</x:t>
        </x:is>
      </x:c>
      <x:c r="B406" t="inlineStr">
        <x:is>
          <x:t xml:space="preserve">ADITIVO FILTRO UV</x:t>
        </x:is>
      </x:c>
      <x:c r="C406" s="8" t="n">
        <x:v>20</x:v>
      </x:c>
      <x:c r="D406" s="8" t="n">
        <x:v>0</x:v>
      </x:c>
      <x:c r="E406" s="8" t="n">
        <x:v>10</x:v>
      </x:c>
      <x:c r="F406" s="8" t="n">
        <x:v>10</x:v>
      </x:c>
      <x:c r="G406" s="9" t="n">
        <x:v>1115273</x:v>
      </x:c>
      <x:c r="H406" s="9" t="n">
        <x:v>0</x:v>
      </x:c>
      <x:c r="I406" s="9" t="n">
        <x:v>557640</x:v>
      </x:c>
      <x:c r="J406" s="9" t="n">
        <x:v>557633</x:v>
      </x:c>
      <x:c r="K406" s="10" t="n">
        <x:v>55764</x:v>
      </x:c>
    </x:row>
    <x:row r="407">
      <x:c r="A407" t="inlineStr">
        <x:is>
          <x:t xml:space="preserve">MTPQUIADT007</x:t>
        </x:is>
      </x:c>
      <x:c r="B407" t="inlineStr">
        <x:is>
          <x:t xml:space="preserve">PEROXIDO BUTANOX LPT (CATALIZADOR)</x:t>
        </x:is>
      </x:c>
      <x:c r="C407" s="8" t="n">
        <x:v>8</x:v>
      </x:c>
      <x:c r="D407" s="8" t="n">
        <x:v>0</x:v>
      </x:c>
      <x:c r="E407" s="8" t="n">
        <x:v>0</x:v>
      </x:c>
      <x:c r="F407" s="8" t="n">
        <x:v>8</x:v>
      </x:c>
      <x:c r="G407" s="9" t="n">
        <x:v>128188</x:v>
      </x:c>
      <x:c r="H407" s="9" t="n">
        <x:v>0</x:v>
      </x:c>
      <x:c r="I407" s="9" t="n">
        <x:v>0</x:v>
      </x:c>
      <x:c r="J407" s="9" t="n">
        <x:v>128188</x:v>
      </x:c>
      <x:c r="K407" s="10" t="n">
        <x:v>12561</x:v>
      </x:c>
    </x:row>
    <x:row r="408">
      <x:c r="A408" t="inlineStr">
        <x:is>
          <x:t xml:space="preserve">MTPQUIADT008</x:t>
        </x:is>
      </x:c>
      <x:c r="B408" t="inlineStr">
        <x:is>
          <x:t xml:space="preserve">COBALTO ACELERANTE 6%</x:t>
        </x:is>
      </x:c>
      <x:c r="C408" s="8" t="n">
        <x:v>50.1</x:v>
      </x:c>
      <x:c r="D408" s="8" t="n">
        <x:v>10</x:v>
      </x:c>
      <x:c r="E408" s="8" t="n">
        <x:v>18.953</x:v>
      </x:c>
      <x:c r="F408" s="8" t="n">
        <x:v>41.147</x:v>
      </x:c>
      <x:c r="G408" s="9" t="n">
        <x:v>740341</x:v>
      </x:c>
      <x:c r="H408" s="9" t="n">
        <x:v>144140</x:v>
      </x:c>
      <x:c r="I408" s="9" t="n">
        <x:v>280068</x:v>
      </x:c>
      <x:c r="J408" s="9" t="n">
        <x:v>604413</x:v>
      </x:c>
      <x:c r="K408" s="10" t="n">
        <x:v>14688.758048</x:v>
      </x:c>
    </x:row>
    <x:row r="409">
      <x:c r="A409" t="inlineStr">
        <x:is>
          <x:t xml:space="preserve">MTPQUIADT009</x:t>
        </x:is>
      </x:c>
      <x:c r="B409" t="inlineStr">
        <x:is>
          <x:t xml:space="preserve">ACELERANTE DMA 20%</x:t>
        </x:is>
      </x:c>
      <x:c r="C409" s="8" t="n">
        <x:v>8.5</x:v>
      </x:c>
      <x:c r="D409" s="8" t="n">
        <x:v>0</x:v>
      </x:c>
      <x:c r="E409" s="8" t="n">
        <x:v>2.096</x:v>
      </x:c>
      <x:c r="F409" s="8" t="n">
        <x:v>6.404</x:v>
      </x:c>
      <x:c r="G409" s="9" t="n">
        <x:v>71459</x:v>
      </x:c>
      <x:c r="H409" s="9" t="n">
        <x:v>0</x:v>
      </x:c>
      <x:c r="I409" s="9" t="n">
        <x:v>17621</x:v>
      </x:c>
      <x:c r="J409" s="9" t="n">
        <x:v>53838</x:v>
      </x:c>
      <x:c r="K409" s="10" t="n">
        <x:v>8407.130508</x:v>
      </x:c>
    </x:row>
    <x:row r="410">
      <x:c r="A410" t="inlineStr">
        <x:is>
          <x:t xml:space="preserve">MTPQUIADT010</x:t>
        </x:is>
      </x:c>
      <x:c r="B410" t="inlineStr">
        <x:is>
          <x:t xml:space="preserve">DESMOLDANTE PVA LIQUIDO</x:t>
        </x:is>
      </x:c>
      <x:c r="C410" s="8" t="n">
        <x:v>3.5</x:v>
      </x:c>
      <x:c r="D410" s="8" t="n">
        <x:v>0</x:v>
      </x:c>
      <x:c r="E410" s="8" t="n">
        <x:v>0</x:v>
      </x:c>
      <x:c r="F410" s="8" t="n">
        <x:v>3.5</x:v>
      </x:c>
      <x:c r="G410" s="9" t="n">
        <x:v>17421</x:v>
      </x:c>
      <x:c r="H410" s="9" t="n">
        <x:v>0</x:v>
      </x:c>
      <x:c r="I410" s="9" t="n">
        <x:v>0</x:v>
      </x:c>
      <x:c r="J410" s="9" t="n">
        <x:v>17421</x:v>
      </x:c>
      <x:c r="K410" s="10" t="n">
        <x:v>4978</x:v>
      </x:c>
    </x:row>
    <x:row r="411">
      <x:c r="A411" t="inlineStr">
        <x:is>
          <x:t xml:space="preserve">MTPQUIADT011</x:t>
        </x:is>
      </x:c>
      <x:c r="B411" t="inlineStr">
        <x:is>
          <x:t xml:space="preserve">BYK-750 ECOLOGICO</x:t>
        </x:is>
      </x:c>
      <x:c r="C411" s="8" t="n">
        <x:v>26.5</x:v>
      </x:c>
      <x:c r="D411" s="8" t="n">
        <x:v>0</x:v>
      </x:c>
      <x:c r="E411" s="8" t="n">
        <x:v>0</x:v>
      </x:c>
      <x:c r="F411" s="8" t="n">
        <x:v>26.5</x:v>
      </x:c>
      <x:c r="G411" s="9" t="n">
        <x:v>753054</x:v>
      </x:c>
      <x:c r="H411" s="9" t="n">
        <x:v>0</x:v>
      </x:c>
      <x:c r="I411" s="9" t="n">
        <x:v>0</x:v>
      </x:c>
      <x:c r="J411" s="9" t="n">
        <x:v>753054</x:v>
      </x:c>
      <x:c r="K411" s="10" t="n">
        <x:v>28417.091405</x:v>
      </x:c>
    </x:row>
    <x:row r="412">
      <x:c r="A412" t="inlineStr">
        <x:is>
          <x:t xml:space="preserve">MTPQUIADT012</x:t>
        </x:is>
      </x:c>
      <x:c r="B412" t="inlineStr">
        <x:is>
          <x:t xml:space="preserve">MONOMERO ESTIRENO</x:t>
        </x:is>
      </x:c>
      <x:c r="C412" s="8" t="n">
        <x:v>58</x:v>
      </x:c>
      <x:c r="D412" s="8" t="n">
        <x:v>0</x:v>
      </x:c>
      <x:c r="E412" s="8" t="n">
        <x:v>7</x:v>
      </x:c>
      <x:c r="F412" s="8" t="n">
        <x:v>51</x:v>
      </x:c>
      <x:c r="G412" s="9" t="n">
        <x:v>169719</x:v>
      </x:c>
      <x:c r="H412" s="9" t="n">
        <x:v>0</x:v>
      </x:c>
      <x:c r="I412" s="9" t="n">
        <x:v>22729</x:v>
      </x:c>
      <x:c r="J412" s="9" t="n">
        <x:v>146990</x:v>
      </x:c>
      <x:c r="K412" s="10" t="n">
        <x:v>3246.944152</x:v>
      </x:c>
    </x:row>
    <x:row r="413">
      <x:c r="A413" t="inlineStr">
        <x:is>
          <x:t xml:space="preserve">MTPQUIADT013</x:t>
        </x:is>
      </x:c>
      <x:c r="B413" t="inlineStr">
        <x:is>
          <x:t xml:space="preserve">ACETONA</x:t>
        </x:is>
      </x:c>
      <x:c r="C413" s="8" t="n">
        <x:v>190</x:v>
      </x:c>
      <x:c r="D413" s="8" t="n">
        <x:v>0</x:v>
      </x:c>
      <x:c r="E413" s="8" t="n">
        <x:v>0</x:v>
      </x:c>
      <x:c r="F413" s="8" t="n">
        <x:v>190</x:v>
      </x:c>
      <x:c r="G413" s="9" t="n">
        <x:v>437268</x:v>
      </x:c>
      <x:c r="H413" s="9" t="n">
        <x:v>0</x:v>
      </x:c>
      <x:c r="I413" s="9" t="n">
        <x:v>0</x:v>
      </x:c>
      <x:c r="J413" s="9" t="n">
        <x:v>437268</x:v>
      </x:c>
      <x:c r="K413" s="10" t="n">
        <x:v>2301.344205</x:v>
      </x:c>
    </x:row>
    <x:row r="414">
      <x:c r="A414" t="inlineStr">
        <x:is>
          <x:t xml:space="preserve">MTPQUIADT015</x:t>
        </x:is>
      </x:c>
      <x:c r="B414" t="inlineStr">
        <x:is>
          <x:t xml:space="preserve">PIGMENTO PASTA COLOR VERDE</x:t>
        </x:is>
      </x:c>
      <x:c r="C414" s="8" t="n">
        <x:v>4</x:v>
      </x:c>
      <x:c r="D414" s="8" t="n">
        <x:v>0</x:v>
      </x:c>
      <x:c r="E414" s="8" t="n">
        <x:v>0</x:v>
      </x:c>
      <x:c r="F414" s="8" t="n">
        <x:v>4</x:v>
      </x:c>
      <x:c r="G414" s="9" t="n">
        <x:v>84430</x:v>
      </x:c>
      <x:c r="H414" s="9" t="n">
        <x:v>0</x:v>
      </x:c>
      <x:c r="I414" s="9" t="n">
        <x:v>0</x:v>
      </x:c>
      <x:c r="J414" s="9" t="n">
        <x:v>84430</x:v>
      </x:c>
      <x:c r="K414" s="10" t="n">
        <x:v>21107.804688</x:v>
      </x:c>
    </x:row>
    <x:row r="415">
      <x:c r="A415" t="inlineStr">
        <x:is>
          <x:t xml:space="preserve">MTPQUIADT016</x:t>
        </x:is>
      </x:c>
      <x:c r="B415" t="inlineStr">
        <x:is>
          <x:t xml:space="preserve">PIGMENTO PASTA COLOR ROJO</x:t>
        </x:is>
      </x:c>
      <x:c r="C415" s="8" t="n">
        <x:v>8</x:v>
      </x:c>
      <x:c r="D415" s="8" t="n">
        <x:v>0</x:v>
      </x:c>
      <x:c r="E415" s="8" t="n">
        <x:v>0</x:v>
      </x:c>
      <x:c r="F415" s="8" t="n">
        <x:v>8</x:v>
      </x:c>
      <x:c r="G415" s="9" t="n">
        <x:v>256442</x:v>
      </x:c>
      <x:c r="H415" s="9" t="n">
        <x:v>0</x:v>
      </x:c>
      <x:c r="I415" s="9" t="n">
        <x:v>0</x:v>
      </x:c>
      <x:c r="J415" s="9" t="n">
        <x:v>256442</x:v>
      </x:c>
      <x:c r="K415" s="10" t="n">
        <x:v>32055.280722</x:v>
      </x:c>
    </x:row>
    <x:row r="416">
      <x:c r="A416" t="inlineStr">
        <x:is>
          <x:t xml:space="preserve">MTPQUIADT017</x:t>
        </x:is>
      </x:c>
      <x:c r="B416" t="inlineStr">
        <x:is>
          <x:t xml:space="preserve">PIGMENTO PASTA COLOR AMARILLO</x:t>
        </x:is>
      </x:c>
      <x:c r="C416" s="8" t="n">
        <x:v>5</x:v>
      </x:c>
      <x:c r="D416" s="8" t="n">
        <x:v>0</x:v>
      </x:c>
      <x:c r="E416" s="8" t="n">
        <x:v>0</x:v>
      </x:c>
      <x:c r="F416" s="8" t="n">
        <x:v>5</x:v>
      </x:c>
      <x:c r="G416" s="9" t="n">
        <x:v>117531</x:v>
      </x:c>
      <x:c r="H416" s="9" t="n">
        <x:v>0</x:v>
      </x:c>
      <x:c r="I416" s="9" t="n">
        <x:v>0</x:v>
      </x:c>
      <x:c r="J416" s="9" t="n">
        <x:v>117531</x:v>
      </x:c>
      <x:c r="K416" s="10" t="n">
        <x:v>23506.450321</x:v>
      </x:c>
    </x:row>
    <x:row r="417">
      <x:c r="A417" t="inlineStr">
        <x:is>
          <x:t xml:space="preserve">MTPQUIADT018</x:t>
        </x:is>
      </x:c>
      <x:c r="B417" t="inlineStr">
        <x:is>
          <x:t xml:space="preserve">PIGMENTO PASTA COLOR NEGRO</x:t>
        </x:is>
      </x:c>
      <x:c r="C417" s="8" t="n">
        <x:v>2.4</x:v>
      </x:c>
      <x:c r="D417" s="8" t="n">
        <x:v>0</x:v>
      </x:c>
      <x:c r="E417" s="8" t="n">
        <x:v>0</x:v>
      </x:c>
      <x:c r="F417" s="8" t="n">
        <x:v>2.4</x:v>
      </x:c>
      <x:c r="G417" s="9" t="n">
        <x:v>31849</x:v>
      </x:c>
      <x:c r="H417" s="9" t="n">
        <x:v>0</x:v>
      </x:c>
      <x:c r="I417" s="9" t="n">
        <x:v>0</x:v>
      </x:c>
      <x:c r="J417" s="9" t="n">
        <x:v>31849</x:v>
      </x:c>
      <x:c r="K417" s="10" t="n">
        <x:v>13270.237024</x:v>
      </x:c>
    </x:row>
    <x:row r="418">
      <x:c r="A418" t="inlineStr">
        <x:is>
          <x:t xml:space="preserve">MTPQUIADT019</x:t>
        </x:is>
      </x:c>
      <x:c r="B418" t="inlineStr">
        <x:is>
          <x:t xml:space="preserve">PIGMENTO PASTA COLOR AZUL</x:t>
        </x:is>
      </x:c>
      <x:c r="C418" s="8" t="n">
        <x:v>3</x:v>
      </x:c>
      <x:c r="D418" s="8" t="n">
        <x:v>0</x:v>
      </x:c>
      <x:c r="E418" s="8" t="n">
        <x:v>0</x:v>
      </x:c>
      <x:c r="F418" s="8" t="n">
        <x:v>3</x:v>
      </x:c>
      <x:c r="G418" s="9" t="n">
        <x:v>56934</x:v>
      </x:c>
      <x:c r="H418" s="9" t="n">
        <x:v>0</x:v>
      </x:c>
      <x:c r="I418" s="9" t="n">
        <x:v>0</x:v>
      </x:c>
      <x:c r="J418" s="9" t="n">
        <x:v>56934</x:v>
      </x:c>
      <x:c r="K418" s="10" t="n">
        <x:v>18978</x:v>
      </x:c>
    </x:row>
    <x:row r="419">
      <x:c r="A419" t="inlineStr">
        <x:is>
          <x:t xml:space="preserve">MTPQUIADT020</x:t>
        </x:is>
      </x:c>
      <x:c r="B419" t="inlineStr">
        <x:is>
          <x:t xml:space="preserve">GRASA CONSISTENTE</x:t>
        </x:is>
      </x:c>
      <x:c r="C419" s="8" t="n">
        <x:v>125</x:v>
      </x:c>
      <x:c r="D419" s="8" t="n">
        <x:v>0</x:v>
      </x:c>
      <x:c r="E419" s="8" t="n">
        <x:v>0</x:v>
      </x:c>
      <x:c r="F419" s="8" t="n">
        <x:v>125</x:v>
      </x:c>
      <x:c r="G419" s="9" t="n">
        <x:v>125000</x:v>
      </x:c>
      <x:c r="H419" s="9" t="n">
        <x:v>0</x:v>
      </x:c>
      <x:c r="I419" s="9" t="n">
        <x:v>0</x:v>
      </x:c>
      <x:c r="J419" s="9" t="n">
        <x:v>125000</x:v>
      </x:c>
      <x:c r="K419" s="10" t="n">
        <x:v>1000</x:v>
      </x:c>
    </x:row>
    <x:row r="420">
      <x:c r="A420" t="inlineStr">
        <x:is>
          <x:t xml:space="preserve">MTPQUIADT022</x:t>
        </x:is>
      </x:c>
      <x:c r="B420" t="inlineStr">
        <x:is>
          <x:t xml:space="preserve">AGENTE SUPERFICIE S</x:t>
        </x:is>
      </x:c>
      <x:c r="C420" s="8" t="n">
        <x:v>49</x:v>
      </x:c>
      <x:c r="D420" s="8" t="n">
        <x:v>0</x:v>
      </x:c>
      <x:c r="E420" s="8" t="n">
        <x:v>0</x:v>
      </x:c>
      <x:c r="F420" s="8" t="n">
        <x:v>49</x:v>
      </x:c>
      <x:c r="G420" s="9" t="n">
        <x:v>344452</x:v>
      </x:c>
      <x:c r="H420" s="9" t="n">
        <x:v>0</x:v>
      </x:c>
      <x:c r="I420" s="9" t="n">
        <x:v>0</x:v>
      </x:c>
      <x:c r="J420" s="9" t="n">
        <x:v>344452</x:v>
      </x:c>
      <x:c r="K420" s="10" t="n">
        <x:v>7029.48111</x:v>
      </x:c>
    </x:row>
    <x:row r="421">
      <x:c r="A421" t="inlineStr">
        <x:is>
          <x:t xml:space="preserve">MTPQUIADT027</x:t>
        </x:is>
      </x:c>
      <x:c r="B421" t="inlineStr">
        <x:is>
          <x:t xml:space="preserve">CARBONATO DE CALCIO</x:t>
        </x:is>
      </x:c>
      <x:c r="C421" s="8" t="n">
        <x:v>65</x:v>
      </x:c>
      <x:c r="D421" s="8" t="n">
        <x:v>0</x:v>
      </x:c>
      <x:c r="E421" s="8" t="n">
        <x:v>0</x:v>
      </x:c>
      <x:c r="F421" s="8" t="n">
        <x:v>65</x:v>
      </x:c>
      <x:c r="G421" s="9" t="n">
        <x:v>20020</x:v>
      </x:c>
      <x:c r="H421" s="9" t="n">
        <x:v>0</x:v>
      </x:c>
      <x:c r="I421" s="9" t="n">
        <x:v>0</x:v>
      </x:c>
      <x:c r="J421" s="9" t="n">
        <x:v>20020</x:v>
      </x:c>
      <x:c r="K421" s="10" t="n">
        <x:v>308</x:v>
      </x:c>
    </x:row>
    <x:row r="422">
      <x:c r="A422" t="inlineStr">
        <x:is>
          <x:t xml:space="preserve">MTPQUIADT030</x:t>
        </x:is>
      </x:c>
      <x:c r="B422" t="inlineStr">
        <x:is>
          <x:t xml:space="preserve">AGENTE SUPERFICIE AL 10%</x:t>
        </x:is>
      </x:c>
      <x:c r="C422" s="8" t="n">
        <x:v>13.5</x:v>
      </x:c>
      <x:c r="D422" s="8" t="n">
        <x:v>0</x:v>
      </x:c>
      <x:c r="E422" s="8" t="n">
        <x:v>0</x:v>
      </x:c>
      <x:c r="F422" s="8" t="n">
        <x:v>13.5</x:v>
      </x:c>
      <x:c r="G422" s="9" t="n">
        <x:v>123930</x:v>
      </x:c>
      <x:c r="H422" s="9" t="n">
        <x:v>0</x:v>
      </x:c>
      <x:c r="I422" s="9" t="n">
        <x:v>0</x:v>
      </x:c>
      <x:c r="J422" s="9" t="n">
        <x:v>123930</x:v>
      </x:c>
      <x:c r="K422" s="10" t="n">
        <x:v>9180</x:v>
      </x:c>
    </x:row>
    <x:row r="423">
      <x:c r="A423" t="inlineStr">
        <x:is>
          <x:t xml:space="preserve">MTPQUIADT031</x:t>
        </x:is>
      </x:c>
      <x:c r="B423" t="inlineStr">
        <x:is>
          <x:t xml:space="preserve">GRAFITO EN POLVO</x:t>
        </x:is>
      </x:c>
      <x:c r="C423" s="8" t="n">
        <x:v>20</x:v>
      </x:c>
      <x:c r="D423" s="8" t="n">
        <x:v>0</x:v>
      </x:c>
      <x:c r="E423" s="8" t="n">
        <x:v>0</x:v>
      </x:c>
      <x:c r="F423" s="8" t="n">
        <x:v>20</x:v>
      </x:c>
      <x:c r="G423" s="9" t="n">
        <x:v>724400</x:v>
      </x:c>
      <x:c r="H423" s="9" t="n">
        <x:v>0</x:v>
      </x:c>
      <x:c r="I423" s="9" t="n">
        <x:v>0</x:v>
      </x:c>
      <x:c r="J423" s="9" t="n">
        <x:v>724400</x:v>
      </x:c>
      <x:c r="K423" s="10" t="n">
        <x:v>36220</x:v>
      </x:c>
    </x:row>
    <x:row r="424">
      <x:c r="A424" t="inlineStr">
        <x:is>
          <x:t xml:space="preserve">MTPQUIADT032</x:t>
        </x:is>
      </x:c>
      <x:c r="B424" t="inlineStr">
        <x:is>
          <x:t xml:space="preserve">ROLLO DE FIBRA DE CARBONO</x:t>
        </x:is>
      </x:c>
      <x:c r="C424" s="8" t="n">
        <x:v>4</x:v>
      </x:c>
      <x:c r="D424" s="8" t="n">
        <x:v>0</x:v>
      </x:c>
      <x:c r="E424" s="8" t="n">
        <x:v>0</x:v>
      </x:c>
      <x:c r="F424" s="8" t="n">
        <x:v>4</x:v>
      </x:c>
      <x:c r="G424" s="9" t="n">
        <x:v>1000000</x:v>
      </x:c>
      <x:c r="H424" s="9" t="n">
        <x:v>0</x:v>
      </x:c>
      <x:c r="I424" s="9" t="n">
        <x:v>0</x:v>
      </x:c>
      <x:c r="J424" s="9" t="n">
        <x:v>1000000</x:v>
      </x:c>
      <x:c r="K424" s="10" t="n">
        <x:v>250000</x:v>
      </x:c>
    </x:row>
    <x:row r="425">
      <x:c r="A425" t="inlineStr">
        <x:is>
          <x:t xml:space="preserve">MTPQUIADT038</x:t>
        </x:is>
      </x:c>
      <x:c r="B425" t="inlineStr">
        <x:is>
          <x:t xml:space="preserve">VELO NEXUS</x:t>
        </x:is>
      </x:c>
      <x:c r="C425" s="8" t="n">
        <x:v>20</x:v>
      </x:c>
      <x:c r="D425" s="8" t="n">
        <x:v>0</x:v>
      </x:c>
      <x:c r="E425" s="8" t="n">
        <x:v>0</x:v>
      </x:c>
      <x:c r="F425" s="8" t="n">
        <x:v>20</x:v>
      </x:c>
      <x:c r="G425" s="9" t="n">
        <x:v>578840</x:v>
      </x:c>
      <x:c r="H425" s="9" t="n">
        <x:v>0</x:v>
      </x:c>
      <x:c r="I425" s="9" t="n">
        <x:v>0</x:v>
      </x:c>
      <x:c r="J425" s="9" t="n">
        <x:v>578840</x:v>
      </x:c>
      <x:c r="K425" s="10" t="n">
        <x:v>28942</x:v>
      </x:c>
    </x:row>
    <x:row r="426">
      <x:c r="A426" t="inlineStr">
        <x:is>
          <x:t xml:space="preserve">MTPQUIADT039</x:t>
        </x:is>
      </x:c>
      <x:c r="B426" t="inlineStr">
        <x:is>
          <x:t xml:space="preserve">FIBRA DE VIDRIO TELA WR 800</x:t>
        </x:is>
      </x:c>
      <x:c r="C426" s="8" t="n">
        <x:v>976</x:v>
      </x:c>
      <x:c r="D426" s="8" t="n">
        <x:v>0</x:v>
      </x:c>
      <x:c r="E426" s="8" t="n">
        <x:v>0</x:v>
      </x:c>
      <x:c r="F426" s="8" t="n">
        <x:v>976</x:v>
      </x:c>
      <x:c r="G426" s="9" t="n">
        <x:v>1139964</x:v>
      </x:c>
      <x:c r="H426" s="9" t="n">
        <x:v>0</x:v>
      </x:c>
      <x:c r="I426" s="9" t="n">
        <x:v>0</x:v>
      </x:c>
      <x:c r="J426" s="9" t="n">
        <x:v>1139964</x:v>
      </x:c>
      <x:c r="K426" s="10" t="n">
        <x:v>1168</x:v>
      </x:c>
    </x:row>
    <x:row r="427">
      <x:c r="A427" t="inlineStr">
        <x:is>
          <x:t xml:space="preserve">MTPQUIADT041</x:t>
        </x:is>
      </x:c>
      <x:c r="B427" t="inlineStr">
        <x:is>
          <x:t xml:space="preserve">HILADO ROVING 2200 TEC</x:t>
        </x:is>
      </x:c>
      <x:c r="C427" s="8" t="n">
        <x:v>15502.2</x:v>
      </x:c>
      <x:c r="D427" s="8" t="n">
        <x:v>795</x:v>
      </x:c>
      <x:c r="E427" s="8" t="n">
        <x:v>1590</x:v>
      </x:c>
      <x:c r="F427" s="8" t="n">
        <x:v>14707.2</x:v>
      </x:c>
      <x:c r="G427" s="9" t="n">
        <x:v>9529633</x:v>
      </x:c>
      <x:c r="H427" s="9" t="n">
        <x:v>488708</x:v>
      </x:c>
      <x:c r="I427" s="9" t="n">
        <x:v>977416</x:v>
      </x:c>
      <x:c r="J427" s="9" t="n">
        <x:v>9040925</x:v>
      </x:c>
      <x:c r="K427" s="10" t="n">
        <x:v>614.727223</x:v>
      </x:c>
    </x:row>
    <x:row r="428">
      <x:c r="A428" t="inlineStr">
        <x:is>
          <x:t xml:space="preserve">MTPQUIADT042</x:t>
        </x:is>
      </x:c>
      <x:c r="B428" t="inlineStr">
        <x:is>
          <x:t xml:space="preserve">POLVO S-1 SACOS DE 50 LBS</x:t>
        </x:is>
      </x:c>
      <x:c r="C428" s="8" t="n">
        <x:v>74.7</x:v>
      </x:c>
      <x:c r="D428" s="8" t="n">
        <x:v>0</x:v>
      </x:c>
      <x:c r="E428" s="8" t="n">
        <x:v>0</x:v>
      </x:c>
      <x:c r="F428" s="8" t="n">
        <x:v>74.7</x:v>
      </x:c>
      <x:c r="G428" s="9" t="n">
        <x:v>13496422</x:v>
      </x:c>
      <x:c r="H428" s="9" t="n">
        <x:v>0</x:v>
      </x:c>
      <x:c r="I428" s="9" t="n">
        <x:v>0</x:v>
      </x:c>
      <x:c r="J428" s="9" t="n">
        <x:v>13496422</x:v>
      </x:c>
      <x:c r="K428" s="10" t="n">
        <x:v>180675</x:v>
      </x:c>
    </x:row>
    <x:row r="429">
      <x:c r="A429" t="inlineStr">
        <x:is>
          <x:t xml:space="preserve">MTPQUIADT045</x:t>
        </x:is>
      </x:c>
      <x:c r="B429" t="inlineStr">
        <x:is>
          <x:t xml:space="preserve">COMBO GLAS TELA 800 GRS/MT2 + MAT 225 GRS/MT2</x:t>
        </x:is>
      </x:c>
      <x:c r="C429" s="8" t="n">
        <x:v>8446</x:v>
      </x:c>
      <x:c r="D429" s="8" t="n">
        <x:v>960</x:v>
      </x:c>
      <x:c r="E429" s="8" t="n">
        <x:v>2110</x:v>
      </x:c>
      <x:c r="F429" s="8" t="n">
        <x:v>7296</x:v>
      </x:c>
      <x:c r="G429" s="9" t="n">
        <x:v>7364829</x:v>
      </x:c>
      <x:c r="H429" s="9" t="n">
        <x:v>837115</x:v>
      </x:c>
      <x:c r="I429" s="9" t="n">
        <x:v>1839909</x:v>
      </x:c>
      <x:c r="J429" s="9" t="n">
        <x:v>6362035</x:v>
      </x:c>
      <x:c r="K429" s="10" t="n">
        <x:v>871.9951569999999</x:v>
      </x:c>
    </x:row>
    <x:row r="430">
      <x:c r="A430" t="inlineStr">
        <x:is>
          <x:t xml:space="preserve">MTPQUIADT046</x:t>
        </x:is>
      </x:c>
      <x:c r="B430" t="inlineStr">
        <x:is>
          <x:t xml:space="preserve">ROLLO DE CORE SBC 8 MM ESP.</x:t>
        </x:is>
      </x:c>
      <x:c r="C430" s="8" t="n">
        <x:v>18.8</x:v>
      </x:c>
      <x:c r="D430" s="8" t="n">
        <x:v>0</x:v>
      </x:c>
      <x:c r="E430" s="8" t="n">
        <x:v>0</x:v>
      </x:c>
      <x:c r="F430" s="8" t="n">
        <x:v>18.8</x:v>
      </x:c>
      <x:c r="G430" s="9" t="n">
        <x:v>288336</x:v>
      </x:c>
      <x:c r="H430" s="9" t="n">
        <x:v>0</x:v>
      </x:c>
      <x:c r="I430" s="9" t="n">
        <x:v>0</x:v>
      </x:c>
      <x:c r="J430" s="9" t="n">
        <x:v>288336</x:v>
      </x:c>
      <x:c r="K430" s="10" t="n">
        <x:v>15337</x:v>
      </x:c>
    </x:row>
    <x:row r="431">
      <x:c r="A431" t="inlineStr">
        <x:is>
          <x:t xml:space="preserve">MTPQUIADT050</x:t>
        </x:is>
      </x:c>
      <x:c r="B431" t="inlineStr">
        <x:is>
          <x:t xml:space="preserve">HILADO ASSEMBLE ROVING 2400 TEX</x:t>
        </x:is>
      </x:c>
      <x:c r="C431" s="8" t="n">
        <x:v>1834</x:v>
      </x:c>
      <x:c r="D431" s="8" t="n">
        <x:v>0</x:v>
      </x:c>
      <x:c r="E431" s="8" t="n">
        <x:v>0</x:v>
      </x:c>
      <x:c r="F431" s="8" t="n">
        <x:v>1834</x:v>
      </x:c>
      <x:c r="G431" s="9" t="n">
        <x:v>1390919</x:v>
      </x:c>
      <x:c r="H431" s="9" t="n">
        <x:v>0</x:v>
      </x:c>
      <x:c r="I431" s="9" t="n">
        <x:v>0</x:v>
      </x:c>
      <x:c r="J431" s="9" t="n">
        <x:v>1390919</x:v>
      </x:c>
      <x:c r="K431" s="10" t="n">
        <x:v>758.407241</x:v>
      </x:c>
    </x:row>
    <x:row r="432">
      <x:c r="A432" t="inlineStr">
        <x:is>
          <x:t xml:space="preserve">MTPQUIADT052</x:t>
        </x:is>
      </x:c>
      <x:c r="B432" t="inlineStr">
        <x:is>
          <x:t xml:space="preserve">PEROXIDO BENZOILO BLANCO</x:t>
        </x:is>
      </x:c>
      <x:c r="C432" s="8" t="n">
        <x:v>27</x:v>
      </x:c>
      <x:c r="D432" s="8" t="n">
        <x:v>0</x:v>
      </x:c>
      <x:c r="E432" s="8" t="n">
        <x:v>0</x:v>
      </x:c>
      <x:c r="F432" s="8" t="n">
        <x:v>27</x:v>
      </x:c>
      <x:c r="G432" s="9" t="n">
        <x:v>269434</x:v>
      </x:c>
      <x:c r="H432" s="9" t="n">
        <x:v>0</x:v>
      </x:c>
      <x:c r="I432" s="9" t="n">
        <x:v>0</x:v>
      </x:c>
      <x:c r="J432" s="9" t="n">
        <x:v>269434</x:v>
      </x:c>
      <x:c r="K432" s="10" t="n">
        <x:v>9979.057870000001</x:v>
      </x:c>
    </x:row>
    <x:row r="433">
      <x:c r="A433" t="inlineStr">
        <x:is>
          <x:t xml:space="preserve">MTPQUIADT053</x:t>
        </x:is>
      </x:c>
      <x:c r="B433" t="inlineStr">
        <x:is>
          <x:t xml:space="preserve">ACELERANTE DMA 100%</x:t>
        </x:is>
      </x:c>
      <x:c r="C433" s="8" t="n">
        <x:v>1.4</x:v>
      </x:c>
      <x:c r="D433" s="8" t="n">
        <x:v>0</x:v>
      </x:c>
      <x:c r="E433" s="8" t="n">
        <x:v>1</x:v>
      </x:c>
      <x:c r="F433" s="8" t="n">
        <x:v>0.4</x:v>
      </x:c>
      <x:c r="G433" s="9" t="n">
        <x:v>18683</x:v>
      </x:c>
      <x:c r="H433" s="9" t="n">
        <x:v>0</x:v>
      </x:c>
      <x:c r="I433" s="9" t="n">
        <x:v>13345</x:v>
      </x:c>
      <x:c r="J433" s="9" t="n">
        <x:v>5338</x:v>
      </x:c>
      <x:c r="K433" s="10" t="n">
        <x:v>13345</x:v>
      </x:c>
    </x:row>
    <x:row r="434">
      <x:c r="A434" t="inlineStr">
        <x:is>
          <x:t xml:space="preserve">MTPQUIADT054</x:t>
        </x:is>
      </x:c>
      <x:c r="B434" t="inlineStr">
        <x:is>
          <x:t xml:space="preserve">ADITIVO ANTI UV TINUVIN</x:t>
        </x:is>
      </x:c>
      <x:c r="C434" s="8" t="n">
        <x:v>11</x:v>
      </x:c>
      <x:c r="D434" s="8" t="n">
        <x:v>0</x:v>
      </x:c>
      <x:c r="E434" s="8" t="n">
        <x:v>0.192</x:v>
      </x:c>
      <x:c r="F434" s="8" t="n">
        <x:v>10.808</x:v>
      </x:c>
      <x:c r="G434" s="9" t="n">
        <x:v>603871</x:v>
      </x:c>
      <x:c r="H434" s="9" t="n">
        <x:v>0</x:v>
      </x:c>
      <x:c r="I434" s="9" t="n">
        <x:v>10540</x:v>
      </x:c>
      <x:c r="J434" s="9" t="n">
        <x:v>593331</x:v>
      </x:c>
      <x:c r="K434" s="10" t="n">
        <x:v>54897.311491</x:v>
      </x:c>
    </x:row>
    <x:row r="435">
      <x:c r="A435" t="inlineStr">
        <x:is>
          <x:t xml:space="preserve">MTPQUIADT059</x:t>
        </x:is>
      </x:c>
      <x:c r="B435" t="inlineStr">
        <x:is>
          <x:t xml:space="preserve">POLYESTER CELULAR DESBURBUJADOR CLOTH DENSITY 50GR/MT2 200 MM ANCHO</x:t>
        </x:is>
      </x:c>
      <x:c r="C435" s="8" t="n">
        <x:v>314</x:v>
      </x:c>
      <x:c r="D435" s="8" t="n">
        <x:v>0</x:v>
      </x:c>
      <x:c r="E435" s="8" t="n">
        <x:v>0</x:v>
      </x:c>
      <x:c r="F435" s="8" t="n">
        <x:v>314</x:v>
      </x:c>
      <x:c r="G435" s="9" t="n">
        <x:v>1177500</x:v>
      </x:c>
      <x:c r="H435" s="9" t="n">
        <x:v>0</x:v>
      </x:c>
      <x:c r="I435" s="9" t="n">
        <x:v>0</x:v>
      </x:c>
      <x:c r="J435" s="9" t="n">
        <x:v>1177500</x:v>
      </x:c>
      <x:c r="K435" s="10" t="n">
        <x:v>3750</x:v>
      </x:c>
    </x:row>
    <x:row r="436">
      <x:c r="A436" t="inlineStr">
        <x:is>
          <x:t xml:space="preserve">MTPQUIADT061</x:t>
        </x:is>
      </x:c>
      <x:c r="B436" t="inlineStr">
        <x:is>
          <x:t xml:space="preserve">MYLAR FILM 36 MICRON ANCHO 200 MM</x:t>
        </x:is>
      </x:c>
      <x:c r="C436" s="8" t="n">
        <x:v>1568</x:v>
      </x:c>
      <x:c r="D436" s="8" t="n">
        <x:v>0</x:v>
      </x:c>
      <x:c r="E436" s="8" t="n">
        <x:v>0</x:v>
      </x:c>
      <x:c r="F436" s="8" t="n">
        <x:v>1568</x:v>
      </x:c>
      <x:c r="G436" s="9" t="n">
        <x:v>3313134</x:v>
      </x:c>
      <x:c r="H436" s="9" t="n">
        <x:v>0</x:v>
      </x:c>
      <x:c r="I436" s="9" t="n">
        <x:v>0</x:v>
      </x:c>
      <x:c r="J436" s="9" t="n">
        <x:v>3313134</x:v>
      </x:c>
      <x:c r="K436" s="10" t="n">
        <x:v>2112.968338</x:v>
      </x:c>
    </x:row>
    <x:row r="437">
      <x:c r="A437" t="inlineStr">
        <x:is>
          <x:t xml:space="preserve">MTPQUIADT062</x:t>
        </x:is>
      </x:c>
      <x:c r="B437" t="inlineStr">
        <x:is>
          <x:t xml:space="preserve">ESCAMAS DE VIDRIO</x:t>
        </x:is>
      </x:c>
      <x:c r="C437" s="8" t="n">
        <x:v>14</x:v>
      </x:c>
      <x:c r="D437" s="8" t="n">
        <x:v>0</x:v>
      </x:c>
      <x:c r="E437" s="8" t="n">
        <x:v>0</x:v>
      </x:c>
      <x:c r="F437" s="8" t="n">
        <x:v>14</x:v>
      </x:c>
      <x:c r="G437" s="9" t="n">
        <x:v>320867</x:v>
      </x:c>
      <x:c r="H437" s="9" t="n">
        <x:v>0</x:v>
      </x:c>
      <x:c r="I437" s="9" t="n">
        <x:v>0</x:v>
      </x:c>
      <x:c r="J437" s="9" t="n">
        <x:v>320867</x:v>
      </x:c>
      <x:c r="K437" s="10" t="n">
        <x:v>22919</x:v>
      </x:c>
    </x:row>
    <x:row r="438">
      <x:c r="A438" t="inlineStr">
        <x:is>
          <x:t xml:space="preserve">MTPQUIADT066</x:t>
        </x:is>
      </x:c>
      <x:c r="B438" t="inlineStr">
        <x:is>
          <x:t xml:space="preserve">VELO C SUPERFICIE TIPO C DENSIDAD 30GR/MT2 1000 MM ANCHO</x:t>
        </x:is>
      </x:c>
      <x:c r="C438" s="8" t="n">
        <x:v>2222.505</x:v>
      </x:c>
      <x:c r="D438" s="8" t="n">
        <x:v>0</x:v>
      </x:c>
      <x:c r="E438" s="8" t="n">
        <x:v>0.5</x:v>
      </x:c>
      <x:c r="F438" s="8" t="n">
        <x:v>2222.005</x:v>
      </x:c>
      <x:c r="G438" s="9" t="n">
        <x:v>14101805</x:v>
      </x:c>
      <x:c r="H438" s="9" t="n">
        <x:v>0</x:v>
      </x:c>
      <x:c r="I438" s="9" t="n">
        <x:v>3173</x:v>
      </x:c>
      <x:c r="J438" s="9" t="n">
        <x:v>14098632</x:v>
      </x:c>
      <x:c r="K438" s="10" t="n">
        <x:v>6345.004952</x:v>
      </x:c>
    </x:row>
    <x:row r="439">
      <x:c r="A439" t="inlineStr">
        <x:is>
          <x:t xml:space="preserve">MTPQUIADT067</x:t>
        </x:is>
      </x:c>
      <x:c r="B439" t="inlineStr">
        <x:is>
          <x:t xml:space="preserve">TELA UNIDIRECCIONAL FIBRA DE VIDRIO DENSIDAD 525GR/MT2 ANCHO 300 MM</x:t>
        </x:is>
      </x:c>
      <x:c r="C439" s="8" t="n">
        <x:v>10869.5</x:v>
      </x:c>
      <x:c r="D439" s="8" t="n">
        <x:v>0</x:v>
      </x:c>
      <x:c r="E439" s="8" t="n">
        <x:v>0</x:v>
      </x:c>
      <x:c r="F439" s="8" t="n">
        <x:v>10869.5</x:v>
      </x:c>
      <x:c r="G439" s="9" t="n">
        <x:v>13833141</x:v>
      </x:c>
      <x:c r="H439" s="9" t="n">
        <x:v>0</x:v>
      </x:c>
      <x:c r="I439" s="9" t="n">
        <x:v>0</x:v>
      </x:c>
      <x:c r="J439" s="9" t="n">
        <x:v>13833141</x:v>
      </x:c>
      <x:c r="K439" s="10" t="n">
        <x:v>1272.657254</x:v>
      </x:c>
    </x:row>
    <x:row r="440">
      <x:c r="A440" t="inlineStr">
        <x:is>
          <x:t xml:space="preserve">MTPQUIADT068</x:t>
        </x:is>
      </x:c>
      <x:c r="B440" t="inlineStr">
        <x:is>
          <x:t xml:space="preserve">FIBRA DE VIDRIO MAT 450GR/MT2 E6CRMC450-1400-P20  JUSHI</x:t>
        </x:is>
      </x:c>
      <x:c r="C440" s="8" t="n">
        <x:v>15650.5</x:v>
      </x:c>
      <x:c r="D440" s="8" t="n">
        <x:v>1000</x:v>
      </x:c>
      <x:c r="E440" s="8" t="n">
        <x:v>1119</x:v>
      </x:c>
      <x:c r="F440" s="8" t="n">
        <x:v>15531.5</x:v>
      </x:c>
      <x:c r="G440" s="9" t="n">
        <x:v>17418819</x:v>
      </x:c>
      <x:c r="H440" s="9" t="n">
        <x:v>1112988</x:v>
      </x:c>
      <x:c r="I440" s="9" t="n">
        <x:v>1245434</x:v>
      </x:c>
      <x:c r="J440" s="9" t="n">
        <x:v>17286373</x:v>
      </x:c>
      <x:c r="K440" s="10" t="n">
        <x:v>1112.987517</x:v>
      </x:c>
    </x:row>
    <x:row r="441">
      <x:c r="A441" t="inlineStr">
        <x:is>
          <x:t xml:space="preserve">MTPQUIADT073</x:t>
        </x:is>
      </x:c>
      <x:c r="B441" t="inlineStr">
        <x:is>
          <x:t xml:space="preserve">AGENTE TIXOTROPICO HJSIL R-110</x:t>
        </x:is>
      </x:c>
      <x:c r="C441" s="8" t="n">
        <x:v>50</x:v>
      </x:c>
      <x:c r="D441" s="8" t="n">
        <x:v>20</x:v>
      </x:c>
      <x:c r="E441" s="8" t="n">
        <x:v>20.96</x:v>
      </x:c>
      <x:c r="F441" s="8" t="n">
        <x:v>49.04</x:v>
      </x:c>
      <x:c r="G441" s="9" t="n">
        <x:v>1069679</x:v>
      </x:c>
      <x:c r="H441" s="9" t="n">
        <x:v>442960</x:v>
      </x:c>
      <x:c r="I441" s="9" t="n">
        <x:v>452779</x:v>
      </x:c>
      <x:c r="J441" s="9" t="n">
        <x:v>1059860</x:v>
      </x:c>
      <x:c r="K441" s="10" t="n">
        <x:v>21612.051587</x:v>
      </x:c>
    </x:row>
    <x:row r="442">
      <x:c r="A442" t="inlineStr">
        <x:is>
          <x:t xml:space="preserve">MTPQUIADT075</x:t>
        </x:is>
      </x:c>
      <x:c r="B442" t="inlineStr">
        <x:is>
          <x:t xml:space="preserve">LAMINA DE PLOMO 6 MM PPEE</x:t>
        </x:is>
      </x:c>
      <x:c r="C442" s="8" t="n">
        <x:v>3</x:v>
      </x:c>
      <x:c r="D442" s="8" t="n">
        <x:v>0</x:v>
      </x:c>
      <x:c r="E442" s="8" t="n">
        <x:v>0</x:v>
      </x:c>
      <x:c r="F442" s="8" t="n">
        <x:v>3</x:v>
      </x:c>
      <x:c r="G442" s="9" t="n">
        <x:v>4264749</x:v>
      </x:c>
      <x:c r="H442" s="9" t="n">
        <x:v>0</x:v>
      </x:c>
      <x:c r="I442" s="9" t="n">
        <x:v>0</x:v>
      </x:c>
      <x:c r="J442" s="9" t="n">
        <x:v>4264749</x:v>
      </x:c>
      <x:c r="K442" s="10" t="n">
        <x:v>1421583</x:v>
      </x:c>
    </x:row>
    <x:row r="443">
      <x:c r="A443" t="inlineStr">
        <x:is>
          <x:t xml:space="preserve">MTPQUIADT078</x:t>
        </x:is>
      </x:c>
      <x:c r="B443" t="inlineStr">
        <x:is>
          <x:t xml:space="preserve">SOLDADURA PLOMO PPEE</x:t>
        </x:is>
      </x:c>
      <x:c r="C443" s="8" t="n">
        <x:v>8</x:v>
      </x:c>
      <x:c r="D443" s="8" t="n">
        <x:v>0</x:v>
      </x:c>
      <x:c r="E443" s="8" t="n">
        <x:v>0</x:v>
      </x:c>
      <x:c r="F443" s="8" t="n">
        <x:v>8</x:v>
      </x:c>
      <x:c r="G443" s="9" t="n">
        <x:v>1218496</x:v>
      </x:c>
      <x:c r="H443" s="9" t="n">
        <x:v>0</x:v>
      </x:c>
      <x:c r="I443" s="9" t="n">
        <x:v>0</x:v>
      </x:c>
      <x:c r="J443" s="9" t="n">
        <x:v>1218496</x:v>
      </x:c>
      <x:c r="K443" s="10" t="n">
        <x:v>152312</x:v>
      </x:c>
    </x:row>
    <x:row r="444">
      <x:c r="A444" t="inlineStr">
        <x:is>
          <x:t xml:space="preserve">MTPQUIADT082</x:t>
        </x:is>
      </x:c>
      <x:c r="B444" t="inlineStr">
        <x:is>
          <x:t xml:space="preserve">VELO NEXUS POLYESTER VEIL TE4030 X 1060 MM</x:t>
        </x:is>
      </x:c>
      <x:c r="C444" s="8" t="n">
        <x:v>80</x:v>
      </x:c>
      <x:c r="D444" s="8" t="n">
        <x:v>0</x:v>
      </x:c>
      <x:c r="E444" s="8" t="n">
        <x:v>0</x:v>
      </x:c>
      <x:c r="F444" s="8" t="n">
        <x:v>80</x:v>
      </x:c>
      <x:c r="G444" s="9" t="n">
        <x:v>776320</x:v>
      </x:c>
      <x:c r="H444" s="9" t="n">
        <x:v>0</x:v>
      </x:c>
      <x:c r="I444" s="9" t="n">
        <x:v>0</x:v>
      </x:c>
      <x:c r="J444" s="9" t="n">
        <x:v>776320</x:v>
      </x:c>
      <x:c r="K444" s="10" t="n">
        <x:v>9704</x:v>
      </x:c>
    </x:row>
    <x:row r="445">
      <x:c r="A445" t="inlineStr">
        <x:is>
          <x:t xml:space="preserve">MTPQUIADT083</x:t>
        </x:is>
      </x:c>
      <x:c r="B445" t="inlineStr">
        <x:is>
          <x:t xml:space="preserve">POLYESTER FILM 20MICRON X 500 MM  (IMPORTADO)</x:t>
        </x:is>
      </x:c>
      <x:c r="C445" s="8" t="n">
        <x:v>794</x:v>
      </x:c>
      <x:c r="D445" s="8" t="n">
        <x:v>0</x:v>
      </x:c>
      <x:c r="E445" s="8" t="n">
        <x:v>0</x:v>
      </x:c>
      <x:c r="F445" s="8" t="n">
        <x:v>794</x:v>
      </x:c>
      <x:c r="G445" s="9" t="n">
        <x:v>1248168</x:v>
      </x:c>
      <x:c r="H445" s="9" t="n">
        <x:v>0</x:v>
      </x:c>
      <x:c r="I445" s="9" t="n">
        <x:v>0</x:v>
      </x:c>
      <x:c r="J445" s="9" t="n">
        <x:v>1248168</x:v>
      </x:c>
      <x:c r="K445" s="10" t="n">
        <x:v>1572</x:v>
      </x:c>
    </x:row>
    <x:row r="446">
      <x:c r="A446" t="inlineStr">
        <x:is>
          <x:t xml:space="preserve">MTPQUIADT086</x:t>
        </x:is>
      </x:c>
      <x:c r="B446" t="inlineStr">
        <x:is>
          <x:t xml:space="preserve">AGREGADO MIX 80 (SACO 30 KILOS) (S-1)</x:t>
        </x:is>
      </x:c>
      <x:c r="C446" s="8" t="n">
        <x:v>69</x:v>
      </x:c>
      <x:c r="D446" s="8" t="n">
        <x:v>0</x:v>
      </x:c>
      <x:c r="E446" s="8" t="n">
        <x:v>0</x:v>
      </x:c>
      <x:c r="F446" s="8" t="n">
        <x:v>69</x:v>
      </x:c>
      <x:c r="G446" s="9" t="n">
        <x:v>1173000</x:v>
      </x:c>
      <x:c r="H446" s="9" t="n">
        <x:v>0</x:v>
      </x:c>
      <x:c r="I446" s="9" t="n">
        <x:v>0</x:v>
      </x:c>
      <x:c r="J446" s="9" t="n">
        <x:v>1173000</x:v>
      </x:c>
      <x:c r="K446" s="10" t="n">
        <x:v>17000</x:v>
      </x:c>
    </x:row>
    <x:row r="447">
      <x:c r="A447" t="inlineStr">
        <x:is>
          <x:t xml:space="preserve">MTPQUIADT089</x:t>
        </x:is>
      </x:c>
      <x:c r="B447" t="inlineStr">
        <x:is>
          <x:t xml:space="preserve">VELO FIBRA DE CARBONO CFM-015</x:t>
        </x:is>
      </x:c>
      <x:c r="C447" s="8" t="n">
        <x:v>18</x:v>
      </x:c>
      <x:c r="D447" s="8" t="n">
        <x:v>0</x:v>
      </x:c>
      <x:c r="E447" s="8" t="n">
        <x:v>0</x:v>
      </x:c>
      <x:c r="F447" s="8" t="n">
        <x:v>18</x:v>
      </x:c>
      <x:c r="G447" s="9" t="n">
        <x:v>1556928</x:v>
      </x:c>
      <x:c r="H447" s="9" t="n">
        <x:v>0</x:v>
      </x:c>
      <x:c r="I447" s="9" t="n">
        <x:v>0</x:v>
      </x:c>
      <x:c r="J447" s="9" t="n">
        <x:v>1556928</x:v>
      </x:c>
      <x:c r="K447" s="10" t="n">
        <x:v>86496</x:v>
      </x:c>
    </x:row>
    <x:row r="448">
      <x:c r="A448" t="inlineStr">
        <x:is>
          <x:t xml:space="preserve">MTPQUIADT090</x:t>
        </x:is>
      </x:c>
      <x:c r="B448" t="inlineStr">
        <x:is>
          <x:t xml:space="preserve">PEROXIDO AKPEROX A50 20KG 3H1 PARA RESINA POLIESTER</x:t>
        </x:is>
      </x:c>
      <x:c r="C448" s="8" t="n">
        <x:v>20</x:v>
      </x:c>
      <x:c r="D448" s="8" t="n">
        <x:v>0</x:v>
      </x:c>
      <x:c r="E448" s="8" t="n">
        <x:v>1</x:v>
      </x:c>
      <x:c r="F448" s="8" t="n">
        <x:v>19</x:v>
      </x:c>
      <x:c r="G448" s="9" t="n">
        <x:v>101652</x:v>
      </x:c>
      <x:c r="H448" s="9" t="n">
        <x:v>0</x:v>
      </x:c>
      <x:c r="I448" s="9" t="n">
        <x:v>5083</x:v>
      </x:c>
      <x:c r="J448" s="9" t="n">
        <x:v>96569</x:v>
      </x:c>
      <x:c r="K448" s="10" t="n">
        <x:v>5082.727273</x:v>
      </x:c>
    </x:row>
    <x:row r="449">
      <x:c r="A449" t="inlineStr">
        <x:is>
          <x:t xml:space="preserve">MTPQUIADT093</x:t>
        </x:is>
      </x:c>
      <x:c r="B449" t="inlineStr">
        <x:is>
          <x:t xml:space="preserve">PEROXIDO AKPEROX LPT-N  (PARA RESINA VINILESTER)</x:t>
        </x:is>
      </x:c>
      <x:c r="C449" s="8" t="n">
        <x:v>32</x:v>
      </x:c>
      <x:c r="D449" s="8" t="n">
        <x:v>20</x:v>
      </x:c>
      <x:c r="E449" s="8" t="n">
        <x:v>14</x:v>
      </x:c>
      <x:c r="F449" s="8" t="n">
        <x:v>38</x:v>
      </x:c>
      <x:c r="G449" s="9" t="n">
        <x:v>244009</x:v>
      </x:c>
      <x:c r="H449" s="9" t="n">
        <x:v>149700</x:v>
      </x:c>
      <x:c r="I449" s="9" t="n">
        <x:v>106475</x:v>
      </x:c>
      <x:c r="J449" s="9" t="n">
        <x:v>287234</x:v>
      </x:c>
      <x:c r="K449" s="10" t="n">
        <x:v>7558.045943</x:v>
      </x:c>
    </x:row>
    <x:row r="450">
      <x:c r="A450" t="inlineStr">
        <x:is>
          <x:t xml:space="preserve">MTPQUIADT094</x:t>
        </x:is>
      </x:c>
      <x:c r="B450" t="inlineStr">
        <x:is>
          <x:t xml:space="preserve">COMBO MAT  600 GRS/MT2 + MAT 450 GRS/MT2</x:t>
        </x:is>
      </x:c>
      <x:c r="C450" s="8" t="n">
        <x:v>4544.915</x:v>
      </x:c>
      <x:c r="D450" s="8" t="n">
        <x:v>0</x:v>
      </x:c>
      <x:c r="E450" s="8" t="n">
        <x:v>5.915</x:v>
      </x:c>
      <x:c r="F450" s="8" t="n">
        <x:v>4539</x:v>
      </x:c>
      <x:c r="G450" s="9" t="n">
        <x:v>5639399</x:v>
      </x:c>
      <x:c r="H450" s="9" t="n">
        <x:v>0</x:v>
      </x:c>
      <x:c r="I450" s="9" t="n">
        <x:v>7339</x:v>
      </x:c>
      <x:c r="J450" s="9" t="n">
        <x:v>5632060</x:v>
      </x:c>
      <x:c r="K450" s="10" t="n">
        <x:v>1240.815126</x:v>
      </x:c>
    </x:row>
    <x:row r="451">
      <x:c r="A451" t="inlineStr">
        <x:is>
          <x:t xml:space="preserve">MTPQUIADT095</x:t>
        </x:is>
      </x:c>
      <x:c r="B451" t="inlineStr">
        <x:is>
          <x:t xml:space="preserve">NAFTENATO DE COBRE AL 8% (1 KG)</x:t>
        </x:is>
      </x:c>
      <x:c r="C451" s="8" t="n">
        <x:v>1</x:v>
      </x:c>
      <x:c r="D451" s="8" t="n">
        <x:v>0</x:v>
      </x:c>
      <x:c r="E451" s="8" t="n">
        <x:v>0</x:v>
      </x:c>
      <x:c r="F451" s="8" t="n">
        <x:v>1</x:v>
      </x:c>
      <x:c r="G451" s="9" t="n">
        <x:v>40000</x:v>
      </x:c>
      <x:c r="H451" s="9" t="n">
        <x:v>0</x:v>
      </x:c>
      <x:c r="I451" s="9" t="n">
        <x:v>0</x:v>
      </x:c>
      <x:c r="J451" s="9" t="n">
        <x:v>40000</x:v>
      </x:c>
      <x:c r="K451" s="10" t="n">
        <x:v>40000</x:v>
      </x:c>
    </x:row>
    <x:row r="452">
      <x:c r="A452" t="inlineStr">
        <x:is>
          <x:t xml:space="preserve">MTPQUIADT098</x:t>
        </x:is>
      </x:c>
      <x:c r="B452" t="inlineStr">
        <x:is>
          <x:t xml:space="preserve">ROVING FW 2200 E6 CR JSH (NACIONAL)</x:t>
        </x:is>
      </x:c>
      <x:c r="C452" s="8" t="n">
        <x:v>20321</x:v>
      </x:c>
      <x:c r="D452" s="8" t="n">
        <x:v>10189</x:v>
      </x:c>
      <x:c r="E452" s="8" t="n">
        <x:v>15881</x:v>
      </x:c>
      <x:c r="F452" s="8" t="n">
        <x:v>14629</x:v>
      </x:c>
      <x:c r="G452" s="9" t="n">
        <x:v>14427910</x:v>
      </x:c>
      <x:c r="H452" s="9" t="n">
        <x:v>7234190</x:v>
      </x:c>
      <x:c r="I452" s="9" t="n">
        <x:v>11275510</x:v>
      </x:c>
      <x:c r="J452" s="9" t="n">
        <x:v>10386590</x:v>
      </x:c>
      <x:c r="K452" s="10" t="n">
        <x:v>710</x:v>
      </x:c>
    </x:row>
    <x:row r="453">
      <x:c r="A453" t="inlineStr">
        <x:is>
          <x:t xml:space="preserve">MTPQUIADT099</x:t>
        </x:is>
      </x:c>
      <x:c r="B453" t="inlineStr">
        <x:is>
          <x:t xml:space="preserve">VELO SINTETICO POLIESTER 40GR/M2 1,2mts</x:t>
        </x:is>
      </x:c>
      <x:c r="C453" s="8" t="n">
        <x:v>17.3</x:v>
      </x:c>
      <x:c r="D453" s="8" t="n">
        <x:v>0</x:v>
      </x:c>
      <x:c r="E453" s="8" t="n">
        <x:v>0</x:v>
      </x:c>
      <x:c r="F453" s="8" t="n">
        <x:v>17.3</x:v>
      </x:c>
      <x:c r="G453" s="9" t="n">
        <x:v>188328</x:v>
      </x:c>
      <x:c r="H453" s="9" t="n">
        <x:v>0</x:v>
      </x:c>
      <x:c r="I453" s="9" t="n">
        <x:v>0</x:v>
      </x:c>
      <x:c r="J453" s="9" t="n">
        <x:v>188328</x:v>
      </x:c>
      <x:c r="K453" s="10" t="n">
        <x:v>10886</x:v>
      </x:c>
    </x:row>
    <x:row r="454">
      <x:c r="A454" t="inlineStr">
        <x:is>
          <x:t xml:space="preserve">MTPQUIPDT002</x:t>
        </x:is>
      </x:c>
      <x:c r="B454" t="inlineStr">
        <x:is>
          <x:t xml:space="preserve">GELCOAT BLANCO</x:t>
        </x:is>
      </x:c>
      <x:c r="C454" s="8" t="n">
        <x:v>60</x:v>
      </x:c>
      <x:c r="D454" s="8" t="n">
        <x:v>41.28</x:v>
      </x:c>
      <x:c r="E454" s="8" t="n">
        <x:v>100</x:v>
      </x:c>
      <x:c r="F454" s="8" t="n">
        <x:v>1.28</x:v>
      </x:c>
      <x:c r="G454" s="9" t="n">
        <x:v>397621</x:v>
      </x:c>
      <x:c r="H454" s="9" t="n">
        <x:v>273563</x:v>
      </x:c>
      <x:c r="I454" s="9" t="n">
        <x:v>662700</x:v>
      </x:c>
      <x:c r="J454" s="9" t="n">
        <x:v>8484</x:v>
      </x:c>
      <x:c r="K454" s="10" t="n">
        <x:v>6627.004344</x:v>
      </x:c>
    </x:row>
    <x:row r="455">
      <x:c r="A455" t="inlineStr">
        <x:is>
          <x:t xml:space="preserve">MTPQUIPDT003</x:t>
        </x:is>
      </x:c>
      <x:c r="B455" t="inlineStr">
        <x:is>
          <x:t xml:space="preserve">GEL COAT NARANJO</x:t>
        </x:is>
      </x:c>
      <x:c r="C455" s="8" t="n">
        <x:v>63</x:v>
      </x:c>
      <x:c r="D455" s="8" t="n">
        <x:v>0</x:v>
      </x:c>
      <x:c r="E455" s="8" t="n">
        <x:v>63</x:v>
      </x:c>
      <x:c r="F455" s="8" t="n">
        <x:v>0</x:v>
      </x:c>
      <x:c r="G455" s="9" t="n">
        <x:v>391482</x:v>
      </x:c>
      <x:c r="H455" s="9" t="n">
        <x:v>0</x:v>
      </x:c>
      <x:c r="I455" s="9" t="n">
        <x:v>391482</x:v>
      </x:c>
      <x:c r="J455" s="9" t="n">
        <x:v>0</x:v>
      </x:c>
      <x:c r="K455" s="10" t="n">
        <x:v>6214</x:v>
      </x:c>
    </x:row>
    <x:row r="456">
      <x:c r="A456" t="inlineStr">
        <x:is>
          <x:t xml:space="preserve">MTPQUIPDT006</x:t>
        </x:is>
      </x:c>
      <x:c r="B456" t="inlineStr">
        <x:is>
          <x:t xml:space="preserve">GEL COAT VINILESTER COLOR AMARILLO</x:t>
        </x:is>
      </x:c>
      <x:c r="C456" s="8" t="n">
        <x:v>10</x:v>
      </x:c>
      <x:c r="D456" s="8" t="n">
        <x:v>0</x:v>
      </x:c>
      <x:c r="E456" s="8" t="n">
        <x:v>0</x:v>
      </x:c>
      <x:c r="F456" s="8" t="n">
        <x:v>10</x:v>
      </x:c>
      <x:c r="G456" s="9" t="n">
        <x:v>57020</x:v>
      </x:c>
      <x:c r="H456" s="9" t="n">
        <x:v>0</x:v>
      </x:c>
      <x:c r="I456" s="9" t="n">
        <x:v>0</x:v>
      </x:c>
      <x:c r="J456" s="9" t="n">
        <x:v>57020</x:v>
      </x:c>
      <x:c r="K456" s="10" t="n">
        <x:v>5702</x:v>
      </x:c>
    </x:row>
    <x:row r="457">
      <x:c r="A457" t="inlineStr">
        <x:is>
          <x:t xml:space="preserve">MTPQUIPDT007</x:t>
        </x:is>
      </x:c>
      <x:c r="B457" t="inlineStr">
        <x:is>
          <x:t xml:space="preserve">GEL COAT ROJO</x:t>
        </x:is>
      </x:c>
      <x:c r="C457" s="8" t="n">
        <x:v>24</x:v>
      </x:c>
      <x:c r="D457" s="8" t="n">
        <x:v>0</x:v>
      </x:c>
      <x:c r="E457" s="8" t="n">
        <x:v>0</x:v>
      </x:c>
      <x:c r="F457" s="8" t="n">
        <x:v>24</x:v>
      </x:c>
      <x:c r="G457" s="9" t="n">
        <x:v>159048</x:v>
      </x:c>
      <x:c r="H457" s="9" t="n">
        <x:v>0</x:v>
      </x:c>
      <x:c r="I457" s="9" t="n">
        <x:v>0</x:v>
      </x:c>
      <x:c r="J457" s="9" t="n">
        <x:v>159048</x:v>
      </x:c>
      <x:c r="K457" s="10" t="n">
        <x:v>6627</x:v>
      </x:c>
    </x:row>
    <x:row r="458">
      <x:c r="A458" t="inlineStr">
        <x:is>
          <x:t xml:space="preserve">MTPQUIPDT009</x:t>
        </x:is>
      </x:c>
      <x:c r="B458" t="inlineStr">
        <x:is>
          <x:t xml:space="preserve">GEL COAT A400 COLOR BLANCO</x:t>
        </x:is>
      </x:c>
      <x:c r="C458" s="8" t="n">
        <x:v>60</x:v>
      </x:c>
      <x:c r="D458" s="8" t="n">
        <x:v>0</x:v>
      </x:c>
      <x:c r="E458" s="8" t="n">
        <x:v>0</x:v>
      </x:c>
      <x:c r="F458" s="8" t="n">
        <x:v>60</x:v>
      </x:c>
      <x:c r="G458" s="9" t="n">
        <x:v>213840</x:v>
      </x:c>
      <x:c r="H458" s="9" t="n">
        <x:v>0</x:v>
      </x:c>
      <x:c r="I458" s="9" t="n">
        <x:v>0</x:v>
      </x:c>
      <x:c r="J458" s="9" t="n">
        <x:v>213840</x:v>
      </x:c>
      <x:c r="K458" s="10" t="n">
        <x:v>3564</x:v>
      </x:c>
    </x:row>
    <x:row r="459">
      <x:c r="A459" t="inlineStr">
        <x:is>
          <x:t xml:space="preserve">MTPQUIPDT010</x:t>
        </x:is>
      </x:c>
      <x:c r="B459" t="inlineStr">
        <x:is>
          <x:t xml:space="preserve">GEL COAT COLOR GRIS RAL 7037</x:t>
        </x:is>
      </x:c>
      <x:c r="C459" s="8" t="n">
        <x:v>9</x:v>
      </x:c>
      <x:c r="D459" s="8" t="n">
        <x:v>0</x:v>
      </x:c>
      <x:c r="E459" s="8" t="n">
        <x:v>0</x:v>
      </x:c>
      <x:c r="F459" s="8" t="n">
        <x:v>9</x:v>
      </x:c>
      <x:c r="G459" s="9" t="n">
        <x:v>55566</x:v>
      </x:c>
      <x:c r="H459" s="9" t="n">
        <x:v>0</x:v>
      </x:c>
      <x:c r="I459" s="9" t="n">
        <x:v>0</x:v>
      </x:c>
      <x:c r="J459" s="9" t="n">
        <x:v>55566</x:v>
      </x:c>
      <x:c r="K459" s="10" t="n">
        <x:v>6174</x:v>
      </x:c>
    </x:row>
    <x:row r="460">
      <x:c r="A460" t="inlineStr">
        <x:is>
          <x:t xml:space="preserve">MTPQUIRES014</x:t>
        </x:is>
      </x:c>
      <x:c r="B460" t="inlineStr">
        <x:is>
          <x:t xml:space="preserve">RESINA PRIMER CEILCOTE 380 TINETA 20 LTS</x:t>
        </x:is>
      </x:c>
      <x:c r="C460" s="8" t="n">
        <x:v>1</x:v>
      </x:c>
      <x:c r="D460" s="8" t="n">
        <x:v>246.03</x:v>
      </x:c>
      <x:c r="E460" s="8" t="n">
        <x:v>0</x:v>
      </x:c>
      <x:c r="F460" s="8" t="n">
        <x:v>247.03</x:v>
      </x:c>
      <x:c r="G460" s="9" t="n">
        <x:v>1335854</x:v>
      </x:c>
      <x:c r="H460" s="9" t="n">
        <x:v>21454800</x:v>
      </x:c>
      <x:c r="I460" s="9" t="n">
        <x:v>0</x:v>
      </x:c>
      <x:c r="J460" s="9" t="n">
        <x:v>22790654</x:v>
      </x:c>
      <x:c r="K460" s="10" t="n">
        <x:v>92258.65328100001</x:v>
      </x:c>
    </x:row>
    <x:row r="461">
      <x:c r="A461" t="inlineStr">
        <x:is>
          <x:t xml:space="preserve">MTPQUIRES026</x:t>
        </x:is>
      </x:c>
      <x:c r="B461" t="inlineStr">
        <x:is>
          <x:t xml:space="preserve">RESINA BASF PALATAL E-210</x:t>
        </x:is>
      </x:c>
      <x:c r="C461" s="8" t="n">
        <x:v>20</x:v>
      </x:c>
      <x:c r="D461" s="8" t="n">
        <x:v>0</x:v>
      </x:c>
      <x:c r="E461" s="8" t="n">
        <x:v>0</x:v>
      </x:c>
      <x:c r="F461" s="8" t="n">
        <x:v>20</x:v>
      </x:c>
      <x:c r="G461" s="9" t="n">
        <x:v>81900</x:v>
      </x:c>
      <x:c r="H461" s="9" t="n">
        <x:v>0</x:v>
      </x:c>
      <x:c r="I461" s="9" t="n">
        <x:v>0</x:v>
      </x:c>
      <x:c r="J461" s="9" t="n">
        <x:v>81900</x:v>
      </x:c>
      <x:c r="K461" s="10" t="n">
        <x:v>4095</x:v>
      </x:c>
    </x:row>
    <x:row r="462">
      <x:c r="A462" t="inlineStr">
        <x:is>
          <x:t xml:space="preserve">MTPQUIRES027</x:t>
        </x:is>
      </x:c>
      <x:c r="B462" t="inlineStr">
        <x:is>
          <x:t xml:space="preserve">RESINA FORTCOM 5575</x:t>
        </x:is>
      </x:c>
      <x:c r="C462" s="8" t="n">
        <x:v>230</x:v>
      </x:c>
      <x:c r="D462" s="8" t="n">
        <x:v>0</x:v>
      </x:c>
      <x:c r="E462" s="8" t="n">
        <x:v>0</x:v>
      </x:c>
      <x:c r="F462" s="8" t="n">
        <x:v>230</x:v>
      </x:c>
      <x:c r="G462" s="9" t="n">
        <x:v>679995</x:v>
      </x:c>
      <x:c r="H462" s="9" t="n">
        <x:v>0</x:v>
      </x:c>
      <x:c r="I462" s="9" t="n">
        <x:v>0</x:v>
      </x:c>
      <x:c r="J462" s="9" t="n">
        <x:v>679995</x:v>
      </x:c>
      <x:c r="K462" s="10" t="n">
        <x:v>2956.5</x:v>
      </x:c>
    </x:row>
    <x:row r="463">
      <x:c r="A463" t="inlineStr">
        <x:is>
          <x:t xml:space="preserve">MTPQUIRES028</x:t>
        </x:is>
      </x:c>
      <x:c r="B463" t="inlineStr">
        <x:is>
          <x:t xml:space="preserve">Ceilcote #2 hardener</x:t>
        </x:is>
      </x:c>
      <x:c r="C463" s="8" t="n">
        <x:v>0</x:v>
      </x:c>
      <x:c r="D463" s="8" t="n">
        <x:v>4.8</x:v>
      </x:c>
      <x:c r="E463" s="8" t="n">
        <x:v>0</x:v>
      </x:c>
      <x:c r="F463" s="8" t="n">
        <x:v>4.8</x:v>
      </x:c>
      <x:c r="G463" s="9" t="n">
        <x:v>0</x:v>
      </x:c>
      <x:c r="H463" s="9" t="n">
        <x:v>941798</x:v>
      </x:c>
      <x:c r="I463" s="9" t="n">
        <x:v>0</x:v>
      </x:c>
      <x:c r="J463" s="9" t="n">
        <x:v>941798</x:v>
      </x:c>
      <x:c r="K463" s="10" t="n">
        <x:v>196208</x:v>
      </x:c>
    </x:row>
    <x:row r="464">
      <x:c r="A464" t="inlineStr">
        <x:is>
          <x:t xml:space="preserve">MTPRACFUN002</x:t>
        </x:is>
      </x:c>
      <x:c r="B464" t="inlineStr">
        <x:is>
          <x:t xml:space="preserve">PLIEGO LIJA #60 TELA ESMERIL</x:t>
        </x:is>
      </x:c>
      <x:c r="C464" s="8" t="n">
        <x:v>211</x:v>
      </x:c>
      <x:c r="D464" s="8" t="n">
        <x:v>0</x:v>
      </x:c>
      <x:c r="E464" s="8" t="n">
        <x:v>4</x:v>
      </x:c>
      <x:c r="F464" s="8" t="n">
        <x:v>207</x:v>
      </x:c>
      <x:c r="G464" s="9" t="n">
        <x:v>86517</x:v>
      </x:c>
      <x:c r="H464" s="9" t="n">
        <x:v>0</x:v>
      </x:c>
      <x:c r="I464" s="9" t="n">
        <x:v>1640</x:v>
      </x:c>
      <x:c r="J464" s="9" t="n">
        <x:v>84877</x:v>
      </x:c>
      <x:c r="K464" s="10" t="n">
        <x:v>410</x:v>
      </x:c>
    </x:row>
    <x:row r="465">
      <x:c r="A465" t="inlineStr">
        <x:is>
          <x:t xml:space="preserve">MTPRACFUN003</x:t>
        </x:is>
      </x:c>
      <x:c r="B465" t="inlineStr">
        <x:is>
          <x:t xml:space="preserve">PLIEGO LIJA #80 TELA ESMERIL</x:t>
        </x:is>
      </x:c>
      <x:c r="C465" s="8" t="n">
        <x:v>200</x:v>
      </x:c>
      <x:c r="D465" s="8" t="n">
        <x:v>0</x:v>
      </x:c>
      <x:c r="E465" s="8" t="n">
        <x:v>2</x:v>
      </x:c>
      <x:c r="F465" s="8" t="n">
        <x:v>198</x:v>
      </x:c>
      <x:c r="G465" s="9" t="n">
        <x:v>88992</x:v>
      </x:c>
      <x:c r="H465" s="9" t="n">
        <x:v>0</x:v>
      </x:c>
      <x:c r="I465" s="9" t="n">
        <x:v>890</x:v>
      </x:c>
      <x:c r="J465" s="9" t="n">
        <x:v>88102</x:v>
      </x:c>
      <x:c r="K465" s="10" t="n">
        <x:v>445</x:v>
      </x:c>
    </x:row>
    <x:row r="466">
      <x:c r="A466" t="inlineStr">
        <x:is>
          <x:t xml:space="preserve">MTPRACFUN005</x:t>
        </x:is>
      </x:c>
      <x:c r="B466" t="inlineStr">
        <x:is>
          <x:t xml:space="preserve">DISCO CORTE ACERO CARBONO 4.1/2 X 1 MM</x:t>
        </x:is>
      </x:c>
      <x:c r="C466" s="8" t="n">
        <x:v>182</x:v>
      </x:c>
      <x:c r="D466" s="8" t="n">
        <x:v>0</x:v>
      </x:c>
      <x:c r="E466" s="8" t="n">
        <x:v>10</x:v>
      </x:c>
      <x:c r="F466" s="8" t="n">
        <x:v>172</x:v>
      </x:c>
      <x:c r="G466" s="9" t="n">
        <x:v>89181</x:v>
      </x:c>
      <x:c r="H466" s="9" t="n">
        <x:v>0</x:v>
      </x:c>
      <x:c r="I466" s="9" t="n">
        <x:v>4900</x:v>
      </x:c>
      <x:c r="J466" s="9" t="n">
        <x:v>84281</x:v>
      </x:c>
      <x:c r="K466" s="10" t="n">
        <x:v>490</x:v>
      </x:c>
    </x:row>
    <x:row r="467">
      <x:c r="A467" t="inlineStr">
        <x:is>
          <x:t xml:space="preserve">MTPRACFUN007</x:t>
        </x:is>
      </x:c>
      <x:c r="B467" t="inlineStr">
        <x:is>
          <x:t xml:space="preserve">DISCO CORTE ACERO CARBONO 7 x 1,6mm</x:t>
        </x:is>
      </x:c>
      <x:c r="C467" s="8" t="n">
        <x:v>63</x:v>
      </x:c>
      <x:c r="D467" s="8" t="n">
        <x:v>0</x:v>
      </x:c>
      <x:c r="E467" s="8" t="n">
        <x:v>0</x:v>
      </x:c>
      <x:c r="F467" s="8" t="n">
        <x:v>63</x:v>
      </x:c>
      <x:c r="G467" s="9" t="n">
        <x:v>52294</x:v>
      </x:c>
      <x:c r="H467" s="9" t="n">
        <x:v>0</x:v>
      </x:c>
      <x:c r="I467" s="9" t="n">
        <x:v>0</x:v>
      </x:c>
      <x:c r="J467" s="9" t="n">
        <x:v>52294</x:v>
      </x:c>
      <x:c r="K467" s="10" t="n">
        <x:v>830</x:v>
      </x:c>
    </x:row>
    <x:row r="468">
      <x:c r="A468" t="inlineStr">
        <x:is>
          <x:t xml:space="preserve">MTPRACFUN008</x:t>
        </x:is>
      </x:c>
      <x:c r="B468" t="inlineStr">
        <x:is>
          <x:t xml:space="preserve">BROCHA PLANA DE 1/2 X 1.1/2</x:t>
        </x:is>
      </x:c>
      <x:c r="C468" s="8" t="n">
        <x:v>250</x:v>
      </x:c>
      <x:c r="D468" s="8" t="n">
        <x:v>0</x:v>
      </x:c>
      <x:c r="E468" s="8" t="n">
        <x:v>6</x:v>
      </x:c>
      <x:c r="F468" s="8" t="n">
        <x:v>244</x:v>
      </x:c>
      <x:c r="G468" s="9" t="n">
        <x:v>366053</x:v>
      </x:c>
      <x:c r="H468" s="9" t="n">
        <x:v>0</x:v>
      </x:c>
      <x:c r="I468" s="9" t="n">
        <x:v>8784</x:v>
      </x:c>
      <x:c r="J468" s="9" t="n">
        <x:v>357269</x:v>
      </x:c>
      <x:c r="K468" s="10" t="n">
        <x:v>1464.237953</x:v>
      </x:c>
    </x:row>
    <x:row r="469">
      <x:c r="A469" t="inlineStr">
        <x:is>
          <x:t xml:space="preserve">MTPRACFUN009</x:t>
        </x:is>
      </x:c>
      <x:c r="B469" t="inlineStr">
        <x:is>
          <x:t xml:space="preserve">BROCHA PLANA DE 1/2 X 2</x:t>
        </x:is>
      </x:c>
      <x:c r="C469" s="8" t="n">
        <x:v>65</x:v>
      </x:c>
      <x:c r="D469" s="8" t="n">
        <x:v>0</x:v>
      </x:c>
      <x:c r="E469" s="8" t="n">
        <x:v>0</x:v>
      </x:c>
      <x:c r="F469" s="8" t="n">
        <x:v>65</x:v>
      </x:c>
      <x:c r="G469" s="9" t="n">
        <x:v>104513</x:v>
      </x:c>
      <x:c r="H469" s="9" t="n">
        <x:v>0</x:v>
      </x:c>
      <x:c r="I469" s="9" t="n">
        <x:v>0</x:v>
      </x:c>
      <x:c r="J469" s="9" t="n">
        <x:v>104513</x:v>
      </x:c>
      <x:c r="K469" s="10" t="n">
        <x:v>1607.938667</x:v>
      </x:c>
    </x:row>
    <x:row r="470">
      <x:c r="A470" t="inlineStr">
        <x:is>
          <x:t xml:space="preserve">MTPRACFUN014</x:t>
        </x:is>
      </x:c>
      <x:c r="B470" t="inlineStr">
        <x:is>
          <x:t xml:space="preserve">ROLLO DE CARTON CORRUGADO</x:t>
        </x:is>
      </x:c>
      <x:c r="C470" s="8" t="n">
        <x:v>9</x:v>
      </x:c>
      <x:c r="D470" s="8" t="n">
        <x:v>3</x:v>
      </x:c>
      <x:c r="E470" s="8" t="n">
        <x:v>0</x:v>
      </x:c>
      <x:c r="F470" s="8" t="n">
        <x:v>12</x:v>
      </x:c>
      <x:c r="G470" s="9" t="n">
        <x:v>476098</x:v>
      </x:c>
      <x:c r="H470" s="9" t="n">
        <x:v>158700</x:v>
      </x:c>
      <x:c r="I470" s="9" t="n">
        <x:v>0</x:v>
      </x:c>
      <x:c r="J470" s="9" t="n">
        <x:v>634798</x:v>
      </x:c>
      <x:c r="K470" s="10" t="n">
        <x:v>52900</x:v>
      </x:c>
    </x:row>
    <x:row r="471">
      <x:c r="A471" t="inlineStr">
        <x:is>
          <x:t xml:space="preserve">MTPRACFUN015</x:t>
        </x:is>
      </x:c>
      <x:c r="B471" t="inlineStr">
        <x:is>
          <x:t xml:space="preserve">DISCO DE SILICIO PARA ESMERIL 4-1/2</x:t>
        </x:is>
      </x:c>
      <x:c r="C471" s="8" t="n">
        <x:v>399</x:v>
      </x:c>
      <x:c r="D471" s="8" t="n">
        <x:v>70</x:v>
      </x:c>
      <x:c r="E471" s="8" t="n">
        <x:v>42</x:v>
      </x:c>
      <x:c r="F471" s="8" t="n">
        <x:v>427</x:v>
      </x:c>
      <x:c r="G471" s="9" t="n">
        <x:v>1728683</x:v>
      </x:c>
      <x:c r="H471" s="9" t="n">
        <x:v>319325</x:v>
      </x:c>
      <x:c r="I471" s="9" t="n">
        <x:v>181964</x:v>
      </x:c>
      <x:c r="J471" s="9" t="n">
        <x:v>1866044</x:v>
      </x:c>
      <x:c r="K471" s="10" t="n">
        <x:v>4370.058551</x:v>
      </x:c>
    </x:row>
    <x:row r="472">
      <x:c r="A472" t="inlineStr">
        <x:is>
          <x:t xml:space="preserve">MTPRACFUN016</x:t>
        </x:is>
      </x:c>
      <x:c r="B472" t="inlineStr">
        <x:is>
          <x:t xml:space="preserve">DISCO DE SILICIO PARA ESMERIL 7</x:t>
        </x:is>
      </x:c>
      <x:c r="C472" s="8" t="n">
        <x:v>132</x:v>
      </x:c>
      <x:c r="D472" s="8" t="n">
        <x:v>0</x:v>
      </x:c>
      <x:c r="E472" s="8" t="n">
        <x:v>0</x:v>
      </x:c>
      <x:c r="F472" s="8" t="n">
        <x:v>132</x:v>
      </x:c>
      <x:c r="G472" s="9" t="n">
        <x:v>1001331</x:v>
      </x:c>
      <x:c r="H472" s="9" t="n">
        <x:v>0</x:v>
      </x:c>
      <x:c r="I472" s="9" t="n">
        <x:v>0</x:v>
      </x:c>
      <x:c r="J472" s="9" t="n">
        <x:v>1001331</x:v>
      </x:c>
      <x:c r="K472" s="10" t="n">
        <x:v>7585.792504</x:v>
      </x:c>
    </x:row>
    <x:row r="473">
      <x:c r="A473" t="inlineStr">
        <x:is>
          <x:t xml:space="preserve">MTPRACFUN017</x:t>
        </x:is>
      </x:c>
      <x:c r="B473" t="inlineStr">
        <x:is>
          <x:t xml:space="preserve">DISCO DE LIJA GRANO P24 DE 4-1/2</x:t>
        </x:is>
      </x:c>
      <x:c r="C473" s="8" t="n">
        <x:v>439</x:v>
      </x:c>
      <x:c r="D473" s="8" t="n">
        <x:v>50</x:v>
      </x:c>
      <x:c r="E473" s="8" t="n">
        <x:v>3</x:v>
      </x:c>
      <x:c r="F473" s="8" t="n">
        <x:v>486</x:v>
      </x:c>
      <x:c r="G473" s="9" t="n">
        <x:v>403873</x:v>
      </x:c>
      <x:c r="H473" s="9" t="n">
        <x:v>46000</x:v>
      </x:c>
      <x:c r="I473" s="9" t="n">
        <x:v>2760</x:v>
      </x:c>
      <x:c r="J473" s="9" t="n">
        <x:v>447113</x:v>
      </x:c>
      <x:c r="K473" s="10" t="n">
        <x:v>920</x:v>
      </x:c>
    </x:row>
    <x:row r="474">
      <x:c r="A474" t="inlineStr">
        <x:is>
          <x:t xml:space="preserve">MTPRACFUN018</x:t>
        </x:is>
      </x:c>
      <x:c r="B474" t="inlineStr">
        <x:is>
          <x:t xml:space="preserve">DISCO DE LIJA GRANO P24 DE 7</x:t>
        </x:is>
      </x:c>
      <x:c r="C474" s="8" t="n">
        <x:v>163</x:v>
      </x:c>
      <x:c r="D474" s="8" t="n">
        <x:v>0</x:v>
      </x:c>
      <x:c r="E474" s="8" t="n">
        <x:v>3</x:v>
      </x:c>
      <x:c r="F474" s="8" t="n">
        <x:v>160</x:v>
      </x:c>
      <x:c r="G474" s="9" t="n">
        <x:v>316543</x:v>
      </x:c>
      <x:c r="H474" s="9" t="n">
        <x:v>0</x:v>
      </x:c>
      <x:c r="I474" s="9" t="n">
        <x:v>5826</x:v>
      </x:c>
      <x:c r="J474" s="9" t="n">
        <x:v>310717</x:v>
      </x:c>
      <x:c r="K474" s="10" t="n">
        <x:v>1941.993685</x:v>
      </x:c>
    </x:row>
    <x:row r="475">
      <x:c r="A475" t="inlineStr">
        <x:is>
          <x:t xml:space="preserve">MTPRACFUN019</x:t>
        </x:is>
      </x:c>
      <x:c r="B475" t="inlineStr">
        <x:is>
          <x:t xml:space="preserve">PERMACEL O MASKING TAPE 1 O 24MM</x:t>
        </x:is>
      </x:c>
      <x:c r="C475" s="8" t="n">
        <x:v>116</x:v>
      </x:c>
      <x:c r="D475" s="8" t="n">
        <x:v>30</x:v>
      </x:c>
      <x:c r="E475" s="8" t="n">
        <x:v>1</x:v>
      </x:c>
      <x:c r="F475" s="8" t="n">
        <x:v>145</x:v>
      </x:c>
      <x:c r="G475" s="9" t="n">
        <x:v>89240</x:v>
      </x:c>
      <x:c r="H475" s="9" t="n">
        <x:v>22560</x:v>
      </x:c>
      <x:c r="I475" s="9" t="n">
        <x:v>769</x:v>
      </x:c>
      <x:c r="J475" s="9" t="n">
        <x:v>111031</x:v>
      </x:c>
      <x:c r="K475" s="10" t="n">
        <x:v>765.744538</x:v>
      </x:c>
    </x:row>
    <x:row r="476">
      <x:c r="A476" t="inlineStr">
        <x:is>
          <x:t xml:space="preserve">MTPRACFUN020</x:t>
        </x:is>
      </x:c>
      <x:c r="B476" t="inlineStr">
        <x:is>
          <x:t xml:space="preserve">PERMACEL O MASKING TAPE 2 O 48MM</x:t>
        </x:is>
      </x:c>
      <x:c r="C476" s="8" t="n">
        <x:v>127</x:v>
      </x:c>
      <x:c r="D476" s="8" t="n">
        <x:v>0</x:v>
      </x:c>
      <x:c r="E476" s="8" t="n">
        <x:v>7</x:v>
      </x:c>
      <x:c r="F476" s="8" t="n">
        <x:v>120</x:v>
      </x:c>
      <x:c r="G476" s="9" t="n">
        <x:v>191238</x:v>
      </x:c>
      <x:c r="H476" s="9" t="n">
        <x:v>0</x:v>
      </x:c>
      <x:c r="I476" s="9" t="n">
        <x:v>10539</x:v>
      </x:c>
      <x:c r="J476" s="9" t="n">
        <x:v>180699</x:v>
      </x:c>
      <x:c r="K476" s="10" t="n">
        <x:v>1505.67921</x:v>
      </x:c>
    </x:row>
    <x:row r="477">
      <x:c r="A477" t="inlineStr">
        <x:is>
          <x:t xml:space="preserve">MTPRACFUN021</x:t>
        </x:is>
      </x:c>
      <x:c r="B477" t="inlineStr">
        <x:is>
          <x:t xml:space="preserve">CINTA DE EMBALAJE TRANSPARENTE 48MM</x:t>
        </x:is>
      </x:c>
      <x:c r="C477" s="8" t="n">
        <x:v>50</x:v>
      </x:c>
      <x:c r="D477" s="8" t="n">
        <x:v>100</x:v>
      </x:c>
      <x:c r="E477" s="8" t="n">
        <x:v>0</x:v>
      </x:c>
      <x:c r="F477" s="8" t="n">
        <x:v>150</x:v>
      </x:c>
      <x:c r="G477" s="9" t="n">
        <x:v>41450</x:v>
      </x:c>
      <x:c r="H477" s="9" t="n">
        <x:v>31300</x:v>
      </x:c>
      <x:c r="I477" s="9" t="n">
        <x:v>0</x:v>
      </x:c>
      <x:c r="J477" s="9" t="n">
        <x:v>72750</x:v>
      </x:c>
      <x:c r="K477" s="10" t="n">
        <x:v>485</x:v>
      </x:c>
    </x:row>
    <x:row r="478">
      <x:c r="A478" t="inlineStr">
        <x:is>
          <x:t xml:space="preserve">MTPRACFUN022</x:t>
        </x:is>
      </x:c>
      <x:c r="B478" t="inlineStr">
        <x:is>
          <x:t xml:space="preserve">SCOTCH MAGIC TAPE 19MM</x:t>
        </x:is>
      </x:c>
      <x:c r="C478" s="8" t="n">
        <x:v>3</x:v>
      </x:c>
      <x:c r="D478" s="8" t="n">
        <x:v>0</x:v>
      </x:c>
      <x:c r="E478" s="8" t="n">
        <x:v>0</x:v>
      </x:c>
      <x:c r="F478" s="8" t="n">
        <x:v>3</x:v>
      </x:c>
      <x:c r="G478" s="9" t="n">
        <x:v>8850</x:v>
      </x:c>
      <x:c r="H478" s="9" t="n">
        <x:v>0</x:v>
      </x:c>
      <x:c r="I478" s="9" t="n">
        <x:v>0</x:v>
      </x:c>
      <x:c r="J478" s="9" t="n">
        <x:v>8850</x:v>
      </x:c>
      <x:c r="K478" s="10" t="n">
        <x:v>2950</x:v>
      </x:c>
    </x:row>
    <x:row r="479">
      <x:c r="A479" t="inlineStr">
        <x:is>
          <x:t xml:space="preserve">MTPRACFUN024</x:t>
        </x:is>
      </x:c>
      <x:c r="B479" t="inlineStr">
        <x:is>
          <x:t xml:space="preserve">DISCO RESPALDO DE GOMA 4-1/2</x:t>
        </x:is>
      </x:c>
      <x:c r="C479" s="8" t="n">
        <x:v>52</x:v>
      </x:c>
      <x:c r="D479" s="8" t="n">
        <x:v>0</x:v>
      </x:c>
      <x:c r="E479" s="8" t="n">
        <x:v>0</x:v>
      </x:c>
      <x:c r="F479" s="8" t="n">
        <x:v>52</x:v>
      </x:c>
      <x:c r="G479" s="9" t="n">
        <x:v>256175</x:v>
      </x:c>
      <x:c r="H479" s="9" t="n">
        <x:v>0</x:v>
      </x:c>
      <x:c r="I479" s="9" t="n">
        <x:v>0</x:v>
      </x:c>
      <x:c r="J479" s="9" t="n">
        <x:v>256175</x:v>
      </x:c>
      <x:c r="K479" s="10" t="n">
        <x:v>4926.393716</x:v>
      </x:c>
    </x:row>
    <x:row r="480">
      <x:c r="A480" t="inlineStr">
        <x:is>
          <x:t xml:space="preserve">MTPRACFUN025</x:t>
        </x:is>
      </x:c>
      <x:c r="B480" t="inlineStr">
        <x:is>
          <x:t xml:space="preserve">DISCO RESPALDO DE GOMA 7</x:t>
        </x:is>
      </x:c>
      <x:c r="C480" s="8" t="n">
        <x:v>25</x:v>
      </x:c>
      <x:c r="D480" s="8" t="n">
        <x:v>0</x:v>
      </x:c>
      <x:c r="E480" s="8" t="n">
        <x:v>0</x:v>
      </x:c>
      <x:c r="F480" s="8" t="n">
        <x:v>25</x:v>
      </x:c>
      <x:c r="G480" s="9" t="n">
        <x:v>180798</x:v>
      </x:c>
      <x:c r="H480" s="9" t="n">
        <x:v>0</x:v>
      </x:c>
      <x:c r="I480" s="9" t="n">
        <x:v>0</x:v>
      </x:c>
      <x:c r="J480" s="9" t="n">
        <x:v>180798</x:v>
      </x:c>
      <x:c r="K480" s="10" t="n">
        <x:v>7232</x:v>
      </x:c>
    </x:row>
    <x:row r="481">
      <x:c r="A481" t="inlineStr">
        <x:is>
          <x:t xml:space="preserve">MTPRACFUN026</x:t>
        </x:is>
      </x:c>
      <x:c r="B481" t="inlineStr">
        <x:is>
          <x:t xml:space="preserve">DISCO DIAMANTADO PARA FDV O ELECTROLITICO 4-1/2</x:t>
        </x:is>
      </x:c>
      <x:c r="C481" s="8" t="n">
        <x:v>11</x:v>
      </x:c>
      <x:c r="D481" s="8" t="n">
        <x:v>0</x:v>
      </x:c>
      <x:c r="E481" s="8" t="n">
        <x:v>0</x:v>
      </x:c>
      <x:c r="F481" s="8" t="n">
        <x:v>11</x:v>
      </x:c>
      <x:c r="G481" s="9" t="n">
        <x:v>291498</x:v>
      </x:c>
      <x:c r="H481" s="9" t="n">
        <x:v>0</x:v>
      </x:c>
      <x:c r="I481" s="9" t="n">
        <x:v>0</x:v>
      </x:c>
      <x:c r="J481" s="9" t="n">
        <x:v>291498</x:v>
      </x:c>
      <x:c r="K481" s="10" t="n">
        <x:v>26500</x:v>
      </x:c>
    </x:row>
    <x:row r="482">
      <x:c r="A482" t="inlineStr">
        <x:is>
          <x:t xml:space="preserve">MTPRACFUN027</x:t>
        </x:is>
      </x:c>
      <x:c r="B482" t="inlineStr">
        <x:is>
          <x:t xml:space="preserve">DISCO DIAMANTADO PARA FDV O ELECTROLITICO 7</x:t>
        </x:is>
      </x:c>
      <x:c r="C482" s="8" t="n">
        <x:v>30</x:v>
      </x:c>
      <x:c r="D482" s="8" t="n">
        <x:v>0</x:v>
      </x:c>
      <x:c r="E482" s="8" t="n">
        <x:v>0</x:v>
      </x:c>
      <x:c r="F482" s="8" t="n">
        <x:v>30</x:v>
      </x:c>
      <x:c r="G482" s="9" t="n">
        <x:v>1095000</x:v>
      </x:c>
      <x:c r="H482" s="9" t="n">
        <x:v>0</x:v>
      </x:c>
      <x:c r="I482" s="9" t="n">
        <x:v>0</x:v>
      </x:c>
      <x:c r="J482" s="9" t="n">
        <x:v>1095000</x:v>
      </x:c>
      <x:c r="K482" s="10" t="n">
        <x:v>36500</x:v>
      </x:c>
    </x:row>
    <x:row r="483">
      <x:c r="A483" t="inlineStr">
        <x:is>
          <x:t xml:space="preserve">MTPRACFUN028</x:t>
        </x:is>
      </x:c>
      <x:c r="B483" t="inlineStr">
        <x:is>
          <x:t xml:space="preserve">DISCO DESBASTE PARA ACERO 4-1/2</x:t>
        </x:is>
      </x:c>
      <x:c r="C483" s="8" t="n">
        <x:v>103</x:v>
      </x:c>
      <x:c r="D483" s="8" t="n">
        <x:v>0</x:v>
      </x:c>
      <x:c r="E483" s="8" t="n">
        <x:v>0</x:v>
      </x:c>
      <x:c r="F483" s="8" t="n">
        <x:v>103</x:v>
      </x:c>
      <x:c r="G483" s="9" t="n">
        <x:v>101976</x:v>
      </x:c>
      <x:c r="H483" s="9" t="n">
        <x:v>0</x:v>
      </x:c>
      <x:c r="I483" s="9" t="n">
        <x:v>0</x:v>
      </x:c>
      <x:c r="J483" s="9" t="n">
        <x:v>101976</x:v>
      </x:c>
      <x:c r="K483" s="10" t="n">
        <x:v>990.078288</x:v>
      </x:c>
    </x:row>
    <x:row r="484">
      <x:c r="A484" t="inlineStr">
        <x:is>
          <x:t xml:space="preserve">MTPRACFUN029</x:t>
        </x:is>
      </x:c>
      <x:c r="B484" t="inlineStr">
        <x:is>
          <x:t xml:space="preserve">DISCO DESBASTE PARA ACERO 7</x:t>
        </x:is>
      </x:c>
      <x:c r="C484" s="8" t="n">
        <x:v>92</x:v>
      </x:c>
      <x:c r="D484" s="8" t="n">
        <x:v>0</x:v>
      </x:c>
      <x:c r="E484" s="8" t="n">
        <x:v>0</x:v>
      </x:c>
      <x:c r="F484" s="8" t="n">
        <x:v>92</x:v>
      </x:c>
      <x:c r="G484" s="9" t="n">
        <x:v>179400</x:v>
      </x:c>
      <x:c r="H484" s="9" t="n">
        <x:v>0</x:v>
      </x:c>
      <x:c r="I484" s="9" t="n">
        <x:v>0</x:v>
      </x:c>
      <x:c r="J484" s="9" t="n">
        <x:v>179400</x:v>
      </x:c>
      <x:c r="K484" s="10" t="n">
        <x:v>1950</x:v>
      </x:c>
    </x:row>
    <x:row r="485">
      <x:c r="A485" t="inlineStr">
        <x:is>
          <x:t xml:space="preserve">MTPRACFUN030</x:t>
        </x:is>
      </x:c>
      <x:c r="B485" t="inlineStr">
        <x:is>
          <x:t xml:space="preserve">ESPATULA 40MM</x:t>
        </x:is>
      </x:c>
      <x:c r="C485" s="8" t="n">
        <x:v>22</x:v>
      </x:c>
      <x:c r="D485" s="8" t="n">
        <x:v>0</x:v>
      </x:c>
      <x:c r="E485" s="8" t="n">
        <x:v>0</x:v>
      </x:c>
      <x:c r="F485" s="8" t="n">
        <x:v>22</x:v>
      </x:c>
      <x:c r="G485" s="9" t="n">
        <x:v>47599</x:v>
      </x:c>
      <x:c r="H485" s="9" t="n">
        <x:v>0</x:v>
      </x:c>
      <x:c r="I485" s="9" t="n">
        <x:v>0</x:v>
      </x:c>
      <x:c r="J485" s="9" t="n">
        <x:v>47599</x:v>
      </x:c>
      <x:c r="K485" s="10" t="n">
        <x:v>2163.522388</x:v>
      </x:c>
    </x:row>
    <x:row r="486">
      <x:c r="A486" t="inlineStr">
        <x:is>
          <x:t xml:space="preserve">MTPRACFUN031</x:t>
        </x:is>
      </x:c>
      <x:c r="B486" t="inlineStr">
        <x:is>
          <x:t xml:space="preserve">ESPATULA 60MM</x:t>
        </x:is>
      </x:c>
      <x:c r="C486" s="8" t="n">
        <x:v>49</x:v>
      </x:c>
      <x:c r="D486" s="8" t="n">
        <x:v>0</x:v>
      </x:c>
      <x:c r="E486" s="8" t="n">
        <x:v>0</x:v>
      </x:c>
      <x:c r="F486" s="8" t="n">
        <x:v>49</x:v>
      </x:c>
      <x:c r="G486" s="9" t="n">
        <x:v>82320</x:v>
      </x:c>
      <x:c r="H486" s="9" t="n">
        <x:v>0</x:v>
      </x:c>
      <x:c r="I486" s="9" t="n">
        <x:v>0</x:v>
      </x:c>
      <x:c r="J486" s="9" t="n">
        <x:v>82320</x:v>
      </x:c>
      <x:c r="K486" s="10" t="n">
        <x:v>1680</x:v>
      </x:c>
    </x:row>
    <x:row r="487">
      <x:c r="A487" t="inlineStr">
        <x:is>
          <x:t xml:space="preserve">MTPRACFUN032</x:t>
        </x:is>
      </x:c>
      <x:c r="B487" t="inlineStr">
        <x:is>
          <x:t xml:space="preserve">BROCHA PLANA DE 1/2 X 2-1/2</x:t>
        </x:is>
      </x:c>
      <x:c r="C487" s="8" t="n">
        <x:v>412</x:v>
      </x:c>
      <x:c r="D487" s="8" t="n">
        <x:v>0</x:v>
      </x:c>
      <x:c r="E487" s="8" t="n">
        <x:v>3</x:v>
      </x:c>
      <x:c r="F487" s="8" t="n">
        <x:v>409</x:v>
      </x:c>
      <x:c r="G487" s="9" t="n">
        <x:v>809909</x:v>
      </x:c>
      <x:c r="H487" s="9" t="n">
        <x:v>0</x:v>
      </x:c>
      <x:c r="I487" s="9" t="n">
        <x:v>5898</x:v>
      </x:c>
      <x:c r="J487" s="9" t="n">
        <x:v>804011</x:v>
      </x:c>
      <x:c r="K487" s="10" t="n">
        <x:v>1965.802328</x:v>
      </x:c>
    </x:row>
    <x:row r="488">
      <x:c r="A488" t="inlineStr">
        <x:is>
          <x:t xml:space="preserve">MTPRACFUN033</x:t>
        </x:is>
      </x:c>
      <x:c r="B488" t="inlineStr">
        <x:is>
          <x:t xml:space="preserve">BROCHA PLANA DE 1/2 X 3</x:t>
        </x:is>
      </x:c>
      <x:c r="C488" s="8" t="n">
        <x:v>163</x:v>
      </x:c>
      <x:c r="D488" s="8" t="n">
        <x:v>0</x:v>
      </x:c>
      <x:c r="E488" s="8" t="n">
        <x:v>0</x:v>
      </x:c>
      <x:c r="F488" s="8" t="n">
        <x:v>163</x:v>
      </x:c>
      <x:c r="G488" s="9" t="n">
        <x:v>391240</x:v>
      </x:c>
      <x:c r="H488" s="9" t="n">
        <x:v>0</x:v>
      </x:c>
      <x:c r="I488" s="9" t="n">
        <x:v>0</x:v>
      </x:c>
      <x:c r="J488" s="9" t="n">
        <x:v>391240</x:v>
      </x:c>
      <x:c r="K488" s="10" t="n">
        <x:v>2400.275005</x:v>
      </x:c>
    </x:row>
    <x:row r="489">
      <x:c r="A489" t="inlineStr">
        <x:is>
          <x:t xml:space="preserve">MTPRACFUN035</x:t>
        </x:is>
      </x:c>
      <x:c r="B489" t="inlineStr">
        <x:is>
          <x:t xml:space="preserve">DOSIFICADOR 1000 CC</x:t>
        </x:is>
      </x:c>
      <x:c r="C489" s="8" t="n">
        <x:v>97</x:v>
      </x:c>
      <x:c r="D489" s="8" t="n">
        <x:v>0</x:v>
      </x:c>
      <x:c r="E489" s="8" t="n">
        <x:v>0</x:v>
      </x:c>
      <x:c r="F489" s="8" t="n">
        <x:v>97</x:v>
      </x:c>
      <x:c r="G489" s="9" t="n">
        <x:v>114368</x:v>
      </x:c>
      <x:c r="H489" s="9" t="n">
        <x:v>0</x:v>
      </x:c>
      <x:c r="I489" s="9" t="n">
        <x:v>0</x:v>
      </x:c>
      <x:c r="J489" s="9" t="n">
        <x:v>114368</x:v>
      </x:c>
      <x:c r="K489" s="10" t="n">
        <x:v>1179.134981</x:v>
      </x:c>
    </x:row>
    <x:row r="490">
      <x:c r="A490" t="inlineStr">
        <x:is>
          <x:t xml:space="preserve">MTPRACFUN036</x:t>
        </x:is>
      </x:c>
      <x:c r="B490" t="inlineStr">
        <x:is>
          <x:t xml:space="preserve">DOSIFICADOR 500 CC</x:t>
        </x:is>
      </x:c>
      <x:c r="C490" s="8" t="n">
        <x:v>149</x:v>
      </x:c>
      <x:c r="D490" s="8" t="n">
        <x:v>0</x:v>
      </x:c>
      <x:c r="E490" s="8" t="n">
        <x:v>0</x:v>
      </x:c>
      <x:c r="F490" s="8" t="n">
        <x:v>149</x:v>
      </x:c>
      <x:c r="G490" s="9" t="n">
        <x:v>185631</x:v>
      </x:c>
      <x:c r="H490" s="9" t="n">
        <x:v>0</x:v>
      </x:c>
      <x:c r="I490" s="9" t="n">
        <x:v>0</x:v>
      </x:c>
      <x:c r="J490" s="9" t="n">
        <x:v>185631</x:v>
      </x:c>
      <x:c r="K490" s="10" t="n">
        <x:v>1245.860743</x:v>
      </x:c>
    </x:row>
    <x:row r="491">
      <x:c r="A491" t="inlineStr">
        <x:is>
          <x:t xml:space="preserve">MTPRACFUN038</x:t>
        </x:is>
      </x:c>
      <x:c r="B491" t="inlineStr">
        <x:is>
          <x:t xml:space="preserve">REPUESTO DE CUCHILLO CARTONERO HOJA CORTA</x:t>
        </x:is>
      </x:c>
      <x:c r="C491" s="8" t="n">
        <x:v>80</x:v>
      </x:c>
      <x:c r="D491" s="8" t="n">
        <x:v>0</x:v>
      </x:c>
      <x:c r="E491" s="8" t="n">
        <x:v>1</x:v>
      </x:c>
      <x:c r="F491" s="8" t="n">
        <x:v>79</x:v>
      </x:c>
      <x:c r="G491" s="9" t="n">
        <x:v>89360</x:v>
      </x:c>
      <x:c r="H491" s="9" t="n">
        <x:v>0</x:v>
      </x:c>
      <x:c r="I491" s="9" t="n">
        <x:v>1117</x:v>
      </x:c>
      <x:c r="J491" s="9" t="n">
        <x:v>88243</x:v>
      </x:c>
      <x:c r="K491" s="10" t="n">
        <x:v>1117</x:v>
      </x:c>
    </x:row>
    <x:row r="492">
      <x:c r="A492" t="inlineStr">
        <x:is>
          <x:t xml:space="preserve">MTPRACFUN040</x:t>
        </x:is>
      </x:c>
      <x:c r="B492" t="inlineStr">
        <x:is>
          <x:t xml:space="preserve">REPUESTO DE CUCHILLO CARTONERO HOJA LARGA</x:t>
        </x:is>
      </x:c>
      <x:c r="C492" s="8" t="n">
        <x:v>122</x:v>
      </x:c>
      <x:c r="D492" s="8" t="n">
        <x:v>0</x:v>
      </x:c>
      <x:c r="E492" s="8" t="n">
        <x:v>0</x:v>
      </x:c>
      <x:c r="F492" s="8" t="n">
        <x:v>122</x:v>
      </x:c>
      <x:c r="G492" s="9" t="n">
        <x:v>129291</x:v>
      </x:c>
      <x:c r="H492" s="9" t="n">
        <x:v>0</x:v>
      </x:c>
      <x:c r="I492" s="9" t="n">
        <x:v>0</x:v>
      </x:c>
      <x:c r="J492" s="9" t="n">
        <x:v>129291</x:v>
      </x:c>
      <x:c r="K492" s="10" t="n">
        <x:v>1059.762295</x:v>
      </x:c>
    </x:row>
    <x:row r="493">
      <x:c r="A493" t="inlineStr">
        <x:is>
          <x:t xml:space="preserve">MTPRACFUN041</x:t>
        </x:is>
      </x:c>
      <x:c r="B493" t="inlineStr">
        <x:is>
          <x:t xml:space="preserve">CUCHILLO CARTONERO HOJA RETRACTIL</x:t>
        </x:is>
      </x:c>
      <x:c r="C493" s="8" t="n">
        <x:v>23</x:v>
      </x:c>
      <x:c r="D493" s="8" t="n">
        <x:v>0</x:v>
      </x:c>
      <x:c r="E493" s="8" t="n">
        <x:v>0</x:v>
      </x:c>
      <x:c r="F493" s="8" t="n">
        <x:v>23</x:v>
      </x:c>
      <x:c r="G493" s="9" t="n">
        <x:v>88139</x:v>
      </x:c>
      <x:c r="H493" s="9" t="n">
        <x:v>0</x:v>
      </x:c>
      <x:c r="I493" s="9" t="n">
        <x:v>0</x:v>
      </x:c>
      <x:c r="J493" s="9" t="n">
        <x:v>88139</x:v>
      </x:c>
      <x:c r="K493" s="10" t="n">
        <x:v>3832.130435</x:v>
      </x:c>
    </x:row>
    <x:row r="494">
      <x:c r="A494" t="inlineStr">
        <x:is>
          <x:t xml:space="preserve">MTPRACFUN042</x:t>
        </x:is>
      </x:c>
      <x:c r="B494" t="inlineStr">
        <x:is>
          <x:t xml:space="preserve">FILM PALETIZADOR TRANSPARENTE</x:t>
        </x:is>
      </x:c>
      <x:c r="C494" s="8" t="n">
        <x:v>100</x:v>
      </x:c>
      <x:c r="D494" s="8" t="n">
        <x:v>0</x:v>
      </x:c>
      <x:c r="E494" s="8" t="n">
        <x:v>0</x:v>
      </x:c>
      <x:c r="F494" s="8" t="n">
        <x:v>100</x:v>
      </x:c>
      <x:c r="G494" s="9" t="n">
        <x:v>330002</x:v>
      </x:c>
      <x:c r="H494" s="9" t="n">
        <x:v>0</x:v>
      </x:c>
      <x:c r="I494" s="9" t="n">
        <x:v>0</x:v>
      </x:c>
      <x:c r="J494" s="9" t="n">
        <x:v>330002</x:v>
      </x:c>
      <x:c r="K494" s="10" t="n">
        <x:v>3300</x:v>
      </x:c>
    </x:row>
    <x:row r="495">
      <x:c r="A495" t="inlineStr">
        <x:is>
          <x:t xml:space="preserve">MTPRACFUN043</x:t>
        </x:is>
      </x:c>
      <x:c r="B495" t="inlineStr">
        <x:is>
          <x:t xml:space="preserve">FILM PALETIZADOR NEGRO</x:t>
        </x:is>
      </x:c>
      <x:c r="C495" s="8" t="n">
        <x:v>20</x:v>
      </x:c>
      <x:c r="D495" s="8" t="n">
        <x:v>0</x:v>
      </x:c>
      <x:c r="E495" s="8" t="n">
        <x:v>0</x:v>
      </x:c>
      <x:c r="F495" s="8" t="n">
        <x:v>20</x:v>
      </x:c>
      <x:c r="G495" s="9" t="n">
        <x:v>99857</x:v>
      </x:c>
      <x:c r="H495" s="9" t="n">
        <x:v>0</x:v>
      </x:c>
      <x:c r="I495" s="9" t="n">
        <x:v>0</x:v>
      </x:c>
      <x:c r="J495" s="9" t="n">
        <x:v>99857</x:v>
      </x:c>
      <x:c r="K495" s="10" t="n">
        <x:v>4992.857143</x:v>
      </x:c>
    </x:row>
    <x:row r="496">
      <x:c r="A496" t="inlineStr">
        <x:is>
          <x:t xml:space="preserve">MTPRACFUN052</x:t>
        </x:is>
      </x:c>
      <x:c r="B496" t="inlineStr">
        <x:is>
          <x:t xml:space="preserve">PLIEGO LIJA N°100  TELA ESMERIL</x:t>
        </x:is>
      </x:c>
      <x:c r="C496" s="8" t="n">
        <x:v>100</x:v>
      </x:c>
      <x:c r="D496" s="8" t="n">
        <x:v>0</x:v>
      </x:c>
      <x:c r="E496" s="8" t="n">
        <x:v>0</x:v>
      </x:c>
      <x:c r="F496" s="8" t="n">
        <x:v>100</x:v>
      </x:c>
      <x:c r="G496" s="9" t="n">
        <x:v>41000</x:v>
      </x:c>
      <x:c r="H496" s="9" t="n">
        <x:v>0</x:v>
      </x:c>
      <x:c r="I496" s="9" t="n">
        <x:v>0</x:v>
      </x:c>
      <x:c r="J496" s="9" t="n">
        <x:v>41000</x:v>
      </x:c>
      <x:c r="K496" s="10" t="n">
        <x:v>410</x:v>
      </x:c>
    </x:row>
    <x:row r="497">
      <x:c r="A497" t="inlineStr">
        <x:is>
          <x:t xml:space="preserve">MTPRACFUN056</x:t>
        </x:is>
      </x:c>
      <x:c r="B497" t="inlineStr">
        <x:is>
          <x:t xml:space="preserve">BALDE CONCRETERO</x:t>
        </x:is>
      </x:c>
      <x:c r="C497" s="8" t="n">
        <x:v>49</x:v>
      </x:c>
      <x:c r="D497" s="8" t="n">
        <x:v>0</x:v>
      </x:c>
      <x:c r="E497" s="8" t="n">
        <x:v>0</x:v>
      </x:c>
      <x:c r="F497" s="8" t="n">
        <x:v>49</x:v>
      </x:c>
      <x:c r="G497" s="9" t="n">
        <x:v>137174</x:v>
      </x:c>
      <x:c r="H497" s="9" t="n">
        <x:v>0</x:v>
      </x:c>
      <x:c r="I497" s="9" t="n">
        <x:v>0</x:v>
      </x:c>
      <x:c r="J497" s="9" t="n">
        <x:v>137174</x:v>
      </x:c>
      <x:c r="K497" s="10" t="n">
        <x:v>2799.483071</x:v>
      </x:c>
    </x:row>
    <x:row r="498">
      <x:c r="A498" t="inlineStr">
        <x:is>
          <x:t xml:space="preserve">MTPRACFUN058</x:t>
        </x:is>
      </x:c>
      <x:c r="B498" t="inlineStr">
        <x:is>
          <x:t xml:space="preserve">DISCO DE CORTE DIAMANTADO 4 1/2</x:t>
        </x:is>
      </x:c>
      <x:c r="C498" s="8" t="n">
        <x:v>42</x:v>
      </x:c>
      <x:c r="D498" s="8" t="n">
        <x:v>0</x:v>
      </x:c>
      <x:c r="E498" s="8" t="n">
        <x:v>0</x:v>
      </x:c>
      <x:c r="F498" s="8" t="n">
        <x:v>42</x:v>
      </x:c>
      <x:c r="G498" s="9" t="n">
        <x:v>1113000</x:v>
      </x:c>
      <x:c r="H498" s="9" t="n">
        <x:v>0</x:v>
      </x:c>
      <x:c r="I498" s="9" t="n">
        <x:v>0</x:v>
      </x:c>
      <x:c r="J498" s="9" t="n">
        <x:v>1113000</x:v>
      </x:c>
      <x:c r="K498" s="10" t="n">
        <x:v>26500</x:v>
      </x:c>
    </x:row>
    <x:row r="499">
      <x:c r="A499" t="inlineStr">
        <x:is>
          <x:t xml:space="preserve">MTPRACFUN073</x:t>
        </x:is>
      </x:c>
      <x:c r="B499" t="inlineStr">
        <x:is>
          <x:t xml:space="preserve">HUINCHA DE MEDIR 5 MTS</x:t>
        </x:is>
      </x:c>
      <x:c r="C499" s="8" t="n">
        <x:v>7</x:v>
      </x:c>
      <x:c r="D499" s="8" t="n">
        <x:v>0</x:v>
      </x:c>
      <x:c r="E499" s="8" t="n">
        <x:v>0</x:v>
      </x:c>
      <x:c r="F499" s="8" t="n">
        <x:v>7</x:v>
      </x:c>
      <x:c r="G499" s="9" t="n">
        <x:v>35556</x:v>
      </x:c>
      <x:c r="H499" s="9" t="n">
        <x:v>0</x:v>
      </x:c>
      <x:c r="I499" s="9" t="n">
        <x:v>0</x:v>
      </x:c>
      <x:c r="J499" s="9" t="n">
        <x:v>35556</x:v>
      </x:c>
      <x:c r="K499" s="10" t="n">
        <x:v>5079.428571</x:v>
      </x:c>
    </x:row>
    <x:row r="500">
      <x:c r="A500" t="inlineStr">
        <x:is>
          <x:t xml:space="preserve">MTPRACFUN074</x:t>
        </x:is>
      </x:c>
      <x:c r="B500" t="inlineStr">
        <x:is>
          <x:t xml:space="preserve">HUINCHA AISLADORA AMARILLA</x:t>
        </x:is>
      </x:c>
      <x:c r="C500" s="8" t="n">
        <x:v>14</x:v>
      </x:c>
      <x:c r="D500" s="8" t="n">
        <x:v>0</x:v>
      </x:c>
      <x:c r="E500" s="8" t="n">
        <x:v>0</x:v>
      </x:c>
      <x:c r="F500" s="8" t="n">
        <x:v>14</x:v>
      </x:c>
      <x:c r="G500" s="9" t="n">
        <x:v>15180</x:v>
      </x:c>
      <x:c r="H500" s="9" t="n">
        <x:v>0</x:v>
      </x:c>
      <x:c r="I500" s="9" t="n">
        <x:v>0</x:v>
      </x:c>
      <x:c r="J500" s="9" t="n">
        <x:v>15180</x:v>
      </x:c>
      <x:c r="K500" s="10" t="n">
        <x:v>1084.285714</x:v>
      </x:c>
    </x:row>
    <x:row r="501">
      <x:c r="A501" t="inlineStr">
        <x:is>
          <x:t xml:space="preserve">MTPRACFUN075</x:t>
        </x:is>
      </x:c>
      <x:c r="B501" t="inlineStr">
        <x:is>
          <x:t xml:space="preserve">HUINCHA AISLADORA VERDE</x:t>
        </x:is>
      </x:c>
      <x:c r="C501" s="8" t="n">
        <x:v>16</x:v>
      </x:c>
      <x:c r="D501" s="8" t="n">
        <x:v>0</x:v>
      </x:c>
      <x:c r="E501" s="8" t="n">
        <x:v>0</x:v>
      </x:c>
      <x:c r="F501" s="8" t="n">
        <x:v>16</x:v>
      </x:c>
      <x:c r="G501" s="9" t="n">
        <x:v>16360</x:v>
      </x:c>
      <x:c r="H501" s="9" t="n">
        <x:v>0</x:v>
      </x:c>
      <x:c r="I501" s="9" t="n">
        <x:v>0</x:v>
      </x:c>
      <x:c r="J501" s="9" t="n">
        <x:v>16360</x:v>
      </x:c>
      <x:c r="K501" s="10" t="n">
        <x:v>1022.5</x:v>
      </x:c>
    </x:row>
    <x:row r="502">
      <x:c r="A502" t="inlineStr">
        <x:is>
          <x:t xml:space="preserve">MTPRACFUN076</x:t>
        </x:is>
      </x:c>
      <x:c r="B502" t="inlineStr">
        <x:is>
          <x:t xml:space="preserve">HUINCHA AISLADORA AZUL</x:t>
        </x:is>
      </x:c>
      <x:c r="C502" s="8" t="n">
        <x:v>24</x:v>
      </x:c>
      <x:c r="D502" s="8" t="n">
        <x:v>0</x:v>
      </x:c>
      <x:c r="E502" s="8" t="n">
        <x:v>0</x:v>
      </x:c>
      <x:c r="F502" s="8" t="n">
        <x:v>24</x:v>
      </x:c>
      <x:c r="G502" s="9" t="n">
        <x:v>21080</x:v>
      </x:c>
      <x:c r="H502" s="9" t="n">
        <x:v>0</x:v>
      </x:c>
      <x:c r="I502" s="9" t="n">
        <x:v>0</x:v>
      </x:c>
      <x:c r="J502" s="9" t="n">
        <x:v>21080</x:v>
      </x:c>
      <x:c r="K502" s="10" t="n">
        <x:v>878.333333</x:v>
      </x:c>
    </x:row>
    <x:row r="503">
      <x:c r="A503" t="inlineStr">
        <x:is>
          <x:t xml:space="preserve">MTPRACFUN077</x:t>
        </x:is>
      </x:c>
      <x:c r="B503" t="inlineStr">
        <x:is>
          <x:t xml:space="preserve">HUIINCHA AISLADORA NEGRA</x:t>
        </x:is>
      </x:c>
      <x:c r="C503" s="8" t="n">
        <x:v>10</x:v>
      </x:c>
      <x:c r="D503" s="8" t="n">
        <x:v>0</x:v>
      </x:c>
      <x:c r="E503" s="8" t="n">
        <x:v>0</x:v>
      </x:c>
      <x:c r="F503" s="8" t="n">
        <x:v>10</x:v>
      </x:c>
      <x:c r="G503" s="9" t="n">
        <x:v>12820</x:v>
      </x:c>
      <x:c r="H503" s="9" t="n">
        <x:v>0</x:v>
      </x:c>
      <x:c r="I503" s="9" t="n">
        <x:v>0</x:v>
      </x:c>
      <x:c r="J503" s="9" t="n">
        <x:v>12820</x:v>
      </x:c>
      <x:c r="K503" s="10" t="n">
        <x:v>1282</x:v>
      </x:c>
    </x:row>
    <x:row r="504">
      <x:c r="A504" t="inlineStr">
        <x:is>
          <x:t xml:space="preserve">MTPRACFUN078</x:t>
        </x:is>
      </x:c>
      <x:c r="B504" t="inlineStr">
        <x:is>
          <x:t xml:space="preserve">HIINCHA AISLADORA BLANCA</x:t>
        </x:is>
      </x:c>
      <x:c r="C504" s="8" t="n">
        <x:v>10</x:v>
      </x:c>
      <x:c r="D504" s="8" t="n">
        <x:v>0</x:v>
      </x:c>
      <x:c r="E504" s="8" t="n">
        <x:v>0</x:v>
      </x:c>
      <x:c r="F504" s="8" t="n">
        <x:v>10</x:v>
      </x:c>
      <x:c r="G504" s="9" t="n">
        <x:v>12820</x:v>
      </x:c>
      <x:c r="H504" s="9" t="n">
        <x:v>0</x:v>
      </x:c>
      <x:c r="I504" s="9" t="n">
        <x:v>0</x:v>
      </x:c>
      <x:c r="J504" s="9" t="n">
        <x:v>12820</x:v>
      </x:c>
      <x:c r="K504" s="10" t="n">
        <x:v>1282</x:v>
      </x:c>
    </x:row>
    <x:row r="505">
      <x:c r="A505" t="inlineStr">
        <x:is>
          <x:t xml:space="preserve">MTPRACFUN081</x:t>
        </x:is>
      </x:c>
      <x:c r="B505" t="inlineStr">
        <x:is>
          <x:t xml:space="preserve">PLASTICINA POR KG</x:t>
        </x:is>
      </x:c>
      <x:c r="C505" s="8" t="n">
        <x:v>1</x:v>
      </x:c>
      <x:c r="D505" s="8" t="n">
        <x:v>2</x:v>
      </x:c>
      <x:c r="E505" s="8" t="n">
        <x:v>0</x:v>
      </x:c>
      <x:c r="F505" s="8" t="n">
        <x:v>3</x:v>
      </x:c>
      <x:c r="G505" s="9" t="n">
        <x:v>8183</x:v>
      </x:c>
      <x:c r="H505" s="9" t="n">
        <x:v>17356</x:v>
      </x:c>
      <x:c r="I505" s="9" t="n">
        <x:v>0</x:v>
      </x:c>
      <x:c r="J505" s="9" t="n">
        <x:v>25539</x:v>
      </x:c>
      <x:c r="K505" s="10" t="n">
        <x:v>8512.666667</x:v>
      </x:c>
    </x:row>
    <x:row r="506">
      <x:c r="A506" t="inlineStr">
        <x:is>
          <x:t xml:space="preserve">MTPRACFUN083</x:t>
        </x:is>
      </x:c>
      <x:c r="B506" t="inlineStr">
        <x:is>
          <x:t xml:space="preserve">BALDE TIPO TINETA SIN TAPA DE 10 LTS</x:t>
        </x:is>
      </x:c>
      <x:c r="C506" s="8" t="n">
        <x:v>250</x:v>
      </x:c>
      <x:c r="D506" s="8" t="n">
        <x:v>0</x:v>
      </x:c>
      <x:c r="E506" s="8" t="n">
        <x:v>10</x:v>
      </x:c>
      <x:c r="F506" s="8" t="n">
        <x:v>240</x:v>
      </x:c>
      <x:c r="G506" s="9" t="n">
        <x:v>497164</x:v>
      </x:c>
      <x:c r="H506" s="9" t="n">
        <x:v>0</x:v>
      </x:c>
      <x:c r="I506" s="9" t="n">
        <x:v>19887</x:v>
      </x:c>
      <x:c r="J506" s="9" t="n">
        <x:v>477277</x:v>
      </x:c>
      <x:c r="K506" s="10" t="n">
        <x:v>1988.688805</x:v>
      </x:c>
    </x:row>
    <x:row r="507">
      <x:c r="A507" t="inlineStr">
        <x:is>
          <x:t xml:space="preserve">MTPRACFUN085</x:t>
        </x:is>
      </x:c>
      <x:c r="B507" t="inlineStr">
        <x:is>
          <x:t xml:space="preserve">BALDE TIPO TINETA SIN TAPA DE 20 LTS</x:t>
        </x:is>
      </x:c>
      <x:c r="C507" s="8" t="n">
        <x:v>207</x:v>
      </x:c>
      <x:c r="D507" s="8" t="n">
        <x:v>0</x:v>
      </x:c>
      <x:c r="E507" s="8" t="n">
        <x:v>2</x:v>
      </x:c>
      <x:c r="F507" s="8" t="n">
        <x:v>205</x:v>
      </x:c>
      <x:c r="G507" s="9" t="n">
        <x:v>474672</x:v>
      </x:c>
      <x:c r="H507" s="9" t="n">
        <x:v>0</x:v>
      </x:c>
      <x:c r="I507" s="9" t="n">
        <x:v>4586</x:v>
      </x:c>
      <x:c r="J507" s="9" t="n">
        <x:v>470086</x:v>
      </x:c>
      <x:c r="K507" s="10" t="n">
        <x:v>2293.068459</x:v>
      </x:c>
    </x:row>
    <x:row r="508">
      <x:c r="A508" t="inlineStr">
        <x:is>
          <x:t xml:space="preserve">MTPRACFUN101</x:t>
        </x:is>
      </x:c>
      <x:c r="B508" t="inlineStr">
        <x:is>
          <x:t xml:space="preserve">CLAVOS 1 x KG</x:t>
        </x:is>
      </x:c>
      <x:c r="C508" s="8" t="n">
        <x:v>3</x:v>
      </x:c>
      <x:c r="D508" s="8" t="n">
        <x:v>0</x:v>
      </x:c>
      <x:c r="E508" s="8" t="n">
        <x:v>0</x:v>
      </x:c>
      <x:c r="F508" s="8" t="n">
        <x:v>3</x:v>
      </x:c>
      <x:c r="G508" s="9" t="n">
        <x:v>21174</x:v>
      </x:c>
      <x:c r="H508" s="9" t="n">
        <x:v>0</x:v>
      </x:c>
      <x:c r="I508" s="9" t="n">
        <x:v>0</x:v>
      </x:c>
      <x:c r="J508" s="9" t="n">
        <x:v>21174</x:v>
      </x:c>
      <x:c r="K508" s="10" t="n">
        <x:v>7058</x:v>
      </x:c>
    </x:row>
    <x:row r="509">
      <x:c r="A509" t="inlineStr">
        <x:is>
          <x:t xml:space="preserve">MTPRACFUN105</x:t>
        </x:is>
      </x:c>
      <x:c r="B509" t="inlineStr">
        <x:is>
          <x:t xml:space="preserve">ESPATULA 100MM</x:t>
        </x:is>
      </x:c>
      <x:c r="C509" s="8" t="n">
        <x:v>30</x:v>
      </x:c>
      <x:c r="D509" s="8" t="n">
        <x:v>0</x:v>
      </x:c>
      <x:c r="E509" s="8" t="n">
        <x:v>0</x:v>
      </x:c>
      <x:c r="F509" s="8" t="n">
        <x:v>30</x:v>
      </x:c>
      <x:c r="G509" s="9" t="n">
        <x:v>49020</x:v>
      </x:c>
      <x:c r="H509" s="9" t="n">
        <x:v>0</x:v>
      </x:c>
      <x:c r="I509" s="9" t="n">
        <x:v>0</x:v>
      </x:c>
      <x:c r="J509" s="9" t="n">
        <x:v>49020</x:v>
      </x:c>
      <x:c r="K509" s="10" t="n">
        <x:v>1634</x:v>
      </x:c>
    </x:row>
    <x:row r="510">
      <x:c r="A510" t="inlineStr">
        <x:is>
          <x:t xml:space="preserve">MTPRACFUN106</x:t>
        </x:is>
      </x:c>
      <x:c r="B510" t="inlineStr">
        <x:is>
          <x:t xml:space="preserve">CUCHARON ALUMINIO INDUSTRIAL</x:t>
        </x:is>
      </x:c>
      <x:c r="C510" s="8" t="n">
        <x:v>0</x:v>
      </x:c>
      <x:c r="D510" s="8" t="n">
        <x:v>15</x:v>
      </x:c>
      <x:c r="E510" s="8" t="n">
        <x:v>0</x:v>
      </x:c>
      <x:c r="F510" s="8" t="n">
        <x:v>15</x:v>
      </x:c>
      <x:c r="G510" s="9" t="n">
        <x:v>0</x:v>
      </x:c>
      <x:c r="H510" s="9" t="n">
        <x:v>299355</x:v>
      </x:c>
      <x:c r="I510" s="9" t="n">
        <x:v>0</x:v>
      </x:c>
      <x:c r="J510" s="9" t="n">
        <x:v>299355</x:v>
      </x:c>
      <x:c r="K510" s="10" t="n">
        <x:v>19957</x:v>
      </x:c>
    </x:row>
    <x:row r="511">
      <x:c r="A511" t="inlineStr">
        <x:is>
          <x:t xml:space="preserve">MTPRACFUN108</x:t>
        </x:is>
      </x:c>
      <x:c r="B511" t="inlineStr">
        <x:is>
          <x:t xml:space="preserve">WD-40 311 GRS. ANTICORROSIVO</x:t>
        </x:is>
      </x:c>
      <x:c r="C511" s="8" t="n">
        <x:v>20</x:v>
      </x:c>
      <x:c r="D511" s="8" t="n">
        <x:v>0</x:v>
      </x:c>
      <x:c r="E511" s="8" t="n">
        <x:v>0</x:v>
      </x:c>
      <x:c r="F511" s="8" t="n">
        <x:v>20</x:v>
      </x:c>
      <x:c r="G511" s="9" t="n">
        <x:v>115078</x:v>
      </x:c>
      <x:c r="H511" s="9" t="n">
        <x:v>0</x:v>
      </x:c>
      <x:c r="I511" s="9" t="n">
        <x:v>0</x:v>
      </x:c>
      <x:c r="J511" s="9" t="n">
        <x:v>115078</x:v>
      </x:c>
      <x:c r="K511" s="10" t="n">
        <x:v>5753.935484</x:v>
      </x:c>
    </x:row>
    <x:row r="512">
      <x:c r="A512" t="inlineStr">
        <x:is>
          <x:t xml:space="preserve">MTPRACFUN109</x:t>
        </x:is>
      </x:c>
      <x:c r="B512" t="inlineStr">
        <x:is>
          <x:t xml:space="preserve">CINTA ADHESIVA ALUMINIO 2 X 50 MTS</x:t>
        </x:is>
      </x:c>
      <x:c r="C512" s="8" t="n">
        <x:v>9</x:v>
      </x:c>
      <x:c r="D512" s="8" t="n">
        <x:v>0</x:v>
      </x:c>
      <x:c r="E512" s="8" t="n">
        <x:v>0</x:v>
      </x:c>
      <x:c r="F512" s="8" t="n">
        <x:v>9</x:v>
      </x:c>
      <x:c r="G512" s="9" t="n">
        <x:v>80965</x:v>
      </x:c>
      <x:c r="H512" s="9" t="n">
        <x:v>0</x:v>
      </x:c>
      <x:c r="I512" s="9" t="n">
        <x:v>0</x:v>
      </x:c>
      <x:c r="J512" s="9" t="n">
        <x:v>80965</x:v>
      </x:c>
      <x:c r="K512" s="10" t="n">
        <x:v>8996</x:v>
      </x:c>
    </x:row>
    <x:row r="513">
      <x:c r="A513" t="inlineStr">
        <x:is>
          <x:t xml:space="preserve">MTPRACFUN115</x:t>
        </x:is>
      </x:c>
      <x:c r="B513" t="inlineStr">
        <x:is>
          <x:t xml:space="preserve">MAXISACO 1000 KG 90X90X110</x:t>
        </x:is>
      </x:c>
      <x:c r="C513" s="8" t="n">
        <x:v>20</x:v>
      </x:c>
      <x:c r="D513" s="8" t="n">
        <x:v>0</x:v>
      </x:c>
      <x:c r="E513" s="8" t="n">
        <x:v>0</x:v>
      </x:c>
      <x:c r="F513" s="8" t="n">
        <x:v>20</x:v>
      </x:c>
      <x:c r="G513" s="9" t="n">
        <x:v>91000</x:v>
      </x:c>
      <x:c r="H513" s="9" t="n">
        <x:v>0</x:v>
      </x:c>
      <x:c r="I513" s="9" t="n">
        <x:v>0</x:v>
      </x:c>
      <x:c r="J513" s="9" t="n">
        <x:v>91000</x:v>
      </x:c>
      <x:c r="K513" s="10" t="n">
        <x:v>4550</x:v>
      </x:c>
    </x:row>
    <x:row r="514">
      <x:c r="A514" t="inlineStr">
        <x:is>
          <x:t xml:space="preserve">MTPRACFUN116</x:t>
        </x:is>
      </x:c>
      <x:c r="B514" t="inlineStr">
        <x:is>
          <x:t xml:space="preserve">CADENA PLASTICA BLANCA 50MTS</x:t>
        </x:is>
      </x:c>
      <x:c r="C514" s="8" t="n">
        <x:v>50</x:v>
      </x:c>
      <x:c r="D514" s="8" t="n">
        <x:v>0</x:v>
      </x:c>
      <x:c r="E514" s="8" t="n">
        <x:v>0</x:v>
      </x:c>
      <x:c r="F514" s="8" t="n">
        <x:v>50</x:v>
      </x:c>
      <x:c r="G514" s="9" t="n">
        <x:v>19000</x:v>
      </x:c>
      <x:c r="H514" s="9" t="n">
        <x:v>0</x:v>
      </x:c>
      <x:c r="I514" s="9" t="n">
        <x:v>0</x:v>
      </x:c>
      <x:c r="J514" s="9" t="n">
        <x:v>19000</x:v>
      </x:c>
      <x:c r="K514" s="10" t="n">
        <x:v>380</x:v>
      </x:c>
    </x:row>
    <x:row r="515">
      <x:c r="A515" t="inlineStr">
        <x:is>
          <x:t xml:space="preserve">MTPRACFUN117</x:t>
        </x:is>
      </x:c>
      <x:c r="B515" t="inlineStr">
        <x:is>
          <x:t xml:space="preserve">LLANAS DE ACERO TEMPLADO LISA 300X180 LIZCAL</x:t>
        </x:is>
      </x:c>
      <x:c r="C515" s="8" t="n">
        <x:v>20</x:v>
      </x:c>
      <x:c r="D515" s="8" t="n">
        <x:v>0</x:v>
      </x:c>
      <x:c r="E515" s="8" t="n">
        <x:v>0</x:v>
      </x:c>
      <x:c r="F515" s="8" t="n">
        <x:v>20</x:v>
      </x:c>
      <x:c r="G515" s="9" t="n">
        <x:v>184680</x:v>
      </x:c>
      <x:c r="H515" s="9" t="n">
        <x:v>0</x:v>
      </x:c>
      <x:c r="I515" s="9" t="n">
        <x:v>0</x:v>
      </x:c>
      <x:c r="J515" s="9" t="n">
        <x:v>184680</x:v>
      </x:c>
      <x:c r="K515" s="10" t="n">
        <x:v>9234</x:v>
      </x:c>
    </x:row>
    <x:row r="516">
      <x:c r="A516" t="inlineStr">
        <x:is>
          <x:t xml:space="preserve">MTPRACFUN135</x:t>
        </x:is>
      </x:c>
      <x:c r="B516" t="inlineStr">
        <x:is>
          <x:t xml:space="preserve">ESMERIL ANGULAR 4.1/2" H.M. (9557HPG)</x:t>
        </x:is>
      </x:c>
      <x:c r="C516" s="8" t="n">
        <x:v>6</x:v>
      </x:c>
      <x:c r="D516" s="8" t="n">
        <x:v>8</x:v>
      </x:c>
      <x:c r="E516" s="8" t="n">
        <x:v>0</x:v>
      </x:c>
      <x:c r="F516" s="8" t="n">
        <x:v>14</x:v>
      </x:c>
      <x:c r="G516" s="9" t="n">
        <x:v>356575</x:v>
      </x:c>
      <x:c r="H516" s="9" t="n">
        <x:v>519120</x:v>
      </x:c>
      <x:c r="I516" s="9" t="n">
        <x:v>0</x:v>
      </x:c>
      <x:c r="J516" s="9" t="n">
        <x:v>875695</x:v>
      </x:c>
      <x:c r="K516" s="10" t="n">
        <x:v>62549.649351</x:v>
      </x:c>
    </x:row>
    <x:row r="517">
      <x:c r="A517" t="inlineStr">
        <x:is>
          <x:t xml:space="preserve">MTPRACFUN138</x:t>
        </x:is>
      </x:c>
      <x:c r="B517" t="inlineStr">
        <x:is>
          <x:t xml:space="preserve">LOCTITE 495- 20 GRS</x:t>
        </x:is>
      </x:c>
      <x:c r="C517" s="8" t="n">
        <x:v>20</x:v>
      </x:c>
      <x:c r="D517" s="8" t="n">
        <x:v>0</x:v>
      </x:c>
      <x:c r="E517" s="8" t="n">
        <x:v>0</x:v>
      </x:c>
      <x:c r="F517" s="8" t="n">
        <x:v>20</x:v>
      </x:c>
      <x:c r="G517" s="9" t="n">
        <x:v>294948</x:v>
      </x:c>
      <x:c r="H517" s="9" t="n">
        <x:v>0</x:v>
      </x:c>
      <x:c r="I517" s="9" t="n">
        <x:v>0</x:v>
      </x:c>
      <x:c r="J517" s="9" t="n">
        <x:v>294948</x:v>
      </x:c>
      <x:c r="K517" s="10" t="n">
        <x:v>14747.384615</x:v>
      </x:c>
    </x:row>
    <x:row r="518">
      <x:c r="A518" t="inlineStr">
        <x:is>
          <x:t xml:space="preserve">MTPRACFUN146</x:t>
        </x:is>
      </x:c>
      <x:c r="B518" t="inlineStr">
        <x:is>
          <x:t xml:space="preserve">CORDEL PERLON 1/2</x:t>
        </x:is>
      </x:c>
      <x:c r="C518" s="8" t="n">
        <x:v>50</x:v>
      </x:c>
      <x:c r="D518" s="8" t="n">
        <x:v>0</x:v>
      </x:c>
      <x:c r="E518" s="8" t="n">
        <x:v>0</x:v>
      </x:c>
      <x:c r="F518" s="8" t="n">
        <x:v>50</x:v>
      </x:c>
      <x:c r="G518" s="9" t="n">
        <x:v>21450</x:v>
      </x:c>
      <x:c r="H518" s="9" t="n">
        <x:v>0</x:v>
      </x:c>
      <x:c r="I518" s="9" t="n">
        <x:v>0</x:v>
      </x:c>
      <x:c r="J518" s="9" t="n">
        <x:v>21450</x:v>
      </x:c>
      <x:c r="K518" s="10" t="n">
        <x:v>429</x:v>
      </x:c>
    </x:row>
    <x:row r="519">
      <x:c r="A519" t="inlineStr">
        <x:is>
          <x:t xml:space="preserve">MTPRACFUN156</x:t>
        </x:is>
      </x:c>
      <x:c r="B519" t="inlineStr">
        <x:is>
          <x:t xml:space="preserve">ENCHUFE MACHO VOL. 16A 2P+T #013-6 IP44 (KE38030013)</x:t>
        </x:is>
      </x:c>
      <x:c r="C519" s="8" t="n">
        <x:v>20</x:v>
      </x:c>
      <x:c r="D519" s="8" t="n">
        <x:v>0</x:v>
      </x:c>
      <x:c r="E519" s="8" t="n">
        <x:v>0</x:v>
      </x:c>
      <x:c r="F519" s="8" t="n">
        <x:v>20</x:v>
      </x:c>
      <x:c r="G519" s="9" t="n">
        <x:v>39000</x:v>
      </x:c>
      <x:c r="H519" s="9" t="n">
        <x:v>0</x:v>
      </x:c>
      <x:c r="I519" s="9" t="n">
        <x:v>0</x:v>
      </x:c>
      <x:c r="J519" s="9" t="n">
        <x:v>39000</x:v>
      </x:c>
      <x:c r="K519" s="10" t="n">
        <x:v>1950</x:v>
      </x:c>
    </x:row>
    <x:row r="520">
      <x:c r="A520" t="inlineStr">
        <x:is>
          <x:t xml:space="preserve">MTPRACFUN157</x:t>
        </x:is>
      </x:c>
      <x:c r="B520" t="inlineStr">
        <x:is>
          <x:t xml:space="preserve">ENCHUFE HEMBRA VOL. 16A 2P+T # 213-6 IP44 (KE38030213)</x:t>
        </x:is>
      </x:c>
      <x:c r="C520" s="8" t="n">
        <x:v>20</x:v>
      </x:c>
      <x:c r="D520" s="8" t="n">
        <x:v>0</x:v>
      </x:c>
      <x:c r="E520" s="8" t="n">
        <x:v>0</x:v>
      </x:c>
      <x:c r="F520" s="8" t="n">
        <x:v>20</x:v>
      </x:c>
      <x:c r="G520" s="9" t="n">
        <x:v>39000</x:v>
      </x:c>
      <x:c r="H520" s="9" t="n">
        <x:v>0</x:v>
      </x:c>
      <x:c r="I520" s="9" t="n">
        <x:v>0</x:v>
      </x:c>
      <x:c r="J520" s="9" t="n">
        <x:v>39000</x:v>
      </x:c>
      <x:c r="K520" s="10" t="n">
        <x:v>1950</x:v>
      </x:c>
    </x:row>
    <x:row r="521">
      <x:c r="A521" t="inlineStr">
        <x:is>
          <x:t xml:space="preserve">MTPRACFUN191</x:t>
        </x:is>
      </x:c>
      <x:c r="B521" t="inlineStr">
        <x:is>
          <x:t xml:space="preserve">ESPATULA 50 MM</x:t>
        </x:is>
      </x:c>
      <x:c r="C521" s="8" t="n">
        <x:v>24</x:v>
      </x:c>
      <x:c r="D521" s="8" t="n">
        <x:v>0</x:v>
      </x:c>
      <x:c r="E521" s="8" t="n">
        <x:v>0</x:v>
      </x:c>
      <x:c r="F521" s="8" t="n">
        <x:v>24</x:v>
      </x:c>
      <x:c r="G521" s="9" t="n">
        <x:v>26734</x:v>
      </x:c>
      <x:c r="H521" s="9" t="n">
        <x:v>0</x:v>
      </x:c>
      <x:c r="I521" s="9" t="n">
        <x:v>0</x:v>
      </x:c>
      <x:c r="J521" s="9" t="n">
        <x:v>26734</x:v>
      </x:c>
      <x:c r="K521" s="10" t="n">
        <x:v>1113.898734</x:v>
      </x:c>
    </x:row>
    <x:row r="522">
      <x:c r="A522" t="inlineStr">
        <x:is>
          <x:t xml:space="preserve">MTPRACFUN271</x:t>
        </x:is>
      </x:c>
      <x:c r="B522" t="inlineStr">
        <x:is>
          <x:t xml:space="preserve">DISCO DE TRASLAPE FLAP 4 1/2 GRANO N° 60</x:t>
        </x:is>
      </x:c>
      <x:c r="C522" s="8" t="n">
        <x:v>0</x:v>
      </x:c>
      <x:c r="D522" s="8" t="n">
        <x:v>50</x:v>
      </x:c>
      <x:c r="E522" s="8" t="n">
        <x:v>0</x:v>
      </x:c>
      <x:c r="F522" s="8" t="n">
        <x:v>50</x:v>
      </x:c>
      <x:c r="G522" s="9" t="n">
        <x:v>0</x:v>
      </x:c>
      <x:c r="H522" s="9" t="n">
        <x:v>120000</x:v>
      </x:c>
      <x:c r="I522" s="9" t="n">
        <x:v>0</x:v>
      </x:c>
      <x:c r="J522" s="9" t="n">
        <x:v>120000</x:v>
      </x:c>
      <x:c r="K522" s="10" t="n">
        <x:v>2400</x:v>
      </x:c>
    </x:row>
    <x:row r="523">
      <x:c r="A523" t="inlineStr">
        <x:is>
          <x:t xml:space="preserve">MTPRACFUN276</x:t>
        </x:is>
      </x:c>
      <x:c r="B523" t="inlineStr">
        <x:is>
          <x:t xml:space="preserve">PLIEGO LIJA ·120 ESMERIL</x:t>
        </x:is>
      </x:c>
      <x:c r="C523" s="8" t="n">
        <x:v>55</x:v>
      </x:c>
      <x:c r="D523" s="8" t="n">
        <x:v>0</x:v>
      </x:c>
      <x:c r="E523" s="8" t="n">
        <x:v>0</x:v>
      </x:c>
      <x:c r="F523" s="8" t="n">
        <x:v>55</x:v>
      </x:c>
      <x:c r="G523" s="9" t="n">
        <x:v>7040</x:v>
      </x:c>
      <x:c r="H523" s="9" t="n">
        <x:v>0</x:v>
      </x:c>
      <x:c r="I523" s="9" t="n">
        <x:v>0</x:v>
      </x:c>
      <x:c r="J523" s="9" t="n">
        <x:v>7040</x:v>
      </x:c>
      <x:c r="K523" s="10" t="n">
        <x:v>128</x:v>
      </x:c>
    </x:row>
    <x:row r="524">
      <x:c r="A524" t="inlineStr">
        <x:is>
          <x:t xml:space="preserve">MTPRACFUN280</x:t>
        </x:is>
      </x:c>
      <x:c r="B524" t="inlineStr">
        <x:is>
          <x:t xml:space="preserve">DISCO CORTE ACERO CARBONO 7 x 1.0mm</x:t>
        </x:is>
      </x:c>
      <x:c r="C524" s="8" t="n">
        <x:v>10</x:v>
      </x:c>
      <x:c r="D524" s="8" t="n">
        <x:v>0</x:v>
      </x:c>
      <x:c r="E524" s="8" t="n">
        <x:v>10</x:v>
      </x:c>
      <x:c r="F524" s="8" t="n">
        <x:v>0</x:v>
      </x:c>
      <x:c r="G524" s="9" t="n">
        <x:v>8861</x:v>
      </x:c>
      <x:c r="H524" s="9" t="n">
        <x:v>0</x:v>
      </x:c>
      <x:c r="I524" s="9" t="n">
        <x:v>8860</x:v>
      </x:c>
      <x:c r="J524" s="9" t="n">
        <x:v>1</x:v>
      </x:c>
      <x:c r="K524" s="10" t="n">
        <x:v>886.037736</x:v>
      </x:c>
    </x:row>
    <x:row r="525">
      <x:c r="A525" t="inlineStr">
        <x:is>
          <x:t xml:space="preserve">MTPRACFUN302</x:t>
        </x:is>
      </x:c>
      <x:c r="B525" t="inlineStr">
        <x:is>
          <x:t xml:space="preserve">CAJAS DE CARTON 17C IMPRESAS C/LOGO 410 X 410 X 410</x:t>
        </x:is>
      </x:c>
      <x:c r="C525" s="8" t="n">
        <x:v>8</x:v>
      </x:c>
      <x:c r="D525" s="8" t="n">
        <x:v>0</x:v>
      </x:c>
      <x:c r="E525" s="8" t="n">
        <x:v>0</x:v>
      </x:c>
      <x:c r="F525" s="8" t="n">
        <x:v>8</x:v>
      </x:c>
      <x:c r="G525" s="9" t="n">
        <x:v>10288</x:v>
      </x:c>
      <x:c r="H525" s="9" t="n">
        <x:v>0</x:v>
      </x:c>
      <x:c r="I525" s="9" t="n">
        <x:v>0</x:v>
      </x:c>
      <x:c r="J525" s="9" t="n">
        <x:v>10288</x:v>
      </x:c>
      <x:c r="K525" s="10" t="n">
        <x:v>1286</x:v>
      </x:c>
    </x:row>
    <x:row r="526">
      <x:c r="A526" t="inlineStr">
        <x:is>
          <x:t xml:space="preserve">MTPRACFUN303</x:t>
        </x:is>
      </x:c>
      <x:c r="B526" t="inlineStr">
        <x:is>
          <x:t xml:space="preserve">CAJAS DE CARTON 17C IMPRESAS C/LOGO 310 X 310 X 360</x:t>
        </x:is>
      </x:c>
      <x:c r="C526" s="8" t="n">
        <x:v>7</x:v>
      </x:c>
      <x:c r="D526" s="8" t="n">
        <x:v>0</x:v>
      </x:c>
      <x:c r="E526" s="8" t="n">
        <x:v>0</x:v>
      </x:c>
      <x:c r="F526" s="8" t="n">
        <x:v>7</x:v>
      </x:c>
      <x:c r="G526" s="9" t="n">
        <x:v>6279</x:v>
      </x:c>
      <x:c r="H526" s="9" t="n">
        <x:v>0</x:v>
      </x:c>
      <x:c r="I526" s="9" t="n">
        <x:v>0</x:v>
      </x:c>
      <x:c r="J526" s="9" t="n">
        <x:v>6279</x:v>
      </x:c>
      <x:c r="K526" s="10" t="n">
        <x:v>897</x:v>
      </x:c>
    </x:row>
    <x:row r="527">
      <x:c r="A527" t="inlineStr">
        <x:is>
          <x:t xml:space="preserve">MTPRACFUN306</x:t>
        </x:is>
      </x:c>
      <x:c r="B527" t="inlineStr">
        <x:is>
          <x:t xml:space="preserve">BROCHA PLANA DE 1/2 X 1</x:t>
        </x:is>
      </x:c>
      <x:c r="C527" s="8" t="n">
        <x:v>34</x:v>
      </x:c>
      <x:c r="D527" s="8" t="n">
        <x:v>0</x:v>
      </x:c>
      <x:c r="E527" s="8" t="n">
        <x:v>0</x:v>
      </x:c>
      <x:c r="F527" s="8" t="n">
        <x:v>34</x:v>
      </x:c>
      <x:c r="G527" s="9" t="n">
        <x:v>38964</x:v>
      </x:c>
      <x:c r="H527" s="9" t="n">
        <x:v>0</x:v>
      </x:c>
      <x:c r="I527" s="9" t="n">
        <x:v>0</x:v>
      </x:c>
      <x:c r="J527" s="9" t="n">
        <x:v>38964</x:v>
      </x:c>
      <x:c r="K527" s="10" t="n">
        <x:v>1146</x:v>
      </x:c>
    </x:row>
    <x:row r="528">
      <x:c r="A528" t="inlineStr">
        <x:is>
          <x:t xml:space="preserve">MTPRACFUN307</x:t>
        </x:is>
      </x:c>
      <x:c r="B528" t="inlineStr">
        <x:is>
          <x:t xml:space="preserve">DOSIFICADOR 250 CC</x:t>
        </x:is>
      </x:c>
      <x:c r="C528" s="8" t="n">
        <x:v>6</x:v>
      </x:c>
      <x:c r="D528" s="8" t="n">
        <x:v>0</x:v>
      </x:c>
      <x:c r="E528" s="8" t="n">
        <x:v>0</x:v>
      </x:c>
      <x:c r="F528" s="8" t="n">
        <x:v>6</x:v>
      </x:c>
      <x:c r="G528" s="9" t="n">
        <x:v>5280</x:v>
      </x:c>
      <x:c r="H528" s="9" t="n">
        <x:v>0</x:v>
      </x:c>
      <x:c r="I528" s="9" t="n">
        <x:v>0</x:v>
      </x:c>
      <x:c r="J528" s="9" t="n">
        <x:v>5280</x:v>
      </x:c>
      <x:c r="K528" s="10" t="n">
        <x:v>880</x:v>
      </x:c>
    </x:row>
    <x:row r="529">
      <x:c r="A529" t="inlineStr">
        <x:is>
          <x:t xml:space="preserve">MTPRACFUN308</x:t>
        </x:is>
      </x:c>
      <x:c r="B529" t="inlineStr">
        <x:is>
          <x:t xml:space="preserve">HOJA DE SIERRA</x:t>
        </x:is>
      </x:c>
      <x:c r="C529" s="8" t="n">
        <x:v>30</x:v>
      </x:c>
      <x:c r="D529" s="8" t="n">
        <x:v>0</x:v>
      </x:c>
      <x:c r="E529" s="8" t="n">
        <x:v>0</x:v>
      </x:c>
      <x:c r="F529" s="8" t="n">
        <x:v>30</x:v>
      </x:c>
      <x:c r="G529" s="9" t="n">
        <x:v>27420</x:v>
      </x:c>
      <x:c r="H529" s="9" t="n">
        <x:v>0</x:v>
      </x:c>
      <x:c r="I529" s="9" t="n">
        <x:v>0</x:v>
      </x:c>
      <x:c r="J529" s="9" t="n">
        <x:v>27420</x:v>
      </x:c>
      <x:c r="K529" s="10" t="n">
        <x:v>914</x:v>
      </x:c>
    </x:row>
    <x:row r="530">
      <x:c r="A530" t="inlineStr">
        <x:is>
          <x:t xml:space="preserve">MTPRACFUN311</x:t>
        </x:is>
      </x:c>
      <x:c r="B530" t="inlineStr">
        <x:is>
          <x:t xml:space="preserve">CADENA PLASTICA ROJA 50MTS</x:t>
        </x:is>
      </x:c>
      <x:c r="C530" s="8" t="n">
        <x:v>150</x:v>
      </x:c>
      <x:c r="D530" s="8" t="n">
        <x:v>0</x:v>
      </x:c>
      <x:c r="E530" s="8" t="n">
        <x:v>0</x:v>
      </x:c>
      <x:c r="F530" s="8" t="n">
        <x:v>150</x:v>
      </x:c>
      <x:c r="G530" s="9" t="n">
        <x:v>57000</x:v>
      </x:c>
      <x:c r="H530" s="9" t="n">
        <x:v>0</x:v>
      </x:c>
      <x:c r="I530" s="9" t="n">
        <x:v>0</x:v>
      </x:c>
      <x:c r="J530" s="9" t="n">
        <x:v>57000</x:v>
      </x:c>
      <x:c r="K530" s="10" t="n">
        <x:v>380</x:v>
      </x:c>
    </x:row>
    <x:row r="531">
      <x:c r="A531" t="inlineStr">
        <x:is>
          <x:t xml:space="preserve">MTPRACFUN312</x:t>
        </x:is>
      </x:c>
      <x:c r="B531" t="inlineStr">
        <x:is>
          <x:t xml:space="preserve">JUEGO DE DESTORNILLADORES</x:t>
        </x:is>
      </x:c>
      <x:c r="C531" s="8" t="n">
        <x:v>5</x:v>
      </x:c>
      <x:c r="D531" s="8" t="n">
        <x:v>0</x:v>
      </x:c>
      <x:c r="E531" s="8" t="n">
        <x:v>0</x:v>
      </x:c>
      <x:c r="F531" s="8" t="n">
        <x:v>5</x:v>
      </x:c>
      <x:c r="G531" s="9" t="n">
        <x:v>18760</x:v>
      </x:c>
      <x:c r="H531" s="9" t="n">
        <x:v>0</x:v>
      </x:c>
      <x:c r="I531" s="9" t="n">
        <x:v>0</x:v>
      </x:c>
      <x:c r="J531" s="9" t="n">
        <x:v>18760</x:v>
      </x:c>
      <x:c r="K531" s="10" t="n">
        <x:v>3752</x:v>
      </x:c>
    </x:row>
    <x:row r="532">
      <x:c r="A532" t="inlineStr">
        <x:is>
          <x:t xml:space="preserve">MTPRACFUN313</x:t>
        </x:is>
      </x:c>
      <x:c r="B532" t="inlineStr">
        <x:is>
          <x:t xml:space="preserve">LINTERNA STEELPRO MANOS LIBRES 6 LED KL-400</x:t>
        </x:is>
      </x:c>
      <x:c r="C532" s="8" t="n">
        <x:v>10</x:v>
      </x:c>
      <x:c r="D532" s="8" t="n">
        <x:v>0</x:v>
      </x:c>
      <x:c r="E532" s="8" t="n">
        <x:v>0</x:v>
      </x:c>
      <x:c r="F532" s="8" t="n">
        <x:v>10</x:v>
      </x:c>
      <x:c r="G532" s="9" t="n">
        <x:v>48330</x:v>
      </x:c>
      <x:c r="H532" s="9" t="n">
        <x:v>0</x:v>
      </x:c>
      <x:c r="I532" s="9" t="n">
        <x:v>0</x:v>
      </x:c>
      <x:c r="J532" s="9" t="n">
        <x:v>48330</x:v>
      </x:c>
      <x:c r="K532" s="10" t="n">
        <x:v>4833</x:v>
      </x:c>
    </x:row>
    <x:row r="533">
      <x:c r="A533" t="inlineStr">
        <x:is>
          <x:t xml:space="preserve">MTPRACFUN314</x:t>
        </x:is>
      </x:c>
      <x:c r="B533" t="inlineStr">
        <x:is>
          <x:t xml:space="preserve">PISTOLA AIRE CALIENTE MAKITA HG5030K 160</x:t>
        </x:is>
      </x:c>
      <x:c r="C533" s="8" t="n">
        <x:v>4</x:v>
      </x:c>
      <x:c r="D533" s="8" t="n">
        <x:v>0</x:v>
      </x:c>
      <x:c r="E533" s="8" t="n">
        <x:v>0</x:v>
      </x:c>
      <x:c r="F533" s="8" t="n">
        <x:v>4</x:v>
      </x:c>
      <x:c r="G533" s="9" t="n">
        <x:v>292404</x:v>
      </x:c>
      <x:c r="H533" s="9" t="n">
        <x:v>0</x:v>
      </x:c>
      <x:c r="I533" s="9" t="n">
        <x:v>0</x:v>
      </x:c>
      <x:c r="J533" s="9" t="n">
        <x:v>292404</x:v>
      </x:c>
      <x:c r="K533" s="10" t="n">
        <x:v>73101</x:v>
      </x:c>
    </x:row>
    <x:row r="534">
      <x:c r="A534" t="inlineStr">
        <x:is>
          <x:t xml:space="preserve">MTPRACFUN315</x:t>
        </x:is>
      </x:c>
      <x:c r="B534" t="inlineStr">
        <x:is>
          <x:t xml:space="preserve">LLAVE DE IMPACTO MAKITA 1/2" 18V+2 BAT 3.0</x:t>
        </x:is>
      </x:c>
      <x:c r="C534" s="8" t="n">
        <x:v>2</x:v>
      </x:c>
      <x:c r="D534" s="8" t="n">
        <x:v>0</x:v>
      </x:c>
      <x:c r="E534" s="8" t="n">
        <x:v>0</x:v>
      </x:c>
      <x:c r="F534" s="8" t="n">
        <x:v>2</x:v>
      </x:c>
      <x:c r="G534" s="9" t="n">
        <x:v>526660</x:v>
      </x:c>
      <x:c r="H534" s="9" t="n">
        <x:v>0</x:v>
      </x:c>
      <x:c r="I534" s="9" t="n">
        <x:v>0</x:v>
      </x:c>
      <x:c r="J534" s="9" t="n">
        <x:v>526660</x:v>
      </x:c>
      <x:c r="K534" s="10" t="n">
        <x:v>263330</x:v>
      </x:c>
    </x:row>
    <x:row r="535">
      <x:c r="A535" t="inlineStr">
        <x:is>
          <x:t xml:space="preserve">MTPRACFUN316</x:t>
        </x:is>
      </x:c>
      <x:c r="B535" t="inlineStr">
        <x:is>
          <x:t xml:space="preserve">TALADRO PERCUTOR 13MM. 680W.REV. MAKITA HP1641K</x:t>
        </x:is>
      </x:c>
      <x:c r="C535" s="8" t="n">
        <x:v>2</x:v>
      </x:c>
      <x:c r="D535" s="8" t="n">
        <x:v>0</x:v>
      </x:c>
      <x:c r="E535" s="8" t="n">
        <x:v>0</x:v>
      </x:c>
      <x:c r="F535" s="8" t="n">
        <x:v>2</x:v>
      </x:c>
      <x:c r="G535" s="9" t="n">
        <x:v>183340</x:v>
      </x:c>
      <x:c r="H535" s="9" t="n">
        <x:v>0</x:v>
      </x:c>
      <x:c r="I535" s="9" t="n">
        <x:v>0</x:v>
      </x:c>
      <x:c r="J535" s="9" t="n">
        <x:v>183340</x:v>
      </x:c>
      <x:c r="K535" s="10" t="n">
        <x:v>91670</x:v>
      </x:c>
    </x:row>
    <x:row r="536">
      <x:c r="A536" t="inlineStr">
        <x:is>
          <x:t xml:space="preserve">MTPRACFUN317</x:t>
        </x:is>
      </x:c>
      <x:c r="B536" t="inlineStr">
        <x:is>
          <x:t xml:space="preserve">SOPLADOR INALAMBRICO TE-CB18/180LI SOLO #8681140 EINHELL (NA26606140)</x:t>
        </x:is>
      </x:c>
      <x:c r="C536" s="8" t="n">
        <x:v>2</x:v>
      </x:c>
      <x:c r="D536" s="8" t="n">
        <x:v>0</x:v>
      </x:c>
      <x:c r="E536" s="8" t="n">
        <x:v>0</x:v>
      </x:c>
      <x:c r="F536" s="8" t="n">
        <x:v>2</x:v>
      </x:c>
      <x:c r="G536" s="9" t="n">
        <x:v>94312</x:v>
      </x:c>
      <x:c r="H536" s="9" t="n">
        <x:v>0</x:v>
      </x:c>
      <x:c r="I536" s="9" t="n">
        <x:v>0</x:v>
      </x:c>
      <x:c r="J536" s="9" t="n">
        <x:v>94312</x:v>
      </x:c>
      <x:c r="K536" s="10" t="n">
        <x:v>47156</x:v>
      </x:c>
    </x:row>
    <x:row r="537">
      <x:c r="A537" t="inlineStr">
        <x:is>
          <x:t xml:space="preserve">MTPRACFUN318</x:t>
        </x:is>
      </x:c>
      <x:c r="B537" t="inlineStr">
        <x:is>
          <x:t xml:space="preserve">BATERIA 2,5 AH 18V + CARGADOR POWER EINHELL (NA26100218)</x:t>
        </x:is>
      </x:c>
      <x:c r="C537" s="8" t="n">
        <x:v>2</x:v>
      </x:c>
      <x:c r="D537" s="8" t="n">
        <x:v>0</x:v>
      </x:c>
      <x:c r="E537" s="8" t="n">
        <x:v>0</x:v>
      </x:c>
      <x:c r="F537" s="8" t="n">
        <x:v>2</x:v>
      </x:c>
      <x:c r="G537" s="9" t="n">
        <x:v>56478</x:v>
      </x:c>
      <x:c r="H537" s="9" t="n">
        <x:v>0</x:v>
      </x:c>
      <x:c r="I537" s="9" t="n">
        <x:v>0</x:v>
      </x:c>
      <x:c r="J537" s="9" t="n">
        <x:v>56478</x:v>
      </x:c>
      <x:c r="K537" s="10" t="n">
        <x:v>28239</x:v>
      </x:c>
    </x:row>
    <x:row r="538">
      <x:c r="A538" t="inlineStr">
        <x:is>
          <x:t xml:space="preserve">MTPRACFUN320</x:t>
        </x:is>
      </x:c>
      <x:c r="B538" t="inlineStr">
        <x:is>
          <x:t xml:space="preserve">ESLINGA SINTETICA 3 CAPAS 50MM X 1,5 MT</x:t>
        </x:is>
      </x:c>
      <x:c r="C538" s="8" t="n">
        <x:v>2</x:v>
      </x:c>
      <x:c r="D538" s="8" t="n">
        <x:v>0</x:v>
      </x:c>
      <x:c r="E538" s="8" t="n">
        <x:v>0</x:v>
      </x:c>
      <x:c r="F538" s="8" t="n">
        <x:v>2</x:v>
      </x:c>
      <x:c r="G538" s="9" t="n">
        <x:v>25126</x:v>
      </x:c>
      <x:c r="H538" s="9" t="n">
        <x:v>0</x:v>
      </x:c>
      <x:c r="I538" s="9" t="n">
        <x:v>0</x:v>
      </x:c>
      <x:c r="J538" s="9" t="n">
        <x:v>25126</x:v>
      </x:c>
      <x:c r="K538" s="10" t="n">
        <x:v>12563</x:v>
      </x:c>
    </x:row>
    <x:row r="539">
      <x:c r="A539" t="inlineStr">
        <x:is>
          <x:t xml:space="preserve">MTPRACFUN323</x:t>
        </x:is>
      </x:c>
      <x:c r="B539" t="inlineStr">
        <x:is>
          <x:t xml:space="preserve">ESLINGA SINTETICA 3 CAPAS 50MM X 3 MT</x:t>
        </x:is>
      </x:c>
      <x:c r="C539" s="8" t="n">
        <x:v>1</x:v>
      </x:c>
      <x:c r="D539" s="8" t="n">
        <x:v>0</x:v>
      </x:c>
      <x:c r="E539" s="8" t="n">
        <x:v>0</x:v>
      </x:c>
      <x:c r="F539" s="8" t="n">
        <x:v>1</x:v>
      </x:c>
      <x:c r="G539" s="9" t="n">
        <x:v>22320</x:v>
      </x:c>
      <x:c r="H539" s="9" t="n">
        <x:v>0</x:v>
      </x:c>
      <x:c r="I539" s="9" t="n">
        <x:v>0</x:v>
      </x:c>
      <x:c r="J539" s="9" t="n">
        <x:v>22320</x:v>
      </x:c>
      <x:c r="K539" s="10" t="n">
        <x:v>22320</x:v>
      </x:c>
    </x:row>
    <x:row r="540">
      <x:c r="A540" t="inlineStr">
        <x:is>
          <x:t xml:space="preserve">MTPRACFUN325</x:t>
        </x:is>
      </x:c>
      <x:c r="B540" t="inlineStr">
        <x:is>
          <x:t xml:space="preserve">ESLINGA SINTETICA 3 CAPAS 50MM X 5 MT</x:t>
        </x:is>
      </x:c>
      <x:c r="C540" s="8" t="n">
        <x:v>2</x:v>
      </x:c>
      <x:c r="D540" s="8" t="n">
        <x:v>0</x:v>
      </x:c>
      <x:c r="E540" s="8" t="n">
        <x:v>0</x:v>
      </x:c>
      <x:c r="F540" s="8" t="n">
        <x:v>2</x:v>
      </x:c>
      <x:c r="G540" s="9" t="n">
        <x:v>49052</x:v>
      </x:c>
      <x:c r="H540" s="9" t="n">
        <x:v>0</x:v>
      </x:c>
      <x:c r="I540" s="9" t="n">
        <x:v>0</x:v>
      </x:c>
      <x:c r="J540" s="9" t="n">
        <x:v>49052</x:v>
      </x:c>
      <x:c r="K540" s="10" t="n">
        <x:v>24526</x:v>
      </x:c>
    </x:row>
    <x:row r="541">
      <x:c r="A541" t="inlineStr">
        <x:is>
          <x:t xml:space="preserve">MTPRACFUN327</x:t>
        </x:is>
      </x:c>
      <x:c r="B541" t="inlineStr">
        <x:is>
          <x:t xml:space="preserve">ESLINGA SINTETICA 3 CAPAS 50MM X 7 MT</x:t>
        </x:is>
      </x:c>
      <x:c r="C541" s="8" t="n">
        <x:v>2</x:v>
      </x:c>
      <x:c r="D541" s="8" t="n">
        <x:v>0</x:v>
      </x:c>
      <x:c r="E541" s="8" t="n">
        <x:v>0</x:v>
      </x:c>
      <x:c r="F541" s="8" t="n">
        <x:v>2</x:v>
      </x:c>
      <x:c r="G541" s="9" t="n">
        <x:v>83386</x:v>
      </x:c>
      <x:c r="H541" s="9" t="n">
        <x:v>0</x:v>
      </x:c>
      <x:c r="I541" s="9" t="n">
        <x:v>0</x:v>
      </x:c>
      <x:c r="J541" s="9" t="n">
        <x:v>83386</x:v>
      </x:c>
      <x:c r="K541" s="10" t="n">
        <x:v>41693</x:v>
      </x:c>
    </x:row>
    <x:row r="542">
      <x:c r="A542" t="inlineStr">
        <x:is>
          <x:t xml:space="preserve">MTPRACFUN328</x:t>
        </x:is>
      </x:c>
      <x:c r="B542" t="inlineStr">
        <x:is>
          <x:t xml:space="preserve">BROCHA CERDA 1/2 X 3"</x:t>
        </x:is>
      </x:c>
      <x:c r="C542" s="8" t="n">
        <x:v>15</x:v>
      </x:c>
      <x:c r="D542" s="8" t="n">
        <x:v>0</x:v>
      </x:c>
      <x:c r="E542" s="8" t="n">
        <x:v>0</x:v>
      </x:c>
      <x:c r="F542" s="8" t="n">
        <x:v>15</x:v>
      </x:c>
      <x:c r="G542" s="9" t="n">
        <x:v>40515</x:v>
      </x:c>
      <x:c r="H542" s="9" t="n">
        <x:v>0</x:v>
      </x:c>
      <x:c r="I542" s="9" t="n">
        <x:v>0</x:v>
      </x:c>
      <x:c r="J542" s="9" t="n">
        <x:v>40515</x:v>
      </x:c>
      <x:c r="K542" s="10" t="n">
        <x:v>2701</x:v>
      </x:c>
    </x:row>
    <x:row r="543">
      <x:c r="A543" t="inlineStr">
        <x:is>
          <x:t xml:space="preserve">MTPRACFUN329</x:t>
        </x:is>
      </x:c>
      <x:c r="B543" t="inlineStr">
        <x:is>
          <x:t xml:space="preserve">BROCHA PLANA 1/2 X 3-1/2"</x:t>
        </x:is>
      </x:c>
      <x:c r="C543" s="8" t="n">
        <x:v>120</x:v>
      </x:c>
      <x:c r="D543" s="8" t="n">
        <x:v>0</x:v>
      </x:c>
      <x:c r="E543" s="8" t="n">
        <x:v>0</x:v>
      </x:c>
      <x:c r="F543" s="8" t="n">
        <x:v>120</x:v>
      </x:c>
      <x:c r="G543" s="9" t="n">
        <x:v>285600</x:v>
      </x:c>
      <x:c r="H543" s="9" t="n">
        <x:v>0</x:v>
      </x:c>
      <x:c r="I543" s="9" t="n">
        <x:v>0</x:v>
      </x:c>
      <x:c r="J543" s="9" t="n">
        <x:v>285600</x:v>
      </x:c>
      <x:c r="K543" s="10" t="n">
        <x:v>2380</x:v>
      </x:c>
    </x:row>
    <x:row r="544">
      <x:c r="A544" t="inlineStr">
        <x:is>
          <x:t xml:space="preserve">MTPRACFUN330</x:t>
        </x:is>
      </x:c>
      <x:c r="B544" t="inlineStr">
        <x:is>
          <x:t xml:space="preserve">BANCO PLEGABLE 180 X 28 X 43</x:t>
        </x:is>
      </x:c>
      <x:c r="C544" s="8" t="n">
        <x:v>3</x:v>
      </x:c>
      <x:c r="D544" s="8" t="n">
        <x:v>0</x:v>
      </x:c>
      <x:c r="E544" s="8" t="n">
        <x:v>0</x:v>
      </x:c>
      <x:c r="F544" s="8" t="n">
        <x:v>3</x:v>
      </x:c>
      <x:c r="G544" s="9" t="n">
        <x:v>97470</x:v>
      </x:c>
      <x:c r="H544" s="9" t="n">
        <x:v>0</x:v>
      </x:c>
      <x:c r="I544" s="9" t="n">
        <x:v>0</x:v>
      </x:c>
      <x:c r="J544" s="9" t="n">
        <x:v>97470</x:v>
      </x:c>
      <x:c r="K544" s="10" t="n">
        <x:v>32490</x:v>
      </x:c>
    </x:row>
    <x:row r="545">
      <x:c r="A545" t="inlineStr">
        <x:is>
          <x:t xml:space="preserve">MTPRACFUN331</x:t>
        </x:is>
      </x:c>
      <x:c r="B545" t="inlineStr">
        <x:is>
          <x:t xml:space="preserve">BOLSA PARA BASURA INDUSTRIAL (4POR KL)</x:t>
        </x:is>
      </x:c>
      <x:c r="C545" s="8" t="n">
        <x:v>25</x:v>
      </x:c>
      <x:c r="D545" s="8" t="n">
        <x:v>0</x:v>
      </x:c>
      <x:c r="E545" s="8" t="n">
        <x:v>0</x:v>
      </x:c>
      <x:c r="F545" s="8" t="n">
        <x:v>25</x:v>
      </x:c>
      <x:c r="G545" s="9" t="n">
        <x:v>79025</x:v>
      </x:c>
      <x:c r="H545" s="9" t="n">
        <x:v>0</x:v>
      </x:c>
      <x:c r="I545" s="9" t="n">
        <x:v>0</x:v>
      </x:c>
      <x:c r="J545" s="9" t="n">
        <x:v>79025</x:v>
      </x:c>
      <x:c r="K545" s="10" t="n">
        <x:v>3161</x:v>
      </x:c>
    </x:row>
    <x:row r="546">
      <x:c r="A546" t="inlineStr">
        <x:is>
          <x:t xml:space="preserve">MTPRACFUN333</x:t>
        </x:is>
      </x:c>
      <x:c r="B546" t="inlineStr">
        <x:is>
          <x:t xml:space="preserve">FOCO LED 100W</x:t>
        </x:is>
      </x:c>
      <x:c r="C546" s="8" t="n">
        <x:v>10</x:v>
      </x:c>
      <x:c r="D546" s="8" t="n">
        <x:v>0</x:v>
      </x:c>
      <x:c r="E546" s="8" t="n">
        <x:v>0</x:v>
      </x:c>
      <x:c r="F546" s="8" t="n">
        <x:v>10</x:v>
      </x:c>
      <x:c r="G546" s="9" t="n">
        <x:v>388450</x:v>
      </x:c>
      <x:c r="H546" s="9" t="n">
        <x:v>0</x:v>
      </x:c>
      <x:c r="I546" s="9" t="n">
        <x:v>0</x:v>
      </x:c>
      <x:c r="J546" s="9" t="n">
        <x:v>388450</x:v>
      </x:c>
      <x:c r="K546" s="10" t="n">
        <x:v>38845</x:v>
      </x:c>
    </x:row>
    <x:row r="547">
      <x:c r="A547" t="inlineStr">
        <x:is>
          <x:t xml:space="preserve">MTPRACFUN334</x:t>
        </x:is>
      </x:c>
      <x:c r="B547" t="inlineStr">
        <x:is>
          <x:t xml:space="preserve">FOCO LED DOBLE, CON TRÍPODE 2X50W</x:t>
        </x:is>
      </x:c>
      <x:c r="C547" s="8" t="n">
        <x:v>5</x:v>
      </x:c>
      <x:c r="D547" s="8" t="n">
        <x:v>0</x:v>
      </x:c>
      <x:c r="E547" s="8" t="n">
        <x:v>0</x:v>
      </x:c>
      <x:c r="F547" s="8" t="n">
        <x:v>5</x:v>
      </x:c>
      <x:c r="G547" s="9" t="n">
        <x:v>210330</x:v>
      </x:c>
      <x:c r="H547" s="9" t="n">
        <x:v>0</x:v>
      </x:c>
      <x:c r="I547" s="9" t="n">
        <x:v>0</x:v>
      </x:c>
      <x:c r="J547" s="9" t="n">
        <x:v>210330</x:v>
      </x:c>
      <x:c r="K547" s="10" t="n">
        <x:v>42066</x:v>
      </x:c>
    </x:row>
    <x:row r="548">
      <x:c r="A548" t="inlineStr">
        <x:is>
          <x:t xml:space="preserve">MTPRACFUN335</x:t>
        </x:is>
      </x:c>
      <x:c r="B548" t="inlineStr">
        <x:is>
          <x:t xml:space="preserve">HUICHA DE MEDIR DE 30 MTS. TAXTIL</x:t>
        </x:is>
      </x:c>
      <x:c r="C548" s="8" t="n">
        <x:v>1</x:v>
      </x:c>
      <x:c r="D548" s="8" t="n">
        <x:v>0</x:v>
      </x:c>
      <x:c r="E548" s="8" t="n">
        <x:v>0</x:v>
      </x:c>
      <x:c r="F548" s="8" t="n">
        <x:v>1</x:v>
      </x:c>
      <x:c r="G548" s="9" t="n">
        <x:v>15667</x:v>
      </x:c>
      <x:c r="H548" s="9" t="n">
        <x:v>0</x:v>
      </x:c>
      <x:c r="I548" s="9" t="n">
        <x:v>0</x:v>
      </x:c>
      <x:c r="J548" s="9" t="n">
        <x:v>15667</x:v>
      </x:c>
      <x:c r="K548" s="10" t="n">
        <x:v>15667</x:v>
      </x:c>
    </x:row>
    <x:row r="549">
      <x:c r="A549" t="inlineStr">
        <x:is>
          <x:t xml:space="preserve">MTPRACFUN336</x:t>
        </x:is>
      </x:c>
      <x:c r="B549" t="inlineStr">
        <x:is>
          <x:t xml:space="preserve">JUEGO DADOS CON CHICHARRA 1/2 - 12 PIEZAS</x:t>
        </x:is>
      </x:c>
      <x:c r="C549" s="8" t="n">
        <x:v>2</x:v>
      </x:c>
      <x:c r="D549" s="8" t="n">
        <x:v>0</x:v>
      </x:c>
      <x:c r="E549" s="8" t="n">
        <x:v>0</x:v>
      </x:c>
      <x:c r="F549" s="8" t="n">
        <x:v>2</x:v>
      </x:c>
      <x:c r="G549" s="9" t="n">
        <x:v>72110</x:v>
      </x:c>
      <x:c r="H549" s="9" t="n">
        <x:v>0</x:v>
      </x:c>
      <x:c r="I549" s="9" t="n">
        <x:v>0</x:v>
      </x:c>
      <x:c r="J549" s="9" t="n">
        <x:v>72110</x:v>
      </x:c>
      <x:c r="K549" s="10" t="n">
        <x:v>36055</x:v>
      </x:c>
    </x:row>
    <x:row r="550">
      <x:c r="A550" t="inlineStr">
        <x:is>
          <x:t xml:space="preserve">MTPRACFUN337</x:t>
        </x:is>
      </x:c>
      <x:c r="B550" t="inlineStr">
        <x:is>
          <x:t xml:space="preserve">LINTERNA DE MANO, 2000 LUMENES</x:t>
        </x:is>
      </x:c>
      <x:c r="C550" s="8" t="n">
        <x:v>10</x:v>
      </x:c>
      <x:c r="D550" s="8" t="n">
        <x:v>0</x:v>
      </x:c>
      <x:c r="E550" s="8" t="n">
        <x:v>0</x:v>
      </x:c>
      <x:c r="F550" s="8" t="n">
        <x:v>10</x:v>
      </x:c>
      <x:c r="G550" s="9" t="n">
        <x:v>102000</x:v>
      </x:c>
      <x:c r="H550" s="9" t="n">
        <x:v>0</x:v>
      </x:c>
      <x:c r="I550" s="9" t="n">
        <x:v>0</x:v>
      </x:c>
      <x:c r="J550" s="9" t="n">
        <x:v>102000</x:v>
      </x:c>
      <x:c r="K550" s="10" t="n">
        <x:v>10200</x:v>
      </x:c>
    </x:row>
    <x:row r="551">
      <x:c r="A551" t="inlineStr">
        <x:is>
          <x:t xml:space="preserve">MTPRACFUN339</x:t>
        </x:is>
      </x:c>
      <x:c r="B551" t="inlineStr">
        <x:is>
          <x:t xml:space="preserve">NIVEL DE BURBUJA DE 100 CM</x:t>
        </x:is>
      </x:c>
      <x:c r="C551" s="8" t="n">
        <x:v>2</x:v>
      </x:c>
      <x:c r="D551" s="8" t="n">
        <x:v>0</x:v>
      </x:c>
      <x:c r="E551" s="8" t="n">
        <x:v>0</x:v>
      </x:c>
      <x:c r="F551" s="8" t="n">
        <x:v>2</x:v>
      </x:c>
      <x:c r="G551" s="9" t="n">
        <x:v>18370</x:v>
      </x:c>
      <x:c r="H551" s="9" t="n">
        <x:v>0</x:v>
      </x:c>
      <x:c r="I551" s="9" t="n">
        <x:v>0</x:v>
      </x:c>
      <x:c r="J551" s="9" t="n">
        <x:v>18370</x:v>
      </x:c>
      <x:c r="K551" s="10" t="n">
        <x:v>9185</x:v>
      </x:c>
    </x:row>
    <x:row r="552">
      <x:c r="A552" t="inlineStr">
        <x:is>
          <x:t xml:space="preserve">MTPRACFUN340</x:t>
        </x:is>
      </x:c>
      <x:c r="B552" t="inlineStr">
        <x:is>
          <x:t xml:space="preserve">NIVEL DE BURBUJA DE 30 CM</x:t>
        </x:is>
      </x:c>
      <x:c r="C552" s="8" t="n">
        <x:v>2</x:v>
      </x:c>
      <x:c r="D552" s="8" t="n">
        <x:v>0</x:v>
      </x:c>
      <x:c r="E552" s="8" t="n">
        <x:v>0</x:v>
      </x:c>
      <x:c r="F552" s="8" t="n">
        <x:v>2</x:v>
      </x:c>
      <x:c r="G552" s="9" t="n">
        <x:v>7950</x:v>
      </x:c>
      <x:c r="H552" s="9" t="n">
        <x:v>0</x:v>
      </x:c>
      <x:c r="I552" s="9" t="n">
        <x:v>0</x:v>
      </x:c>
      <x:c r="J552" s="9" t="n">
        <x:v>7950</x:v>
      </x:c>
      <x:c r="K552" s="10" t="n">
        <x:v>3975</x:v>
      </x:c>
    </x:row>
    <x:row r="553">
      <x:c r="A553" t="inlineStr">
        <x:is>
          <x:t xml:space="preserve">MTPRACFUN341</x:t>
        </x:is>
      </x:c>
      <x:c r="B553" t="inlineStr">
        <x:is>
          <x:t xml:space="preserve">NIVEL DE BURBUJA DE 60 CM</x:t>
        </x:is>
      </x:c>
      <x:c r="C553" s="8" t="n">
        <x:v>2</x:v>
      </x:c>
      <x:c r="D553" s="8" t="n">
        <x:v>0</x:v>
      </x:c>
      <x:c r="E553" s="8" t="n">
        <x:v>0</x:v>
      </x:c>
      <x:c r="F553" s="8" t="n">
        <x:v>2</x:v>
      </x:c>
      <x:c r="G553" s="9" t="n">
        <x:v>13860</x:v>
      </x:c>
      <x:c r="H553" s="9" t="n">
        <x:v>0</x:v>
      </x:c>
      <x:c r="I553" s="9" t="n">
        <x:v>0</x:v>
      </x:c>
      <x:c r="J553" s="9" t="n">
        <x:v>13860</x:v>
      </x:c>
      <x:c r="K553" s="10" t="n">
        <x:v>6930</x:v>
      </x:c>
    </x:row>
    <x:row r="554">
      <x:c r="A554" t="inlineStr">
        <x:is>
          <x:t xml:space="preserve">MTPRACFUN342</x:t>
        </x:is>
      </x:c>
      <x:c r="B554" t="inlineStr">
        <x:is>
          <x:t xml:space="preserve">TOLDO PEGABLE 3X3MT AZUL</x:t>
        </x:is>
      </x:c>
      <x:c r="C554" s="8" t="n">
        <x:v>3</x:v>
      </x:c>
      <x:c r="D554" s="8" t="n">
        <x:v>0</x:v>
      </x:c>
      <x:c r="E554" s="8" t="n">
        <x:v>0</x:v>
      </x:c>
      <x:c r="F554" s="8" t="n">
        <x:v>3</x:v>
      </x:c>
      <x:c r="G554" s="9" t="n">
        <x:v>130338</x:v>
      </x:c>
      <x:c r="H554" s="9" t="n">
        <x:v>0</x:v>
      </x:c>
      <x:c r="I554" s="9" t="n">
        <x:v>0</x:v>
      </x:c>
      <x:c r="J554" s="9" t="n">
        <x:v>130338</x:v>
      </x:c>
      <x:c r="K554" s="10" t="n">
        <x:v>43446</x:v>
      </x:c>
    </x:row>
    <x:row r="555">
      <x:c r="A555" t="inlineStr">
        <x:is>
          <x:t xml:space="preserve">MTPRACFUN343</x:t>
        </x:is>
      </x:c>
      <x:c r="B555" t="inlineStr">
        <x:is>
          <x:t xml:space="preserve">HOJA REPUESTO CUCHILLO CARTONERO INGCO 18X100 MM JUEGO DE 10 PZS # HKNSB112</x:t>
        </x:is>
      </x:c>
      <x:c r="C555" s="8" t="n">
        <x:v>24</x:v>
      </x:c>
      <x:c r="D555" s="8" t="n">
        <x:v>0</x:v>
      </x:c>
      <x:c r="E555" s="8" t="n">
        <x:v>0</x:v>
      </x:c>
      <x:c r="F555" s="8" t="n">
        <x:v>24</x:v>
      </x:c>
      <x:c r="G555" s="9" t="n">
        <x:v>26904</x:v>
      </x:c>
      <x:c r="H555" s="9" t="n">
        <x:v>0</x:v>
      </x:c>
      <x:c r="I555" s="9" t="n">
        <x:v>0</x:v>
      </x:c>
      <x:c r="J555" s="9" t="n">
        <x:v>26904</x:v>
      </x:c>
      <x:c r="K555" s="10" t="n">
        <x:v>1121</x:v>
      </x:c>
    </x:row>
    <x:row r="556">
      <x:c r="A556" t="inlineStr">
        <x:is>
          <x:t xml:space="preserve">MTPRACFUN344</x:t>
        </x:is>
      </x:c>
      <x:c r="B556" t="inlineStr">
        <x:is>
          <x:t xml:space="preserve">HOJA DE SIERRA 1/2"X 12" 18 DIENTES STARRETT ACCISE</x:t>
        </x:is>
      </x:c>
      <x:c r="C556" s="8" t="n">
        <x:v>14</x:v>
      </x:c>
      <x:c r="D556" s="8" t="n">
        <x:v>0</x:v>
      </x:c>
      <x:c r="E556" s="8" t="n">
        <x:v>0</x:v>
      </x:c>
      <x:c r="F556" s="8" t="n">
        <x:v>14</x:v>
      </x:c>
      <x:c r="G556" s="9" t="n">
        <x:v>27986</x:v>
      </x:c>
      <x:c r="H556" s="9" t="n">
        <x:v>0</x:v>
      </x:c>
      <x:c r="I556" s="9" t="n">
        <x:v>0</x:v>
      </x:c>
      <x:c r="J556" s="9" t="n">
        <x:v>27986</x:v>
      </x:c>
      <x:c r="K556" s="10" t="n">
        <x:v>1999</x:v>
      </x:c>
    </x:row>
    <x:row r="557">
      <x:c r="A557" t="inlineStr">
        <x:is>
          <x:t xml:space="preserve">MTPRACFUN345</x:t>
        </x:is>
      </x:c>
      <x:c r="B557" t="inlineStr">
        <x:is>
          <x:t xml:space="preserve">DISCO DE LIJA G36 - 4-1/2”</x:t>
        </x:is>
      </x:c>
      <x:c r="C557" s="8" t="n">
        <x:v>0</x:v>
      </x:c>
      <x:c r="D557" s="8" t="n">
        <x:v>50</x:v>
      </x:c>
      <x:c r="E557" s="8" t="n">
        <x:v>0</x:v>
      </x:c>
      <x:c r="F557" s="8" t="n">
        <x:v>50</x:v>
      </x:c>
      <x:c r="G557" s="9" t="n">
        <x:v>0</x:v>
      </x:c>
      <x:c r="H557" s="9" t="n">
        <x:v>46000</x:v>
      </x:c>
      <x:c r="I557" s="9" t="n">
        <x:v>0</x:v>
      </x:c>
      <x:c r="J557" s="9" t="n">
        <x:v>46000</x:v>
      </x:c>
      <x:c r="K557" s="10" t="n">
        <x:v>920</x:v>
      </x:c>
    </x:row>
    <x:row r="558">
      <x:c r="A558" t="inlineStr">
        <x:is>
          <x:t xml:space="preserve">MTPRACMAD001</x:t>
        </x:is>
      </x:c>
      <x:c r="B558" t="inlineStr">
        <x:is>
          <x:t xml:space="preserve">PLANCHA MELAMINA 18mm</x:t>
        </x:is>
      </x:c>
      <x:c r="C558" s="8" t="n">
        <x:v>49</x:v>
      </x:c>
      <x:c r="D558" s="8" t="n">
        <x:v>0</x:v>
      </x:c>
      <x:c r="E558" s="8" t="n">
        <x:v>0</x:v>
      </x:c>
      <x:c r="F558" s="8" t="n">
        <x:v>49</x:v>
      </x:c>
      <x:c r="G558" s="9" t="n">
        <x:v>1206723</x:v>
      </x:c>
      <x:c r="H558" s="9" t="n">
        <x:v>0</x:v>
      </x:c>
      <x:c r="I558" s="9" t="n">
        <x:v>0</x:v>
      </x:c>
      <x:c r="J558" s="9" t="n">
        <x:v>1206723</x:v>
      </x:c>
      <x:c r="K558" s="10" t="n">
        <x:v>24627</x:v>
      </x:c>
    </x:row>
    <x:row r="559">
      <x:c r="A559" t="inlineStr">
        <x:is>
          <x:t xml:space="preserve">MTPRACMAD002</x:t>
        </x:is>
      </x:c>
      <x:c r="B559" t="inlineStr">
        <x:is>
          <x:t xml:space="preserve">PLANCHA TERCIADO ESTRUCTURAL 18mm</x:t>
        </x:is>
      </x:c>
      <x:c r="C559" s="8" t="n">
        <x:v>78</x:v>
      </x:c>
      <x:c r="D559" s="8" t="n">
        <x:v>0</x:v>
      </x:c>
      <x:c r="E559" s="8" t="n">
        <x:v>0</x:v>
      </x:c>
      <x:c r="F559" s="8" t="n">
        <x:v>78</x:v>
      </x:c>
      <x:c r="G559" s="9" t="n">
        <x:v>1463795</x:v>
      </x:c>
      <x:c r="H559" s="9" t="n">
        <x:v>0</x:v>
      </x:c>
      <x:c r="I559" s="9" t="n">
        <x:v>0</x:v>
      </x:c>
      <x:c r="J559" s="9" t="n">
        <x:v>1463795</x:v>
      </x:c>
      <x:c r="K559" s="10" t="n">
        <x:v>18766.617807</x:v>
      </x:c>
    </x:row>
    <x:row r="560">
      <x:c r="A560" t="inlineStr">
        <x:is>
          <x:t xml:space="preserve">MTPRACMAD003</x:t>
        </x:is>
      </x:c>
      <x:c r="B560" t="inlineStr">
        <x:is>
          <x:t xml:space="preserve">PLANCHA TERCIADO ESTRUCTURAL 9mm</x:t>
        </x:is>
      </x:c>
      <x:c r="C560" s="8" t="n">
        <x:v>112</x:v>
      </x:c>
      <x:c r="D560" s="8" t="n">
        <x:v>0</x:v>
      </x:c>
      <x:c r="E560" s="8" t="n">
        <x:v>10</x:v>
      </x:c>
      <x:c r="F560" s="8" t="n">
        <x:v>102</x:v>
      </x:c>
      <x:c r="G560" s="9" t="n">
        <x:v>1448313</x:v>
      </x:c>
      <x:c r="H560" s="9" t="n">
        <x:v>0</x:v>
      </x:c>
      <x:c r="I560" s="9" t="n">
        <x:v>129313</x:v>
      </x:c>
      <x:c r="J560" s="9" t="n">
        <x:v>1319000</x:v>
      </x:c>
      <x:c r="K560" s="10" t="n">
        <x:v>12931.343135</x:v>
      </x:c>
    </x:row>
    <x:row r="561">
      <x:c r="A561" t="inlineStr">
        <x:is>
          <x:t xml:space="preserve">MTPRACMAD005</x:t>
        </x:is>
      </x:c>
      <x:c r="B561" t="inlineStr">
        <x:is>
          <x:t xml:space="preserve">PLANCHA TERCIADO ESTRUCTURAL 15mm</x:t>
        </x:is>
      </x:c>
      <x:c r="C561" s="8" t="n">
        <x:v>89</x:v>
      </x:c>
      <x:c r="D561" s="8" t="n">
        <x:v>0</x:v>
      </x:c>
      <x:c r="E561" s="8" t="n">
        <x:v>0</x:v>
      </x:c>
      <x:c r="F561" s="8" t="n">
        <x:v>89</x:v>
      </x:c>
      <x:c r="G561" s="9" t="n">
        <x:v>1552460</x:v>
      </x:c>
      <x:c r="H561" s="9" t="n">
        <x:v>0</x:v>
      </x:c>
      <x:c r="I561" s="9" t="n">
        <x:v>0</x:v>
      </x:c>
      <x:c r="J561" s="9" t="n">
        <x:v>1552460</x:v>
      </x:c>
      <x:c r="K561" s="10" t="n">
        <x:v>17443.370787</x:v>
      </x:c>
    </x:row>
    <x:row r="562">
      <x:c r="A562" t="inlineStr">
        <x:is>
          <x:t xml:space="preserve">MTPRACMAD006</x:t>
        </x:is>
      </x:c>
      <x:c r="B562" t="inlineStr">
        <x:is>
          <x:t xml:space="preserve">PLANCHA CHOLGUAN 3MM</x:t>
        </x:is>
      </x:c>
      <x:c r="C562" s="8" t="n">
        <x:v>24</x:v>
      </x:c>
      <x:c r="D562" s="8" t="n">
        <x:v>0</x:v>
      </x:c>
      <x:c r="E562" s="8" t="n">
        <x:v>0</x:v>
      </x:c>
      <x:c r="F562" s="8" t="n">
        <x:v>24</x:v>
      </x:c>
      <x:c r="G562" s="9" t="n">
        <x:v>136964</x:v>
      </x:c>
      <x:c r="H562" s="9" t="n">
        <x:v>0</x:v>
      </x:c>
      <x:c r="I562" s="9" t="n">
        <x:v>0</x:v>
      </x:c>
      <x:c r="J562" s="9" t="n">
        <x:v>136964</x:v>
      </x:c>
      <x:c r="K562" s="10" t="n">
        <x:v>5706.816901</x:v>
      </x:c>
    </x:row>
    <x:row r="563">
      <x:c r="A563" t="inlineStr">
        <x:is>
          <x:t xml:space="preserve">MTPRACMAD007</x:t>
        </x:is>
      </x:c>
      <x:c r="B563" t="inlineStr">
        <x:is>
          <x:t xml:space="preserve">PLANCHA TERCIADO ESTRUCTURAL 12mm</x:t>
        </x:is>
      </x:c>
      <x:c r="C563" s="8" t="n">
        <x:v>51</x:v>
      </x:c>
      <x:c r="D563" s="8" t="n">
        <x:v>0</x:v>
      </x:c>
      <x:c r="E563" s="8" t="n">
        <x:v>0</x:v>
      </x:c>
      <x:c r="F563" s="8" t="n">
        <x:v>51</x:v>
      </x:c>
      <x:c r="G563" s="9" t="n">
        <x:v>750201</x:v>
      </x:c>
      <x:c r="H563" s="9" t="n">
        <x:v>0</x:v>
      </x:c>
      <x:c r="I563" s="9" t="n">
        <x:v>0</x:v>
      </x:c>
      <x:c r="J563" s="9" t="n">
        <x:v>750201</x:v>
      </x:c>
      <x:c r="K563" s="10" t="n">
        <x:v>14710.020377</x:v>
      </x:c>
    </x:row>
    <x:row r="564">
      <x:c r="A564" t="inlineStr">
        <x:is>
          <x:t xml:space="preserve">MTPRACMAD011</x:t>
        </x:is>
      </x:c>
      <x:c r="B564" t="inlineStr">
        <x:is>
          <x:t xml:space="preserve">PINO CEPILLADO SECO 2X3X3,2 MTS</x:t>
        </x:is>
      </x:c>
      <x:c r="C564" s="8" t="n">
        <x:v>178</x:v>
      </x:c>
      <x:c r="D564" s="8" t="n">
        <x:v>0</x:v>
      </x:c>
      <x:c r="E564" s="8" t="n">
        <x:v>40</x:v>
      </x:c>
      <x:c r="F564" s="8" t="n">
        <x:v>138</x:v>
      </x:c>
      <x:c r="G564" s="9" t="n">
        <x:v>660362</x:v>
      </x:c>
      <x:c r="H564" s="9" t="n">
        <x:v>0</x:v>
      </x:c>
      <x:c r="I564" s="9" t="n">
        <x:v>148396</x:v>
      </x:c>
      <x:c r="J564" s="9" t="n">
        <x:v>511966</x:v>
      </x:c>
      <x:c r="K564" s="10" t="n">
        <x:v>3709.88431</x:v>
      </x:c>
    </x:row>
    <x:row r="565">
      <x:c r="A565" t="inlineStr">
        <x:is>
          <x:t xml:space="preserve">MTPRACMAD012</x:t>
        </x:is>
      </x:c>
      <x:c r="B565" t="inlineStr">
        <x:is>
          <x:t xml:space="preserve">PINO CEPILLADO SECO 1X8X3,2 MTS</x:t>
        </x:is>
      </x:c>
      <x:c r="C565" s="8" t="n">
        <x:v>101</x:v>
      </x:c>
      <x:c r="D565" s="8" t="n">
        <x:v>0</x:v>
      </x:c>
      <x:c r="E565" s="8" t="n">
        <x:v>0</x:v>
      </x:c>
      <x:c r="F565" s="8" t="n">
        <x:v>101</x:v>
      </x:c>
      <x:c r="G565" s="9" t="n">
        <x:v>518946</x:v>
      </x:c>
      <x:c r="H565" s="9" t="n">
        <x:v>0</x:v>
      </x:c>
      <x:c r="I565" s="9" t="n">
        <x:v>0</x:v>
      </x:c>
      <x:c r="J565" s="9" t="n">
        <x:v>518946</x:v>
      </x:c>
      <x:c r="K565" s="10" t="n">
        <x:v>5138.042129</x:v>
      </x:c>
    </x:row>
    <x:row r="566">
      <x:c r="A566" t="inlineStr">
        <x:is>
          <x:t xml:space="preserve">MTPRACMAD013</x:t>
        </x:is>
      </x:c>
      <x:c r="B566" t="inlineStr">
        <x:is>
          <x:t xml:space="preserve">TERCIADO ESTRUCTURAL 21MM X 1200 MM X 2400 MM</x:t>
        </x:is>
      </x:c>
      <x:c r="C566" s="8" t="n">
        <x:v>85</x:v>
      </x:c>
      <x:c r="D566" s="8" t="n">
        <x:v>0</x:v>
      </x:c>
      <x:c r="E566" s="8" t="n">
        <x:v>0</x:v>
      </x:c>
      <x:c r="F566" s="8" t="n">
        <x:v>85</x:v>
      </x:c>
      <x:c r="G566" s="9" t="n">
        <x:v>1702229</x:v>
      </x:c>
      <x:c r="H566" s="9" t="n">
        <x:v>0</x:v>
      </x:c>
      <x:c r="I566" s="9" t="n">
        <x:v>0</x:v>
      </x:c>
      <x:c r="J566" s="9" t="n">
        <x:v>1702229</x:v>
      </x:c>
      <x:c r="K566" s="10" t="n">
        <x:v>20026.238723</x:v>
      </x:c>
    </x:row>
    <x:row r="567">
      <x:c r="A567" t="inlineStr">
        <x:is>
          <x:t xml:space="preserve">MTPRACMAD014</x:t>
        </x:is>
      </x:c>
      <x:c r="B567" t="inlineStr">
        <x:is>
          <x:t xml:space="preserve">PINO BRUTO 4 X 4 X 3,2 MTS</x:t>
        </x:is>
      </x:c>
      <x:c r="C567" s="8" t="n">
        <x:v>144</x:v>
      </x:c>
      <x:c r="D567" s="8" t="n">
        <x:v>0</x:v>
      </x:c>
      <x:c r="E567" s="8" t="n">
        <x:v>0</x:v>
      </x:c>
      <x:c r="F567" s="8" t="n">
        <x:v>144</x:v>
      </x:c>
      <x:c r="G567" s="9" t="n">
        <x:v>943275</x:v>
      </x:c>
      <x:c r="H567" s="9" t="n">
        <x:v>0</x:v>
      </x:c>
      <x:c r="I567" s="9" t="n">
        <x:v>0</x:v>
      </x:c>
      <x:c r="J567" s="9" t="n">
        <x:v>943275</x:v>
      </x:c>
      <x:c r="K567" s="10" t="n">
        <x:v>6550.519481</x:v>
      </x:c>
    </x:row>
    <x:row r="568">
      <x:c r="A568" t="inlineStr">
        <x:is>
          <x:t xml:space="preserve">MTPRACQUI001</x:t>
        </x:is>
      </x:c>
      <x:c r="B568" t="inlineStr">
        <x:is>
          <x:t xml:space="preserve">RESINA PALATAL A430 (200 KG /TAMBOR)</x:t>
        </x:is>
      </x:c>
      <x:c r="C568" s="8" t="n">
        <x:v>2910</x:v>
      </x:c>
      <x:c r="D568" s="8" t="n">
        <x:v>600</x:v>
      </x:c>
      <x:c r="E568" s="8" t="n">
        <x:v>272</x:v>
      </x:c>
      <x:c r="F568" s="8" t="n">
        <x:v>3238</x:v>
      </x:c>
      <x:c r="G568" s="9" t="n">
        <x:v>10987785</x:v>
      </x:c>
      <x:c r="H568" s="9" t="n">
        <x:v>2272848</x:v>
      </x:c>
      <x:c r="I568" s="9" t="n">
        <x:v>1027362</x:v>
      </x:c>
      <x:c r="J568" s="9" t="n">
        <x:v>12233271</x:v>
      </x:c>
      <x:c r="K568" s="10" t="n">
        <x:v>3778.012589</x:v>
      </x:c>
    </x:row>
    <x:row r="569">
      <x:c r="A569" t="inlineStr">
        <x:is>
          <x:t xml:space="preserve">MTPRACQUI010</x:t>
        </x:is>
      </x:c>
      <x:c r="B569" t="inlineStr">
        <x:is>
          <x:t xml:space="preserve">ADITIVO FILTRO UV-750</x:t>
        </x:is>
      </x:c>
      <x:c r="C569" s="8" t="n">
        <x:v>10</x:v>
      </x:c>
      <x:c r="D569" s="8" t="n">
        <x:v>0</x:v>
      </x:c>
      <x:c r="E569" s="8" t="n">
        <x:v>0</x:v>
      </x:c>
      <x:c r="F569" s="8" t="n">
        <x:v>10</x:v>
      </x:c>
      <x:c r="G569" s="9" t="n">
        <x:v>436940</x:v>
      </x:c>
      <x:c r="H569" s="9" t="n">
        <x:v>0</x:v>
      </x:c>
      <x:c r="I569" s="9" t="n">
        <x:v>0</x:v>
      </x:c>
      <x:c r="J569" s="9" t="n">
        <x:v>436940</x:v>
      </x:c>
      <x:c r="K569" s="10" t="n">
        <x:v>43694</x:v>
      </x:c>
    </x:row>
    <x:row r="570">
      <x:c r="A570" t="inlineStr">
        <x:is>
          <x:t xml:space="preserve">MTPRACROD001</x:t>
        </x:is>
      </x:c>
      <x:c r="B570" t="inlineStr">
        <x:is>
          <x:t xml:space="preserve">RODILLO CHIPORRO 7</x:t>
        </x:is>
      </x:c>
      <x:c r="C570" s="8" t="n">
        <x:v>113</x:v>
      </x:c>
      <x:c r="D570" s="8" t="n">
        <x:v>106</x:v>
      </x:c>
      <x:c r="E570" s="8" t="n">
        <x:v>56</x:v>
      </x:c>
      <x:c r="F570" s="8" t="n">
        <x:v>163</x:v>
      </x:c>
      <x:c r="G570" s="9" t="n">
        <x:v>188612</x:v>
      </x:c>
      <x:c r="H570" s="9" t="n">
        <x:v>174564</x:v>
      </x:c>
      <x:c r="I570" s="9" t="n">
        <x:v>93464</x:v>
      </x:c>
      <x:c r="J570" s="9" t="n">
        <x:v>269712</x:v>
      </x:c>
      <x:c r="K570" s="10" t="n">
        <x:v>1654.582822</x:v>
      </x:c>
    </x:row>
    <x:row r="571">
      <x:c r="A571" t="inlineStr">
        <x:is>
          <x:t xml:space="preserve">MTPRACROD002</x:t>
        </x:is>
      </x:c>
      <x:c r="B571" t="inlineStr">
        <x:is>
          <x:t xml:space="preserve">RODILLO CHIPORRO 9</x:t>
        </x:is>
      </x:c>
      <x:c r="C571" s="8" t="n">
        <x:v>59</x:v>
      </x:c>
      <x:c r="D571" s="8" t="n">
        <x:v>0</x:v>
      </x:c>
      <x:c r="E571" s="8" t="n">
        <x:v>12</x:v>
      </x:c>
      <x:c r="F571" s="8" t="n">
        <x:v>47</x:v>
      </x:c>
      <x:c r="G571" s="9" t="n">
        <x:v>95698</x:v>
      </x:c>
      <x:c r="H571" s="9" t="n">
        <x:v>0</x:v>
      </x:c>
      <x:c r="I571" s="9" t="n">
        <x:v>19464</x:v>
      </x:c>
      <x:c r="J571" s="9" t="n">
        <x:v>76234</x:v>
      </x:c>
      <x:c r="K571" s="10" t="n">
        <x:v>1622</x:v>
      </x:c>
    </x:row>
    <x:row r="572">
      <x:c r="A572" t="inlineStr">
        <x:is>
          <x:t xml:space="preserve">MTPRACROD003</x:t>
        </x:is>
      </x:c>
      <x:c r="B572" t="inlineStr">
        <x:is>
          <x:t xml:space="preserve">RODILLO CHIPORRO 12</x:t>
        </x:is>
      </x:c>
      <x:c r="C572" s="8" t="n">
        <x:v>164</x:v>
      </x:c>
      <x:c r="D572" s="8" t="n">
        <x:v>50</x:v>
      </x:c>
      <x:c r="E572" s="8" t="n">
        <x:v>10</x:v>
      </x:c>
      <x:c r="F572" s="8" t="n">
        <x:v>204</x:v>
      </x:c>
      <x:c r="G572" s="9" t="n">
        <x:v>315089</x:v>
      </x:c>
      <x:c r="H572" s="9" t="n">
        <x:v>94600</x:v>
      </x:c>
      <x:c r="I572" s="9" t="n">
        <x:v>19329</x:v>
      </x:c>
      <x:c r="J572" s="9" t="n">
        <x:v>390360</x:v>
      </x:c>
      <x:c r="K572" s="10" t="n">
        <x:v>1922.47497</x:v>
      </x:c>
    </x:row>
    <x:row r="573">
      <x:c r="A573" t="inlineStr">
        <x:is>
          <x:t xml:space="preserve">MTPRACROD004</x:t>
        </x:is>
      </x:c>
      <x:c r="B573" t="inlineStr">
        <x:is>
          <x:t xml:space="preserve">RODILLO CHIPORRO 18</x:t>
        </x:is>
      </x:c>
      <x:c r="C573" s="8" t="n">
        <x:v>104</x:v>
      </x:c>
      <x:c r="D573" s="8" t="n">
        <x:v>0</x:v>
      </x:c>
      <x:c r="E573" s="8" t="n">
        <x:v>7</x:v>
      </x:c>
      <x:c r="F573" s="8" t="n">
        <x:v>97</x:v>
      </x:c>
      <x:c r="G573" s="9" t="n">
        <x:v>221927</x:v>
      </x:c>
      <x:c r="H573" s="9" t="n">
        <x:v>0</x:v>
      </x:c>
      <x:c r="I573" s="9" t="n">
        <x:v>14938</x:v>
      </x:c>
      <x:c r="J573" s="9" t="n">
        <x:v>206989</x:v>
      </x:c>
      <x:c r="K573" s="10" t="n">
        <x:v>2133.884314</x:v>
      </x:c>
    </x:row>
    <x:row r="574">
      <x:c r="A574" t="inlineStr">
        <x:is>
          <x:t xml:space="preserve">MTPRACROD020</x:t>
        </x:is>
      </x:c>
      <x:c r="B574" t="inlineStr">
        <x:is>
          <x:t xml:space="preserve">RODILLO DE ALUMINIO 13X75 MM (CHINO)</x:t>
        </x:is>
      </x:c>
      <x:c r="C574" s="8" t="n">
        <x:v>206</x:v>
      </x:c>
      <x:c r="D574" s="8" t="n">
        <x:v>0</x:v>
      </x:c>
      <x:c r="E574" s="8" t="n">
        <x:v>0</x:v>
      </x:c>
      <x:c r="F574" s="8" t="n">
        <x:v>206</x:v>
      </x:c>
      <x:c r="G574" s="9" t="n">
        <x:v>350406</x:v>
      </x:c>
      <x:c r="H574" s="9" t="n">
        <x:v>0</x:v>
      </x:c>
      <x:c r="I574" s="9" t="n">
        <x:v>0</x:v>
      </x:c>
      <x:c r="J574" s="9" t="n">
        <x:v>350406</x:v>
      </x:c>
      <x:c r="K574" s="10" t="n">
        <x:v>1701</x:v>
      </x:c>
    </x:row>
    <x:row r="575">
      <x:c r="A575" t="inlineStr">
        <x:is>
          <x:t xml:space="preserve">MTPRACROD021</x:t>
        </x:is>
      </x:c>
      <x:c r="B575" t="inlineStr">
        <x:is>
          <x:t xml:space="preserve">RODILLO DE ALUMINIO 19X75 MM (CHINO)</x:t>
        </x:is>
      </x:c>
      <x:c r="C575" s="8" t="n">
        <x:v>147</x:v>
      </x:c>
      <x:c r="D575" s="8" t="n">
        <x:v>0</x:v>
      </x:c>
      <x:c r="E575" s="8" t="n">
        <x:v>0</x:v>
      </x:c>
      <x:c r="F575" s="8" t="n">
        <x:v>147</x:v>
      </x:c>
      <x:c r="G575" s="9" t="n">
        <x:v>329133</x:v>
      </x:c>
      <x:c r="H575" s="9" t="n">
        <x:v>0</x:v>
      </x:c>
      <x:c r="I575" s="9" t="n">
        <x:v>0</x:v>
      </x:c>
      <x:c r="J575" s="9" t="n">
        <x:v>329133</x:v>
      </x:c>
      <x:c r="K575" s="10" t="n">
        <x:v>2239</x:v>
      </x:c>
    </x:row>
    <x:row r="576">
      <x:c r="A576" t="inlineStr">
        <x:is>
          <x:t xml:space="preserve">MTPRACROD023</x:t>
        </x:is>
      </x:c>
      <x:c r="B576" t="inlineStr">
        <x:is>
          <x:t xml:space="preserve">RODILLO DE ALUMINIO 25X75 MM (CHINO)</x:t>
        </x:is>
      </x:c>
      <x:c r="C576" s="8" t="n">
        <x:v>177</x:v>
      </x:c>
      <x:c r="D576" s="8" t="n">
        <x:v>0</x:v>
      </x:c>
      <x:c r="E576" s="8" t="n">
        <x:v>0</x:v>
      </x:c>
      <x:c r="F576" s="8" t="n">
        <x:v>177</x:v>
      </x:c>
      <x:c r="G576" s="9" t="n">
        <x:v>475422</x:v>
      </x:c>
      <x:c r="H576" s="9" t="n">
        <x:v>0</x:v>
      </x:c>
      <x:c r="I576" s="9" t="n">
        <x:v>0</x:v>
      </x:c>
      <x:c r="J576" s="9" t="n">
        <x:v>475422</x:v>
      </x:c>
      <x:c r="K576" s="10" t="n">
        <x:v>2686</x:v>
      </x:c>
    </x:row>
    <x:row r="577">
      <x:c r="A577" t="inlineStr">
        <x:is>
          <x:t xml:space="preserve">MTPRACROD025</x:t>
        </x:is>
      </x:c>
      <x:c r="B577" t="inlineStr">
        <x:is>
          <x:t xml:space="preserve">RODILLO DE ACERO 12X50 MM (CHINO)</x:t>
        </x:is>
      </x:c>
      <x:c r="C577" s="8" t="n">
        <x:v>178</x:v>
      </x:c>
      <x:c r="D577" s="8" t="n">
        <x:v>0</x:v>
      </x:c>
      <x:c r="E577" s="8" t="n">
        <x:v>0</x:v>
      </x:c>
      <x:c r="F577" s="8" t="n">
        <x:v>178</x:v>
      </x:c>
      <x:c r="G577" s="9" t="n">
        <x:v>239054</x:v>
      </x:c>
      <x:c r="H577" s="9" t="n">
        <x:v>0</x:v>
      </x:c>
      <x:c r="I577" s="9" t="n">
        <x:v>0</x:v>
      </x:c>
      <x:c r="J577" s="9" t="n">
        <x:v>239054</x:v>
      </x:c>
      <x:c r="K577" s="10" t="n">
        <x:v>1343</x:v>
      </x:c>
    </x:row>
    <x:row r="578">
      <x:c r="A578" t="inlineStr">
        <x:is>
          <x:t xml:space="preserve">MTPRACROD027</x:t>
        </x:is>
      </x:c>
      <x:c r="B578" t="inlineStr">
        <x:is>
          <x:t xml:space="preserve">RODILLO DE ACERO 19X75 MM (CHINO)</x:t>
        </x:is>
      </x:c>
      <x:c r="C578" s="8" t="n">
        <x:v>312</x:v>
      </x:c>
      <x:c r="D578" s="8" t="n">
        <x:v>0</x:v>
      </x:c>
      <x:c r="E578" s="8" t="n">
        <x:v>0</x:v>
      </x:c>
      <x:c r="F578" s="8" t="n">
        <x:v>312</x:v>
      </x:c>
      <x:c r="G578" s="9" t="n">
        <x:v>502944</x:v>
      </x:c>
      <x:c r="H578" s="9" t="n">
        <x:v>0</x:v>
      </x:c>
      <x:c r="I578" s="9" t="n">
        <x:v>0</x:v>
      </x:c>
      <x:c r="J578" s="9" t="n">
        <x:v>502944</x:v>
      </x:c>
      <x:c r="K578" s="10" t="n">
        <x:v>1612</x:v>
      </x:c>
    </x:row>
    <x:row r="579">
      <x:c r="A579" t="inlineStr">
        <x:is>
          <x:t xml:space="preserve">MTPRACROD033</x:t>
        </x:is>
      </x:c>
      <x:c r="B579" t="inlineStr">
        <x:is>
          <x:t xml:space="preserve">RODILLO  CHIPORRO SINTETICO TIPO 1 DE 14 CM (CHINO)</x:t>
        </x:is>
      </x:c>
      <x:c r="C579" s="8" t="n">
        <x:v>2</x:v>
      </x:c>
      <x:c r="D579" s="8" t="n">
        <x:v>0</x:v>
      </x:c>
      <x:c r="E579" s="8" t="n">
        <x:v>0</x:v>
      </x:c>
      <x:c r="F579" s="8" t="n">
        <x:v>2</x:v>
      </x:c>
      <x:c r="G579" s="9" t="n">
        <x:v>1200</x:v>
      </x:c>
      <x:c r="H579" s="9" t="n">
        <x:v>0</x:v>
      </x:c>
      <x:c r="I579" s="9" t="n">
        <x:v>0</x:v>
      </x:c>
      <x:c r="J579" s="9" t="n">
        <x:v>1200</x:v>
      </x:c>
      <x:c r="K579" s="10" t="n">
        <x:v>600</x:v>
      </x:c>
    </x:row>
    <x:row r="580">
      <x:c r="A580" t="inlineStr">
        <x:is>
          <x:t xml:space="preserve">MTPRACROD035</x:t>
        </x:is>
      </x:c>
      <x:c r="B580" t="inlineStr">
        <x:is>
          <x:t xml:space="preserve">RODILLO BURBUJERO METALICO 24 X 100 (CHINO) PUNTOS</x:t>
        </x:is>
      </x:c>
      <x:c r="C580" s="8" t="n">
        <x:v>211</x:v>
      </x:c>
      <x:c r="D580" s="8" t="n">
        <x:v>0</x:v>
      </x:c>
      <x:c r="E580" s="8" t="n">
        <x:v>0</x:v>
      </x:c>
      <x:c r="F580" s="8" t="n">
        <x:v>211</x:v>
      </x:c>
      <x:c r="G580" s="9" t="n">
        <x:v>415670</x:v>
      </x:c>
      <x:c r="H580" s="9" t="n">
        <x:v>0</x:v>
      </x:c>
      <x:c r="I580" s="9" t="n">
        <x:v>0</x:v>
      </x:c>
      <x:c r="J580" s="9" t="n">
        <x:v>415670</x:v>
      </x:c>
      <x:c r="K580" s="10" t="n">
        <x:v>1970</x:v>
      </x:c>
    </x:row>
    <x:row r="581">
      <x:c r="A581" t="inlineStr">
        <x:is>
          <x:t xml:space="preserve">MTPRACROD036</x:t>
        </x:is>
      </x:c>
      <x:c r="B581" t="inlineStr">
        <x:is>
          <x:t xml:space="preserve">RODILLO BURBUJERO METALICO 24 X 50 (CHINO) PUNTOS</x:t>
        </x:is>
      </x:c>
      <x:c r="C581" s="8" t="n">
        <x:v>113</x:v>
      </x:c>
      <x:c r="D581" s="8" t="n">
        <x:v>0</x:v>
      </x:c>
      <x:c r="E581" s="8" t="n">
        <x:v>0</x:v>
      </x:c>
      <x:c r="F581" s="8" t="n">
        <x:v>113</x:v>
      </x:c>
      <x:c r="G581" s="9" t="n">
        <x:v>192213</x:v>
      </x:c>
      <x:c r="H581" s="9" t="n">
        <x:v>0</x:v>
      </x:c>
      <x:c r="I581" s="9" t="n">
        <x:v>0</x:v>
      </x:c>
      <x:c r="J581" s="9" t="n">
        <x:v>192213</x:v>
      </x:c>
      <x:c r="K581" s="10" t="n">
        <x:v>1701</x:v>
      </x:c>
    </x:row>
    <x:row r="582">
      <x:c r="A582" t="inlineStr">
        <x:is>
          <x:t xml:space="preserve">MTPRACROD037</x:t>
        </x:is>
      </x:c>
      <x:c r="B582" t="inlineStr">
        <x:is>
          <x:t xml:space="preserve">RODILLO ACERO 25X75 (CHINO)</x:t>
        </x:is>
      </x:c>
      <x:c r="C582" s="8" t="n">
        <x:v>235</x:v>
      </x:c>
      <x:c r="D582" s="8" t="n">
        <x:v>0</x:v>
      </x:c>
      <x:c r="E582" s="8" t="n">
        <x:v>0</x:v>
      </x:c>
      <x:c r="F582" s="8" t="n">
        <x:v>235</x:v>
      </x:c>
      <x:c r="G582" s="9" t="n">
        <x:v>484100</x:v>
      </x:c>
      <x:c r="H582" s="9" t="n">
        <x:v>0</x:v>
      </x:c>
      <x:c r="I582" s="9" t="n">
        <x:v>0</x:v>
      </x:c>
      <x:c r="J582" s="9" t="n">
        <x:v>484100</x:v>
      </x:c>
      <x:c r="K582" s="10" t="n">
        <x:v>2060</x:v>
      </x:c>
    </x:row>
    <x:row r="583">
      <x:c r="A583" t="inlineStr">
        <x:is>
          <x:t xml:space="preserve">MTPRACROD038</x:t>
        </x:is>
      </x:c>
      <x:c r="B583" t="inlineStr">
        <x:is>
          <x:t xml:space="preserve">RODILLO ACERO 10X75 (CHINO)</x:t>
        </x:is>
      </x:c>
      <x:c r="C583" s="8" t="n">
        <x:v>223</x:v>
      </x:c>
      <x:c r="D583" s="8" t="n">
        <x:v>0</x:v>
      </x:c>
      <x:c r="E583" s="8" t="n">
        <x:v>0</x:v>
      </x:c>
      <x:c r="F583" s="8" t="n">
        <x:v>223</x:v>
      </x:c>
      <x:c r="G583" s="9" t="n">
        <x:v>319559</x:v>
      </x:c>
      <x:c r="H583" s="9" t="n">
        <x:v>0</x:v>
      </x:c>
      <x:c r="I583" s="9" t="n">
        <x:v>0</x:v>
      </x:c>
      <x:c r="J583" s="9" t="n">
        <x:v>319559</x:v>
      </x:c>
      <x:c r="K583" s="10" t="n">
        <x:v>1433</x:v>
      </x:c>
    </x:row>
    <x:row r="584">
      <x:c r="A584" t="inlineStr">
        <x:is>
          <x:t xml:space="preserve">MTPSEFHIL001</x:t>
        </x:is>
      </x:c>
      <x:c r="B584" t="inlineStr">
        <x:is>
          <x:t xml:space="preserve">HILADO KEVLAR TWARON ARAMID FILAMETN YARN 1030</x:t>
        </x:is>
      </x:c>
      <x:c r="C584" s="8" t="n">
        <x:v>163.3</x:v>
      </x:c>
      <x:c r="D584" s="8" t="n">
        <x:v>0</x:v>
      </x:c>
      <x:c r="E584" s="8" t="n">
        <x:v>0</x:v>
      </x:c>
      <x:c r="F584" s="8" t="n">
        <x:v>163.3</x:v>
      </x:c>
      <x:c r="G584" s="9" t="n">
        <x:v>8856738</x:v>
      </x:c>
      <x:c r="H584" s="9" t="n">
        <x:v>0</x:v>
      </x:c>
      <x:c r="I584" s="9" t="n">
        <x:v>0</x:v>
      </x:c>
      <x:c r="J584" s="9" t="n">
        <x:v>8856738</x:v>
      </x:c>
      <x:c r="K584" s="10" t="n">
        <x:v>54236</x:v>
      </x:c>
    </x:row>
    <x:row r="585">
      <x:c r="A585" t="inlineStr">
        <x:is>
          <x:t xml:space="preserve">MTPSEFHIL002</x:t>
        </x:is>
      </x:c>
      <x:c r="B585" t="inlineStr">
        <x:is>
          <x:t xml:space="preserve">HILADO PM1 (AG1) TUBULAR FIBRA DE VIDRIO/ACRILICO YARN</x:t>
        </x:is>
      </x:c>
      <x:c r="C585" s="8" t="n">
        <x:v>748</x:v>
      </x:c>
      <x:c r="D585" s="8" t="n">
        <x:v>0</x:v>
      </x:c>
      <x:c r="E585" s="8" t="n">
        <x:v>0</x:v>
      </x:c>
      <x:c r="F585" s="8" t="n">
        <x:v>748</x:v>
      </x:c>
      <x:c r="G585" s="9" t="n">
        <x:v>7277143</x:v>
      </x:c>
      <x:c r="H585" s="9" t="n">
        <x:v>0</x:v>
      </x:c>
      <x:c r="I585" s="9" t="n">
        <x:v>0</x:v>
      </x:c>
      <x:c r="J585" s="9" t="n">
        <x:v>7277143</x:v>
      </x:c>
      <x:c r="K585" s="10" t="n">
        <x:v>9728.799767</x:v>
      </x:c>
    </x:row>
    <x:row r="586">
      <x:c r="A586" t="inlineStr">
        <x:is>
          <x:t xml:space="preserve">MTPSEFHIL003</x:t>
        </x:is>
      </x:c>
      <x:c r="B586" t="inlineStr">
        <x:is>
          <x:t xml:space="preserve">HILADO FIBRA DE VIDRIO FIBERGLAS YAM  (HILADO DE ZETEX)</x:t>
        </x:is>
      </x:c>
      <x:c r="C586" s="8" t="n">
        <x:v>280</x:v>
      </x:c>
      <x:c r="D586" s="8" t="n">
        <x:v>0</x:v>
      </x:c>
      <x:c r="E586" s="8" t="n">
        <x:v>0</x:v>
      </x:c>
      <x:c r="F586" s="8" t="n">
        <x:v>280</x:v>
      </x:c>
      <x:c r="G586" s="9" t="n">
        <x:v>392306</x:v>
      </x:c>
      <x:c r="H586" s="9" t="n">
        <x:v>0</x:v>
      </x:c>
      <x:c r="I586" s="9" t="n">
        <x:v>0</x:v>
      </x:c>
      <x:c r="J586" s="9" t="n">
        <x:v>392306</x:v>
      </x:c>
      <x:c r="K586" s="10" t="n">
        <x:v>1401.091954</x:v>
      </x:c>
    </x:row>
    <x:row r="587">
      <x:c r="A587" t="inlineStr">
        <x:is>
          <x:t xml:space="preserve">MTPSEFHIL007</x:t>
        </x:is>
      </x:c>
      <x:c r="B587" t="inlineStr">
        <x:is>
          <x:t xml:space="preserve">HILADO 100 % GFO YARN (CHINO)</x:t>
        </x:is>
      </x:c>
      <x:c r="C587" s="8" t="n">
        <x:v>29</x:v>
      </x:c>
      <x:c r="D587" s="8" t="n">
        <x:v>0</x:v>
      </x:c>
      <x:c r="E587" s="8" t="n">
        <x:v>0</x:v>
      </x:c>
      <x:c r="F587" s="8" t="n">
        <x:v>29</x:v>
      </x:c>
      <x:c r="G587" s="9" t="n">
        <x:v>531136</x:v>
      </x:c>
      <x:c r="H587" s="9" t="n">
        <x:v>0</x:v>
      </x:c>
      <x:c r="I587" s="9" t="n">
        <x:v>0</x:v>
      </x:c>
      <x:c r="J587" s="9" t="n">
        <x:v>531136</x:v>
      </x:c>
      <x:c r="K587" s="10" t="n">
        <x:v>18315.022901</x:v>
      </x:c>
    </x:row>
    <x:row r="588">
      <x:c r="A588" t="inlineStr">
        <x:is>
          <x:t xml:space="preserve">MTPSEFIMP003</x:t>
        </x:is>
      </x:c>
      <x:c r="B588" t="inlineStr">
        <x:is>
          <x:t xml:space="preserve">VASELINA LIQUIDA ADVANCE DRAKEOL WHITE OIL 85</x:t>
        </x:is>
      </x:c>
      <x:c r="C588" s="8" t="n">
        <x:v>100</x:v>
      </x:c>
      <x:c r="D588" s="8" t="n">
        <x:v>220</x:v>
      </x:c>
      <x:c r="E588" s="8" t="n">
        <x:v>0</x:v>
      </x:c>
      <x:c r="F588" s="8" t="n">
        <x:v>320</x:v>
      </x:c>
      <x:c r="G588" s="9" t="n">
        <x:v>258501</x:v>
      </x:c>
      <x:c r="H588" s="9" t="n">
        <x:v>617980</x:v>
      </x:c>
      <x:c r="I588" s="9" t="n">
        <x:v>0</x:v>
      </x:c>
      <x:c r="J588" s="9" t="n">
        <x:v>876481</x:v>
      </x:c>
      <x:c r="K588" s="10" t="n">
        <x:v>2739</x:v>
      </x:c>
    </x:row>
    <x:row r="589">
      <x:c r="A589" t="inlineStr">
        <x:is>
          <x:t xml:space="preserve">PDTACCTEF013</x:t>
        </x:is>
      </x:c>
      <x:c r="B589" t="inlineStr">
        <x:is>
          <x:t xml:space="preserve">TEE REDUCCION  AC/REV.PTFE  DN 100 X 50 MM  C/165 MM</x:t>
        </x:is>
      </x:c>
      <x:c r="C589" s="8" t="n">
        <x:v>1</x:v>
      </x:c>
      <x:c r="D589" s="8" t="n">
        <x:v>0</x:v>
      </x:c>
      <x:c r="E589" s="8" t="n">
        <x:v>0</x:v>
      </x:c>
      <x:c r="F589" s="8" t="n">
        <x:v>1</x:v>
      </x:c>
      <x:c r="G589" s="9" t="n">
        <x:v>556878</x:v>
      </x:c>
      <x:c r="H589" s="9" t="n">
        <x:v>0</x:v>
      </x:c>
      <x:c r="I589" s="9" t="n">
        <x:v>0</x:v>
      </x:c>
      <x:c r="J589" s="9" t="n">
        <x:v>556878</x:v>
      </x:c>
      <x:c r="K589" s="10" t="n">
        <x:v>556878</x:v>
      </x:c>
    </x:row>
    <x:row r="590">
      <x:c r="A590" t="inlineStr">
        <x:is>
          <x:t xml:space="preserve">PDTACCTEF015</x:t>
        </x:is>
      </x:c>
      <x:c r="B590" t="inlineStr">
        <x:is>
          <x:t xml:space="preserve">SPOOL AC/PTFE DN50 L-300 MM</x:t>
        </x:is>
      </x:c>
      <x:c r="C590" s="8" t="n">
        <x:v>4</x:v>
      </x:c>
      <x:c r="D590" s="8" t="n">
        <x:v>0</x:v>
      </x:c>
      <x:c r="E590" s="8" t="n">
        <x:v>0</x:v>
      </x:c>
      <x:c r="F590" s="8" t="n">
        <x:v>4</x:v>
      </x:c>
      <x:c r="G590" s="9" t="n">
        <x:v>475668</x:v>
      </x:c>
      <x:c r="H590" s="9" t="n">
        <x:v>0</x:v>
      </x:c>
      <x:c r="I590" s="9" t="n">
        <x:v>0</x:v>
      </x:c>
      <x:c r="J590" s="9" t="n">
        <x:v>475668</x:v>
      </x:c>
      <x:c r="K590" s="10" t="n">
        <x:v>118917</x:v>
      </x:c>
    </x:row>
    <x:row r="591">
      <x:c r="A591" t="inlineStr">
        <x:is>
          <x:t xml:space="preserve">PDTACCTEF016</x:t>
        </x:is>
      </x:c>
      <x:c r="B591" t="inlineStr">
        <x:is>
          <x:t xml:space="preserve">SPOOL AC/PTFE DN50 L-500 MM</x:t>
        </x:is>
      </x:c>
      <x:c r="C591" s="8" t="n">
        <x:v>1</x:v>
      </x:c>
      <x:c r="D591" s="8" t="n">
        <x:v>0</x:v>
      </x:c>
      <x:c r="E591" s="8" t="n">
        <x:v>0</x:v>
      </x:c>
      <x:c r="F591" s="8" t="n">
        <x:v>1</x:v>
      </x:c>
      <x:c r="G591" s="9" t="n">
        <x:v>136319</x:v>
      </x:c>
      <x:c r="H591" s="9" t="n">
        <x:v>0</x:v>
      </x:c>
      <x:c r="I591" s="9" t="n">
        <x:v>0</x:v>
      </x:c>
      <x:c r="J591" s="9" t="n">
        <x:v>136319</x:v>
      </x:c>
      <x:c r="K591" s="10" t="n">
        <x:v>136319</x:v>
      </x:c>
    </x:row>
    <x:row r="592">
      <x:c r="A592" t="inlineStr">
        <x:is>
          <x:t xml:space="preserve">PDTACCTEF020</x:t>
        </x:is>
      </x:c>
      <x:c r="B592" t="inlineStr">
        <x:is>
          <x:t xml:space="preserve">TEE ESPECIAl AC/PTFE DN25XDN80XDN25 C/FLAGES SUELTOS ANSI CLASE 150 AVANCE 174 MM  11185144 PELAMBRE</x:t>
        </x:is>
      </x:c>
      <x:c r="C592" s="8" t="n">
        <x:v>1</x:v>
      </x:c>
      <x:c r="D592" s="8" t="n">
        <x:v>0</x:v>
      </x:c>
      <x:c r="E592" s="8" t="n">
        <x:v>0</x:v>
      </x:c>
      <x:c r="F592" s="8" t="n">
        <x:v>1</x:v>
      </x:c>
      <x:c r="G592" s="9" t="n">
        <x:v>385920</x:v>
      </x:c>
      <x:c r="H592" s="9" t="n">
        <x:v>0</x:v>
      </x:c>
      <x:c r="I592" s="9" t="n">
        <x:v>0</x:v>
      </x:c>
      <x:c r="J592" s="9" t="n">
        <x:v>385920</x:v>
      </x:c>
      <x:c r="K592" s="10" t="n">
        <x:v>385920</x:v>
      </x:c>
    </x:row>
    <x:row r="593">
      <x:c r="A593" t="inlineStr">
        <x:is>
          <x:t xml:space="preserve">PDTACCTEF021</x:t>
        </x:is>
      </x:c>
      <x:c r="B593" t="inlineStr">
        <x:is>
          <x:t xml:space="preserve">REDUCCION CONCENTRICA  AC/PTFE 4X3 AVANCE 152 MM ANSI B16,5 CLASE 150 1 FL/LOCO</x:t>
        </x:is>
      </x:c>
      <x:c r="C593" s="8" t="n">
        <x:v>1</x:v>
      </x:c>
      <x:c r="D593" s="8" t="n">
        <x:v>0</x:v>
      </x:c>
      <x:c r="E593" s="8" t="n">
        <x:v>0</x:v>
      </x:c>
      <x:c r="F593" s="8" t="n">
        <x:v>1</x:v>
      </x:c>
      <x:c r="G593" s="9" t="n">
        <x:v>347990</x:v>
      </x:c>
      <x:c r="H593" s="9" t="n">
        <x:v>0</x:v>
      </x:c>
      <x:c r="I593" s="9" t="n">
        <x:v>0</x:v>
      </x:c>
      <x:c r="J593" s="9" t="n">
        <x:v>347990</x:v>
      </x:c>
      <x:c r="K593" s="10" t="n">
        <x:v>347990</x:v>
      </x:c>
    </x:row>
    <x:row r="594">
      <x:c r="A594" t="inlineStr">
        <x:is>
          <x:t xml:space="preserve">PDTACCTEF022</x:t>
        </x:is>
      </x:c>
      <x:c r="B594" t="inlineStr">
        <x:is>
          <x:t xml:space="preserve">SPOOL ACC/PTFE DN25 L3000 MM</x:t>
        </x:is>
      </x:c>
      <x:c r="C594" s="8" t="n">
        <x:v>5</x:v>
      </x:c>
      <x:c r="D594" s="8" t="n">
        <x:v>0</x:v>
      </x:c>
      <x:c r="E594" s="8" t="n">
        <x:v>0</x:v>
      </x:c>
      <x:c r="F594" s="8" t="n">
        <x:v>5</x:v>
      </x:c>
      <x:c r="G594" s="9" t="n">
        <x:v>415455</x:v>
      </x:c>
      <x:c r="H594" s="9" t="n">
        <x:v>0</x:v>
      </x:c>
      <x:c r="I594" s="9" t="n">
        <x:v>0</x:v>
      </x:c>
      <x:c r="J594" s="9" t="n">
        <x:v>415455</x:v>
      </x:c>
      <x:c r="K594" s="10" t="n">
        <x:v>83091</x:v>
      </x:c>
    </x:row>
    <x:row r="595">
      <x:c r="A595" t="inlineStr">
        <x:is>
          <x:t xml:space="preserve">PDTACCTEF023</x:t>
        </x:is>
      </x:c>
      <x:c r="B595" t="inlineStr">
        <x:is>
          <x:t xml:space="preserve">SPOOL ACC/PTFE DN50 L3000 MM</x:t>
        </x:is>
      </x:c>
      <x:c r="C595" s="8" t="n">
        <x:v>6</x:v>
      </x:c>
      <x:c r="D595" s="8" t="n">
        <x:v>0</x:v>
      </x:c>
      <x:c r="E595" s="8" t="n">
        <x:v>0</x:v>
      </x:c>
      <x:c r="F595" s="8" t="n">
        <x:v>6</x:v>
      </x:c>
      <x:c r="G595" s="9" t="n">
        <x:v>942462</x:v>
      </x:c>
      <x:c r="H595" s="9" t="n">
        <x:v>0</x:v>
      </x:c>
      <x:c r="I595" s="9" t="n">
        <x:v>0</x:v>
      </x:c>
      <x:c r="J595" s="9" t="n">
        <x:v>942462</x:v>
      </x:c>
      <x:c r="K595" s="10" t="n">
        <x:v>157077</x:v>
      </x:c>
    </x:row>
    <x:row r="596">
      <x:c r="A596" t="inlineStr">
        <x:is>
          <x:t xml:space="preserve">PDTACCTEF024</x:t>
        </x:is>
      </x:c>
      <x:c r="B596" t="inlineStr">
        <x:is>
          <x:t xml:space="preserve">SPOOL ACC/PTFE DN80 L3000 MM</x:t>
        </x:is>
      </x:c>
      <x:c r="C596" s="8" t="n">
        <x:v>3</x:v>
      </x:c>
      <x:c r="D596" s="8" t="n">
        <x:v>0</x:v>
      </x:c>
      <x:c r="E596" s="8" t="n">
        <x:v>0</x:v>
      </x:c>
      <x:c r="F596" s="8" t="n">
        <x:v>3</x:v>
      </x:c>
      <x:c r="G596" s="9" t="n">
        <x:v>898068</x:v>
      </x:c>
      <x:c r="H596" s="9" t="n">
        <x:v>0</x:v>
      </x:c>
      <x:c r="I596" s="9" t="n">
        <x:v>0</x:v>
      </x:c>
      <x:c r="J596" s="9" t="n">
        <x:v>898068</x:v>
      </x:c>
      <x:c r="K596" s="10" t="n">
        <x:v>299356</x:v>
      </x:c>
    </x:row>
    <x:row r="597">
      <x:c r="A597" t="inlineStr">
        <x:is>
          <x:t xml:space="preserve">PDTACCTEF025</x:t>
        </x:is>
      </x:c>
      <x:c r="B597" t="inlineStr">
        <x:is>
          <x:t xml:space="preserve">SPOOL ACC/PTFE DN100  L3000 MM</x:t>
        </x:is>
      </x:c>
      <x:c r="C597" s="8" t="n">
        <x:v>3</x:v>
      </x:c>
      <x:c r="D597" s="8" t="n">
        <x:v>0</x:v>
      </x:c>
      <x:c r="E597" s="8" t="n">
        <x:v>0</x:v>
      </x:c>
      <x:c r="F597" s="8" t="n">
        <x:v>3</x:v>
      </x:c>
      <x:c r="G597" s="9" t="n">
        <x:v>1106364</x:v>
      </x:c>
      <x:c r="H597" s="9" t="n">
        <x:v>0</x:v>
      </x:c>
      <x:c r="I597" s="9" t="n">
        <x:v>0</x:v>
      </x:c>
      <x:c r="J597" s="9" t="n">
        <x:v>1106364</x:v>
      </x:c>
      <x:c r="K597" s="10" t="n">
        <x:v>368788</x:v>
      </x:c>
    </x:row>
    <x:row r="598">
      <x:c r="A598" t="inlineStr">
        <x:is>
          <x:t xml:space="preserve">PDTACCTEF026</x:t>
        </x:is>
      </x:c>
      <x:c r="B598" t="inlineStr">
        <x:is>
          <x:t xml:space="preserve">SPOOL ACC/PTFE DN150  L3000 MM</x:t>
        </x:is>
      </x:c>
      <x:c r="C598" s="8" t="n">
        <x:v>3</x:v>
      </x:c>
      <x:c r="D598" s="8" t="n">
        <x:v>0</x:v>
      </x:c>
      <x:c r="E598" s="8" t="n">
        <x:v>0</x:v>
      </x:c>
      <x:c r="F598" s="8" t="n">
        <x:v>3</x:v>
      </x:c>
      <x:c r="G598" s="9" t="n">
        <x:v>2028336</x:v>
      </x:c>
      <x:c r="H598" s="9" t="n">
        <x:v>0</x:v>
      </x:c>
      <x:c r="I598" s="9" t="n">
        <x:v>0</x:v>
      </x:c>
      <x:c r="J598" s="9" t="n">
        <x:v>2028336</x:v>
      </x:c>
      <x:c r="K598" s="10" t="n">
        <x:v>676112</x:v>
      </x:c>
    </x:row>
    <x:row r="599">
      <x:c r="A599" t="inlineStr">
        <x:is>
          <x:t xml:space="preserve">PDTACCTEF027</x:t>
        </x:is>
      </x:c>
      <x:c r="B599" t="inlineStr">
        <x:is>
          <x:t xml:space="preserve">CODO 90° AC/PTFE DN25 C/F92MM</x:t>
        </x:is>
      </x:c>
      <x:c r="C599" s="8" t="n">
        <x:v>4</x:v>
      </x:c>
      <x:c r="D599" s="8" t="n">
        <x:v>0</x:v>
      </x:c>
      <x:c r="E599" s="8" t="n">
        <x:v>0</x:v>
      </x:c>
      <x:c r="F599" s="8" t="n">
        <x:v>4</x:v>
      </x:c>
      <x:c r="G599" s="9" t="n">
        <x:v>145696</x:v>
      </x:c>
      <x:c r="H599" s="9" t="n">
        <x:v>0</x:v>
      </x:c>
      <x:c r="I599" s="9" t="n">
        <x:v>0</x:v>
      </x:c>
      <x:c r="J599" s="9" t="n">
        <x:v>145696</x:v>
      </x:c>
      <x:c r="K599" s="10" t="n">
        <x:v>36424</x:v>
      </x:c>
    </x:row>
    <x:row r="600">
      <x:c r="A600" t="inlineStr">
        <x:is>
          <x:t xml:space="preserve">PDTACCTEF028</x:t>
        </x:is>
      </x:c>
      <x:c r="B600" t="inlineStr">
        <x:is>
          <x:t xml:space="preserve">CODO 90° AC/PTFE DN50 C/F92MM</x:t>
        </x:is>
      </x:c>
      <x:c r="C600" s="8" t="n">
        <x:v>10</x:v>
      </x:c>
      <x:c r="D600" s="8" t="n">
        <x:v>0</x:v>
      </x:c>
      <x:c r="E600" s="8" t="n">
        <x:v>0</x:v>
      </x:c>
      <x:c r="F600" s="8" t="n">
        <x:v>10</x:v>
      </x:c>
      <x:c r="G600" s="9" t="n">
        <x:v>603260</x:v>
      </x:c>
      <x:c r="H600" s="9" t="n">
        <x:v>0</x:v>
      </x:c>
      <x:c r="I600" s="9" t="n">
        <x:v>0</x:v>
      </x:c>
      <x:c r="J600" s="9" t="n">
        <x:v>603260</x:v>
      </x:c>
      <x:c r="K600" s="10" t="n">
        <x:v>60326</x:v>
      </x:c>
    </x:row>
    <x:row r="601">
      <x:c r="A601" t="inlineStr">
        <x:is>
          <x:t xml:space="preserve">PDTACCTEF029</x:t>
        </x:is>
      </x:c>
      <x:c r="B601" t="inlineStr">
        <x:is>
          <x:t xml:space="preserve">CODO 90° AC/PTFE DN80 C/F92MM</x:t>
        </x:is>
      </x:c>
      <x:c r="C601" s="8" t="n">
        <x:v>4</x:v>
      </x:c>
      <x:c r="D601" s="8" t="n">
        <x:v>0</x:v>
      </x:c>
      <x:c r="E601" s="8" t="n">
        <x:v>0</x:v>
      </x:c>
      <x:c r="F601" s="8" t="n">
        <x:v>4</x:v>
      </x:c>
      <x:c r="G601" s="9" t="n">
        <x:v>459848</x:v>
      </x:c>
      <x:c r="H601" s="9" t="n">
        <x:v>0</x:v>
      </x:c>
      <x:c r="I601" s="9" t="n">
        <x:v>0</x:v>
      </x:c>
      <x:c r="J601" s="9" t="n">
        <x:v>459848</x:v>
      </x:c>
      <x:c r="K601" s="10" t="n">
        <x:v>114962</x:v>
      </x:c>
    </x:row>
    <x:row r="602">
      <x:c r="A602" t="inlineStr">
        <x:is>
          <x:t xml:space="preserve">PDTACCTEF030</x:t>
        </x:is>
      </x:c>
      <x:c r="B602" t="inlineStr">
        <x:is>
          <x:t xml:space="preserve">CODO 90° AC/PTFE DN100 C/F92MM</x:t>
        </x:is>
      </x:c>
      <x:c r="C602" s="8" t="n">
        <x:v>4</x:v>
      </x:c>
      <x:c r="D602" s="8" t="n">
        <x:v>0</x:v>
      </x:c>
      <x:c r="E602" s="8" t="n">
        <x:v>0</x:v>
      </x:c>
      <x:c r="F602" s="8" t="n">
        <x:v>4</x:v>
      </x:c>
      <x:c r="G602" s="9" t="n">
        <x:v>678388</x:v>
      </x:c>
      <x:c r="H602" s="9" t="n">
        <x:v>0</x:v>
      </x:c>
      <x:c r="I602" s="9" t="n">
        <x:v>0</x:v>
      </x:c>
      <x:c r="J602" s="9" t="n">
        <x:v>678388</x:v>
      </x:c>
      <x:c r="K602" s="10" t="n">
        <x:v>169597</x:v>
      </x:c>
    </x:row>
    <x:row r="603">
      <x:c r="A603" t="inlineStr">
        <x:is>
          <x:t xml:space="preserve">PDTACCTEF031</x:t>
        </x:is>
      </x:c>
      <x:c r="B603" t="inlineStr">
        <x:is>
          <x:t xml:space="preserve">CODO 90° AC/PTFE DN150 C/F92MM</x:t>
        </x:is>
      </x:c>
      <x:c r="C603" s="8" t="n">
        <x:v>2</x:v>
      </x:c>
      <x:c r="D603" s="8" t="n">
        <x:v>0</x:v>
      </x:c>
      <x:c r="E603" s="8" t="n">
        <x:v>0</x:v>
      </x:c>
      <x:c r="F603" s="8" t="n">
        <x:v>2</x:v>
      </x:c>
      <x:c r="G603" s="9" t="n">
        <x:v>667006</x:v>
      </x:c>
      <x:c r="H603" s="9" t="n">
        <x:v>0</x:v>
      </x:c>
      <x:c r="I603" s="9" t="n">
        <x:v>0</x:v>
      </x:c>
      <x:c r="J603" s="9" t="n">
        <x:v>667006</x:v>
      </x:c>
      <x:c r="K603" s="10" t="n">
        <x:v>333503</x:v>
      </x:c>
    </x:row>
    <x:row r="604">
      <x:c r="A604" t="inlineStr">
        <x:is>
          <x:t xml:space="preserve">PDTACCTEF032</x:t>
        </x:is>
      </x:c>
      <x:c r="B604" t="inlineStr">
        <x:is>
          <x:t xml:space="preserve">TEE AC/PTFE DN50 C/F114MM</x:t>
        </x:is>
      </x:c>
      <x:c r="C604" s="8" t="n">
        <x:v>1</x:v>
      </x:c>
      <x:c r="D604" s="8" t="n">
        <x:v>0</x:v>
      </x:c>
      <x:c r="E604" s="8" t="n">
        <x:v>0</x:v>
      </x:c>
      <x:c r="F604" s="8" t="n">
        <x:v>1</x:v>
      </x:c>
      <x:c r="G604" s="9" t="n">
        <x:v>110409</x:v>
      </x:c>
      <x:c r="H604" s="9" t="n">
        <x:v>0</x:v>
      </x:c>
      <x:c r="I604" s="9" t="n">
        <x:v>0</x:v>
      </x:c>
      <x:c r="J604" s="9" t="n">
        <x:v>110409</x:v>
      </x:c>
      <x:c r="K604" s="10" t="n">
        <x:v>110409</x:v>
      </x:c>
    </x:row>
    <x:row r="605">
      <x:c r="A605" t="inlineStr">
        <x:is>
          <x:t xml:space="preserve">PDTACCTEF040</x:t>
        </x:is>
      </x:c>
      <x:c r="B605" t="inlineStr">
        <x:is>
          <x:t xml:space="preserve">SPOOL AC/PTFE DN25 LGO 2000 MM F/LOCOS ANSI CLASE 150 (11182665)</x:t>
        </x:is>
      </x:c>
      <x:c r="C605" s="8" t="n">
        <x:v>3</x:v>
      </x:c>
      <x:c r="D605" s="8" t="n">
        <x:v>0</x:v>
      </x:c>
      <x:c r="E605" s="8" t="n">
        <x:v>0</x:v>
      </x:c>
      <x:c r="F605" s="8" t="n">
        <x:v>3</x:v>
      </x:c>
      <x:c r="G605" s="9" t="n">
        <x:v>502432</x:v>
      </x:c>
      <x:c r="H605" s="9" t="n">
        <x:v>0</x:v>
      </x:c>
      <x:c r="I605" s="9" t="n">
        <x:v>0</x:v>
      </x:c>
      <x:c r="J605" s="9" t="n">
        <x:v>502432</x:v>
      </x:c>
      <x:c r="K605" s="10" t="n">
        <x:v>167477.2</x:v>
      </x:c>
    </x:row>
    <x:row r="606">
      <x:c r="A606" t="inlineStr">
        <x:is>
          <x:t xml:space="preserve">PDTACCTEF049</x:t>
        </x:is>
      </x:c>
      <x:c r="B606" t="inlineStr">
        <x:is>
          <x:t xml:space="preserve">REDUCCION CONCENTRICA 3 X 1 L 152 CLASE 150 PTFE</x:t>
        </x:is>
      </x:c>
      <x:c r="C606" s="8" t="n">
        <x:v>2</x:v>
      </x:c>
      <x:c r="D606" s="8" t="n">
        <x:v>0</x:v>
      </x:c>
      <x:c r="E606" s="8" t="n">
        <x:v>0</x:v>
      </x:c>
      <x:c r="F606" s="8" t="n">
        <x:v>2</x:v>
      </x:c>
      <x:c r="G606" s="9" t="n">
        <x:v>278628</x:v>
      </x:c>
      <x:c r="H606" s="9" t="n">
        <x:v>0</x:v>
      </x:c>
      <x:c r="I606" s="9" t="n">
        <x:v>0</x:v>
      </x:c>
      <x:c r="J606" s="9" t="n">
        <x:v>278628</x:v>
      </x:c>
      <x:c r="K606" s="10" t="n">
        <x:v>139314</x:v>
      </x:c>
    </x:row>
    <x:row r="607">
      <x:c r="A607" t="inlineStr">
        <x:is>
          <x:t xml:space="preserve">PDTACCTEF054</x:t>
        </x:is>
      </x:c>
      <x:c r="B607" t="inlineStr">
        <x:is>
          <x:t xml:space="preserve">SPOOL ACC/PTFE DN25 L3069 MM</x:t>
        </x:is>
      </x:c>
      <x:c r="C607" s="8" t="n">
        <x:v>2</x:v>
      </x:c>
      <x:c r="D607" s="8" t="n">
        <x:v>0</x:v>
      </x:c>
      <x:c r="E607" s="8" t="n">
        <x:v>0</x:v>
      </x:c>
      <x:c r="F607" s="8" t="n">
        <x:v>2</x:v>
      </x:c>
      <x:c r="G607" s="9" t="n">
        <x:v>166182</x:v>
      </x:c>
      <x:c r="H607" s="9" t="n">
        <x:v>0</x:v>
      </x:c>
      <x:c r="I607" s="9" t="n">
        <x:v>0</x:v>
      </x:c>
      <x:c r="J607" s="9" t="n">
        <x:v>166182</x:v>
      </x:c>
      <x:c r="K607" s="10" t="n">
        <x:v>83091</x:v>
      </x:c>
    </x:row>
    <x:row r="608">
      <x:c r="A608" t="inlineStr">
        <x:is>
          <x:t xml:space="preserve">PDTACCTEF055</x:t>
        </x:is>
      </x:c>
      <x:c r="B608" t="inlineStr">
        <x:is>
          <x:t xml:space="preserve">SPOOL ACC/PTFE DN25 L2315  MM</x:t>
        </x:is>
      </x:c>
      <x:c r="C608" s="8" t="n">
        <x:v>3</x:v>
      </x:c>
      <x:c r="D608" s="8" t="n">
        <x:v>0</x:v>
      </x:c>
      <x:c r="E608" s="8" t="n">
        <x:v>0</x:v>
      </x:c>
      <x:c r="F608" s="8" t="n">
        <x:v>3</x:v>
      </x:c>
      <x:c r="G608" s="9" t="n">
        <x:v>499938</x:v>
      </x:c>
      <x:c r="H608" s="9" t="n">
        <x:v>0</x:v>
      </x:c>
      <x:c r="I608" s="9" t="n">
        <x:v>0</x:v>
      </x:c>
      <x:c r="J608" s="9" t="n">
        <x:v>499938</x:v>
      </x:c>
      <x:c r="K608" s="10" t="n">
        <x:v>166646</x:v>
      </x:c>
    </x:row>
    <x:row r="609">
      <x:c r="A609" t="inlineStr">
        <x:is>
          <x:t xml:space="preserve">PDTACCTEF056</x:t>
        </x:is>
      </x:c>
      <x:c r="B609" t="inlineStr">
        <x:is>
          <x:t xml:space="preserve">SPOOL ACC/PTFE DN25 L1954  MM</x:t>
        </x:is>
      </x:c>
      <x:c r="C609" s="8" t="n">
        <x:v>1</x:v>
      </x:c>
      <x:c r="D609" s="8" t="n">
        <x:v>0</x:v>
      </x:c>
      <x:c r="E609" s="8" t="n">
        <x:v>0</x:v>
      </x:c>
      <x:c r="F609" s="8" t="n">
        <x:v>1</x:v>
      </x:c>
      <x:c r="G609" s="9" t="n">
        <x:v>166646</x:v>
      </x:c>
      <x:c r="H609" s="9" t="n">
        <x:v>0</x:v>
      </x:c>
      <x:c r="I609" s="9" t="n">
        <x:v>0</x:v>
      </x:c>
      <x:c r="J609" s="9" t="n">
        <x:v>166646</x:v>
      </x:c>
      <x:c r="K609" s="10" t="n">
        <x:v>166646</x:v>
      </x:c>
    </x:row>
    <x:row r="610">
      <x:c r="A610" t="inlineStr">
        <x:is>
          <x:t xml:space="preserve">PDTACCTEF057</x:t>
        </x:is>
      </x:c>
      <x:c r="B610" t="inlineStr">
        <x:is>
          <x:t xml:space="preserve">SPOOL ACC/PTFE DN25 L1892  MM</x:t>
        </x:is>
      </x:c>
      <x:c r="C610" s="8" t="n">
        <x:v>1</x:v>
      </x:c>
      <x:c r="D610" s="8" t="n">
        <x:v>0</x:v>
      </x:c>
      <x:c r="E610" s="8" t="n">
        <x:v>0</x:v>
      </x:c>
      <x:c r="F610" s="8" t="n">
        <x:v>1</x:v>
      </x:c>
      <x:c r="G610" s="9" t="n">
        <x:v>166646</x:v>
      </x:c>
      <x:c r="H610" s="9" t="n">
        <x:v>0</x:v>
      </x:c>
      <x:c r="I610" s="9" t="n">
        <x:v>0</x:v>
      </x:c>
      <x:c r="J610" s="9" t="n">
        <x:v>166646</x:v>
      </x:c>
      <x:c r="K610" s="10" t="n">
        <x:v>166646</x:v>
      </x:c>
    </x:row>
    <x:row r="611">
      <x:c r="A611" t="inlineStr">
        <x:is>
          <x:t xml:space="preserve">PDTACCTEF058</x:t>
        </x:is>
      </x:c>
      <x:c r="B611" t="inlineStr">
        <x:is>
          <x:t xml:space="preserve">SPOOL ACC/PTFE DN25 L1530  MM</x:t>
        </x:is>
      </x:c>
      <x:c r="C611" s="8" t="n">
        <x:v>1</x:v>
      </x:c>
      <x:c r="D611" s="8" t="n">
        <x:v>0</x:v>
      </x:c>
      <x:c r="E611" s="8" t="n">
        <x:v>0</x:v>
      </x:c>
      <x:c r="F611" s="8" t="n">
        <x:v>1</x:v>
      </x:c>
      <x:c r="G611" s="9" t="n">
        <x:v>111097</x:v>
      </x:c>
      <x:c r="H611" s="9" t="n">
        <x:v>0</x:v>
      </x:c>
      <x:c r="I611" s="9" t="n">
        <x:v>0</x:v>
      </x:c>
      <x:c r="J611" s="9" t="n">
        <x:v>111097</x:v>
      </x:c>
      <x:c r="K611" s="10" t="n">
        <x:v>111097</x:v>
      </x:c>
    </x:row>
    <x:row r="612">
      <x:c r="A612" t="inlineStr">
        <x:is>
          <x:t xml:space="preserve">PDTFRP001001</x:t>
        </x:is>
      </x:c>
      <x:c r="B612" t="inlineStr">
        <x:is>
          <x:t xml:space="preserve">PLANCHA DE FRP RESINA VINILESTER PV6 900MM X6000MMX2MM</x:t>
        </x:is>
      </x:c>
      <x:c r="C612" s="8" t="n">
        <x:v>43</x:v>
      </x:c>
      <x:c r="D612" s="8" t="n">
        <x:v>0</x:v>
      </x:c>
      <x:c r="E612" s="8" t="n">
        <x:v>0</x:v>
      </x:c>
      <x:c r="F612" s="8" t="n">
        <x:v>43</x:v>
      </x:c>
      <x:c r="G612" s="9" t="n">
        <x:v>645000</x:v>
      </x:c>
      <x:c r="H612" s="9" t="n">
        <x:v>0</x:v>
      </x:c>
      <x:c r="I612" s="9" t="n">
        <x:v>0</x:v>
      </x:c>
      <x:c r="J612" s="9" t="n">
        <x:v>645000</x:v>
      </x:c>
      <x:c r="K612" s="10" t="n">
        <x:v>15000</x:v>
      </x:c>
    </x:row>
    <x:row r="613">
      <x:c r="A613" t="inlineStr">
        <x:is>
          <x:t xml:space="preserve">PDTFRP001139</x:t>
        </x:is>
      </x:c>
      <x:c r="B613" t="inlineStr">
        <x:is>
          <x:t xml:space="preserve">CAÑERIA 2 PLG (63MM) PVDF C/BAKING TIRA DE 3 MTS CODIGO 1119820</x:t>
        </x:is>
      </x:c>
      <x:c r="C613" s="8" t="n">
        <x:v>7</x:v>
      </x:c>
      <x:c r="D613" s="8" t="n">
        <x:v>0</x:v>
      </x:c>
      <x:c r="E613" s="8" t="n">
        <x:v>0</x:v>
      </x:c>
      <x:c r="F613" s="8" t="n">
        <x:v>7</x:v>
      </x:c>
      <x:c r="G613" s="9" t="n">
        <x:v>555394</x:v>
      </x:c>
      <x:c r="H613" s="9" t="n">
        <x:v>0</x:v>
      </x:c>
      <x:c r="I613" s="9" t="n">
        <x:v>0</x:v>
      </x:c>
      <x:c r="J613" s="9" t="n">
        <x:v>555394</x:v>
      </x:c>
      <x:c r="K613" s="10" t="n">
        <x:v>79342</x:v>
      </x:c>
    </x:row>
    <x:row r="614">
      <x:c r="A614" t="inlineStr">
        <x:is>
          <x:t xml:space="preserve">PDTFRP001140</x:t>
        </x:is>
      </x:c>
      <x:c r="B614" t="inlineStr">
        <x:is>
          <x:t xml:space="preserve">CAÑERIA 3 PLG (90MM) PVDF C/BAKING TIRA DE 3 MTS CODIGO 1119822</x:t>
        </x:is>
      </x:c>
      <x:c r="C614" s="8" t="n">
        <x:v>8</x:v>
      </x:c>
      <x:c r="D614" s="8" t="n">
        <x:v>0</x:v>
      </x:c>
      <x:c r="E614" s="8" t="n">
        <x:v>0</x:v>
      </x:c>
      <x:c r="F614" s="8" t="n">
        <x:v>8</x:v>
      </x:c>
      <x:c r="G614" s="9" t="n">
        <x:v>2329896</x:v>
      </x:c>
      <x:c r="H614" s="9" t="n">
        <x:v>0</x:v>
      </x:c>
      <x:c r="I614" s="9" t="n">
        <x:v>0</x:v>
      </x:c>
      <x:c r="J614" s="9" t="n">
        <x:v>2329896</x:v>
      </x:c>
      <x:c r="K614" s="10" t="n">
        <x:v>291237</x:v>
      </x:c>
    </x:row>
    <x:row r="615">
      <x:c r="A615" t="inlineStr">
        <x:is>
          <x:t xml:space="preserve">PDTFRP001178</x:t>
        </x:is>
      </x:c>
      <x:c r="B615" t="inlineStr">
        <x:is>
          <x:t xml:space="preserve">CAÑERIA FRP 6 BPLG X 6 MTS 150 PSI CODIGO 4101769</x:t>
        </x:is>
      </x:c>
      <x:c r="C615" s="8" t="n">
        <x:v>24</x:v>
      </x:c>
      <x:c r="D615" s="8" t="n">
        <x:v>0</x:v>
      </x:c>
      <x:c r="E615" s="8" t="n">
        <x:v>0</x:v>
      </x:c>
      <x:c r="F615" s="8" t="n">
        <x:v>24</x:v>
      </x:c>
      <x:c r="G615" s="9" t="n">
        <x:v>1272336</x:v>
      </x:c>
      <x:c r="H615" s="9" t="n">
        <x:v>0</x:v>
      </x:c>
      <x:c r="I615" s="9" t="n">
        <x:v>0</x:v>
      </x:c>
      <x:c r="J615" s="9" t="n">
        <x:v>1272336</x:v>
      </x:c>
      <x:c r="K615" s="10" t="n">
        <x:v>53014</x:v>
      </x:c>
    </x:row>
    <x:row r="616">
      <x:c r="A616" t="inlineStr">
        <x:is>
          <x:t xml:space="preserve">PDTFRP001267</x:t>
        </x:is>
      </x:c>
      <x:c r="B616" t="inlineStr">
        <x:is>
          <x:t xml:space="preserve">CAÑERIA FRP RESINA VINILESTER DIAMETRO 20 PLG (RI)</x:t>
        </x:is>
      </x:c>
      <x:c r="C616" s="8" t="n">
        <x:v>2</x:v>
      </x:c>
      <x:c r="D616" s="8" t="n">
        <x:v>0</x:v>
      </x:c>
      <x:c r="E616" s="8" t="n">
        <x:v>0</x:v>
      </x:c>
      <x:c r="F616" s="8" t="n">
        <x:v>2</x:v>
      </x:c>
      <x:c r="G616" s="9" t="n">
        <x:v>460000</x:v>
      </x:c>
      <x:c r="H616" s="9" t="n">
        <x:v>0</x:v>
      </x:c>
      <x:c r="I616" s="9" t="n">
        <x:v>0</x:v>
      </x:c>
      <x:c r="J616" s="9" t="n">
        <x:v>460000</x:v>
      </x:c>
      <x:c r="K616" s="10" t="n">
        <x:v>230000</x:v>
      </x:c>
    </x:row>
    <x:row r="617">
      <x:c r="A617" t="inlineStr">
        <x:is>
          <x:t xml:space="preserve">PDTFRP001344</x:t>
        </x:is>
      </x:c>
      <x:c r="B617" t="inlineStr">
        <x:is>
          <x:t xml:space="preserve">CAÑERIA DIAM, 8PLG PN10 TIRA DE 6 MTS</x:t>
        </x:is>
      </x:c>
      <x:c r="C617" s="8" t="n">
        <x:v>12.3</x:v>
      </x:c>
      <x:c r="D617" s="8" t="n">
        <x:v>0</x:v>
      </x:c>
      <x:c r="E617" s="8" t="n">
        <x:v>0</x:v>
      </x:c>
      <x:c r="F617" s="8" t="n">
        <x:v>12.3</x:v>
      </x:c>
      <x:c r="G617" s="9" t="n">
        <x:v>2806528</x:v>
      </x:c>
      <x:c r="H617" s="9" t="n">
        <x:v>0</x:v>
      </x:c>
      <x:c r="I617" s="9" t="n">
        <x:v>0</x:v>
      </x:c>
      <x:c r="J617" s="9" t="n">
        <x:v>2806528</x:v>
      </x:c>
      <x:c r="K617" s="10" t="n">
        <x:v>228173</x:v>
      </x:c>
    </x:row>
    <x:row r="618">
      <x:c r="A618" t="inlineStr">
        <x:is>
          <x:t xml:space="preserve">PDTFRP001452</x:t>
        </x:is>
      </x:c>
      <x:c r="B618" t="inlineStr">
        <x:is>
          <x:t xml:space="preserve">SPOOL PVDF-FRP OTOVENT OC-4502374857</x:t>
        </x:is>
      </x:c>
      <x:c r="C618" s="8" t="n">
        <x:v>0</x:v>
      </x:c>
      <x:c r="D618" s="8" t="n">
        <x:v>1</x:v>
      </x:c>
      <x:c r="E618" s="8" t="n">
        <x:v>0</x:v>
      </x:c>
      <x:c r="F618" s="8" t="n">
        <x:v>1</x:v>
      </x:c>
      <x:c r="G618" s="9" t="n">
        <x:v>-1</x:v>
      </x:c>
      <x:c r="H618" s="9" t="n">
        <x:v>58339792</x:v>
      </x:c>
      <x:c r="I618" s="9" t="n">
        <x:v>0</x:v>
      </x:c>
      <x:c r="J618" s="9" t="n">
        <x:v>58339791</x:v>
      </x:c>
      <x:c r="K618" s="10" t="n">
        <x:v>58339792</x:v>
      </x:c>
    </x:row>
    <x:row r="619">
      <x:c r="A619" t="inlineStr">
        <x:is>
          <x:t xml:space="preserve">PDTFRP001456</x:t>
        </x:is>
      </x:c>
      <x:c r="B619" t="inlineStr">
        <x:is>
          <x:t xml:space="preserve">SUMINISTRO ANILLOS SALVADOR JCC0224-NV0001</x:t>
        </x:is>
      </x:c>
      <x:c r="C619" s="8" t="n">
        <x:v>0</x:v>
      </x:c>
      <x:c r="D619" s="8" t="n">
        <x:v>1</x:v>
      </x:c>
      <x:c r="E619" s="8" t="n">
        <x:v>1</x:v>
      </x:c>
      <x:c r="F619" s="8" t="n">
        <x:v>0</x:v>
      </x:c>
      <x:c r="G619" s="9" t="n">
        <x:v>0</x:v>
      </x:c>
      <x:c r="H619" s="9" t="n">
        <x:v>7440623</x:v>
      </x:c>
      <x:c r="I619" s="9" t="n">
        <x:v>7440623</x:v>
      </x:c>
      <x:c r="J619" s="9" t="n">
        <x:v>0</x:v>
      </x:c>
      <x:c r="K619" s="10" t="n">
        <x:v>7440623</x:v>
      </x:c>
    </x:row>
    <x:row r="620">
      <x:c r="A620" t="inlineStr">
        <x:is>
          <x:t xml:space="preserve">PDTPLA001029</x:t>
        </x:is>
      </x:c>
      <x:c r="B620" t="inlineStr">
        <x:is>
          <x:t xml:space="preserve">KIT PLACA INFERIOR FILTRO SUNDS MATERIAL ECTFE CODIGO 88290050</x:t>
        </x:is>
      </x:c>
      <x:c r="C620" s="8" t="n">
        <x:v>1</x:v>
      </x:c>
      <x:c r="D620" s="8" t="n">
        <x:v>0</x:v>
      </x:c>
      <x:c r="E620" s="8" t="n">
        <x:v>0</x:v>
      </x:c>
      <x:c r="F620" s="8" t="n">
        <x:v>1</x:v>
      </x:c>
      <x:c r="G620" s="9" t="n">
        <x:v>472898</x:v>
      </x:c>
      <x:c r="H620" s="9" t="n">
        <x:v>0</x:v>
      </x:c>
      <x:c r="I620" s="9" t="n">
        <x:v>0</x:v>
      </x:c>
      <x:c r="J620" s="9" t="n">
        <x:v>472898</x:v>
      </x:c>
      <x:c r="K620" s="10" t="n">
        <x:v>472898</x:v>
      </x:c>
    </x:row>
    <x:row r="621">
      <x:c r="A621" t="inlineStr">
        <x:is>
          <x:t xml:space="preserve">PDTPLA001043</x:t>
        </x:is>
      </x:c>
      <x:c r="B621" t="inlineStr">
        <x:is>
          <x:t xml:space="preserve">TUBO FILTRADO CON 6 AGUJEROS (TUBO PEAD) S/PLANO CPM # C-71-348 REV-1 CODIGO 50122684</x:t>
        </x:is>
      </x:c>
      <x:c r="C621" s="8" t="n">
        <x:v>18</x:v>
      </x:c>
      <x:c r="D621" s="8" t="n">
        <x:v>0</x:v>
      </x:c>
      <x:c r="E621" s="8" t="n">
        <x:v>0</x:v>
      </x:c>
      <x:c r="F621" s="8" t="n">
        <x:v>18</x:v>
      </x:c>
      <x:c r="G621" s="9" t="n">
        <x:v>2566260</x:v>
      </x:c>
      <x:c r="H621" s="9" t="n">
        <x:v>0</x:v>
      </x:c>
      <x:c r="I621" s="9" t="n">
        <x:v>0</x:v>
      </x:c>
      <x:c r="J621" s="9" t="n">
        <x:v>2566260</x:v>
      </x:c>
      <x:c r="K621" s="10" t="n">
        <x:v>142570</x:v>
      </x:c>
    </x:row>
    <x:row r="622">
      <x:c r="A622" t="inlineStr">
        <x:is>
          <x:t xml:space="preserve">PDTSEF001001</x:t>
        </x:is>
      </x:c>
      <x:c r="B622" t="inlineStr">
        <x:is>
          <x:t xml:space="preserve">KIT EMPAQUETADURA INVENIO ESTILO 430 SECCION 7/8 PLG GFO CANDELARIA 4029397 6 ANILLO X KIT 3,6 KG KI</x:t>
        </x:is>
      </x:c>
      <x:c r="C622" s="8" t="n">
        <x:v>41</x:v>
      </x:c>
      <x:c r="D622" s="8" t="n">
        <x:v>0</x:v>
      </x:c>
      <x:c r="E622" s="8" t="n">
        <x:v>0</x:v>
      </x:c>
      <x:c r="F622" s="8" t="n">
        <x:v>41</x:v>
      </x:c>
      <x:c r="G622" s="9" t="n">
        <x:v>6796242</x:v>
      </x:c>
      <x:c r="H622" s="9" t="n">
        <x:v>0</x:v>
      </x:c>
      <x:c r="I622" s="9" t="n">
        <x:v>0</x:v>
      </x:c>
      <x:c r="J622" s="9" t="n">
        <x:v>6796242</x:v>
      </x:c>
      <x:c r="K622" s="10" t="n">
        <x:v>165762</x:v>
      </x:c>
    </x:row>
    <x:row r="623">
      <x:c r="A623" t="inlineStr">
        <x:is>
          <x:t xml:space="preserve">PDTSEF001010</x:t>
        </x:is>
      </x:c>
      <x:c r="B623" t="inlineStr">
        <x:is>
          <x:t xml:space="preserve">CINTA DE ZETEX 2 PLG ANCHO X 1/4 PLG ESP, 1005812</x:t>
        </x:is>
      </x:c>
      <x:c r="C623" s="8" t="n">
        <x:v>50</x:v>
      </x:c>
      <x:c r="D623" s="8" t="n">
        <x:v>0</x:v>
      </x:c>
      <x:c r="E623" s="8" t="n">
        <x:v>0</x:v>
      </x:c>
      <x:c r="F623" s="8" t="n">
        <x:v>50</x:v>
      </x:c>
      <x:c r="G623" s="9" t="n">
        <x:v>209000</x:v>
      </x:c>
      <x:c r="H623" s="9" t="n">
        <x:v>0</x:v>
      </x:c>
      <x:c r="I623" s="9" t="n">
        <x:v>0</x:v>
      </x:c>
      <x:c r="J623" s="9" t="n">
        <x:v>209000</x:v>
      </x:c>
      <x:c r="K623" s="10" t="n">
        <x:v>4180</x:v>
      </x:c>
    </x:row>
    <x:row r="624">
      <x:c r="A624" t="inlineStr">
        <x:is>
          <x:t xml:space="preserve">PDTSEF001012</x:t>
        </x:is>
      </x:c>
      <x:c r="B624" t="inlineStr">
        <x:is>
          <x:t xml:space="preserve">TUBERIA AISLANTEALUMINIO PARA CAÑERIA 3/4 FORMATO 2 MTS</x:t>
        </x:is>
      </x:c>
      <x:c r="C624" s="8" t="n">
        <x:v>80</x:v>
      </x:c>
      <x:c r="D624" s="8" t="n">
        <x:v>0</x:v>
      </x:c>
      <x:c r="E624" s="8" t="n">
        <x:v>0</x:v>
      </x:c>
      <x:c r="F624" s="8" t="n">
        <x:v>80</x:v>
      </x:c>
      <x:c r="G624" s="9" t="n">
        <x:v>534000</x:v>
      </x:c>
      <x:c r="H624" s="9" t="n">
        <x:v>0</x:v>
      </x:c>
      <x:c r="I624" s="9" t="n">
        <x:v>0</x:v>
      </x:c>
      <x:c r="J624" s="9" t="n">
        <x:v>534000</x:v>
      </x:c>
      <x:c r="K624" s="10" t="n">
        <x:v>6675</x:v>
      </x:c>
    </x:row>
    <x:row r="625">
      <x:c r="A625" t="inlineStr">
        <x:is>
          <x:t xml:space="preserve">PDTSEF001027</x:t>
        </x:is>
      </x:c>
      <x:c r="B625" t="inlineStr">
        <x:is>
          <x:t xml:space="preserve">CAUCHO EPDM ESPESOR 1/8” (3.2MM) ANCHO 1MT</x:t>
        </x:is>
      </x:c>
      <x:c r="C625" s="8" t="n">
        <x:v>43</x:v>
      </x:c>
      <x:c r="D625" s="8" t="n">
        <x:v>60</x:v>
      </x:c>
      <x:c r="E625" s="8" t="n">
        <x:v>0</x:v>
      </x:c>
      <x:c r="F625" s="8" t="n">
        <x:v>103</x:v>
      </x:c>
      <x:c r="G625" s="9" t="n">
        <x:v>482548</x:v>
      </x:c>
      <x:c r="H625" s="9" t="n">
        <x:v>653400</x:v>
      </x:c>
      <x:c r="I625" s="9" t="n">
        <x:v>0</x:v>
      </x:c>
      <x:c r="J625" s="9" t="n">
        <x:v>1135948</x:v>
      </x:c>
      <x:c r="K625" s="10" t="n">
        <x:v>11028.624248</x:v>
      </x:c>
    </x:row>
    <x:row r="626">
      <x:c r="A626" t="inlineStr">
        <x:is>
          <x:t xml:space="preserve">PDTSEF001028</x:t>
        </x:is>
      </x:c>
      <x:c r="B626" t="inlineStr">
        <x:is>
          <x:t xml:space="preserve">EPDM ESPESOR 1/4” (6.4MM) ANCHO 1MT</x:t>
        </x:is>
      </x:c>
      <x:c r="C626" s="8" t="n">
        <x:v>3.8</x:v>
      </x:c>
      <x:c r="D626" s="8" t="n">
        <x:v>0</x:v>
      </x:c>
      <x:c r="E626" s="8" t="n">
        <x:v>0</x:v>
      </x:c>
      <x:c r="F626" s="8" t="n">
        <x:v>3.8</x:v>
      </x:c>
      <x:c r="G626" s="9" t="n">
        <x:v>82376</x:v>
      </x:c>
      <x:c r="H626" s="9" t="n">
        <x:v>0</x:v>
      </x:c>
      <x:c r="I626" s="9" t="n">
        <x:v>0</x:v>
      </x:c>
      <x:c r="J626" s="9" t="n">
        <x:v>82376</x:v>
      </x:c>
      <x:c r="K626" s="10" t="n">
        <x:v>21678</x:v>
      </x:c>
    </x:row>
    <x:row r="627">
      <x:c r="A627" t="inlineStr">
        <x:is>
          <x:t xml:space="preserve">PDTSEF001034</x:t>
        </x:is>
      </x:c>
      <x:c r="B627" t="inlineStr">
        <x:is>
          <x:t xml:space="preserve">EMPAQUETADURA PUERTA DE RETORTAC/ALMA DE SILICONA N° PARTE ET30JC1900 COD 107296</x:t>
        </x:is>
      </x:c>
      <x:c r="C627" s="8" t="n">
        <x:v>167</x:v>
      </x:c>
      <x:c r="D627" s="8" t="n">
        <x:v>0</x:v>
      </x:c>
      <x:c r="E627" s="8" t="n">
        <x:v>0</x:v>
      </x:c>
      <x:c r="F627" s="8" t="n">
        <x:v>167</x:v>
      </x:c>
      <x:c r="G627" s="9" t="n">
        <x:v>1006448</x:v>
      </x:c>
      <x:c r="H627" s="9" t="n">
        <x:v>0</x:v>
      </x:c>
      <x:c r="I627" s="9" t="n">
        <x:v>0</x:v>
      </x:c>
      <x:c r="J627" s="9" t="n">
        <x:v>1006448</x:v>
      </x:c>
      <x:c r="K627" s="10" t="n">
        <x:v>6026.636923</x:v>
      </x:c>
    </x:row>
    <x:row r="628">
      <x:c r="A628" t="inlineStr">
        <x:is>
          <x:t xml:space="preserve">PDTSEF001044</x:t>
        </x:is>
      </x:c>
      <x:c r="B628" t="inlineStr">
        <x:is>
          <x:t xml:space="preserve">EPDM ESPESOR 3/16” (4.7MM) ANCHO 1MT</x:t>
        </x:is>
      </x:c>
      <x:c r="C628" s="8" t="n">
        <x:v>69</x:v>
      </x:c>
      <x:c r="D628" s="8" t="n">
        <x:v>0</x:v>
      </x:c>
      <x:c r="E628" s="8" t="n">
        <x:v>0</x:v>
      </x:c>
      <x:c r="F628" s="8" t="n">
        <x:v>69</x:v>
      </x:c>
      <x:c r="G628" s="9" t="n">
        <x:v>1053078</x:v>
      </x:c>
      <x:c r="H628" s="9" t="n">
        <x:v>0</x:v>
      </x:c>
      <x:c r="I628" s="9" t="n">
        <x:v>0</x:v>
      </x:c>
      <x:c r="J628" s="9" t="n">
        <x:v>1053078</x:v>
      </x:c>
      <x:c r="K628" s="10" t="n">
        <x:v>15262</x:v>
      </x:c>
    </x:row>
    <x:row r="629">
      <x:c r="A629" t="inlineStr">
        <x:is>
          <x:t xml:space="preserve">PDTSEF001045</x:t>
        </x:is>
      </x:c>
      <x:c r="B629" t="inlineStr">
        <x:is>
          <x:t xml:space="preserve">EPDM ESPESOR 3/8” (9.6 MM) ANCHO 1MT</x:t>
        </x:is>
      </x:c>
      <x:c r="C629" s="8" t="n">
        <x:v>32</x:v>
      </x:c>
      <x:c r="D629" s="8" t="n">
        <x:v>10</x:v>
      </x:c>
      <x:c r="E629" s="8" t="n">
        <x:v>0</x:v>
      </x:c>
      <x:c r="F629" s="8" t="n">
        <x:v>42</x:v>
      </x:c>
      <x:c r="G629" s="9" t="n">
        <x:v>1452835</x:v>
      </x:c>
      <x:c r="H629" s="9" t="n">
        <x:v>325870</x:v>
      </x:c>
      <x:c r="I629" s="9" t="n">
        <x:v>0</x:v>
      </x:c>
      <x:c r="J629" s="9" t="n">
        <x:v>1778705</x:v>
      </x:c>
      <x:c r="K629" s="10" t="n">
        <x:v>42350.104956</x:v>
      </x:c>
    </x:row>
    <x:row r="630">
      <x:c r="A630" t="inlineStr">
        <x:is>
          <x:t xml:space="preserve">PDTSEF001067</x:t>
        </x:is>
      </x:c>
      <x:c r="B630" t="inlineStr">
        <x:is>
          <x:t xml:space="preserve">EPDM ESPESOR 5/16” (7.9 MM) ANCHO 1MT</x:t>
        </x:is>
      </x:c>
      <x:c r="C630" s="8" t="n">
        <x:v>0</x:v>
      </x:c>
      <x:c r="D630" s="8" t="n">
        <x:v>10</x:v>
      </x:c>
      <x:c r="E630" s="8" t="n">
        <x:v>0</x:v>
      </x:c>
      <x:c r="F630" s="8" t="n">
        <x:v>10</x:v>
      </x:c>
      <x:c r="G630" s="9" t="n">
        <x:v>0</x:v>
      </x:c>
      <x:c r="H630" s="9" t="n">
        <x:v>1064980</x:v>
      </x:c>
      <x:c r="I630" s="9" t="n">
        <x:v>0</x:v>
      </x:c>
      <x:c r="J630" s="9" t="n">
        <x:v>1064980</x:v>
      </x:c>
      <x:c r="K630" s="10" t="n">
        <x:v>106498</x:v>
      </x:c>
    </x:row>
    <x:row r="631">
      <x:c r="A631" t="inlineStr">
        <x:is>
          <x:t xml:space="preserve">PDTVULTEF002</x:t>
        </x:is>
      </x:c>
      <x:c r="B631" t="inlineStr">
        <x:is>
          <x:t xml:space="preserve">ASH 2X1.1/2 SRH ANILLO  HIDRAULICO 32 A400132001</x:t>
        </x:is>
      </x:c>
      <x:c r="C631" s="8" t="n">
        <x:v>21</x:v>
      </x:c>
      <x:c r="D631" s="8" t="n">
        <x:v>0</x:v>
      </x:c>
      <x:c r="E631" s="8" t="n">
        <x:v>0</x:v>
      </x:c>
      <x:c r="F631" s="8" t="n">
        <x:v>21</x:v>
      </x:c>
      <x:c r="G631" s="9" t="n">
        <x:v>456100</x:v>
      </x:c>
      <x:c r="H631" s="9" t="n">
        <x:v>0</x:v>
      </x:c>
      <x:c r="I631" s="9" t="n">
        <x:v>0</x:v>
      </x:c>
      <x:c r="J631" s="9" t="n">
        <x:v>456100</x:v>
      </x:c>
      <x:c r="K631" s="10" t="n">
        <x:v>21719</x:v>
      </x:c>
    </x:row>
    <x:row r="632">
      <x:c r="A632" t="inlineStr">
        <x:is>
          <x:t xml:space="preserve">PDTVULTEF003</x:t>
        </x:is>
      </x:c>
      <x:c r="B632" t="inlineStr">
        <x:is>
          <x:t xml:space="preserve">ASH 2X1.1/2 SRC EMPAQUETADURA 43 A400143000</x:t>
        </x:is>
      </x:c>
      <x:c r="C632" s="8" t="n">
        <x:v>11</x:v>
      </x:c>
      <x:c r="D632" s="8" t="n">
        <x:v>0</x:v>
      </x:c>
      <x:c r="E632" s="8" t="n">
        <x:v>0</x:v>
      </x:c>
      <x:c r="F632" s="8" t="n">
        <x:v>11</x:v>
      </x:c>
      <x:c r="G632" s="9" t="n">
        <x:v>43450</x:v>
      </x:c>
      <x:c r="H632" s="9" t="n">
        <x:v>0</x:v>
      </x:c>
      <x:c r="I632" s="9" t="n">
        <x:v>0</x:v>
      </x:c>
      <x:c r="J632" s="9" t="n">
        <x:v>43450</x:v>
      </x:c>
      <x:c r="K632" s="10" t="n">
        <x:v>3950</x:v>
      </x:c>
    </x:row>
    <x:row r="633">
      <x:c r="A633" t="inlineStr">
        <x:is>
          <x:t xml:space="preserve">PDTVULTEF004</x:t>
        </x:is>
      </x:c>
      <x:c r="B633" t="inlineStr">
        <x:is>
          <x:t xml:space="preserve">ASH 2.1/2X2 SRH ANILLO  HIDRAULICO 32 A410132001</x:t>
        </x:is>
      </x:c>
      <x:c r="C633" s="8" t="n">
        <x:v>12</x:v>
      </x:c>
      <x:c r="D633" s="8" t="n">
        <x:v>0</x:v>
      </x:c>
      <x:c r="E633" s="8" t="n">
        <x:v>0</x:v>
      </x:c>
      <x:c r="F633" s="8" t="n">
        <x:v>12</x:v>
      </x:c>
      <x:c r="G633" s="9" t="n">
        <x:v>194196</x:v>
      </x:c>
      <x:c r="H633" s="9" t="n">
        <x:v>0</x:v>
      </x:c>
      <x:c r="I633" s="9" t="n">
        <x:v>0</x:v>
      </x:c>
      <x:c r="J633" s="9" t="n">
        <x:v>194196</x:v>
      </x:c>
      <x:c r="K633" s="10" t="n">
        <x:v>16183</x:v>
      </x:c>
    </x:row>
    <x:row r="634">
      <x:c r="A634" t="inlineStr">
        <x:is>
          <x:t xml:space="preserve">PDTVULTEF006</x:t>
        </x:is>
      </x:c>
      <x:c r="B634" t="inlineStr">
        <x:is>
          <x:t xml:space="preserve">ASH 4X3 SRC  ANILLO HIDRAULICO 32 A420132001</x:t>
        </x:is>
      </x:c>
      <x:c r="C634" s="8" t="n">
        <x:v>1</x:v>
      </x:c>
      <x:c r="D634" s="8" t="n">
        <x:v>0</x:v>
      </x:c>
      <x:c r="E634" s="8" t="n">
        <x:v>0</x:v>
      </x:c>
      <x:c r="F634" s="8" t="n">
        <x:v>1</x:v>
      </x:c>
      <x:c r="G634" s="9" t="n">
        <x:v>18112</x:v>
      </x:c>
      <x:c r="H634" s="9" t="n">
        <x:v>0</x:v>
      </x:c>
      <x:c r="I634" s="9" t="n">
        <x:v>0</x:v>
      </x:c>
      <x:c r="J634" s="9" t="n">
        <x:v>18112</x:v>
      </x:c>
      <x:c r="K634" s="10" t="n">
        <x:v>18112</x:v>
      </x:c>
    </x:row>
    <x:row r="635">
      <x:c r="A635" t="inlineStr">
        <x:is>
          <x:t xml:space="preserve">PDTVULTEF007</x:t>
        </x:is>
      </x:c>
      <x:c r="B635" t="inlineStr">
        <x:is>
          <x:t xml:space="preserve">ASH 4X3 SRH EMPAQUETADURA 43 A420143000</x:t>
        </x:is>
      </x:c>
      <x:c r="C635" s="8" t="n">
        <x:v>1</x:v>
      </x:c>
      <x:c r="D635" s="8" t="n">
        <x:v>0</x:v>
      </x:c>
      <x:c r="E635" s="8" t="n">
        <x:v>0</x:v>
      </x:c>
      <x:c r="F635" s="8" t="n">
        <x:v>1</x:v>
      </x:c>
      <x:c r="G635" s="9" t="n">
        <x:v>4714</x:v>
      </x:c>
      <x:c r="H635" s="9" t="n">
        <x:v>0</x:v>
      </x:c>
      <x:c r="I635" s="9" t="n">
        <x:v>0</x:v>
      </x:c>
      <x:c r="J635" s="9" t="n">
        <x:v>4714</x:v>
      </x:c>
      <x:c r="K635" s="10" t="n">
        <x:v>4714</x:v>
      </x:c>
    </x:row>
    <x:row r="636">
      <x:c r="A636" t="inlineStr">
        <x:is>
          <x:t xml:space="preserve">PDTVULTEF008</x:t>
        </x:is>
      </x:c>
      <x:c r="B636" t="inlineStr">
        <x:is>
          <x:t xml:space="preserve">ASH 5X4 ANILLO HIDRAULICO 32 A430132001</x:t>
        </x:is>
      </x:c>
      <x:c r="C636" s="8" t="n">
        <x:v>4</x:v>
      </x:c>
      <x:c r="D636" s="8" t="n">
        <x:v>0</x:v>
      </x:c>
      <x:c r="E636" s="8" t="n">
        <x:v>0</x:v>
      </x:c>
      <x:c r="F636" s="8" t="n">
        <x:v>4</x:v>
      </x:c>
      <x:c r="G636" s="9" t="n">
        <x:v>71468</x:v>
      </x:c>
      <x:c r="H636" s="9" t="n">
        <x:v>0</x:v>
      </x:c>
      <x:c r="I636" s="9" t="n">
        <x:v>0</x:v>
      </x:c>
      <x:c r="J636" s="9" t="n">
        <x:v>71468</x:v>
      </x:c>
      <x:c r="K636" s="10" t="n">
        <x:v>17867</x:v>
      </x:c>
    </x:row>
    <x:row r="637">
      <x:c r="A637" t="inlineStr">
        <x:is>
          <x:t xml:space="preserve">PDTVULTEF011</x:t>
        </x:is>
      </x:c>
      <x:c r="B637" t="inlineStr">
        <x:is>
          <x:t xml:space="preserve">ASH 6X6 SRC ANILLO HIDRAULICO 32 A440132001</x:t>
        </x:is>
      </x:c>
      <x:c r="C637" s="8" t="n">
        <x:v>20</x:v>
      </x:c>
      <x:c r="D637" s="8" t="n">
        <x:v>0</x:v>
      </x:c>
      <x:c r="E637" s="8" t="n">
        <x:v>0</x:v>
      </x:c>
      <x:c r="F637" s="8" t="n">
        <x:v>20</x:v>
      </x:c>
      <x:c r="G637" s="9" t="n">
        <x:v>465141</x:v>
      </x:c>
      <x:c r="H637" s="9" t="n">
        <x:v>0</x:v>
      </x:c>
      <x:c r="I637" s="9" t="n">
        <x:v>0</x:v>
      </x:c>
      <x:c r="J637" s="9" t="n">
        <x:v>465141</x:v>
      </x:c>
      <x:c r="K637" s="10" t="n">
        <x:v>23257</x:v>
      </x:c>
    </x:row>
    <x:row r="638">
      <x:c r="A638" t="inlineStr">
        <x:is>
          <x:t xml:space="preserve">PDTVULTEF015</x:t>
        </x:is>
      </x:c>
      <x:c r="B638" t="inlineStr">
        <x:is>
          <x:t xml:space="preserve">ASH 8X8 SRH  EMPAQUETADURA 43 A450143000</x:t>
        </x:is>
      </x:c>
      <x:c r="C638" s="8" t="n">
        <x:v>5</x:v>
      </x:c>
      <x:c r="D638" s="8" t="n">
        <x:v>0</x:v>
      </x:c>
      <x:c r="E638" s="8" t="n">
        <x:v>0</x:v>
      </x:c>
      <x:c r="F638" s="8" t="n">
        <x:v>5</x:v>
      </x:c>
      <x:c r="G638" s="9" t="n">
        <x:v>70291</x:v>
      </x:c>
      <x:c r="H638" s="9" t="n">
        <x:v>0</x:v>
      </x:c>
      <x:c r="I638" s="9" t="n">
        <x:v>0</x:v>
      </x:c>
      <x:c r="J638" s="9" t="n">
        <x:v>70291</x:v>
      </x:c>
      <x:c r="K638" s="10" t="n">
        <x:v>14058</x:v>
      </x:c>
    </x:row>
    <x:row r="639">
      <x:c r="A639" t="inlineStr">
        <x:is>
          <x:t xml:space="preserve">PDTVULTEF016</x:t>
        </x:is>
      </x:c>
      <x:c r="B639" t="inlineStr">
        <x:is>
          <x:t xml:space="preserve">ASH 10X10 SRC ANILLO HIDRAULICO 32 A460132001</x:t>
        </x:is>
      </x:c>
      <x:c r="C639" s="8" t="n">
        <x:v>2</x:v>
      </x:c>
      <x:c r="D639" s="8" t="n">
        <x:v>0</x:v>
      </x:c>
      <x:c r="E639" s="8" t="n">
        <x:v>0</x:v>
      </x:c>
      <x:c r="F639" s="8" t="n">
        <x:v>2</x:v>
      </x:c>
      <x:c r="G639" s="9" t="n">
        <x:v>45420</x:v>
      </x:c>
      <x:c r="H639" s="9" t="n">
        <x:v>0</x:v>
      </x:c>
      <x:c r="I639" s="9" t="n">
        <x:v>0</x:v>
      </x:c>
      <x:c r="J639" s="9" t="n">
        <x:v>45420</x:v>
      </x:c>
      <x:c r="K639" s="10" t="n">
        <x:v>22710</x:v>
      </x:c>
    </x:row>
    <x:row r="640">
      <x:c r="A640" t="inlineStr">
        <x:is>
          <x:t xml:space="preserve">PDTVULTEF017</x:t>
        </x:is>
      </x:c>
      <x:c r="B640" t="inlineStr">
        <x:is>
          <x:t xml:space="preserve">ASH 10X10 SRC ANILLO HIDRAULICO 32 500 PSI A460132002</x:t>
        </x:is>
      </x:c>
      <x:c r="C640" s="8" t="n">
        <x:v>4</x:v>
      </x:c>
      <x:c r="D640" s="8" t="n">
        <x:v>0</x:v>
      </x:c>
      <x:c r="E640" s="8" t="n">
        <x:v>0</x:v>
      </x:c>
      <x:c r="F640" s="8" t="n">
        <x:v>4</x:v>
      </x:c>
      <x:c r="G640" s="9" t="n">
        <x:v>174556</x:v>
      </x:c>
      <x:c r="H640" s="9" t="n">
        <x:v>0</x:v>
      </x:c>
      <x:c r="I640" s="9" t="n">
        <x:v>0</x:v>
      </x:c>
      <x:c r="J640" s="9" t="n">
        <x:v>174556</x:v>
      </x:c>
      <x:c r="K640" s="10" t="n">
        <x:v>43639</x:v>
      </x:c>
    </x:row>
    <x:row r="641">
      <x:c r="A641" t="inlineStr">
        <x:is>
          <x:t xml:space="preserve">PDTVULTEF024</x:t>
        </x:is>
      </x:c>
      <x:c r="B641" t="inlineStr">
        <x:is>
          <x:t xml:space="preserve">ASH 18X16 SRC  EMPAQUETADURA 43 A490143000</x:t>
        </x:is>
      </x:c>
      <x:c r="C641" s="8" t="n">
        <x:v>7</x:v>
      </x:c>
      <x:c r="D641" s="8" t="n">
        <x:v>0</x:v>
      </x:c>
      <x:c r="E641" s="8" t="n">
        <x:v>0</x:v>
      </x:c>
      <x:c r="F641" s="8" t="n">
        <x:v>7</x:v>
      </x:c>
      <x:c r="G641" s="9" t="n">
        <x:v>341642</x:v>
      </x:c>
      <x:c r="H641" s="9" t="n">
        <x:v>0</x:v>
      </x:c>
      <x:c r="I641" s="9" t="n">
        <x:v>0</x:v>
      </x:c>
      <x:c r="J641" s="9" t="n">
        <x:v>341642</x:v>
      </x:c>
      <x:c r="K641" s="10" t="n">
        <x:v>48806.003265</x:v>
      </x:c>
    </x:row>
    <x:row r="642">
      <x:c r="A642" t="inlineStr">
        <x:is>
          <x:t xml:space="preserve">PDTVULTEF025</x:t>
        </x:is>
      </x:c>
      <x:c r="B642" t="inlineStr">
        <x:is>
          <x:t xml:space="preserve">ASH 26X24 SRC ANILLO HIDRAULICO N 32 A530132000</x:t>
        </x:is>
      </x:c>
      <x:c r="C642" s="8" t="n">
        <x:v>5</x:v>
      </x:c>
      <x:c r="D642" s="8" t="n">
        <x:v>0</x:v>
      </x:c>
      <x:c r="E642" s="8" t="n">
        <x:v>0</x:v>
      </x:c>
      <x:c r="F642" s="8" t="n">
        <x:v>5</x:v>
      </x:c>
      <x:c r="G642" s="9" t="n">
        <x:v>532185</x:v>
      </x:c>
      <x:c r="H642" s="9" t="n">
        <x:v>0</x:v>
      </x:c>
      <x:c r="I642" s="9" t="n">
        <x:v>0</x:v>
      </x:c>
      <x:c r="J642" s="9" t="n">
        <x:v>532185</x:v>
      </x:c>
      <x:c r="K642" s="10" t="n">
        <x:v>106437</x:v>
      </x:c>
    </x:row>
    <x:row r="643">
      <x:c r="A643" t="inlineStr">
        <x:is>
          <x:t xml:space="preserve">PDTVULTEF026</x:t>
        </x:is>
      </x:c>
      <x:c r="B643" t="inlineStr">
        <x:is>
          <x:t xml:space="preserve">BGH 1.1/2X2 ANILLO LINTERNA B0103711000</x:t>
        </x:is>
      </x:c>
      <x:c r="C643" s="8" t="n">
        <x:v>7</x:v>
      </x:c>
      <x:c r="D643" s="8" t="n">
        <x:v>0</x:v>
      </x:c>
      <x:c r="E643" s="8" t="n">
        <x:v>0</x:v>
      </x:c>
      <x:c r="F643" s="8" t="n">
        <x:v>7</x:v>
      </x:c>
      <x:c r="G643" s="9" t="n">
        <x:v>99997</x:v>
      </x:c>
      <x:c r="H643" s="9" t="n">
        <x:v>0</x:v>
      </x:c>
      <x:c r="I643" s="9" t="n">
        <x:v>0</x:v>
      </x:c>
      <x:c r="J643" s="9" t="n">
        <x:v>99997</x:v>
      </x:c>
      <x:c r="K643" s="10" t="n">
        <x:v>14285.177515</x:v>
      </x:c>
    </x:row>
    <x:row r="644">
      <x:c r="A644" t="inlineStr">
        <x:is>
          <x:t xml:space="preserve">PDTVULTEF031</x:t>
        </x:is>
      </x:c>
      <x:c r="B644" t="inlineStr">
        <x:is>
          <x:t xml:space="preserve">100 DDA-SLM LANTER RING DDPT063P05</x:t>
        </x:is>
      </x:c>
      <x:c r="C644" s="8" t="n">
        <x:v>4</x:v>
      </x:c>
      <x:c r="D644" s="8" t="n">
        <x:v>0</x:v>
      </x:c>
      <x:c r="E644" s="8" t="n">
        <x:v>0</x:v>
      </x:c>
      <x:c r="F644" s="8" t="n">
        <x:v>4</x:v>
      </x:c>
      <x:c r="G644" s="9" t="n">
        <x:v>145200</x:v>
      </x:c>
      <x:c r="H644" s="9" t="n">
        <x:v>0</x:v>
      </x:c>
      <x:c r="I644" s="9" t="n">
        <x:v>0</x:v>
      </x:c>
      <x:c r="J644" s="9" t="n">
        <x:v>145200</x:v>
      </x:c>
      <x:c r="K644" s="10" t="n">
        <x:v>36300</x:v>
      </x:c>
    </x:row>
    <x:row r="645">
      <x:c r="A645" t="inlineStr">
        <x:is>
          <x:t xml:space="preserve">PDTVULTEF034</x:t>
        </x:is>
      </x:c>
      <x:c r="B645" t="inlineStr">
        <x:is>
          <x:t xml:space="preserve">200 FA-SLR LANTER RING FPT063P050</x:t>
        </x:is>
      </x:c>
      <x:c r="C645" s="8" t="n">
        <x:v>2</x:v>
      </x:c>
      <x:c r="D645" s="8" t="n">
        <x:v>0</x:v>
      </x:c>
      <x:c r="E645" s="8" t="n">
        <x:v>0</x:v>
      </x:c>
      <x:c r="F645" s="8" t="n">
        <x:v>2</x:v>
      </x:c>
      <x:c r="G645" s="9" t="n">
        <x:v>11428</x:v>
      </x:c>
      <x:c r="H645" s="9" t="n">
        <x:v>0</x:v>
      </x:c>
      <x:c r="I645" s="9" t="n">
        <x:v>0</x:v>
      </x:c>
      <x:c r="J645" s="9" t="n">
        <x:v>11428</x:v>
      </x:c>
      <x:c r="K645" s="10" t="n">
        <x:v>5714</x:v>
      </x:c>
    </x:row>
    <x:row r="646">
      <x:c r="A646" t="inlineStr">
        <x:is>
          <x:t xml:space="preserve">PDTVULTEF038</x:t>
        </x:is>
      </x:c>
      <x:c r="B646" t="inlineStr">
        <x:is>
          <x:t xml:space="preserve">GOLILLA BGV5000 80  IMPELLER WASHER V630046000</x:t>
        </x:is>
      </x:c>
      <x:c r="C646" s="8" t="n">
        <x:v>16</x:v>
      </x:c>
      <x:c r="D646" s="8" t="n">
        <x:v>0</x:v>
      </x:c>
      <x:c r="E646" s="8" t="n">
        <x:v>0</x:v>
      </x:c>
      <x:c r="F646" s="8" t="n">
        <x:v>16</x:v>
      </x:c>
      <x:c r="G646" s="9" t="n">
        <x:v>183904</x:v>
      </x:c>
      <x:c r="H646" s="9" t="n">
        <x:v>0</x:v>
      </x:c>
      <x:c r="I646" s="9" t="n">
        <x:v>0</x:v>
      </x:c>
      <x:c r="J646" s="9" t="n">
        <x:v>183904</x:v>
      </x:c>
      <x:c r="K646" s="10" t="n">
        <x:v>11494</x:v>
      </x:c>
    </x:row>
    <x:row r="647">
      <x:c r="A647" t="inlineStr">
        <x:is>
          <x:t xml:space="preserve">PDTVULTEF039</x:t>
        </x:is>
      </x:c>
      <x:c r="B647" t="inlineStr">
        <x:is>
          <x:t xml:space="preserve">ASH 2.1/2X2 SRH EMPAQUETADURA N 43 A410143000</x:t>
        </x:is>
      </x:c>
      <x:c r="C647" s="8" t="n">
        <x:v>36</x:v>
      </x:c>
      <x:c r="D647" s="8" t="n">
        <x:v>0</x:v>
      </x:c>
      <x:c r="E647" s="8" t="n">
        <x:v>0</x:v>
      </x:c>
      <x:c r="F647" s="8" t="n">
        <x:v>36</x:v>
      </x:c>
      <x:c r="G647" s="9" t="n">
        <x:v>137376</x:v>
      </x:c>
      <x:c r="H647" s="9" t="n">
        <x:v>0</x:v>
      </x:c>
      <x:c r="I647" s="9" t="n">
        <x:v>0</x:v>
      </x:c>
      <x:c r="J647" s="9" t="n">
        <x:v>137376</x:v>
      </x:c>
      <x:c r="K647" s="10" t="n">
        <x:v>3816</x:v>
      </x:c>
    </x:row>
    <x:row r="648">
      <x:c r="A648" t="inlineStr">
        <x:is>
          <x:t xml:space="preserve">PDTVULTEF040</x:t>
        </x:is>
      </x:c>
      <x:c r="B648" t="inlineStr">
        <x:is>
          <x:t xml:space="preserve">ASH 18X16 SRH ANILLO HIDRAULICO 32  TRIXALON NEGRO  A490232004</x:t>
        </x:is>
      </x:c>
      <x:c r="C648" s="8" t="n">
        <x:v>2</x:v>
      </x:c>
      <x:c r="D648" s="8" t="n">
        <x:v>0</x:v>
      </x:c>
      <x:c r="E648" s="8" t="n">
        <x:v>0</x:v>
      </x:c>
      <x:c r="F648" s="8" t="n">
        <x:v>2</x:v>
      </x:c>
      <x:c r="G648" s="9" t="n">
        <x:v>153148</x:v>
      </x:c>
      <x:c r="H648" s="9" t="n">
        <x:v>0</x:v>
      </x:c>
      <x:c r="I648" s="9" t="n">
        <x:v>0</x:v>
      </x:c>
      <x:c r="J648" s="9" t="n">
        <x:v>153148</x:v>
      </x:c>
      <x:c r="K648" s="10" t="n">
        <x:v>76574</x:v>
      </x:c>
    </x:row>
    <x:row r="649">
      <x:c r="A649" t="inlineStr">
        <x:is>
          <x:t xml:space="preserve">PDTVULTEF042</x:t>
        </x:is>
      </x:c>
      <x:c r="B649" t="inlineStr">
        <x:is>
          <x:t xml:space="preserve">BGH 6X8 ANILLO LINTERNA B060722000</x:t>
        </x:is>
      </x:c>
      <x:c r="C649" s="8" t="n">
        <x:v>5</x:v>
      </x:c>
      <x:c r="D649" s="8" t="n">
        <x:v>0</x:v>
      </x:c>
      <x:c r="E649" s="8" t="n">
        <x:v>0</x:v>
      </x:c>
      <x:c r="F649" s="8" t="n">
        <x:v>5</x:v>
      </x:c>
      <x:c r="G649" s="9" t="n">
        <x:v>219760</x:v>
      </x:c>
      <x:c r="H649" s="9" t="n">
        <x:v>0</x:v>
      </x:c>
      <x:c r="I649" s="9" t="n">
        <x:v>0</x:v>
      </x:c>
      <x:c r="J649" s="9" t="n">
        <x:v>219760</x:v>
      </x:c>
      <x:c r="K649" s="10" t="n">
        <x:v>43952</x:v>
      </x:c>
    </x:row>
    <x:row r="650">
      <x:c r="A650" t="inlineStr">
        <x:is>
          <x:t xml:space="preserve">PDTVULTRE002</x:t>
        </x:is>
      </x:c>
      <x:c r="B650" t="inlineStr">
        <x:is>
          <x:t xml:space="preserve">ASH 2X2 SRC EMPAQUETADURA 35 A410135000</x:t>
        </x:is>
      </x:c>
      <x:c r="C650" s="8" t="n">
        <x:v>17</x:v>
      </x:c>
      <x:c r="D650" s="8" t="n">
        <x:v>0</x:v>
      </x:c>
      <x:c r="E650" s="8" t="n">
        <x:v>0</x:v>
      </x:c>
      <x:c r="F650" s="8" t="n">
        <x:v>17</x:v>
      </x:c>
      <x:c r="G650" s="9" t="n">
        <x:v>56338</x:v>
      </x:c>
      <x:c r="H650" s="9" t="n">
        <x:v>0</x:v>
      </x:c>
      <x:c r="I650" s="9" t="n">
        <x:v>0</x:v>
      </x:c>
      <x:c r="J650" s="9" t="n">
        <x:v>56338</x:v>
      </x:c>
      <x:c r="K650" s="10" t="n">
        <x:v>3314</x:v>
      </x:c>
    </x:row>
    <x:row r="651">
      <x:c r="A651" t="inlineStr">
        <x:is>
          <x:t xml:space="preserve">PDTVULTRE008</x:t>
        </x:is>
      </x:c>
      <x:c r="B651" t="inlineStr">
        <x:is>
          <x:t xml:space="preserve">ASH 6X6 SRC  EMPAQUETADURA 35 A440135000</x:t>
        </x:is>
      </x:c>
      <x:c r="C651" s="8" t="n">
        <x:v>1</x:v>
      </x:c>
      <x:c r="D651" s="8" t="n">
        <x:v>0</x:v>
      </x:c>
      <x:c r="E651" s="8" t="n">
        <x:v>0</x:v>
      </x:c>
      <x:c r="F651" s="8" t="n">
        <x:v>1</x:v>
      </x:c>
      <x:c r="G651" s="9" t="n">
        <x:v>6641</x:v>
      </x:c>
      <x:c r="H651" s="9" t="n">
        <x:v>0</x:v>
      </x:c>
      <x:c r="I651" s="9" t="n">
        <x:v>0</x:v>
      </x:c>
      <x:c r="J651" s="9" t="n">
        <x:v>6641</x:v>
      </x:c>
      <x:c r="K651" s="10" t="n">
        <x:v>6641</x:v>
      </x:c>
    </x:row>
    <x:row r="652">
      <x:c r="A652" t="inlineStr">
        <x:is>
          <x:t xml:space="preserve">PDTVULTRE009</x:t>
        </x:is>
      </x:c>
      <x:c r="B652" t="inlineStr">
        <x:is>
          <x:t xml:space="preserve">ASH 6X6 SRH  EMPAQUETADURA 35 A440235000</x:t>
        </x:is>
      </x:c>
      <x:c r="C652" s="8" t="n">
        <x:v>1</x:v>
      </x:c>
      <x:c r="D652" s="8" t="n">
        <x:v>0</x:v>
      </x:c>
      <x:c r="E652" s="8" t="n">
        <x:v>0</x:v>
      </x:c>
      <x:c r="F652" s="8" t="n">
        <x:v>1</x:v>
      </x:c>
      <x:c r="G652" s="9" t="n">
        <x:v>13496</x:v>
      </x:c>
      <x:c r="H652" s="9" t="n">
        <x:v>0</x:v>
      </x:c>
      <x:c r="I652" s="9" t="n">
        <x:v>0</x:v>
      </x:c>
      <x:c r="J652" s="9" t="n">
        <x:v>13496</x:v>
      </x:c>
      <x:c r="K652" s="10" t="n">
        <x:v>13496</x:v>
      </x:c>
    </x:row>
    <x:row r="653">
      <x:c r="A653" t="inlineStr">
        <x:is>
          <x:t xml:space="preserve">PDTVULTRE018</x:t>
        </x:is>
      </x:c>
      <x:c r="B653" t="inlineStr">
        <x:is>
          <x:t xml:space="preserve">ASH 16X14 SRC EMPAQUETADURA 35 A480135000</x:t>
        </x:is>
      </x:c>
      <x:c r="C653" s="8" t="n">
        <x:v>5</x:v>
      </x:c>
      <x:c r="D653" s="8" t="n">
        <x:v>0</x:v>
      </x:c>
      <x:c r="E653" s="8" t="n">
        <x:v>0</x:v>
      </x:c>
      <x:c r="F653" s="8" t="n">
        <x:v>5</x:v>
      </x:c>
      <x:c r="G653" s="9" t="n">
        <x:v>103195</x:v>
      </x:c>
      <x:c r="H653" s="9" t="n">
        <x:v>0</x:v>
      </x:c>
      <x:c r="I653" s="9" t="n">
        <x:v>0</x:v>
      </x:c>
      <x:c r="J653" s="9" t="n">
        <x:v>103195</x:v>
      </x:c>
      <x:c r="K653" s="10" t="n">
        <x:v>20639</x:v>
      </x:c>
    </x:row>
    <x:row r="654">
      <x:c r="A654" t="inlineStr">
        <x:is>
          <x:t xml:space="preserve">PDTVULTRE038</x:t>
        </x:is>
      </x:c>
      <x:c r="B654" t="inlineStr">
        <x:is>
          <x:t xml:space="preserve">SET EMPAQUETADURA (5 ANILLOS) C111Q05-SET</x:t>
        </x:is>
      </x:c>
      <x:c r="C654" s="8" t="n">
        <x:v>1</x:v>
      </x:c>
      <x:c r="D654" s="8" t="n">
        <x:v>0</x:v>
      </x:c>
      <x:c r="E654" s="8" t="n">
        <x:v>0</x:v>
      </x:c>
      <x:c r="F654" s="8" t="n">
        <x:v>1</x:v>
      </x:c>
      <x:c r="G654" s="9" t="n">
        <x:v>4944</x:v>
      </x:c>
      <x:c r="H654" s="9" t="n">
        <x:v>0</x:v>
      </x:c>
      <x:c r="I654" s="9" t="n">
        <x:v>0</x:v>
      </x:c>
      <x:c r="J654" s="9" t="n">
        <x:v>4944</x:v>
      </x:c>
      <x:c r="K654" s="10" t="n">
        <x:v>4944</x:v>
      </x:c>
    </x:row>
    <x:row r="655">
      <x:c r="A655" t="inlineStr">
        <x:is>
          <x:t xml:space="preserve">PDTVULTRE059</x:t>
        </x:is>
      </x:c>
      <x:c r="B655" t="inlineStr">
        <x:is>
          <x:t xml:space="preserve">SET EMPAQUETADURA (5 ANILLOS) V111Q22-SET</x:t>
        </x:is>
      </x:c>
      <x:c r="C655" s="8" t="n">
        <x:v>6</x:v>
      </x:c>
      <x:c r="D655" s="8" t="n">
        <x:v>0</x:v>
      </x:c>
      <x:c r="E655" s="8" t="n">
        <x:v>0</x:v>
      </x:c>
      <x:c r="F655" s="8" t="n">
        <x:v>6</x:v>
      </x:c>
      <x:c r="G655" s="9" t="n">
        <x:v>841104</x:v>
      </x:c>
      <x:c r="H655" s="9" t="n">
        <x:v>0</x:v>
      </x:c>
      <x:c r="I655" s="9" t="n">
        <x:v>0</x:v>
      </x:c>
      <x:c r="J655" s="9" t="n">
        <x:v>841104</x:v>
      </x:c>
      <x:c r="K655" s="10" t="n">
        <x:v>140184.002216</x:v>
      </x:c>
    </x:row>
    <x:row r="656">
      <x:c r="A656" t="inlineStr">
        <x:is>
          <x:t xml:space="preserve">PDTVULTRE071</x:t>
        </x:is>
      </x:c>
      <x:c r="B656" t="inlineStr">
        <x:is>
          <x:t xml:space="preserve">PACKING RING ASH 10-ME 11624 CODIGO A830103500</x:t>
        </x:is>
      </x:c>
      <x:c r="C656" s="8" t="n">
        <x:v>25</x:v>
      </x:c>
      <x:c r="D656" s="8" t="n">
        <x:v>0</x:v>
      </x:c>
      <x:c r="E656" s="8" t="n">
        <x:v>0</x:v>
      </x:c>
      <x:c r="F656" s="8" t="n">
        <x:v>25</x:v>
      </x:c>
      <x:c r="G656" s="9" t="n">
        <x:v>132800</x:v>
      </x:c>
      <x:c r="H656" s="9" t="n">
        <x:v>0</x:v>
      </x:c>
      <x:c r="I656" s="9" t="n">
        <x:v>0</x:v>
      </x:c>
      <x:c r="J656" s="9" t="n">
        <x:v>132800</x:v>
      </x:c>
      <x:c r="K656" s="10" t="n">
        <x:v>5312</x:v>
      </x:c>
    </x:row>
    <x:row r="657">
      <x:c r="A657" t="inlineStr">
        <x:is>
          <x:t xml:space="preserve">PDVPLAEXT003</x:t>
        </x:is>
      </x:c>
      <x:c r="B657" t="inlineStr">
        <x:is>
          <x:t xml:space="preserve">PLANCHA PVDF C/BACKING  3000MM X 1500MM X 3MM</x:t>
        </x:is>
      </x:c>
      <x:c r="C657" s="8" t="n">
        <x:v>11.5</x:v>
      </x:c>
      <x:c r="D657" s="8" t="n">
        <x:v>0</x:v>
      </x:c>
      <x:c r="E657" s="8" t="n">
        <x:v>0</x:v>
      </x:c>
      <x:c r="F657" s="8" t="n">
        <x:v>11.5</x:v>
      </x:c>
      <x:c r="G657" s="9" t="n">
        <x:v>12768750</x:v>
      </x:c>
      <x:c r="H657" s="9" t="n">
        <x:v>0</x:v>
      </x:c>
      <x:c r="I657" s="9" t="n">
        <x:v>0</x:v>
      </x:c>
      <x:c r="J657" s="9" t="n">
        <x:v>12768750</x:v>
      </x:c>
      <x:c r="K657" s="10" t="n">
        <x:v>1110326.086957</x:v>
      </x:c>
    </x:row>
    <x:row r="658">
      <x:c r="A658" t="inlineStr">
        <x:is>
          <x:t xml:space="preserve">PDVPLAEXT007</x:t>
        </x:is>
      </x:c>
      <x:c r="B658" t="inlineStr">
        <x:is>
          <x:t xml:space="preserve">TUBO PVDF DE 40X2.4 SDR 21</x:t>
        </x:is>
      </x:c>
      <x:c r="C658" s="8" t="n">
        <x:v>5</x:v>
      </x:c>
      <x:c r="D658" s="8" t="n">
        <x:v>0</x:v>
      </x:c>
      <x:c r="E658" s="8" t="n">
        <x:v>0</x:v>
      </x:c>
      <x:c r="F658" s="8" t="n">
        <x:v>5</x:v>
      </x:c>
      <x:c r="G658" s="9" t="n">
        <x:v>68000</x:v>
      </x:c>
      <x:c r="H658" s="9" t="n">
        <x:v>0</x:v>
      </x:c>
      <x:c r="I658" s="9" t="n">
        <x:v>0</x:v>
      </x:c>
      <x:c r="J658" s="9" t="n">
        <x:v>68000</x:v>
      </x:c>
      <x:c r="K658" s="10" t="n">
        <x:v>13600</x:v>
      </x:c>
    </x:row>
    <x:row r="659">
      <x:c r="A659" t="inlineStr">
        <x:is>
          <x:t xml:space="preserve">PDVPLAEXT009</x:t>
        </x:is>
      </x:c>
      <x:c r="B659" t="inlineStr">
        <x:is>
          <x:t xml:space="preserve">TUBO PVDF DE 160X3 SDR 33</x:t>
        </x:is>
      </x:c>
      <x:c r="C659" s="8" t="n">
        <x:v>25</x:v>
      </x:c>
      <x:c r="D659" s="8" t="n">
        <x:v>0</x:v>
      </x:c>
      <x:c r="E659" s="8" t="n">
        <x:v>0</x:v>
      </x:c>
      <x:c r="F659" s="8" t="n">
        <x:v>25</x:v>
      </x:c>
      <x:c r="G659" s="9" t="n">
        <x:v>83750</x:v>
      </x:c>
      <x:c r="H659" s="9" t="n">
        <x:v>0</x:v>
      </x:c>
      <x:c r="I659" s="9" t="n">
        <x:v>0</x:v>
      </x:c>
      <x:c r="J659" s="9" t="n">
        <x:v>83750</x:v>
      </x:c>
      <x:c r="K659" s="10" t="n">
        <x:v>3350</x:v>
      </x:c>
    </x:row>
    <x:row r="660">
      <x:c r="A660" t="inlineStr">
        <x:is>
          <x:t xml:space="preserve">PDVPLAEXT010</x:t>
        </x:is>
      </x:c>
      <x:c r="B660" t="inlineStr">
        <x:is>
          <x:t xml:space="preserve">TUBO PVDF DE 315X4 VENT</x:t>
        </x:is>
      </x:c>
      <x:c r="C660" s="8" t="n">
        <x:v>15</x:v>
      </x:c>
      <x:c r="D660" s="8" t="n">
        <x:v>0</x:v>
      </x:c>
      <x:c r="E660" s="8" t="n">
        <x:v>0</x:v>
      </x:c>
      <x:c r="F660" s="8" t="n">
        <x:v>15</x:v>
      </x:c>
      <x:c r="G660" s="9" t="n">
        <x:v>134250</x:v>
      </x:c>
      <x:c r="H660" s="9" t="n">
        <x:v>0</x:v>
      </x:c>
      <x:c r="I660" s="9" t="n">
        <x:v>0</x:v>
      </x:c>
      <x:c r="J660" s="9" t="n">
        <x:v>134250</x:v>
      </x:c>
      <x:c r="K660" s="10" t="n">
        <x:v>8950</x:v>
      </x:c>
    </x:row>
    <x:row r="661">
      <x:c r="A661" t="inlineStr">
        <x:is>
          <x:t xml:space="preserve">PDVPLAEXT011</x:t>
        </x:is>
      </x:c>
      <x:c r="B661" t="inlineStr">
        <x:is>
          <x:t xml:space="preserve">TUBO PVDF DE 200X3 VENT</x:t>
        </x:is>
      </x:c>
      <x:c r="C661" s="8" t="n">
        <x:v>5</x:v>
      </x:c>
      <x:c r="D661" s="8" t="n">
        <x:v>0</x:v>
      </x:c>
      <x:c r="E661" s="8" t="n">
        <x:v>0</x:v>
      </x:c>
      <x:c r="F661" s="8" t="n">
        <x:v>5</x:v>
      </x:c>
      <x:c r="G661" s="9" t="n">
        <x:v>203175</x:v>
      </x:c>
      <x:c r="H661" s="9" t="n">
        <x:v>0</x:v>
      </x:c>
      <x:c r="I661" s="9" t="n">
        <x:v>0</x:v>
      </x:c>
      <x:c r="J661" s="9" t="n">
        <x:v>203175</x:v>
      </x:c>
      <x:c r="K661" s="10" t="n">
        <x:v>40635.01497</x:v>
      </x:c>
    </x:row>
    <x:row r="662">
      <x:c r="A662" t="inlineStr">
        <x:is>
          <x:t xml:space="preserve">PDVPLAEXT012</x:t>
        </x:is>
      </x:c>
      <x:c r="B662" t="inlineStr">
        <x:is>
          <x:t xml:space="preserve">TUBO PVDF DE 63X3 SDR 21</x:t>
        </x:is>
      </x:c>
      <x:c r="C662" s="8" t="n">
        <x:v>60</x:v>
      </x:c>
      <x:c r="D662" s="8" t="n">
        <x:v>0</x:v>
      </x:c>
      <x:c r="E662" s="8" t="n">
        <x:v>0</x:v>
      </x:c>
      <x:c r="F662" s="8" t="n">
        <x:v>60</x:v>
      </x:c>
      <x:c r="G662" s="9" t="n">
        <x:v>1760400</x:v>
      </x:c>
      <x:c r="H662" s="9" t="n">
        <x:v>0</x:v>
      </x:c>
      <x:c r="I662" s="9" t="n">
        <x:v>0</x:v>
      </x:c>
      <x:c r="J662" s="9" t="n">
        <x:v>1760400</x:v>
      </x:c>
      <x:c r="K662" s="10" t="n">
        <x:v>29340</x:v>
      </x:c>
    </x:row>
    <x:row r="663">
      <x:c r="A663" t="inlineStr">
        <x:is>
          <x:t xml:space="preserve">PDVPLAEXT013</x:t>
        </x:is>
      </x:c>
      <x:c r="B663" t="inlineStr">
        <x:is>
          <x:t xml:space="preserve">TUBO PVDF DE 110X3.4 SDR 33</x:t>
        </x:is>
      </x:c>
      <x:c r="C663" s="8" t="n">
        <x:v>15</x:v>
      </x:c>
      <x:c r="D663" s="8" t="n">
        <x:v>0</x:v>
      </x:c>
      <x:c r="E663" s="8" t="n">
        <x:v>0</x:v>
      </x:c>
      <x:c r="F663" s="8" t="n">
        <x:v>15</x:v>
      </x:c>
      <x:c r="G663" s="9" t="n">
        <x:v>445500</x:v>
      </x:c>
      <x:c r="H663" s="9" t="n">
        <x:v>0</x:v>
      </x:c>
      <x:c r="I663" s="9" t="n">
        <x:v>0</x:v>
      </x:c>
      <x:c r="J663" s="9" t="n">
        <x:v>445500</x:v>
      </x:c>
      <x:c r="K663" s="10" t="n">
        <x:v>29700</x:v>
      </x:c>
    </x:row>
    <x:row r="664">
      <x:c r="A664" t="inlineStr">
        <x:is>
          <x:t xml:space="preserve">PDVPLAEXT014</x:t>
        </x:is>
      </x:c>
      <x:c r="B664" t="inlineStr">
        <x:is>
          <x:t xml:space="preserve">TUBO PVDF DE 50X3 SDR 21</x:t>
        </x:is>
      </x:c>
      <x:c r="C664" s="8" t="n">
        <x:v>25</x:v>
      </x:c>
      <x:c r="D664" s="8" t="n">
        <x:v>0</x:v>
      </x:c>
      <x:c r="E664" s="8" t="n">
        <x:v>0</x:v>
      </x:c>
      <x:c r="F664" s="8" t="n">
        <x:v>25</x:v>
      </x:c>
      <x:c r="G664" s="9" t="n">
        <x:v>1479500</x:v>
      </x:c>
      <x:c r="H664" s="9" t="n">
        <x:v>0</x:v>
      </x:c>
      <x:c r="I664" s="9" t="n">
        <x:v>0</x:v>
      </x:c>
      <x:c r="J664" s="9" t="n">
        <x:v>1479500</x:v>
      </x:c>
      <x:c r="K664" s="10" t="n">
        <x:v>59180</x:v>
      </x:c>
    </x:row>
    <x:row r="665">
      <x:c r="A665" t="inlineStr">
        <x:is>
          <x:t xml:space="preserve">PDVPLAEXT015</x:t>
        </x:is>
      </x:c>
      <x:c r="B665" t="inlineStr">
        <x:is>
          <x:t xml:space="preserve">TUBO PVDF DE 250X3 VENT</x:t>
        </x:is>
      </x:c>
      <x:c r="C665" s="8" t="n">
        <x:v>5</x:v>
      </x:c>
      <x:c r="D665" s="8" t="n">
        <x:v>0</x:v>
      </x:c>
      <x:c r="E665" s="8" t="n">
        <x:v>0</x:v>
      </x:c>
      <x:c r="F665" s="8" t="n">
        <x:v>5</x:v>
      </x:c>
      <x:c r="G665" s="9" t="n">
        <x:v>430750</x:v>
      </x:c>
      <x:c r="H665" s="9" t="n">
        <x:v>0</x:v>
      </x:c>
      <x:c r="I665" s="9" t="n">
        <x:v>0</x:v>
      </x:c>
      <x:c r="J665" s="9" t="n">
        <x:v>430750</x:v>
      </x:c>
      <x:c r="K665" s="10" t="n">
        <x:v>86150</x:v>
      </x:c>
    </x:row>
    <x:row r="666">
      <x:c r="A666" t="inlineStr">
        <x:is>
          <x:t xml:space="preserve">PDVPLAEXT016</x:t>
        </x:is>
      </x:c>
      <x:c r="B666" t="inlineStr">
        <x:is>
          <x:t xml:space="preserve">TUBO PVDF DE 355  VENT</x:t>
        </x:is>
      </x:c>
      <x:c r="C666" s="8" t="n">
        <x:v>10</x:v>
      </x:c>
      <x:c r="D666" s="8" t="n">
        <x:v>0</x:v>
      </x:c>
      <x:c r="E666" s="8" t="n">
        <x:v>0</x:v>
      </x:c>
      <x:c r="F666" s="8" t="n">
        <x:v>10</x:v>
      </x:c>
      <x:c r="G666" s="9" t="n">
        <x:v>1539000</x:v>
      </x:c>
      <x:c r="H666" s="9" t="n">
        <x:v>0</x:v>
      </x:c>
      <x:c r="I666" s="9" t="n">
        <x:v>0</x:v>
      </x:c>
      <x:c r="J666" s="9" t="n">
        <x:v>1539000</x:v>
      </x:c>
      <x:c r="K666" s="10" t="n">
        <x:v>153900</x:v>
      </x:c>
    </x:row>
    <x:row r="667">
      <x:c r="A667" t="inlineStr">
        <x:is>
          <x:t xml:space="preserve">PDVPLAEXT018</x:t>
        </x:is>
      </x:c>
      <x:c r="B667" t="inlineStr">
        <x:is>
          <x:t xml:space="preserve">STUB END PVDF 50X3.4</x:t>
        </x:is>
      </x:c>
      <x:c r="C667" s="8" t="n">
        <x:v>15</x:v>
      </x:c>
      <x:c r="D667" s="8" t="n">
        <x:v>0</x:v>
      </x:c>
      <x:c r="E667" s="8" t="n">
        <x:v>0</x:v>
      </x:c>
      <x:c r="F667" s="8" t="n">
        <x:v>15</x:v>
      </x:c>
      <x:c r="G667" s="9" t="n">
        <x:v>27525</x:v>
      </x:c>
      <x:c r="H667" s="9" t="n">
        <x:v>0</x:v>
      </x:c>
      <x:c r="I667" s="9" t="n">
        <x:v>0</x:v>
      </x:c>
      <x:c r="J667" s="9" t="n">
        <x:v>27525</x:v>
      </x:c>
      <x:c r="K667" s="10" t="n">
        <x:v>1835</x:v>
      </x:c>
    </x:row>
    <x:row r="668">
      <x:c r="A668" t="inlineStr">
        <x:is>
          <x:t xml:space="preserve">PDVPLAEXT025</x:t>
        </x:is>
      </x:c>
      <x:c r="B668" t="inlineStr">
        <x:is>
          <x:t xml:space="preserve">CODO PVDF 90° 50X3.0 VENT</x:t>
        </x:is>
      </x:c>
      <x:c r="C668" s="8" t="n">
        <x:v>5</x:v>
      </x:c>
      <x:c r="D668" s="8" t="n">
        <x:v>0</x:v>
      </x:c>
      <x:c r="E668" s="8" t="n">
        <x:v>0</x:v>
      </x:c>
      <x:c r="F668" s="8" t="n">
        <x:v>5</x:v>
      </x:c>
      <x:c r="G668" s="9" t="n">
        <x:v>66260</x:v>
      </x:c>
      <x:c r="H668" s="9" t="n">
        <x:v>0</x:v>
      </x:c>
      <x:c r="I668" s="9" t="n">
        <x:v>0</x:v>
      </x:c>
      <x:c r="J668" s="9" t="n">
        <x:v>66260</x:v>
      </x:c>
      <x:c r="K668" s="10" t="n">
        <x:v>13252</x:v>
      </x:c>
    </x:row>
    <x:row r="669">
      <x:c r="A669" t="inlineStr">
        <x:is>
          <x:t xml:space="preserve">PDVPLAEXT027</x:t>
        </x:is>
      </x:c>
      <x:c r="B669" t="inlineStr">
        <x:is>
          <x:t xml:space="preserve">CODO PVDF 90° 200X3.5 VENT SDR 21</x:t>
        </x:is>
      </x:c>
      <x:c r="C669" s="8" t="n">
        <x:v>2</x:v>
      </x:c>
      <x:c r="D669" s="8" t="n">
        <x:v>0</x:v>
      </x:c>
      <x:c r="E669" s="8" t="n">
        <x:v>0</x:v>
      </x:c>
      <x:c r="F669" s="8" t="n">
        <x:v>2</x:v>
      </x:c>
      <x:c r="G669" s="9" t="n">
        <x:v>20318</x:v>
      </x:c>
      <x:c r="H669" s="9" t="n">
        <x:v>0</x:v>
      </x:c>
      <x:c r="I669" s="9" t="n">
        <x:v>0</x:v>
      </x:c>
      <x:c r="J669" s="9" t="n">
        <x:v>20318</x:v>
      </x:c>
      <x:c r="K669" s="10" t="n">
        <x:v>10159</x:v>
      </x:c>
    </x:row>
    <x:row r="670">
      <x:c r="A670" t="inlineStr">
        <x:is>
          <x:t xml:space="preserve">PDVPLAEXT029</x:t>
        </x:is>
      </x:c>
      <x:c r="B670" t="inlineStr">
        <x:is>
          <x:t xml:space="preserve">CODO PVDF 90° 63X3 SDR 21</x:t>
        </x:is>
      </x:c>
      <x:c r="C670" s="8" t="n">
        <x:v>7</x:v>
      </x:c>
      <x:c r="D670" s="8" t="n">
        <x:v>0</x:v>
      </x:c>
      <x:c r="E670" s="8" t="n">
        <x:v>0</x:v>
      </x:c>
      <x:c r="F670" s="8" t="n">
        <x:v>7</x:v>
      </x:c>
      <x:c r="G670" s="9" t="n">
        <x:v>142919</x:v>
      </x:c>
      <x:c r="H670" s="9" t="n">
        <x:v>0</x:v>
      </x:c>
      <x:c r="I670" s="9" t="n">
        <x:v>0</x:v>
      </x:c>
      <x:c r="J670" s="9" t="n">
        <x:v>142919</x:v>
      </x:c>
      <x:c r="K670" s="10" t="n">
        <x:v>20417</x:v>
      </x:c>
    </x:row>
    <x:row r="671">
      <x:c r="A671" t="inlineStr">
        <x:is>
          <x:t xml:space="preserve">PDVPLAEXT030</x:t>
        </x:is>
      </x:c>
      <x:c r="B671" t="inlineStr">
        <x:is>
          <x:t xml:space="preserve">CODO PVDF 90° 250X33</x:t>
        </x:is>
      </x:c>
      <x:c r="C671" s="8" t="n">
        <x:v>7</x:v>
      </x:c>
      <x:c r="D671" s="8" t="n">
        <x:v>0</x:v>
      </x:c>
      <x:c r="E671" s="8" t="n">
        <x:v>0</x:v>
      </x:c>
      <x:c r="F671" s="8" t="n">
        <x:v>7</x:v>
      </x:c>
      <x:c r="G671" s="9" t="n">
        <x:v>330001</x:v>
      </x:c>
      <x:c r="H671" s="9" t="n">
        <x:v>0</x:v>
      </x:c>
      <x:c r="I671" s="9" t="n">
        <x:v>0</x:v>
      </x:c>
      <x:c r="J671" s="9" t="n">
        <x:v>330001</x:v>
      </x:c>
      <x:c r="K671" s="10" t="n">
        <x:v>47143</x:v>
      </x:c>
    </x:row>
    <x:row r="672">
      <x:c r="A672" t="inlineStr">
        <x:is>
          <x:t xml:space="preserve">PDVPLAEXT039</x:t>
        </x:is>
      </x:c>
      <x:c r="B672" t="inlineStr">
        <x:is>
          <x:t xml:space="preserve">PLANCHA PVDF SIN BACKING  2000MM X 1000MM X 3MM (COD: 30600201003)</x:t>
        </x:is>
      </x:c>
      <x:c r="C672" s="8" t="n">
        <x:v>2</x:v>
      </x:c>
      <x:c r="D672" s="8" t="n">
        <x:v>0</x:v>
      </x:c>
      <x:c r="E672" s="8" t="n">
        <x:v>0</x:v>
      </x:c>
      <x:c r="F672" s="8" t="n">
        <x:v>2</x:v>
      </x:c>
      <x:c r="G672" s="9" t="n">
        <x:v>1499400</x:v>
      </x:c>
      <x:c r="H672" s="9" t="n">
        <x:v>0</x:v>
      </x:c>
      <x:c r="I672" s="9" t="n">
        <x:v>0</x:v>
      </x:c>
      <x:c r="J672" s="9" t="n">
        <x:v>1499400</x:v>
      </x:c>
      <x:c r="K672" s="10" t="n">
        <x:v>749700</x:v>
      </x:c>
    </x:row>
    <x:row r="673">
      <x:c r="A673" t="inlineStr">
        <x:is>
          <x:t xml:space="preserve">PDVTUBPIP002</x:t>
        </x:is>
      </x:c>
      <x:c r="B673" t="inlineStr">
        <x:is>
          <x:t xml:space="preserve">PDVF TUBO 20mm</x:t>
        </x:is>
      </x:c>
      <x:c r="C673" s="8" t="n">
        <x:v>20</x:v>
      </x:c>
      <x:c r="D673" s="8" t="n">
        <x:v>0</x:v>
      </x:c>
      <x:c r="E673" s="8" t="n">
        <x:v>0</x:v>
      </x:c>
      <x:c r="F673" s="8" t="n">
        <x:v>20</x:v>
      </x:c>
      <x:c r="G673" s="9" t="n">
        <x:v>100000</x:v>
      </x:c>
      <x:c r="H673" s="9" t="n">
        <x:v>0</x:v>
      </x:c>
      <x:c r="I673" s="9" t="n">
        <x:v>0</x:v>
      </x:c>
      <x:c r="J673" s="9" t="n">
        <x:v>100000</x:v>
      </x:c>
      <x:c r="K673" s="10" t="n">
        <x:v>5000</x:v>
      </x:c>
    </x:row>
    <x:row r="674">
      <x:c r="A674" t="inlineStr">
        <x:is>
          <x:t xml:space="preserve">PDVTUBXBQ008</x:t>
        </x:is>
      </x:c>
      <x:c r="B674" t="inlineStr">
        <x:is>
          <x:t xml:space="preserve">TUBERIA PVDF NATURAL C/BACKING 125X3,0</x:t>
        </x:is>
      </x:c>
      <x:c r="C674" s="8" t="n">
        <x:v>4.6</x:v>
      </x:c>
      <x:c r="D674" s="8" t="n">
        <x:v>0</x:v>
      </x:c>
      <x:c r="E674" s="8" t="n">
        <x:v>0</x:v>
      </x:c>
      <x:c r="F674" s="8" t="n">
        <x:v>4.6</x:v>
      </x:c>
      <x:c r="G674" s="9" t="n">
        <x:v>1223752</x:v>
      </x:c>
      <x:c r="H674" s="9" t="n">
        <x:v>0</x:v>
      </x:c>
      <x:c r="I674" s="9" t="n">
        <x:v>0</x:v>
      </x:c>
      <x:c r="J674" s="9" t="n">
        <x:v>1223752</x:v>
      </x:c>
      <x:c r="K674" s="10" t="n">
        <x:v>266033</x:v>
      </x:c>
    </x:row>
    <x:row r="675">
      <x:c r="A675" t="inlineStr">
        <x:is>
          <x:t xml:space="preserve">PLABAR001002</x:t>
        </x:is>
      </x:c>
      <x:c r="B675" t="inlineStr">
        <x:is>
          <x:t xml:space="preserve">BARRA UHMW DIAM.100 MM</x:t>
        </x:is>
      </x:c>
      <x:c r="C675" s="8" t="n">
        <x:v>10.5</x:v>
      </x:c>
      <x:c r="D675" s="8" t="n">
        <x:v>0</x:v>
      </x:c>
      <x:c r="E675" s="8" t="n">
        <x:v>0</x:v>
      </x:c>
      <x:c r="F675" s="8" t="n">
        <x:v>10.5</x:v>
      </x:c>
      <x:c r="G675" s="9" t="n">
        <x:v>1261407</x:v>
      </x:c>
      <x:c r="H675" s="9" t="n">
        <x:v>0</x:v>
      </x:c>
      <x:c r="I675" s="9" t="n">
        <x:v>0</x:v>
      </x:c>
      <x:c r="J675" s="9" t="n">
        <x:v>1261407</x:v>
      </x:c>
      <x:c r="K675" s="10" t="n">
        <x:v>120134</x:v>
      </x:c>
    </x:row>
    <x:row r="676">
      <x:c r="A676" t="inlineStr">
        <x:is>
          <x:t xml:space="preserve">PLABAR001004</x:t>
        </x:is>
      </x:c>
      <x:c r="B676" t="inlineStr">
        <x:is>
          <x:t xml:space="preserve">BARRA HDPE NEGRA 110 MM DIAM.</x:t>
        </x:is>
      </x:c>
      <x:c r="C676" s="8" t="n">
        <x:v>19</x:v>
      </x:c>
      <x:c r="D676" s="8" t="n">
        <x:v>0</x:v>
      </x:c>
      <x:c r="E676" s="8" t="n">
        <x:v>0</x:v>
      </x:c>
      <x:c r="F676" s="8" t="n">
        <x:v>19</x:v>
      </x:c>
      <x:c r="G676" s="9" t="n">
        <x:v>1327473</x:v>
      </x:c>
      <x:c r="H676" s="9" t="n">
        <x:v>0</x:v>
      </x:c>
      <x:c r="I676" s="9" t="n">
        <x:v>0</x:v>
      </x:c>
      <x:c r="J676" s="9" t="n">
        <x:v>1327473</x:v>
      </x:c>
      <x:c r="K676" s="10" t="n">
        <x:v>69867</x:v>
      </x:c>
    </x:row>
    <x:row r="677">
      <x:c r="A677" t="inlineStr">
        <x:is>
          <x:t xml:space="preserve">PLACER001002</x:t>
        </x:is>
      </x:c>
      <x:c r="B677" t="inlineStr">
        <x:is>
          <x:t xml:space="preserve">PLANCHA DE CERAM-P 2000 X4080 X 55 MM</x:t>
        </x:is>
      </x:c>
      <x:c r="C677" s="8" t="n">
        <x:v>0.5</x:v>
      </x:c>
      <x:c r="D677" s="8" t="n">
        <x:v>0</x:v>
      </x:c>
      <x:c r="E677" s="8" t="n">
        <x:v>0</x:v>
      </x:c>
      <x:c r="F677" s="8" t="n">
        <x:v>0.5</x:v>
      </x:c>
      <x:c r="G677" s="9" t="n">
        <x:v>2178435</x:v>
      </x:c>
      <x:c r="H677" s="9" t="n">
        <x:v>0</x:v>
      </x:c>
      <x:c r="I677" s="9" t="n">
        <x:v>0</x:v>
      </x:c>
      <x:c r="J677" s="9" t="n">
        <x:v>2178435</x:v>
      </x:c>
      <x:c r="K677" s="10" t="n">
        <x:v>4356871</x:v>
      </x:c>
    </x:row>
    <x:row r="678">
      <x:c r="A678" t="inlineStr">
        <x:is>
          <x:t xml:space="preserve">PLACER001003</x:t>
        </x:is>
      </x:c>
      <x:c r="B678" t="inlineStr">
        <x:is>
          <x:t xml:space="preserve">PLANCHA DE CERAM-P 1000 X2000 X 80 MM</x:t>
        </x:is>
      </x:c>
      <x:c r="C678" s="8" t="n">
        <x:v>1.2</x:v>
      </x:c>
      <x:c r="D678" s="8" t="n">
        <x:v>0</x:v>
      </x:c>
      <x:c r="E678" s="8" t="n">
        <x:v>0</x:v>
      </x:c>
      <x:c r="F678" s="8" t="n">
        <x:v>1.2</x:v>
      </x:c>
      <x:c r="G678" s="9" t="n">
        <x:v>3332321</x:v>
      </x:c>
      <x:c r="H678" s="9" t="n">
        <x:v>0</x:v>
      </x:c>
      <x:c r="I678" s="9" t="n">
        <x:v>0</x:v>
      </x:c>
      <x:c r="J678" s="9" t="n">
        <x:v>3332321</x:v>
      </x:c>
      <x:c r="K678" s="10" t="n">
        <x:v>2776933.166667</x:v>
      </x:c>
    </x:row>
    <x:row r="679">
      <x:c r="A679" t="inlineStr">
        <x:is>
          <x:t xml:space="preserve">PLAECT001004</x:t>
        </x:is>
      </x:c>
      <x:c r="B679" t="inlineStr">
        <x:is>
          <x:t xml:space="preserve">40600301523 - Placa 3000X1500X2,3 ECTFENatur. Protect-Foil- Bothside</x:t>
        </x:is>
      </x:c>
      <x:c r="C679" s="8" t="n">
        <x:v>1</x:v>
      </x:c>
      <x:c r="D679" s="8" t="n">
        <x:v>0</x:v>
      </x:c>
      <x:c r="E679" s="8" t="n">
        <x:v>0</x:v>
      </x:c>
      <x:c r="F679" s="8" t="n">
        <x:v>1</x:v>
      </x:c>
      <x:c r="G679" s="9" t="n">
        <x:v>1088696</x:v>
      </x:c>
      <x:c r="H679" s="9" t="n">
        <x:v>0</x:v>
      </x:c>
      <x:c r="I679" s="9" t="n">
        <x:v>0</x:v>
      </x:c>
      <x:c r="J679" s="9" t="n">
        <x:v>1088696</x:v>
      </x:c>
      <x:c r="K679" s="10" t="n">
        <x:v>1088696</x:v>
      </x:c>
    </x:row>
    <x:row r="680">
      <x:c r="A680" t="inlineStr">
        <x:is>
          <x:t xml:space="preserve">PLAHDP001004</x:t>
        </x:is>
      </x:c>
      <x:c r="B680" t="inlineStr">
        <x:is>
          <x:t xml:space="preserve">PLANCHA HDPE BLANCA 1200X3000X3/4 MM</x:t>
        </x:is>
      </x:c>
      <x:c r="C680" s="8" t="n">
        <x:v>3</x:v>
      </x:c>
      <x:c r="D680" s="8" t="n">
        <x:v>0</x:v>
      </x:c>
      <x:c r="E680" s="8" t="n">
        <x:v>0</x:v>
      </x:c>
      <x:c r="F680" s="8" t="n">
        <x:v>3</x:v>
      </x:c>
      <x:c r="G680" s="9" t="n">
        <x:v>289692</x:v>
      </x:c>
      <x:c r="H680" s="9" t="n">
        <x:v>0</x:v>
      </x:c>
      <x:c r="I680" s="9" t="n">
        <x:v>0</x:v>
      </x:c>
      <x:c r="J680" s="9" t="n">
        <x:v>289692</x:v>
      </x:c>
      <x:c r="K680" s="10" t="n">
        <x:v>96564</x:v>
      </x:c>
    </x:row>
    <x:row r="681">
      <x:c r="A681" t="inlineStr">
        <x:is>
          <x:t xml:space="preserve">PLAHDP001014</x:t>
        </x:is>
      </x:c>
      <x:c r="B681" t="inlineStr">
        <x:is>
          <x:t xml:space="preserve">PLANCHA HDPE NEGRA 1500X3000X8MM</x:t>
        </x:is>
      </x:c>
      <x:c r="C681" s="8" t="n">
        <x:v>1</x:v>
      </x:c>
      <x:c r="D681" s="8" t="n">
        <x:v>0</x:v>
      </x:c>
      <x:c r="E681" s="8" t="n">
        <x:v>0</x:v>
      </x:c>
      <x:c r="F681" s="8" t="n">
        <x:v>1</x:v>
      </x:c>
      <x:c r="G681" s="9" t="n">
        <x:v>144000</x:v>
      </x:c>
      <x:c r="H681" s="9" t="n">
        <x:v>0</x:v>
      </x:c>
      <x:c r="I681" s="9" t="n">
        <x:v>0</x:v>
      </x:c>
      <x:c r="J681" s="9" t="n">
        <x:v>144000</x:v>
      </x:c>
      <x:c r="K681" s="10" t="n">
        <x:v>144000</x:v>
      </x:c>
    </x:row>
    <x:row r="682">
      <x:c r="A682" t="inlineStr">
        <x:is>
          <x:t xml:space="preserve">PLAHDP001022</x:t>
        </x:is>
      </x:c>
      <x:c r="B682" t="inlineStr">
        <x:is>
          <x:t xml:space="preserve">PLANCHA HDPE NEGRA 3000 x 1500 x 5 MM CON BACKING</x:t>
        </x:is>
      </x:c>
      <x:c r="C682" s="8" t="n">
        <x:v>1</x:v>
      </x:c>
      <x:c r="D682" s="8" t="n">
        <x:v>0</x:v>
      </x:c>
      <x:c r="E682" s="8" t="n">
        <x:v>0</x:v>
      </x:c>
      <x:c r="F682" s="8" t="n">
        <x:v>1</x:v>
      </x:c>
      <x:c r="G682" s="9" t="n">
        <x:v>157500</x:v>
      </x:c>
      <x:c r="H682" s="9" t="n">
        <x:v>0</x:v>
      </x:c>
      <x:c r="I682" s="9" t="n">
        <x:v>0</x:v>
      </x:c>
      <x:c r="J682" s="9" t="n">
        <x:v>157500</x:v>
      </x:c>
      <x:c r="K682" s="10" t="n">
        <x:v>157500</x:v>
      </x:c>
    </x:row>
    <x:row r="683">
      <x:c r="A683" t="inlineStr">
        <x:is>
          <x:t xml:space="preserve">PLASUPLIN002</x:t>
        </x:is>
      </x:c>
      <x:c r="B683" t="inlineStr">
        <x:is>
          <x:t xml:space="preserve">PERNOS CAPED BOLT 3/8</x:t>
        </x:is>
      </x:c>
      <x:c r="C683" s="8" t="n">
        <x:v>1200</x:v>
      </x:c>
      <x:c r="D683" s="8" t="n">
        <x:v>0</x:v>
      </x:c>
      <x:c r="E683" s="8" t="n">
        <x:v>0</x:v>
      </x:c>
      <x:c r="F683" s="8" t="n">
        <x:v>1200</x:v>
      </x:c>
      <x:c r="G683" s="9" t="n">
        <x:v>1968000</x:v>
      </x:c>
      <x:c r="H683" s="9" t="n">
        <x:v>0</x:v>
      </x:c>
      <x:c r="I683" s="9" t="n">
        <x:v>0</x:v>
      </x:c>
      <x:c r="J683" s="9" t="n">
        <x:v>1968000</x:v>
      </x:c>
      <x:c r="K683" s="10" t="n">
        <x:v>1640</x:v>
      </x:c>
    </x:row>
    <x:row r="684">
      <x:c r="A684" t="inlineStr">
        <x:is>
          <x:t xml:space="preserve">PLASUPLIN006</x:t>
        </x:is>
      </x:c>
      <x:c r="B684" t="inlineStr">
        <x:is>
          <x:t xml:space="preserve">PLANCHA SUPERLINER AZUL 1200x3000x 3/4</x:t>
        </x:is>
      </x:c>
      <x:c r="C684" s="8" t="n">
        <x:v>2</x:v>
      </x:c>
      <x:c r="D684" s="8" t="n">
        <x:v>0</x:v>
      </x:c>
      <x:c r="E684" s="8" t="n">
        <x:v>0</x:v>
      </x:c>
      <x:c r="F684" s="8" t="n">
        <x:v>2</x:v>
      </x:c>
      <x:c r="G684" s="9" t="n">
        <x:v>334929</x:v>
      </x:c>
      <x:c r="H684" s="9" t="n">
        <x:v>0</x:v>
      </x:c>
      <x:c r="I684" s="9" t="n">
        <x:v>0</x:v>
      </x:c>
      <x:c r="J684" s="9" t="n">
        <x:v>334929</x:v>
      </x:c>
      <x:c r="K684" s="10" t="n">
        <x:v>334929</x:v>
      </x:c>
    </x:row>
    <x:row r="685">
      <x:c r="A685" t="inlineStr">
        <x:is>
          <x:t xml:space="preserve">PLASUPLIN007</x:t>
        </x:is>
      </x:c>
      <x:c r="B685" t="inlineStr">
        <x:is>
          <x:t xml:space="preserve">PLANCHA DE SUPERLINER AZUL (CHINO) 6000 X 1200 X 12 MM</x:t>
        </x:is>
      </x:c>
      <x:c r="C685" s="8" t="n">
        <x:v>5</x:v>
      </x:c>
      <x:c r="D685" s="8" t="n">
        <x:v>0</x:v>
      </x:c>
      <x:c r="E685" s="8" t="n">
        <x:v>0</x:v>
      </x:c>
      <x:c r="F685" s="8" t="n">
        <x:v>5</x:v>
      </x:c>
      <x:c r="G685" s="9" t="n">
        <x:v>950000</x:v>
      </x:c>
      <x:c r="H685" s="9" t="n">
        <x:v>0</x:v>
      </x:c>
      <x:c r="I685" s="9" t="n">
        <x:v>0</x:v>
      </x:c>
      <x:c r="J685" s="9" t="n">
        <x:v>950000</x:v>
      </x:c>
      <x:c r="K685" s="10" t="n">
        <x:v>190000</x:v>
      </x:c>
    </x:row>
    <x:row r="686">
      <x:c r="A686" t="inlineStr">
        <x:is>
          <x:t xml:space="preserve">PLASUPLIN008</x:t>
        </x:is>
      </x:c>
      <x:c r="B686" t="inlineStr">
        <x:is>
          <x:t xml:space="preserve">PLANCHA DE SUPERLINER AZUL (CHINO) 6000 X 1200 X 19 MM</x:t>
        </x:is>
      </x:c>
      <x:c r="C686" s="8" t="n">
        <x:v>5</x:v>
      </x:c>
      <x:c r="D686" s="8" t="n">
        <x:v>0</x:v>
      </x:c>
      <x:c r="E686" s="8" t="n">
        <x:v>0</x:v>
      </x:c>
      <x:c r="F686" s="8" t="n">
        <x:v>5</x:v>
      </x:c>
      <x:c r="G686" s="9" t="n">
        <x:v>1550000</x:v>
      </x:c>
      <x:c r="H686" s="9" t="n">
        <x:v>0</x:v>
      </x:c>
      <x:c r="I686" s="9" t="n">
        <x:v>0</x:v>
      </x:c>
      <x:c r="J686" s="9" t="n">
        <x:v>1550000</x:v>
      </x:c>
      <x:c r="K686" s="10" t="n">
        <x:v>310000</x:v>
      </x:c>
    </x:row>
    <x:row r="687">
      <x:c r="A687" t="inlineStr">
        <x:is>
          <x:t xml:space="preserve">PLASUPLIN12M</x:t>
        </x:is>
      </x:c>
      <x:c r="B687" t="inlineStr">
        <x:is>
          <x:t xml:space="preserve">PLANCHA PE-100 SUPÉRLINING 3000 X 1250 X 12MM -</x:t>
        </x:is>
      </x:c>
      <x:c r="C687" s="8" t="n">
        <x:v>4</x:v>
      </x:c>
      <x:c r="D687" s="8" t="n">
        <x:v>0</x:v>
      </x:c>
      <x:c r="E687" s="8" t="n">
        <x:v>0</x:v>
      </x:c>
      <x:c r="F687" s="8" t="n">
        <x:v>4</x:v>
      </x:c>
      <x:c r="G687" s="9" t="n">
        <x:v>865332</x:v>
      </x:c>
      <x:c r="H687" s="9" t="n">
        <x:v>0</x:v>
      </x:c>
      <x:c r="I687" s="9" t="n">
        <x:v>0</x:v>
      </x:c>
      <x:c r="J687" s="9" t="n">
        <x:v>865332</x:v>
      </x:c>
      <x:c r="K687" s="10" t="n">
        <x:v>216333</x:v>
      </x:c>
    </x:row>
    <x:row r="688">
      <x:c r="A688" t="inlineStr">
        <x:is>
          <x:t xml:space="preserve">PLATEFPUR001</x:t>
        </x:is>
      </x:c>
      <x:c r="B688" t="inlineStr">
        <x:is>
          <x:t xml:space="preserve">ROLLO DE TEFLON PURO 0.4 MM X 1000 MM ANCHO ROLLO</x:t>
        </x:is>
      </x:c>
      <x:c r="C688" s="8" t="n">
        <x:v>1</x:v>
      </x:c>
      <x:c r="D688" s="8" t="n">
        <x:v>0</x:v>
      </x:c>
      <x:c r="E688" s="8" t="n">
        <x:v>0</x:v>
      </x:c>
      <x:c r="F688" s="8" t="n">
        <x:v>1</x:v>
      </x:c>
      <x:c r="G688" s="9" t="n">
        <x:v>25000</x:v>
      </x:c>
      <x:c r="H688" s="9" t="n">
        <x:v>0</x:v>
      </x:c>
      <x:c r="I688" s="9" t="n">
        <x:v>0</x:v>
      </x:c>
      <x:c r="J688" s="9" t="n">
        <x:v>25000</x:v>
      </x:c>
      <x:c r="K688" s="10" t="n">
        <x:v>25000</x:v>
      </x:c>
    </x:row>
    <x:row r="689">
      <x:c r="A689" t="inlineStr">
        <x:is>
          <x:t xml:space="preserve">PLATEFPUR002</x:t>
        </x:is>
      </x:c>
      <x:c r="B689" t="inlineStr">
        <x:is>
          <x:t xml:space="preserve">PLANCHA DE TEFLON PURO 1200 X 1200 X 1/4</x:t>
        </x:is>
      </x:c>
      <x:c r="C689" s="8" t="n">
        <x:v>2</x:v>
      </x:c>
      <x:c r="D689" s="8" t="n">
        <x:v>0</x:v>
      </x:c>
      <x:c r="E689" s="8" t="n">
        <x:v>0</x:v>
      </x:c>
      <x:c r="F689" s="8" t="n">
        <x:v>2</x:v>
      </x:c>
      <x:c r="G689" s="9" t="n">
        <x:v>144820</x:v>
      </x:c>
      <x:c r="H689" s="9" t="n">
        <x:v>0</x:v>
      </x:c>
      <x:c r="I689" s="9" t="n">
        <x:v>0</x:v>
      </x:c>
      <x:c r="J689" s="9" t="n">
        <x:v>144820</x:v>
      </x:c>
      <x:c r="K689" s="10" t="n">
        <x:v>72410</x:v>
      </x:c>
    </x:row>
    <x:row r="690">
      <x:c r="A690" t="inlineStr">
        <x:is>
          <x:t xml:space="preserve">PPBBARDIN001</x:t>
        </x:is>
      </x:c>
      <x:c r="B690" t="inlineStr">
        <x:is>
          <x:t xml:space="preserve">BARRA POLIPROPILENO DIAM.100MM X 1000 MM LGO</x:t>
        </x:is>
      </x:c>
      <x:c r="C690" s="8" t="n">
        <x:v>14.5</x:v>
      </x:c>
      <x:c r="D690" s="8" t="n">
        <x:v>0</x:v>
      </x:c>
      <x:c r="E690" s="8" t="n">
        <x:v>0</x:v>
      </x:c>
      <x:c r="F690" s="8" t="n">
        <x:v>14.5</x:v>
      </x:c>
      <x:c r="G690" s="9" t="n">
        <x:v>53839</x:v>
      </x:c>
      <x:c r="H690" s="9" t="n">
        <x:v>0</x:v>
      </x:c>
      <x:c r="I690" s="9" t="n">
        <x:v>0</x:v>
      </x:c>
      <x:c r="J690" s="9" t="n">
        <x:v>53839</x:v>
      </x:c>
      <x:c r="K690" s="10" t="n">
        <x:v>3713</x:v>
      </x:c>
    </x:row>
    <x:row r="691">
      <x:c r="A691" t="inlineStr">
        <x:is>
          <x:t xml:space="preserve">PPBBARDIN007</x:t>
        </x:is>
      </x:c>
      <x:c r="B691" t="inlineStr">
        <x:is>
          <x:t xml:space="preserve">PP BARRA DIAM. 80 MM X 1000 MM LGO</x:t>
        </x:is>
      </x:c>
      <x:c r="C691" s="8" t="n">
        <x:v>100</x:v>
      </x:c>
      <x:c r="D691" s="8" t="n">
        <x:v>0</x:v>
      </x:c>
      <x:c r="E691" s="8" t="n">
        <x:v>0</x:v>
      </x:c>
      <x:c r="F691" s="8" t="n">
        <x:v>100</x:v>
      </x:c>
      <x:c r="G691" s="9" t="n">
        <x:v>2781506</x:v>
      </x:c>
      <x:c r="H691" s="9" t="n">
        <x:v>0</x:v>
      </x:c>
      <x:c r="I691" s="9" t="n">
        <x:v>0</x:v>
      </x:c>
      <x:c r="J691" s="9" t="n">
        <x:v>2781506</x:v>
      </x:c>
      <x:c r="K691" s="10" t="n">
        <x:v>27815.055898</x:v>
      </x:c>
    </x:row>
    <x:row r="692">
      <x:c r="A692" t="inlineStr">
        <x:is>
          <x:t xml:space="preserve">PPBBARDIN008</x:t>
        </x:is>
      </x:c>
      <x:c r="B692" t="inlineStr">
        <x:is>
          <x:t xml:space="preserve">11800016010 - PP BARRA DIAM. 160 MM X 1000 MM LGO</x:t>
        </x:is>
      </x:c>
      <x:c r="C692" s="8" t="n">
        <x:v>28</x:v>
      </x:c>
      <x:c r="D692" s="8" t="n">
        <x:v>0</x:v>
      </x:c>
      <x:c r="E692" s="8" t="n">
        <x:v>0</x:v>
      </x:c>
      <x:c r="F692" s="8" t="n">
        <x:v>28</x:v>
      </x:c>
      <x:c r="G692" s="9" t="n">
        <x:v>3188148</x:v>
      </x:c>
      <x:c r="H692" s="9" t="n">
        <x:v>0</x:v>
      </x:c>
      <x:c r="I692" s="9" t="n">
        <x:v>0</x:v>
      </x:c>
      <x:c r="J692" s="9" t="n">
        <x:v>3188148</x:v>
      </x:c>
      <x:c r="K692" s="10" t="n">
        <x:v>113862.418094</x:v>
      </x:c>
    </x:row>
    <x:row r="693">
      <x:c r="A693" t="inlineStr">
        <x:is>
          <x:t xml:space="preserve">PPBBARDIN009</x:t>
        </x:is>
      </x:c>
      <x:c r="B693" t="inlineStr">
        <x:is>
          <x:t xml:space="preserve">11800011010 - PP BARRA DIAM. 110 MM X 2000 MM LGO</x:t>
        </x:is>
      </x:c>
      <x:c r="C693" s="8" t="n">
        <x:v>2</x:v>
      </x:c>
      <x:c r="D693" s="8" t="n">
        <x:v>0</x:v>
      </x:c>
      <x:c r="E693" s="8" t="n">
        <x:v>0</x:v>
      </x:c>
      <x:c r="F693" s="8" t="n">
        <x:v>2</x:v>
      </x:c>
      <x:c r="G693" s="9" t="n">
        <x:v>130887</x:v>
      </x:c>
      <x:c r="H693" s="9" t="n">
        <x:v>0</x:v>
      </x:c>
      <x:c r="I693" s="9" t="n">
        <x:v>0</x:v>
      </x:c>
      <x:c r="J693" s="9" t="n">
        <x:v>130887</x:v>
      </x:c>
      <x:c r="K693" s="10" t="n">
        <x:v>65443.33</x:v>
      </x:c>
    </x:row>
    <x:row r="694">
      <x:c r="A694" t="inlineStr">
        <x:is>
          <x:t xml:space="preserve">PPBBARDIN011</x:t>
        </x:is>
      </x:c>
      <x:c r="B694" t="inlineStr">
        <x:is>
          <x:t xml:space="preserve">11800020010 - PP BARRA DIAM. 200 MM X 1000 MM LGO</x:t>
        </x:is>
      </x:c>
      <x:c r="C694" s="8" t="n">
        <x:v>2</x:v>
      </x:c>
      <x:c r="D694" s="8" t="n">
        <x:v>0</x:v>
      </x:c>
      <x:c r="E694" s="8" t="n">
        <x:v>0</x:v>
      </x:c>
      <x:c r="F694" s="8" t="n">
        <x:v>2</x:v>
      </x:c>
      <x:c r="G694" s="9" t="n">
        <x:v>433182</x:v>
      </x:c>
      <x:c r="H694" s="9" t="n">
        <x:v>0</x:v>
      </x:c>
      <x:c r="I694" s="9" t="n">
        <x:v>0</x:v>
      </x:c>
      <x:c r="J694" s="9" t="n">
        <x:v>433182</x:v>
      </x:c>
      <x:c r="K694" s="10" t="n">
        <x:v>216590.8</x:v>
      </x:c>
    </x:row>
    <x:row r="695">
      <x:c r="A695" t="inlineStr">
        <x:is>
          <x:t xml:space="preserve">PPBBARDIN025</x:t>
        </x:is>
      </x:c>
      <x:c r="B695" t="inlineStr">
        <x:is>
          <x:t xml:space="preserve">11800030010 - PP BARRA DIAM. 300 MM X 1000 MM LGO</x:t>
        </x:is>
      </x:c>
      <x:c r="C695" s="8" t="n">
        <x:v>11.2</x:v>
      </x:c>
      <x:c r="D695" s="8" t="n">
        <x:v>0</x:v>
      </x:c>
      <x:c r="E695" s="8" t="n">
        <x:v>0</x:v>
      </x:c>
      <x:c r="F695" s="8" t="n">
        <x:v>11.2</x:v>
      </x:c>
      <x:c r="G695" s="9" t="n">
        <x:v>6051105</x:v>
      </x:c>
      <x:c r="H695" s="9" t="n">
        <x:v>0</x:v>
      </x:c>
      <x:c r="I695" s="9" t="n">
        <x:v>0</x:v>
      </x:c>
      <x:c r="J695" s="9" t="n">
        <x:v>6051105</x:v>
      </x:c>
      <x:c r="K695" s="10" t="n">
        <x:v>540277.25</x:v>
      </x:c>
    </x:row>
    <x:row r="696">
      <x:c r="A696" t="inlineStr">
        <x:is>
          <x:t xml:space="preserve">PPBBARDIN029</x:t>
        </x:is>
      </x:c>
      <x:c r="B696" t="inlineStr">
        <x:is>
          <x:t xml:space="preserve">PP BARRA DE 300MM  DIA. X 1450 MM LGO POLIPROPILENO</x:t>
        </x:is>
      </x:c>
      <x:c r="C696" s="8" t="n">
        <x:v>21</x:v>
      </x:c>
      <x:c r="D696" s="8" t="n">
        <x:v>0</x:v>
      </x:c>
      <x:c r="E696" s="8" t="n">
        <x:v>0</x:v>
      </x:c>
      <x:c r="F696" s="8" t="n">
        <x:v>21</x:v>
      </x:c>
      <x:c r="G696" s="9" t="n">
        <x:v>14358792</x:v>
      </x:c>
      <x:c r="H696" s="9" t="n">
        <x:v>0</x:v>
      </x:c>
      <x:c r="I696" s="9" t="n">
        <x:v>0</x:v>
      </x:c>
      <x:c r="J696" s="9" t="n">
        <x:v>14358792</x:v>
      </x:c>
      <x:c r="K696" s="10" t="n">
        <x:v>683752</x:v>
      </x:c>
    </x:row>
    <x:row r="697">
      <x:c r="A697" t="inlineStr">
        <x:is>
          <x:t xml:space="preserve">PPC45GS11001</x:t>
        </x:is>
      </x:c>
      <x:c r="B697" t="inlineStr">
        <x:is>
          <x:t xml:space="preserve">CODO POLIPROPILENO 45 GRD 90 SDR11</x:t>
        </x:is>
      </x:c>
      <x:c r="C697" s="8" t="n">
        <x:v>5</x:v>
      </x:c>
      <x:c r="D697" s="8" t="n">
        <x:v>0</x:v>
      </x:c>
      <x:c r="E697" s="8" t="n">
        <x:v>0</x:v>
      </x:c>
      <x:c r="F697" s="8" t="n">
        <x:v>5</x:v>
      </x:c>
      <x:c r="G697" s="9" t="n">
        <x:v>10780</x:v>
      </x:c>
      <x:c r="H697" s="9" t="n">
        <x:v>0</x:v>
      </x:c>
      <x:c r="I697" s="9" t="n">
        <x:v>0</x:v>
      </x:c>
      <x:c r="J697" s="9" t="n">
        <x:v>10780</x:v>
      </x:c>
      <x:c r="K697" s="10" t="n">
        <x:v>2156</x:v>
      </x:c>
    </x:row>
    <x:row r="698">
      <x:c r="A698" t="inlineStr">
        <x:is>
          <x:t xml:space="preserve">PPC45GS11110</x:t>
        </x:is>
      </x:c>
      <x:c r="B698" t="inlineStr">
        <x:is>
          <x:t xml:space="preserve">PP-CODO45-110X9.9SDR11</x:t>
        </x:is>
      </x:c>
      <x:c r="C698" s="8" t="n">
        <x:v>10</x:v>
      </x:c>
      <x:c r="D698" s="8" t="n">
        <x:v>0</x:v>
      </x:c>
      <x:c r="E698" s="8" t="n">
        <x:v>0</x:v>
      </x:c>
      <x:c r="F698" s="8" t="n">
        <x:v>10</x:v>
      </x:c>
      <x:c r="G698" s="9" t="n">
        <x:v>54500</x:v>
      </x:c>
      <x:c r="H698" s="9" t="n">
        <x:v>0</x:v>
      </x:c>
      <x:c r="I698" s="9" t="n">
        <x:v>0</x:v>
      </x:c>
      <x:c r="J698" s="9" t="n">
        <x:v>54500</x:v>
      </x:c>
      <x:c r="K698" s="10" t="n">
        <x:v>5450</x:v>
      </x:c>
    </x:row>
    <x:row r="699">
      <x:c r="A699" t="inlineStr">
        <x:is>
          <x:t xml:space="preserve">PPC45GS17090</x:t>
        </x:is>
      </x:c>
      <x:c r="B699" t="inlineStr">
        <x:is>
          <x:t xml:space="preserve">PP-CODO45- 90 X 5.4 SDR17</x:t>
        </x:is>
      </x:c>
      <x:c r="C699" s="8" t="n">
        <x:v>2</x:v>
      </x:c>
      <x:c r="D699" s="8" t="n">
        <x:v>0</x:v>
      </x:c>
      <x:c r="E699" s="8" t="n">
        <x:v>0</x:v>
      </x:c>
      <x:c r="F699" s="8" t="n">
        <x:v>2</x:v>
      </x:c>
      <x:c r="G699" s="9" t="n">
        <x:v>4312</x:v>
      </x:c>
      <x:c r="H699" s="9" t="n">
        <x:v>0</x:v>
      </x:c>
      <x:c r="I699" s="9" t="n">
        <x:v>0</x:v>
      </x:c>
      <x:c r="J699" s="9" t="n">
        <x:v>4312</x:v>
      </x:c>
      <x:c r="K699" s="10" t="n">
        <x:v>2156</x:v>
      </x:c>
    </x:row>
    <x:row r="700">
      <x:c r="A700" t="inlineStr">
        <x:is>
          <x:t xml:space="preserve">PPC45GS17250</x:t>
        </x:is>
      </x:c>
      <x:c r="B700" t="inlineStr">
        <x:is>
          <x:t xml:space="preserve">PP-CODO45-250X14.8SDR17</x:t>
        </x:is>
      </x:c>
      <x:c r="C700" s="8" t="n">
        <x:v>8</x:v>
      </x:c>
      <x:c r="D700" s="8" t="n">
        <x:v>0</x:v>
      </x:c>
      <x:c r="E700" s="8" t="n">
        <x:v>0</x:v>
      </x:c>
      <x:c r="F700" s="8" t="n">
        <x:v>8</x:v>
      </x:c>
      <x:c r="G700" s="9" t="n">
        <x:v>175568</x:v>
      </x:c>
      <x:c r="H700" s="9" t="n">
        <x:v>0</x:v>
      </x:c>
      <x:c r="I700" s="9" t="n">
        <x:v>0</x:v>
      </x:c>
      <x:c r="J700" s="9" t="n">
        <x:v>175568</x:v>
      </x:c>
      <x:c r="K700" s="10" t="n">
        <x:v>21946</x:v>
      </x:c>
    </x:row>
    <x:row r="701">
      <x:c r="A701" t="inlineStr">
        <x:is>
          <x:t xml:space="preserve">PPC90GS11110</x:t>
        </x:is>
      </x:c>
      <x:c r="B701" t="inlineStr">
        <x:is>
          <x:t xml:space="preserve">PP-CODO90-110X10SDR11</x:t>
        </x:is>
      </x:c>
      <x:c r="C701" s="8" t="n">
        <x:v>85</x:v>
      </x:c>
      <x:c r="D701" s="8" t="n">
        <x:v>0</x:v>
      </x:c>
      <x:c r="E701" s="8" t="n">
        <x:v>0</x:v>
      </x:c>
      <x:c r="F701" s="8" t="n">
        <x:v>85</x:v>
      </x:c>
      <x:c r="G701" s="9" t="n">
        <x:v>1223065</x:v>
      </x:c>
      <x:c r="H701" s="9" t="n">
        <x:v>0</x:v>
      </x:c>
      <x:c r="I701" s="9" t="n">
        <x:v>0</x:v>
      </x:c>
      <x:c r="J701" s="9" t="n">
        <x:v>1223065</x:v>
      </x:c>
      <x:c r="K701" s="10" t="n">
        <x:v>14389</x:v>
      </x:c>
    </x:row>
    <x:row r="702">
      <x:c r="A702" t="inlineStr">
        <x:is>
          <x:t xml:space="preserve">PPC90GS11140</x:t>
        </x:is>
      </x:c>
      <x:c r="B702" t="inlineStr">
        <x:is>
          <x:t xml:space="preserve">PP-CODO90-140X12.8SDR11</x:t>
        </x:is>
      </x:c>
      <x:c r="C702" s="8" t="n">
        <x:v>32</x:v>
      </x:c>
      <x:c r="D702" s="8" t="n">
        <x:v>0</x:v>
      </x:c>
      <x:c r="E702" s="8" t="n">
        <x:v>0</x:v>
      </x:c>
      <x:c r="F702" s="8" t="n">
        <x:v>32</x:v>
      </x:c>
      <x:c r="G702" s="9" t="n">
        <x:v>659200</x:v>
      </x:c>
      <x:c r="H702" s="9" t="n">
        <x:v>0</x:v>
      </x:c>
      <x:c r="I702" s="9" t="n">
        <x:v>0</x:v>
      </x:c>
      <x:c r="J702" s="9" t="n">
        <x:v>659200</x:v>
      </x:c>
      <x:c r="K702" s="10" t="n">
        <x:v>20600</x:v>
      </x:c>
    </x:row>
    <x:row r="703">
      <x:c r="A703" t="inlineStr">
        <x:is>
          <x:t xml:space="preserve">PPC90GS11160</x:t>
        </x:is>
      </x:c>
      <x:c r="B703" t="inlineStr">
        <x:is>
          <x:t xml:space="preserve">PP-CODO90-160X14.6SDR11</x:t>
        </x:is>
      </x:c>
      <x:c r="C703" s="8" t="n">
        <x:v>23</x:v>
      </x:c>
      <x:c r="D703" s="8" t="n">
        <x:v>0</x:v>
      </x:c>
      <x:c r="E703" s="8" t="n">
        <x:v>0</x:v>
      </x:c>
      <x:c r="F703" s="8" t="n">
        <x:v>23</x:v>
      </x:c>
      <x:c r="G703" s="9" t="n">
        <x:v>634800</x:v>
      </x:c>
      <x:c r="H703" s="9" t="n">
        <x:v>0</x:v>
      </x:c>
      <x:c r="I703" s="9" t="n">
        <x:v>0</x:v>
      </x:c>
      <x:c r="J703" s="9" t="n">
        <x:v>634800</x:v>
      </x:c>
      <x:c r="K703" s="10" t="n">
        <x:v>27600</x:v>
      </x:c>
    </x:row>
    <x:row r="704">
      <x:c r="A704" t="inlineStr">
        <x:is>
          <x:t xml:space="preserve">PPC90GS11200</x:t>
        </x:is>
      </x:c>
      <x:c r="B704" t="inlineStr">
        <x:is>
          <x:t xml:space="preserve">PP-CODO90-200X18.2SDR11</x:t>
        </x:is>
      </x:c>
      <x:c r="C704" s="8" t="n">
        <x:v>13</x:v>
      </x:c>
      <x:c r="D704" s="8" t="n">
        <x:v>0</x:v>
      </x:c>
      <x:c r="E704" s="8" t="n">
        <x:v>0</x:v>
      </x:c>
      <x:c r="F704" s="8" t="n">
        <x:v>13</x:v>
      </x:c>
      <x:c r="G704" s="9" t="n">
        <x:v>282932</x:v>
      </x:c>
      <x:c r="H704" s="9" t="n">
        <x:v>0</x:v>
      </x:c>
      <x:c r="I704" s="9" t="n">
        <x:v>0</x:v>
      </x:c>
      <x:c r="J704" s="9" t="n">
        <x:v>282932</x:v>
      </x:c>
      <x:c r="K704" s="10" t="n">
        <x:v>21764</x:v>
      </x:c>
    </x:row>
    <x:row r="705">
      <x:c r="A705" t="inlineStr">
        <x:is>
          <x:t xml:space="preserve">PPC90GS11250</x:t>
        </x:is>
      </x:c>
      <x:c r="B705" t="inlineStr">
        <x:is>
          <x:t xml:space="preserve">PP-CODO90-250X22.7SDR11</x:t>
        </x:is>
      </x:c>
      <x:c r="C705" s="8" t="n">
        <x:v>9</x:v>
      </x:c>
      <x:c r="D705" s="8" t="n">
        <x:v>0</x:v>
      </x:c>
      <x:c r="E705" s="8" t="n">
        <x:v>0</x:v>
      </x:c>
      <x:c r="F705" s="8" t="n">
        <x:v>9</x:v>
      </x:c>
      <x:c r="G705" s="9" t="n">
        <x:v>688500</x:v>
      </x:c>
      <x:c r="H705" s="9" t="n">
        <x:v>0</x:v>
      </x:c>
      <x:c r="I705" s="9" t="n">
        <x:v>0</x:v>
      </x:c>
      <x:c r="J705" s="9" t="n">
        <x:v>688500</x:v>
      </x:c>
      <x:c r="K705" s="10" t="n">
        <x:v>76500</x:v>
      </x:c>
    </x:row>
    <x:row r="706">
      <x:c r="A706" t="inlineStr">
        <x:is>
          <x:t xml:space="preserve">PPC90GS11315</x:t>
        </x:is>
      </x:c>
      <x:c r="B706" t="inlineStr">
        <x:is>
          <x:t xml:space="preserve">PP-CODO90-315X28.6SDR11</x:t>
        </x:is>
      </x:c>
      <x:c r="C706" s="8" t="n">
        <x:v>5</x:v>
      </x:c>
      <x:c r="D706" s="8" t="n">
        <x:v>0</x:v>
      </x:c>
      <x:c r="E706" s="8" t="n">
        <x:v>0</x:v>
      </x:c>
      <x:c r="F706" s="8" t="n">
        <x:v>5</x:v>
      </x:c>
      <x:c r="G706" s="9" t="n">
        <x:v>283480</x:v>
      </x:c>
      <x:c r="H706" s="9" t="n">
        <x:v>0</x:v>
      </x:c>
      <x:c r="I706" s="9" t="n">
        <x:v>0</x:v>
      </x:c>
      <x:c r="J706" s="9" t="n">
        <x:v>283480</x:v>
      </x:c>
      <x:c r="K706" s="10" t="n">
        <x:v>56696</x:v>
      </x:c>
    </x:row>
    <x:row r="707">
      <x:c r="A707" t="inlineStr">
        <x:is>
          <x:t xml:space="preserve">PPC90GS1132X</x:t>
        </x:is>
      </x:c>
      <x:c r="B707" t="inlineStr">
        <x:is>
          <x:t xml:space="preserve">PP-CODO 90-32X3.7SDR11</x:t>
        </x:is>
      </x:c>
      <x:c r="C707" s="8" t="n">
        <x:v>11</x:v>
      </x:c>
      <x:c r="D707" s="8" t="n">
        <x:v>0</x:v>
      </x:c>
      <x:c r="E707" s="8" t="n">
        <x:v>0</x:v>
      </x:c>
      <x:c r="F707" s="8" t="n">
        <x:v>11</x:v>
      </x:c>
      <x:c r="G707" s="9" t="n">
        <x:v>16500</x:v>
      </x:c>
      <x:c r="H707" s="9" t="n">
        <x:v>0</x:v>
      </x:c>
      <x:c r="I707" s="9" t="n">
        <x:v>0</x:v>
      </x:c>
      <x:c r="J707" s="9" t="n">
        <x:v>16500</x:v>
      </x:c>
      <x:c r="K707" s="10" t="n">
        <x:v>1500</x:v>
      </x:c>
    </x:row>
    <x:row r="708">
      <x:c r="A708" t="inlineStr">
        <x:is>
          <x:t xml:space="preserve">PPC90GS1140X</x:t>
        </x:is>
      </x:c>
      <x:c r="B708" t="inlineStr">
        <x:is>
          <x:t xml:space="preserve">PP-CODO90-40X3.7SDR11</x:t>
        </x:is>
      </x:c>
      <x:c r="C708" s="8" t="n">
        <x:v>41</x:v>
      </x:c>
      <x:c r="D708" s="8" t="n">
        <x:v>0</x:v>
      </x:c>
      <x:c r="E708" s="8" t="n">
        <x:v>0</x:v>
      </x:c>
      <x:c r="F708" s="8" t="n">
        <x:v>41</x:v>
      </x:c>
      <x:c r="G708" s="9" t="n">
        <x:v>65600</x:v>
      </x:c>
      <x:c r="H708" s="9" t="n">
        <x:v>0</x:v>
      </x:c>
      <x:c r="I708" s="9" t="n">
        <x:v>0</x:v>
      </x:c>
      <x:c r="J708" s="9" t="n">
        <x:v>65600</x:v>
      </x:c>
      <x:c r="K708" s="10" t="n">
        <x:v>1600</x:v>
      </x:c>
    </x:row>
    <x:row r="709">
      <x:c r="A709" t="inlineStr">
        <x:is>
          <x:t xml:space="preserve">PPC90GS1150X</x:t>
        </x:is>
      </x:c>
      <x:c r="B709" t="inlineStr">
        <x:is>
          <x:t xml:space="preserve">PP-CODO90-50X4.6SDR11</x:t>
        </x:is>
      </x:c>
      <x:c r="C709" s="8" t="n">
        <x:v>15</x:v>
      </x:c>
      <x:c r="D709" s="8" t="n">
        <x:v>0</x:v>
      </x:c>
      <x:c r="E709" s="8" t="n">
        <x:v>0</x:v>
      </x:c>
      <x:c r="F709" s="8" t="n">
        <x:v>15</x:v>
      </x:c>
      <x:c r="G709" s="9" t="n">
        <x:v>38637</x:v>
      </x:c>
      <x:c r="H709" s="9" t="n">
        <x:v>0</x:v>
      </x:c>
      <x:c r="I709" s="9" t="n">
        <x:v>0</x:v>
      </x:c>
      <x:c r="J709" s="9" t="n">
        <x:v>38637</x:v>
      </x:c>
      <x:c r="K709" s="10" t="n">
        <x:v>2575.87</x:v>
      </x:c>
    </x:row>
    <x:row r="710">
      <x:c r="A710" t="inlineStr">
        <x:is>
          <x:t xml:space="preserve">PPC90GS1163X</x:t>
        </x:is>
      </x:c>
      <x:c r="B710" t="inlineStr">
        <x:is>
          <x:t xml:space="preserve">PP-CODO90-63X5.8SDR11</x:t>
        </x:is>
      </x:c>
      <x:c r="C710" s="8" t="n">
        <x:v>17</x:v>
      </x:c>
      <x:c r="D710" s="8" t="n">
        <x:v>0</x:v>
      </x:c>
      <x:c r="E710" s="8" t="n">
        <x:v>0</x:v>
      </x:c>
      <x:c r="F710" s="8" t="n">
        <x:v>17</x:v>
      </x:c>
      <x:c r="G710" s="9" t="n">
        <x:v>222751</x:v>
      </x:c>
      <x:c r="H710" s="9" t="n">
        <x:v>0</x:v>
      </x:c>
      <x:c r="I710" s="9" t="n">
        <x:v>0</x:v>
      </x:c>
      <x:c r="J710" s="9" t="n">
        <x:v>222751</x:v>
      </x:c>
      <x:c r="K710" s="10" t="n">
        <x:v>13103</x:v>
      </x:c>
    </x:row>
    <x:row r="711">
      <x:c r="A711" t="inlineStr">
        <x:is>
          <x:t xml:space="preserve">PPC90GS1175X</x:t>
        </x:is>
      </x:c>
      <x:c r="B711" t="inlineStr">
        <x:is>
          <x:t xml:space="preserve">PP-CODO90-75X6.9SDR11</x:t>
        </x:is>
      </x:c>
      <x:c r="C711" s="8" t="n">
        <x:v>10</x:v>
      </x:c>
      <x:c r="D711" s="8" t="n">
        <x:v>0</x:v>
      </x:c>
      <x:c r="E711" s="8" t="n">
        <x:v>0</x:v>
      </x:c>
      <x:c r="F711" s="8" t="n">
        <x:v>10</x:v>
      </x:c>
      <x:c r="G711" s="9" t="n">
        <x:v>43000</x:v>
      </x:c>
      <x:c r="H711" s="9" t="n">
        <x:v>0</x:v>
      </x:c>
      <x:c r="I711" s="9" t="n">
        <x:v>0</x:v>
      </x:c>
      <x:c r="J711" s="9" t="n">
        <x:v>43000</x:v>
      </x:c>
      <x:c r="K711" s="10" t="n">
        <x:v>4300</x:v>
      </x:c>
    </x:row>
    <x:row r="712">
      <x:c r="A712" t="inlineStr">
        <x:is>
          <x:t xml:space="preserve">PPC90GS1190X</x:t>
        </x:is>
      </x:c>
      <x:c r="B712" t="inlineStr">
        <x:is>
          <x:t xml:space="preserve">PP-CODO90-90X8.2SDR11</x:t>
        </x:is>
      </x:c>
      <x:c r="C712" s="8" t="n">
        <x:v>9</x:v>
      </x:c>
      <x:c r="D712" s="8" t="n">
        <x:v>0</x:v>
      </x:c>
      <x:c r="E712" s="8" t="n">
        <x:v>0</x:v>
      </x:c>
      <x:c r="F712" s="8" t="n">
        <x:v>9</x:v>
      </x:c>
      <x:c r="G712" s="9" t="n">
        <x:v>73800</x:v>
      </x:c>
      <x:c r="H712" s="9" t="n">
        <x:v>0</x:v>
      </x:c>
      <x:c r="I712" s="9" t="n">
        <x:v>0</x:v>
      </x:c>
      <x:c r="J712" s="9" t="n">
        <x:v>73800</x:v>
      </x:c>
      <x:c r="K712" s="10" t="n">
        <x:v>8200</x:v>
      </x:c>
    </x:row>
    <x:row r="713">
      <x:c r="A713" t="inlineStr">
        <x:is>
          <x:t xml:space="preserve">PPC90GS17110</x:t>
        </x:is>
      </x:c>
      <x:c r="B713" t="inlineStr">
        <x:is>
          <x:t xml:space="preserve">PP-CODO90-110X6.6SDR17</x:t>
        </x:is>
      </x:c>
      <x:c r="C713" s="8" t="n">
        <x:v>19</x:v>
      </x:c>
      <x:c r="D713" s="8" t="n">
        <x:v>0</x:v>
      </x:c>
      <x:c r="E713" s="8" t="n">
        <x:v>0</x:v>
      </x:c>
      <x:c r="F713" s="8" t="n">
        <x:v>19</x:v>
      </x:c>
      <x:c r="G713" s="9" t="n">
        <x:v>440145</x:v>
      </x:c>
      <x:c r="H713" s="9" t="n">
        <x:v>0</x:v>
      </x:c>
      <x:c r="I713" s="9" t="n">
        <x:v>0</x:v>
      </x:c>
      <x:c r="J713" s="9" t="n">
        <x:v>440145</x:v>
      </x:c>
      <x:c r="K713" s="10" t="n">
        <x:v>23165.585737</x:v>
      </x:c>
    </x:row>
    <x:row r="714">
      <x:c r="A714" t="inlineStr">
        <x:is>
          <x:t xml:space="preserve">PPC90GS17125</x:t>
        </x:is>
      </x:c>
      <x:c r="B714" t="inlineStr">
        <x:is>
          <x:t xml:space="preserve">PP-CODO90-125X7.4SDR17</x:t>
        </x:is>
      </x:c>
      <x:c r="C714" s="8" t="n">
        <x:v>5</x:v>
      </x:c>
      <x:c r="D714" s="8" t="n">
        <x:v>0</x:v>
      </x:c>
      <x:c r="E714" s="8" t="n">
        <x:v>0</x:v>
      </x:c>
      <x:c r="F714" s="8" t="n">
        <x:v>5</x:v>
      </x:c>
      <x:c r="G714" s="9" t="n">
        <x:v>105000</x:v>
      </x:c>
      <x:c r="H714" s="9" t="n">
        <x:v>0</x:v>
      </x:c>
      <x:c r="I714" s="9" t="n">
        <x:v>0</x:v>
      </x:c>
      <x:c r="J714" s="9" t="n">
        <x:v>105000</x:v>
      </x:c>
      <x:c r="K714" s="10" t="n">
        <x:v>21000</x:v>
      </x:c>
    </x:row>
    <x:row r="715">
      <x:c r="A715" t="inlineStr">
        <x:is>
          <x:t xml:space="preserve">PPC90GS17160</x:t>
        </x:is>
      </x:c>
      <x:c r="B715" t="inlineStr">
        <x:is>
          <x:t xml:space="preserve">PP-CODO90-160X9.5SDR17</x:t>
        </x:is>
      </x:c>
      <x:c r="C715" s="8" t="n">
        <x:v>13</x:v>
      </x:c>
      <x:c r="D715" s="8" t="n">
        <x:v>0</x:v>
      </x:c>
      <x:c r="E715" s="8" t="n">
        <x:v>0</x:v>
      </x:c>
      <x:c r="F715" s="8" t="n">
        <x:v>13</x:v>
      </x:c>
      <x:c r="G715" s="9" t="n">
        <x:v>153400</x:v>
      </x:c>
      <x:c r="H715" s="9" t="n">
        <x:v>0</x:v>
      </x:c>
      <x:c r="I715" s="9" t="n">
        <x:v>0</x:v>
      </x:c>
      <x:c r="J715" s="9" t="n">
        <x:v>153400</x:v>
      </x:c>
      <x:c r="K715" s="10" t="n">
        <x:v>11800</x:v>
      </x:c>
    </x:row>
    <x:row r="716">
      <x:c r="A716" t="inlineStr">
        <x:is>
          <x:t xml:space="preserve">PPC90GS17200</x:t>
        </x:is>
      </x:c>
      <x:c r="B716" t="inlineStr">
        <x:is>
          <x:t xml:space="preserve">PP-CODO90-200X11.9SDR17</x:t>
        </x:is>
      </x:c>
      <x:c r="C716" s="8" t="n">
        <x:v>10</x:v>
      </x:c>
      <x:c r="D716" s="8" t="n">
        <x:v>0</x:v>
      </x:c>
      <x:c r="E716" s="8" t="n">
        <x:v>0</x:v>
      </x:c>
      <x:c r="F716" s="8" t="n">
        <x:v>10</x:v>
      </x:c>
      <x:c r="G716" s="9" t="n">
        <x:v>217640</x:v>
      </x:c>
      <x:c r="H716" s="9" t="n">
        <x:v>0</x:v>
      </x:c>
      <x:c r="I716" s="9" t="n">
        <x:v>0</x:v>
      </x:c>
      <x:c r="J716" s="9" t="n">
        <x:v>217640</x:v>
      </x:c>
      <x:c r="K716" s="10" t="n">
        <x:v>21764</x:v>
      </x:c>
    </x:row>
    <x:row r="717">
      <x:c r="A717" t="inlineStr">
        <x:is>
          <x:t xml:space="preserve">PPC90GS17250</x:t>
        </x:is>
      </x:c>
      <x:c r="B717" t="inlineStr">
        <x:is>
          <x:t xml:space="preserve">PP-CODO90-250X14.8 SDR17</x:t>
        </x:is>
      </x:c>
      <x:c r="C717" s="8" t="n">
        <x:v>18</x:v>
      </x:c>
      <x:c r="D717" s="8" t="n">
        <x:v>0</x:v>
      </x:c>
      <x:c r="E717" s="8" t="n">
        <x:v>0</x:v>
      </x:c>
      <x:c r="F717" s="8" t="n">
        <x:v>18</x:v>
      </x:c>
      <x:c r="G717" s="9" t="n">
        <x:v>977382</x:v>
      </x:c>
      <x:c r="H717" s="9" t="n">
        <x:v>0</x:v>
      </x:c>
      <x:c r="I717" s="9" t="n">
        <x:v>0</x:v>
      </x:c>
      <x:c r="J717" s="9" t="n">
        <x:v>977382</x:v>
      </x:c>
      <x:c r="K717" s="10" t="n">
        <x:v>54299</x:v>
      </x:c>
    </x:row>
    <x:row r="718">
      <x:c r="A718" t="inlineStr">
        <x:is>
          <x:t xml:space="preserve">PPC90GS1750M</x:t>
        </x:is>
      </x:c>
      <x:c r="B718" t="inlineStr">
        <x:is>
          <x:t xml:space="preserve">PP-CODO90-50MM SDR17</x:t>
        </x:is>
      </x:c>
      <x:c r="C718" s="8" t="n">
        <x:v>7</x:v>
      </x:c>
      <x:c r="D718" s="8" t="n">
        <x:v>0</x:v>
      </x:c>
      <x:c r="E718" s="8" t="n">
        <x:v>0</x:v>
      </x:c>
      <x:c r="F718" s="8" t="n">
        <x:v>7</x:v>
      </x:c>
      <x:c r="G718" s="9" t="n">
        <x:v>16331</x:v>
      </x:c>
      <x:c r="H718" s="9" t="n">
        <x:v>0</x:v>
      </x:c>
      <x:c r="I718" s="9" t="n">
        <x:v>0</x:v>
      </x:c>
      <x:c r="J718" s="9" t="n">
        <x:v>16331</x:v>
      </x:c>
      <x:c r="K718" s="10" t="n">
        <x:v>2333</x:v>
      </x:c>
    </x:row>
    <x:row r="719">
      <x:c r="A719" t="inlineStr">
        <x:is>
          <x:t xml:space="preserve">PPC90GS1763X</x:t>
        </x:is>
      </x:c>
      <x:c r="B719" t="inlineStr">
        <x:is>
          <x:t xml:space="preserve">PP-CODO90-63MM SDR17</x:t>
        </x:is>
      </x:c>
      <x:c r="C719" s="8" t="n">
        <x:v>23</x:v>
      </x:c>
      <x:c r="D719" s="8" t="n">
        <x:v>0</x:v>
      </x:c>
      <x:c r="E719" s="8" t="n">
        <x:v>0</x:v>
      </x:c>
      <x:c r="F719" s="8" t="n">
        <x:v>23</x:v>
      </x:c>
      <x:c r="G719" s="9" t="n">
        <x:v>64576</x:v>
      </x:c>
      <x:c r="H719" s="9" t="n">
        <x:v>0</x:v>
      </x:c>
      <x:c r="I719" s="9" t="n">
        <x:v>0</x:v>
      </x:c>
      <x:c r="J719" s="9" t="n">
        <x:v>64576</x:v>
      </x:c>
      <x:c r="K719" s="10" t="n">
        <x:v>2807.670046</x:v>
      </x:c>
    </x:row>
    <x:row r="720">
      <x:c r="A720" t="inlineStr">
        <x:is>
          <x:t xml:space="preserve">PPC90GS1790X</x:t>
        </x:is>
      </x:c>
      <x:c r="B720" t="inlineStr">
        <x:is>
          <x:t xml:space="preserve">PP-CODO90- 90MM X 5,4 SDR17</x:t>
        </x:is>
      </x:c>
      <x:c r="C720" s="8" t="n">
        <x:v>4</x:v>
      </x:c>
      <x:c r="D720" s="8" t="n">
        <x:v>0</x:v>
      </x:c>
      <x:c r="E720" s="8" t="n">
        <x:v>0</x:v>
      </x:c>
      <x:c r="F720" s="8" t="n">
        <x:v>4</x:v>
      </x:c>
      <x:c r="G720" s="9" t="n">
        <x:v>59667</x:v>
      </x:c>
      <x:c r="H720" s="9" t="n">
        <x:v>0</x:v>
      </x:c>
      <x:c r="I720" s="9" t="n">
        <x:v>0</x:v>
      </x:c>
      <x:c r="J720" s="9" t="n">
        <x:v>59667</x:v>
      </x:c>
      <x:c r="K720" s="10" t="n">
        <x:v>14917</x:v>
      </x:c>
    </x:row>
    <x:row r="721">
      <x:c r="A721" t="inlineStr">
        <x:is>
          <x:t xml:space="preserve">PPC90GS33110</x:t>
        </x:is>
      </x:c>
      <x:c r="B721" t="inlineStr">
        <x:is>
          <x:t xml:space="preserve">PP-CODO90-110X3.4 SDR33</x:t>
        </x:is>
      </x:c>
      <x:c r="C721" s="8" t="n">
        <x:v>19</x:v>
      </x:c>
      <x:c r="D721" s="8" t="n">
        <x:v>0</x:v>
      </x:c>
      <x:c r="E721" s="8" t="n">
        <x:v>0</x:v>
      </x:c>
      <x:c r="F721" s="8" t="n">
        <x:v>19</x:v>
      </x:c>
      <x:c r="G721" s="9" t="n">
        <x:v>233700</x:v>
      </x:c>
      <x:c r="H721" s="9" t="n">
        <x:v>0</x:v>
      </x:c>
      <x:c r="I721" s="9" t="n">
        <x:v>0</x:v>
      </x:c>
      <x:c r="J721" s="9" t="n">
        <x:v>233700</x:v>
      </x:c>
      <x:c r="K721" s="10" t="n">
        <x:v>12300</x:v>
      </x:c>
    </x:row>
    <x:row r="722">
      <x:c r="A722" t="inlineStr">
        <x:is>
          <x:t xml:space="preserve">PPC90GS33125</x:t>
        </x:is>
      </x:c>
      <x:c r="B722" t="inlineStr">
        <x:is>
          <x:t xml:space="preserve">PP-CODO90-125X3.9 SDR33</x:t>
        </x:is>
      </x:c>
      <x:c r="C722" s="8" t="n">
        <x:v>131</x:v>
      </x:c>
      <x:c r="D722" s="8" t="n">
        <x:v>0</x:v>
      </x:c>
      <x:c r="E722" s="8" t="n">
        <x:v>0</x:v>
      </x:c>
      <x:c r="F722" s="8" t="n">
        <x:v>131</x:v>
      </x:c>
      <x:c r="G722" s="9" t="n">
        <x:v>1322969</x:v>
      </x:c>
      <x:c r="H722" s="9" t="n">
        <x:v>0</x:v>
      </x:c>
      <x:c r="I722" s="9" t="n">
        <x:v>0</x:v>
      </x:c>
      <x:c r="J722" s="9" t="n">
        <x:v>1322969</x:v>
      </x:c>
      <x:c r="K722" s="10" t="n">
        <x:v>10099</x:v>
      </x:c>
    </x:row>
    <x:row r="723">
      <x:c r="A723" t="inlineStr">
        <x:is>
          <x:t xml:space="preserve">PPC90GS33160</x:t>
        </x:is>
      </x:c>
      <x:c r="B723" t="inlineStr">
        <x:is>
          <x:t xml:space="preserve">PP-CODO90-160MM SDR33</x:t>
        </x:is>
      </x:c>
      <x:c r="C723" s="8" t="n">
        <x:v>102</x:v>
      </x:c>
      <x:c r="D723" s="8" t="n">
        <x:v>0</x:v>
      </x:c>
      <x:c r="E723" s="8" t="n">
        <x:v>0</x:v>
      </x:c>
      <x:c r="F723" s="8" t="n">
        <x:v>102</x:v>
      </x:c>
      <x:c r="G723" s="9" t="n">
        <x:v>1290789</x:v>
      </x:c>
      <x:c r="H723" s="9" t="n">
        <x:v>0</x:v>
      </x:c>
      <x:c r="I723" s="9" t="n">
        <x:v>0</x:v>
      </x:c>
      <x:c r="J723" s="9" t="n">
        <x:v>1290789</x:v>
      </x:c>
      <x:c r="K723" s="10" t="n">
        <x:v>12654.790869</x:v>
      </x:c>
    </x:row>
    <x:row r="724">
      <x:c r="A724" t="inlineStr">
        <x:is>
          <x:t xml:space="preserve">PPC90GS33200</x:t>
        </x:is>
      </x:c>
      <x:c r="B724" t="inlineStr">
        <x:is>
          <x:t xml:space="preserve">PP-CODO90-200MM SDR33</x:t>
        </x:is>
      </x:c>
      <x:c r="C724" s="8" t="n">
        <x:v>135</x:v>
      </x:c>
      <x:c r="D724" s="8" t="n">
        <x:v>0</x:v>
      </x:c>
      <x:c r="E724" s="8" t="n">
        <x:v>0</x:v>
      </x:c>
      <x:c r="F724" s="8" t="n">
        <x:v>135</x:v>
      </x:c>
      <x:c r="G724" s="9" t="n">
        <x:v>3053512</x:v>
      </x:c>
      <x:c r="H724" s="9" t="n">
        <x:v>0</x:v>
      </x:c>
      <x:c r="I724" s="9" t="n">
        <x:v>0</x:v>
      </x:c>
      <x:c r="J724" s="9" t="n">
        <x:v>3053512</x:v>
      </x:c>
      <x:c r="K724" s="10" t="n">
        <x:v>22618.610438</x:v>
      </x:c>
    </x:row>
    <x:row r="725">
      <x:c r="A725" t="inlineStr">
        <x:is>
          <x:t xml:space="preserve">PPC90GS33250</x:t>
        </x:is>
      </x:c>
      <x:c r="B725" t="inlineStr">
        <x:is>
          <x:t xml:space="preserve">PP-CODO90-250 X 7.7 SDR33</x:t>
        </x:is>
      </x:c>
      <x:c r="C725" s="8" t="n">
        <x:v>63</x:v>
      </x:c>
      <x:c r="D725" s="8" t="n">
        <x:v>0</x:v>
      </x:c>
      <x:c r="E725" s="8" t="n">
        <x:v>0</x:v>
      </x:c>
      <x:c r="F725" s="8" t="n">
        <x:v>63</x:v>
      </x:c>
      <x:c r="G725" s="9" t="n">
        <x:v>5883866</x:v>
      </x:c>
      <x:c r="H725" s="9" t="n">
        <x:v>0</x:v>
      </x:c>
      <x:c r="I725" s="9" t="n">
        <x:v>0</x:v>
      </x:c>
      <x:c r="J725" s="9" t="n">
        <x:v>5883866</x:v>
      </x:c>
      <x:c r="K725" s="10" t="n">
        <x:v>93394.69675800001</x:v>
      </x:c>
    </x:row>
    <x:row r="726">
      <x:c r="A726" t="inlineStr">
        <x:is>
          <x:t xml:space="preserve">PPC90GS33315</x:t>
        </x:is>
      </x:c>
      <x:c r="B726" t="inlineStr">
        <x:is>
          <x:t xml:space="preserve">PP-CODO90-315X9.7 SDR33</x:t>
        </x:is>
      </x:c>
      <x:c r="C726" s="8" t="n">
        <x:v>5</x:v>
      </x:c>
      <x:c r="D726" s="8" t="n">
        <x:v>0</x:v>
      </x:c>
      <x:c r="E726" s="8" t="n">
        <x:v>0</x:v>
      </x:c>
      <x:c r="F726" s="8" t="n">
        <x:v>5</x:v>
      </x:c>
      <x:c r="G726" s="9" t="n">
        <x:v>635809</x:v>
      </x:c>
      <x:c r="H726" s="9" t="n">
        <x:v>0</x:v>
      </x:c>
      <x:c r="I726" s="9" t="n">
        <x:v>0</x:v>
      </x:c>
      <x:c r="J726" s="9" t="n">
        <x:v>635809</x:v>
      </x:c>
      <x:c r="K726" s="10" t="n">
        <x:v>127161.672727</x:v>
      </x:c>
    </x:row>
    <x:row r="727">
      <x:c r="A727" t="inlineStr">
        <x:is>
          <x:t xml:space="preserve">PPC90GS33355</x:t>
        </x:is>
      </x:c>
      <x:c r="B727" t="inlineStr">
        <x:is>
          <x:t xml:space="preserve">PP-CODO90-355MM SDR33</x:t>
        </x:is>
      </x:c>
      <x:c r="C727" s="8" t="n">
        <x:v>41</x:v>
      </x:c>
      <x:c r="D727" s="8" t="n">
        <x:v>0</x:v>
      </x:c>
      <x:c r="E727" s="8" t="n">
        <x:v>0</x:v>
      </x:c>
      <x:c r="F727" s="8" t="n">
        <x:v>41</x:v>
      </x:c>
      <x:c r="G727" s="9" t="n">
        <x:v>5685388</x:v>
      </x:c>
      <x:c r="H727" s="9" t="n">
        <x:v>0</x:v>
      </x:c>
      <x:c r="I727" s="9" t="n">
        <x:v>0</x:v>
      </x:c>
      <x:c r="J727" s="9" t="n">
        <x:v>5685388</x:v>
      </x:c>
      <x:c r="K727" s="10" t="n">
        <x:v>138668</x:v>
      </x:c>
    </x:row>
    <x:row r="728">
      <x:c r="A728" t="inlineStr">
        <x:is>
          <x:t xml:space="preserve">PPC90GS33400</x:t>
        </x:is>
      </x:c>
      <x:c r="B728" t="inlineStr">
        <x:is>
          <x:t xml:space="preserve">PP-CODO90-400MM X 12,3 SDR33</x:t>
        </x:is>
      </x:c>
      <x:c r="C728" s="8" t="n">
        <x:v>16</x:v>
      </x:c>
      <x:c r="D728" s="8" t="n">
        <x:v>0</x:v>
      </x:c>
      <x:c r="E728" s="8" t="n">
        <x:v>0</x:v>
      </x:c>
      <x:c r="F728" s="8" t="n">
        <x:v>16</x:v>
      </x:c>
      <x:c r="G728" s="9" t="n">
        <x:v>4489362</x:v>
      </x:c>
      <x:c r="H728" s="9" t="n">
        <x:v>0</x:v>
      </x:c>
      <x:c r="I728" s="9" t="n">
        <x:v>0</x:v>
      </x:c>
      <x:c r="J728" s="9" t="n">
        <x:v>4489362</x:v>
      </x:c>
      <x:c r="K728" s="10" t="n">
        <x:v>280585.534234</x:v>
      </x:c>
    </x:row>
    <x:row r="729">
      <x:c r="A729" t="inlineStr">
        <x:is>
          <x:t xml:space="preserve">PPC90GS33450</x:t>
        </x:is>
      </x:c>
      <x:c r="B729" t="inlineStr">
        <x:is>
          <x:t xml:space="preserve">PP-CODO90 -450MM X 13.8 SDR 33</x:t>
        </x:is>
      </x:c>
      <x:c r="C729" s="8" t="n">
        <x:v>3</x:v>
      </x:c>
      <x:c r="D729" s="8" t="n">
        <x:v>0</x:v>
      </x:c>
      <x:c r="E729" s="8" t="n">
        <x:v>0</x:v>
      </x:c>
      <x:c r="F729" s="8" t="n">
        <x:v>3</x:v>
      </x:c>
      <x:c r="G729" s="9" t="n">
        <x:v>923800</x:v>
      </x:c>
      <x:c r="H729" s="9" t="n">
        <x:v>0</x:v>
      </x:c>
      <x:c r="I729" s="9" t="n">
        <x:v>0</x:v>
      </x:c>
      <x:c r="J729" s="9" t="n">
        <x:v>923800</x:v>
      </x:c>
      <x:c r="K729" s="10" t="n">
        <x:v>307933.363636</x:v>
      </x:c>
    </x:row>
    <x:row r="730">
      <x:c r="A730" t="inlineStr">
        <x:is>
          <x:t xml:space="preserve">PPC90GS33500</x:t>
        </x:is>
      </x:c>
      <x:c r="B730" t="inlineStr">
        <x:is>
          <x:t xml:space="preserve">PP-CODO90-500MM SDR33</x:t>
        </x:is>
      </x:c>
      <x:c r="C730" s="8" t="n">
        <x:v>2</x:v>
      </x:c>
      <x:c r="D730" s="8" t="n">
        <x:v>0</x:v>
      </x:c>
      <x:c r="E730" s="8" t="n">
        <x:v>0</x:v>
      </x:c>
      <x:c r="F730" s="8" t="n">
        <x:v>2</x:v>
      </x:c>
      <x:c r="G730" s="9" t="n">
        <x:v>714526</x:v>
      </x:c>
      <x:c r="H730" s="9" t="n">
        <x:v>0</x:v>
      </x:c>
      <x:c r="I730" s="9" t="n">
        <x:v>0</x:v>
      </x:c>
      <x:c r="J730" s="9" t="n">
        <x:v>714526</x:v>
      </x:c>
      <x:c r="K730" s="10" t="n">
        <x:v>357263</x:v>
      </x:c>
    </x:row>
    <x:row r="731">
      <x:c r="A731" t="inlineStr">
        <x:is>
          <x:t xml:space="preserve">PPEPLA001003</x:t>
        </x:is>
      </x:c>
      <x:c r="B731" t="inlineStr">
        <x:is>
          <x:t xml:space="preserve">CODO 90° PE P100 110X3.5</x:t>
        </x:is>
      </x:c>
      <x:c r="C731" s="8" t="n">
        <x:v>10</x:v>
      </x:c>
      <x:c r="D731" s="8" t="n">
        <x:v>0</x:v>
      </x:c>
      <x:c r="E731" s="8" t="n">
        <x:v>0</x:v>
      </x:c>
      <x:c r="F731" s="8" t="n">
        <x:v>10</x:v>
      </x:c>
      <x:c r="G731" s="9" t="n">
        <x:v>102350</x:v>
      </x:c>
      <x:c r="H731" s="9" t="n">
        <x:v>0</x:v>
      </x:c>
      <x:c r="I731" s="9" t="n">
        <x:v>0</x:v>
      </x:c>
      <x:c r="J731" s="9" t="n">
        <x:v>102350</x:v>
      </x:c>
      <x:c r="K731" s="10" t="n">
        <x:v>10235</x:v>
      </x:c>
    </x:row>
    <x:row r="732">
      <x:c r="A732" t="inlineStr">
        <x:is>
          <x:t xml:space="preserve">PPEPLA001004</x:t>
        </x:is>
      </x:c>
      <x:c r="B732" t="inlineStr">
        <x:is>
          <x:t xml:space="preserve">CODO 45° PE P100 160X3.5</x:t>
        </x:is>
      </x:c>
      <x:c r="C732" s="8" t="n">
        <x:v>9</x:v>
      </x:c>
      <x:c r="D732" s="8" t="n">
        <x:v>0</x:v>
      </x:c>
      <x:c r="E732" s="8" t="n">
        <x:v>0</x:v>
      </x:c>
      <x:c r="F732" s="8" t="n">
        <x:v>9</x:v>
      </x:c>
      <x:c r="G732" s="9" t="n">
        <x:v>45000</x:v>
      </x:c>
      <x:c r="H732" s="9" t="n">
        <x:v>0</x:v>
      </x:c>
      <x:c r="I732" s="9" t="n">
        <x:v>0</x:v>
      </x:c>
      <x:c r="J732" s="9" t="n">
        <x:v>45000</x:v>
      </x:c>
      <x:c r="K732" s="10" t="n">
        <x:v>5000</x:v>
      </x:c>
    </x:row>
    <x:row r="733">
      <x:c r="A733" t="inlineStr">
        <x:is>
          <x:t xml:space="preserve">PPEPLA001005</x:t>
        </x:is>
      </x:c>
      <x:c r="B733" t="inlineStr">
        <x:is>
          <x:t xml:space="preserve">STUB END PE P100 110X6 HDPE</x:t>
        </x:is>
      </x:c>
      <x:c r="C733" s="8" t="n">
        <x:v>12</x:v>
      </x:c>
      <x:c r="D733" s="8" t="n">
        <x:v>0</x:v>
      </x:c>
      <x:c r="E733" s="8" t="n">
        <x:v>0</x:v>
      </x:c>
      <x:c r="F733" s="8" t="n">
        <x:v>12</x:v>
      </x:c>
      <x:c r="G733" s="9" t="n">
        <x:v>60000</x:v>
      </x:c>
      <x:c r="H733" s="9" t="n">
        <x:v>0</x:v>
      </x:c>
      <x:c r="I733" s="9" t="n">
        <x:v>0</x:v>
      </x:c>
      <x:c r="J733" s="9" t="n">
        <x:v>60000</x:v>
      </x:c>
      <x:c r="K733" s="10" t="n">
        <x:v>5000</x:v>
      </x:c>
    </x:row>
    <x:row r="734">
      <x:c r="A734" t="inlineStr">
        <x:is>
          <x:t xml:space="preserve">PPEPLA001006</x:t>
        </x:is>
      </x:c>
      <x:c r="B734" t="inlineStr">
        <x:is>
          <x:t xml:space="preserve">STUB END PE P100 90X3.58 SDR11</x:t>
        </x:is>
      </x:c>
      <x:c r="C734" s="8" t="n">
        <x:v>6</x:v>
      </x:c>
      <x:c r="D734" s="8" t="n">
        <x:v>0</x:v>
      </x:c>
      <x:c r="E734" s="8" t="n">
        <x:v>0</x:v>
      </x:c>
      <x:c r="F734" s="8" t="n">
        <x:v>6</x:v>
      </x:c>
      <x:c r="G734" s="9" t="n">
        <x:v>30000</x:v>
      </x:c>
      <x:c r="H734" s="9" t="n">
        <x:v>0</x:v>
      </x:c>
      <x:c r="I734" s="9" t="n">
        <x:v>0</x:v>
      </x:c>
      <x:c r="J734" s="9" t="n">
        <x:v>30000</x:v>
      </x:c>
      <x:c r="K734" s="10" t="n">
        <x:v>5000</x:v>
      </x:c>
    </x:row>
    <x:row r="735">
      <x:c r="A735" t="inlineStr">
        <x:is>
          <x:t xml:space="preserve">PPEPLA001007</x:t>
        </x:is>
      </x:c>
      <x:c r="B735" t="inlineStr">
        <x:is>
          <x:t xml:space="preserve">TEE PE P100 110X110 SDR 17 HDPE</x:t>
        </x:is>
      </x:c>
      <x:c r="C735" s="8" t="n">
        <x:v>8</x:v>
      </x:c>
      <x:c r="D735" s="8" t="n">
        <x:v>0</x:v>
      </x:c>
      <x:c r="E735" s="8" t="n">
        <x:v>0</x:v>
      </x:c>
      <x:c r="F735" s="8" t="n">
        <x:v>8</x:v>
      </x:c>
      <x:c r="G735" s="9" t="n">
        <x:v>93096</x:v>
      </x:c>
      <x:c r="H735" s="9" t="n">
        <x:v>0</x:v>
      </x:c>
      <x:c r="I735" s="9" t="n">
        <x:v>0</x:v>
      </x:c>
      <x:c r="J735" s="9" t="n">
        <x:v>93096</x:v>
      </x:c>
      <x:c r="K735" s="10" t="n">
        <x:v>11637</x:v>
      </x:c>
    </x:row>
    <x:row r="736">
      <x:c r="A736" t="inlineStr">
        <x:is>
          <x:t xml:space="preserve">PPEPLA001009</x:t>
        </x:is>
      </x:c>
      <x:c r="B736" t="inlineStr">
        <x:is>
          <x:t xml:space="preserve">TEE PE P100 125X110</x:t>
        </x:is>
      </x:c>
      <x:c r="C736" s="8" t="n">
        <x:v>1</x:v>
      </x:c>
      <x:c r="D736" s="8" t="n">
        <x:v>0</x:v>
      </x:c>
      <x:c r="E736" s="8" t="n">
        <x:v>0</x:v>
      </x:c>
      <x:c r="F736" s="8" t="n">
        <x:v>1</x:v>
      </x:c>
      <x:c r="G736" s="9" t="n">
        <x:v>11637</x:v>
      </x:c>
      <x:c r="H736" s="9" t="n">
        <x:v>0</x:v>
      </x:c>
      <x:c r="I736" s="9" t="n">
        <x:v>0</x:v>
      </x:c>
      <x:c r="J736" s="9" t="n">
        <x:v>11637</x:v>
      </x:c>
      <x:c r="K736" s="10" t="n">
        <x:v>11637</x:v>
      </x:c>
    </x:row>
    <x:row r="737">
      <x:c r="A737" t="inlineStr">
        <x:is>
          <x:t xml:space="preserve">PPFFGCANS063</x:t>
        </x:is>
      </x:c>
      <x:c r="B737" t="inlineStr">
        <x:is>
          <x:t xml:space="preserve">PP FLANGE CIEGO 63 ANSI</x:t>
        </x:is>
      </x:c>
      <x:c r="C737" s="8" t="n">
        <x:v>3</x:v>
      </x:c>
      <x:c r="D737" s="8" t="n">
        <x:v>0</x:v>
      </x:c>
      <x:c r="E737" s="8" t="n">
        <x:v>0</x:v>
      </x:c>
      <x:c r="F737" s="8" t="n">
        <x:v>3</x:v>
      </x:c>
      <x:c r="G737" s="9" t="n">
        <x:v>68100</x:v>
      </x:c>
      <x:c r="H737" s="9" t="n">
        <x:v>0</x:v>
      </x:c>
      <x:c r="I737" s="9" t="n">
        <x:v>0</x:v>
      </x:c>
      <x:c r="J737" s="9" t="n">
        <x:v>68100</x:v>
      </x:c>
      <x:c r="K737" s="10" t="n">
        <x:v>22700</x:v>
      </x:c>
    </x:row>
    <x:row r="738">
      <x:c r="A738" t="inlineStr">
        <x:is>
          <x:t xml:space="preserve">PPFFGCANS200</x:t>
        </x:is>
      </x:c>
      <x:c r="B738" t="inlineStr">
        <x:is>
          <x:t xml:space="preserve">PP FLANGE CIEGO 200 ANSI</x:t>
        </x:is>
      </x:c>
      <x:c r="C738" s="8" t="n">
        <x:v>2</x:v>
      </x:c>
      <x:c r="D738" s="8" t="n">
        <x:v>0</x:v>
      </x:c>
      <x:c r="E738" s="8" t="n">
        <x:v>0</x:v>
      </x:c>
      <x:c r="F738" s="8" t="n">
        <x:v>2</x:v>
      </x:c>
      <x:c r="G738" s="9" t="n">
        <x:v>30000</x:v>
      </x:c>
      <x:c r="H738" s="9" t="n">
        <x:v>0</x:v>
      </x:c>
      <x:c r="I738" s="9" t="n">
        <x:v>0</x:v>
      </x:c>
      <x:c r="J738" s="9" t="n">
        <x:v>30000</x:v>
      </x:c>
      <x:c r="K738" s="10" t="n">
        <x:v>15000</x:v>
      </x:c>
    </x:row>
    <x:row r="739">
      <x:c r="A739" t="inlineStr">
        <x:is>
          <x:t xml:space="preserve">PPFFLAANS001</x:t>
        </x:is>
      </x:c>
      <x:c r="B739" t="inlineStr">
        <x:is>
          <x:t xml:space="preserve">FLANGE PP/Ac ANSI 250.10 PLG CIEGO</x:t>
        </x:is>
      </x:c>
      <x:c r="C739" s="8" t="n">
        <x:v>14</x:v>
      </x:c>
      <x:c r="D739" s="8" t="n">
        <x:v>0</x:v>
      </x:c>
      <x:c r="E739" s="8" t="n">
        <x:v>0</x:v>
      </x:c>
      <x:c r="F739" s="8" t="n">
        <x:v>14</x:v>
      </x:c>
      <x:c r="G739" s="9" t="n">
        <x:v>882263</x:v>
      </x:c>
      <x:c r="H739" s="9" t="n">
        <x:v>0</x:v>
      </x:c>
      <x:c r="I739" s="9" t="n">
        <x:v>0</x:v>
      </x:c>
      <x:c r="J739" s="9" t="n">
        <x:v>882263</x:v>
      </x:c>
      <x:c r="K739" s="10" t="n">
        <x:v>63018.761905</x:v>
      </x:c>
    </x:row>
    <x:row r="740">
      <x:c r="A740" t="inlineStr">
        <x:is>
          <x:t xml:space="preserve">PPFFLAANS020</x:t>
        </x:is>
      </x:c>
      <x:c r="B740" t="inlineStr">
        <x:is>
          <x:t xml:space="preserve">PP FLANGE 20 ANSI</x:t>
        </x:is>
      </x:c>
      <x:c r="C740" s="8" t="n">
        <x:v>4</x:v>
      </x:c>
      <x:c r="D740" s="8" t="n">
        <x:v>0</x:v>
      </x:c>
      <x:c r="E740" s="8" t="n">
        <x:v>0</x:v>
      </x:c>
      <x:c r="F740" s="8" t="n">
        <x:v>4</x:v>
      </x:c>
      <x:c r="G740" s="9" t="n">
        <x:v>10000</x:v>
      </x:c>
      <x:c r="H740" s="9" t="n">
        <x:v>0</x:v>
      </x:c>
      <x:c r="I740" s="9" t="n">
        <x:v>0</x:v>
      </x:c>
      <x:c r="J740" s="9" t="n">
        <x:v>10000</x:v>
      </x:c>
      <x:c r="K740" s="10" t="n">
        <x:v>2500</x:v>
      </x:c>
    </x:row>
    <x:row r="741">
      <x:c r="A741" t="inlineStr">
        <x:is>
          <x:t xml:space="preserve">PPFFLAANS025</x:t>
        </x:is>
      </x:c>
      <x:c r="B741" t="inlineStr">
        <x:is>
          <x:t xml:space="preserve">PP FLANGE 25 ANSI</x:t>
        </x:is>
      </x:c>
      <x:c r="C741" s="8" t="n">
        <x:v>9</x:v>
      </x:c>
      <x:c r="D741" s="8" t="n">
        <x:v>0</x:v>
      </x:c>
      <x:c r="E741" s="8" t="n">
        <x:v>0</x:v>
      </x:c>
      <x:c r="F741" s="8" t="n">
        <x:v>9</x:v>
      </x:c>
      <x:c r="G741" s="9" t="n">
        <x:v>45000</x:v>
      </x:c>
      <x:c r="H741" s="9" t="n">
        <x:v>0</x:v>
      </x:c>
      <x:c r="I741" s="9" t="n">
        <x:v>0</x:v>
      </x:c>
      <x:c r="J741" s="9" t="n">
        <x:v>45000</x:v>
      </x:c>
      <x:c r="K741" s="10" t="n">
        <x:v>5000</x:v>
      </x:c>
    </x:row>
    <x:row r="742">
      <x:c r="A742" t="inlineStr">
        <x:is>
          <x:t xml:space="preserve">PPFFLAANS032</x:t>
        </x:is>
      </x:c>
      <x:c r="B742" t="inlineStr">
        <x:is>
          <x:t xml:space="preserve">PP FLANGE 32 ANSI</x:t>
        </x:is>
      </x:c>
      <x:c r="C742" s="8" t="n">
        <x:v>13</x:v>
      </x:c>
      <x:c r="D742" s="8" t="n">
        <x:v>0</x:v>
      </x:c>
      <x:c r="E742" s="8" t="n">
        <x:v>0</x:v>
      </x:c>
      <x:c r="F742" s="8" t="n">
        <x:v>13</x:v>
      </x:c>
      <x:c r="G742" s="9" t="n">
        <x:v>92950</x:v>
      </x:c>
      <x:c r="H742" s="9" t="n">
        <x:v>0</x:v>
      </x:c>
      <x:c r="I742" s="9" t="n">
        <x:v>0</x:v>
      </x:c>
      <x:c r="J742" s="9" t="n">
        <x:v>92950</x:v>
      </x:c>
      <x:c r="K742" s="10" t="n">
        <x:v>7150</x:v>
      </x:c>
    </x:row>
    <x:row r="743">
      <x:c r="A743" t="inlineStr">
        <x:is>
          <x:t xml:space="preserve">PPFFLAANS050</x:t>
        </x:is>
      </x:c>
      <x:c r="B743" t="inlineStr">
        <x:is>
          <x:t xml:space="preserve">PP FLANGE 50 ANSI</x:t>
        </x:is>
      </x:c>
      <x:c r="C743" s="8" t="n">
        <x:v>33</x:v>
      </x:c>
      <x:c r="D743" s="8" t="n">
        <x:v>0</x:v>
      </x:c>
      <x:c r="E743" s="8" t="n">
        <x:v>0</x:v>
      </x:c>
      <x:c r="F743" s="8" t="n">
        <x:v>33</x:v>
      </x:c>
      <x:c r="G743" s="9" t="n">
        <x:v>225154</x:v>
      </x:c>
      <x:c r="H743" s="9" t="n">
        <x:v>0</x:v>
      </x:c>
      <x:c r="I743" s="9" t="n">
        <x:v>0</x:v>
      </x:c>
      <x:c r="J743" s="9" t="n">
        <x:v>225154</x:v>
      </x:c>
      <x:c r="K743" s="10" t="n">
        <x:v>6822.9183</x:v>
      </x:c>
    </x:row>
    <x:row r="744">
      <x:c r="A744" t="inlineStr">
        <x:is>
          <x:t xml:space="preserve">PPFFLAANS063</x:t>
        </x:is>
      </x:c>
      <x:c r="B744" t="inlineStr">
        <x:is>
          <x:t xml:space="preserve">PP FLANGE 63 ANSI</x:t>
        </x:is>
      </x:c>
      <x:c r="C744" s="8" t="n">
        <x:v>15</x:v>
      </x:c>
      <x:c r="D744" s="8" t="n">
        <x:v>0</x:v>
      </x:c>
      <x:c r="E744" s="8" t="n">
        <x:v>0</x:v>
      </x:c>
      <x:c r="F744" s="8" t="n">
        <x:v>15</x:v>
      </x:c>
      <x:c r="G744" s="9" t="n">
        <x:v>181970</x:v>
      </x:c>
      <x:c r="H744" s="9" t="n">
        <x:v>0</x:v>
      </x:c>
      <x:c r="I744" s="9" t="n">
        <x:v>0</x:v>
      </x:c>
      <x:c r="J744" s="9" t="n">
        <x:v>181970</x:v>
      </x:c>
      <x:c r="K744" s="10" t="n">
        <x:v>12131.932232</x:v>
      </x:c>
    </x:row>
    <x:row r="745">
      <x:c r="A745" t="inlineStr">
        <x:is>
          <x:t xml:space="preserve">PPFFLAANS090</x:t>
        </x:is>
      </x:c>
      <x:c r="B745" t="inlineStr">
        <x:is>
          <x:t xml:space="preserve">PP FLANGE 90 ANSI</x:t>
        </x:is>
      </x:c>
      <x:c r="C745" s="8" t="n">
        <x:v>0</x:v>
      </x:c>
      <x:c r="D745" s="8" t="n">
        <x:v>10</x:v>
      </x:c>
      <x:c r="E745" s="8" t="n">
        <x:v>0</x:v>
      </x:c>
      <x:c r="F745" s="8" t="n">
        <x:v>10</x:v>
      </x:c>
      <x:c r="G745" s="9" t="n">
        <x:v>2</x:v>
      </x:c>
      <x:c r="H745" s="9" t="n">
        <x:v>141000</x:v>
      </x:c>
      <x:c r="I745" s="9" t="n">
        <x:v>0</x:v>
      </x:c>
      <x:c r="J745" s="9" t="n">
        <x:v>141002</x:v>
      </x:c>
      <x:c r="K745" s="10" t="n">
        <x:v>14100</x:v>
      </x:c>
    </x:row>
    <x:row r="746">
      <x:c r="A746" t="inlineStr">
        <x:is>
          <x:t xml:space="preserve">PPFFLAANS125</x:t>
        </x:is>
      </x:c>
      <x:c r="B746" t="inlineStr">
        <x:is>
          <x:t xml:space="preserve">PP FLANGE 125 ANSI</x:t>
        </x:is>
      </x:c>
      <x:c r="C746" s="8" t="n">
        <x:v>9</x:v>
      </x:c>
      <x:c r="D746" s="8" t="n">
        <x:v>0</x:v>
      </x:c>
      <x:c r="E746" s="8" t="n">
        <x:v>0</x:v>
      </x:c>
      <x:c r="F746" s="8" t="n">
        <x:v>9</x:v>
      </x:c>
      <x:c r="G746" s="9" t="n">
        <x:v>201203</x:v>
      </x:c>
      <x:c r="H746" s="9" t="n">
        <x:v>0</x:v>
      </x:c>
      <x:c r="I746" s="9" t="n">
        <x:v>0</x:v>
      </x:c>
      <x:c r="J746" s="9" t="n">
        <x:v>201203</x:v>
      </x:c>
      <x:c r="K746" s="10" t="n">
        <x:v>22356</x:v>
      </x:c>
    </x:row>
    <x:row r="747">
      <x:c r="A747" t="inlineStr">
        <x:is>
          <x:t xml:space="preserve">PPFFLAANS160</x:t>
        </x:is>
      </x:c>
      <x:c r="B747" t="inlineStr">
        <x:is>
          <x:t xml:space="preserve">PP FLANGE 160 ANSI</x:t>
        </x:is>
      </x:c>
      <x:c r="C747" s="8" t="n">
        <x:v>6</x:v>
      </x:c>
      <x:c r="D747" s="8" t="n">
        <x:v>0</x:v>
      </x:c>
      <x:c r="E747" s="8" t="n">
        <x:v>0</x:v>
      </x:c>
      <x:c r="F747" s="8" t="n">
        <x:v>6</x:v>
      </x:c>
      <x:c r="G747" s="9" t="n">
        <x:v>140208</x:v>
      </x:c>
      <x:c r="H747" s="9" t="n">
        <x:v>0</x:v>
      </x:c>
      <x:c r="I747" s="9" t="n">
        <x:v>0</x:v>
      </x:c>
      <x:c r="J747" s="9" t="n">
        <x:v>140208</x:v>
      </x:c>
      <x:c r="K747" s="10" t="n">
        <x:v>23367.40811</x:v>
      </x:c>
    </x:row>
    <x:row r="748">
      <x:c r="A748" t="inlineStr">
        <x:is>
          <x:t xml:space="preserve">PPFFLAANS200</x:t>
        </x:is>
      </x:c>
      <x:c r="B748" t="inlineStr">
        <x:is>
          <x:t xml:space="preserve">PP FLANGE 200 ANSI</x:t>
        </x:is>
      </x:c>
      <x:c r="C748" s="8" t="n">
        <x:v>27</x:v>
      </x:c>
      <x:c r="D748" s="8" t="n">
        <x:v>0</x:v>
      </x:c>
      <x:c r="E748" s="8" t="n">
        <x:v>0</x:v>
      </x:c>
      <x:c r="F748" s="8" t="n">
        <x:v>27</x:v>
      </x:c>
      <x:c r="G748" s="9" t="n">
        <x:v>1033405</x:v>
      </x:c>
      <x:c r="H748" s="9" t="n">
        <x:v>0</x:v>
      </x:c>
      <x:c r="I748" s="9" t="n">
        <x:v>0</x:v>
      </x:c>
      <x:c r="J748" s="9" t="n">
        <x:v>1033405</x:v>
      </x:c>
      <x:c r="K748" s="10" t="n">
        <x:v>38274.280908</x:v>
      </x:c>
    </x:row>
    <x:row r="749">
      <x:c r="A749" t="inlineStr">
        <x:is>
          <x:t xml:space="preserve">PPFFLAANS250</x:t>
        </x:is>
      </x:c>
      <x:c r="B749" t="inlineStr">
        <x:is>
          <x:t xml:space="preserve">PP FLANGE 250 ANSI</x:t>
        </x:is>
      </x:c>
      <x:c r="C749" s="8" t="n">
        <x:v>105</x:v>
      </x:c>
      <x:c r="D749" s="8" t="n">
        <x:v>0</x:v>
      </x:c>
      <x:c r="E749" s="8" t="n">
        <x:v>0</x:v>
      </x:c>
      <x:c r="F749" s="8" t="n">
        <x:v>105</x:v>
      </x:c>
      <x:c r="G749" s="9" t="n">
        <x:v>5711642</x:v>
      </x:c>
      <x:c r="H749" s="9" t="n">
        <x:v>0</x:v>
      </x:c>
      <x:c r="I749" s="9" t="n">
        <x:v>0</x:v>
      </x:c>
      <x:c r="J749" s="9" t="n">
        <x:v>5711642</x:v>
      </x:c>
      <x:c r="K749" s="10" t="n">
        <x:v>54396.614028</x:v>
      </x:c>
    </x:row>
    <x:row r="750">
      <x:c r="A750" t="inlineStr">
        <x:is>
          <x:t xml:space="preserve">PPFFLAANS315</x:t>
        </x:is>
      </x:c>
      <x:c r="B750" t="inlineStr">
        <x:is>
          <x:t xml:space="preserve">PP FLANGE 315 ANSI</x:t>
        </x:is>
      </x:c>
      <x:c r="C750" s="8" t="n">
        <x:v>3</x:v>
      </x:c>
      <x:c r="D750" s="8" t="n">
        <x:v>0</x:v>
      </x:c>
      <x:c r="E750" s="8" t="n">
        <x:v>0</x:v>
      </x:c>
      <x:c r="F750" s="8" t="n">
        <x:v>3</x:v>
      </x:c>
      <x:c r="G750" s="9" t="n">
        <x:v>242152</x:v>
      </x:c>
      <x:c r="H750" s="9" t="n">
        <x:v>0</x:v>
      </x:c>
      <x:c r="I750" s="9" t="n">
        <x:v>0</x:v>
      </x:c>
      <x:c r="J750" s="9" t="n">
        <x:v>242152</x:v>
      </x:c>
      <x:c r="K750" s="10" t="n">
        <x:v>80715.026165</x:v>
      </x:c>
    </x:row>
    <x:row r="751">
      <x:c r="A751" t="inlineStr">
        <x:is>
          <x:t xml:space="preserve">PPFFLAANS400</x:t>
        </x:is>
      </x:c>
      <x:c r="B751" t="inlineStr">
        <x:is>
          <x:t xml:space="preserve">PP FLANGE 400 ANSI</x:t>
        </x:is>
      </x:c>
      <x:c r="C751" s="8" t="n">
        <x:v>33</x:v>
      </x:c>
      <x:c r="D751" s="8" t="n">
        <x:v>0</x:v>
      </x:c>
      <x:c r="E751" s="8" t="n">
        <x:v>0</x:v>
      </x:c>
      <x:c r="F751" s="8" t="n">
        <x:v>33</x:v>
      </x:c>
      <x:c r="G751" s="9" t="n">
        <x:v>6341099</x:v>
      </x:c>
      <x:c r="H751" s="9" t="n">
        <x:v>0</x:v>
      </x:c>
      <x:c r="I751" s="9" t="n">
        <x:v>0</x:v>
      </x:c>
      <x:c r="J751" s="9" t="n">
        <x:v>6341099</x:v>
      </x:c>
      <x:c r="K751" s="10" t="n">
        <x:v>192154.433403</x:v>
      </x:c>
    </x:row>
    <x:row r="752">
      <x:c r="A752" t="inlineStr">
        <x:is>
          <x:t xml:space="preserve">PPFFLAANS500</x:t>
        </x:is>
      </x:c>
      <x:c r="B752" t="inlineStr">
        <x:is>
          <x:t xml:space="preserve">PP FLANGE 500 ANSI - 20 PULGADAS</x:t>
        </x:is>
      </x:c>
      <x:c r="C752" s="8" t="n">
        <x:v>3</x:v>
      </x:c>
      <x:c r="D752" s="8" t="n">
        <x:v>0</x:v>
      </x:c>
      <x:c r="E752" s="8" t="n">
        <x:v>0</x:v>
      </x:c>
      <x:c r="F752" s="8" t="n">
        <x:v>3</x:v>
      </x:c>
      <x:c r="G752" s="9" t="n">
        <x:v>1631919</x:v>
      </x:c>
      <x:c r="H752" s="9" t="n">
        <x:v>0</x:v>
      </x:c>
      <x:c r="I752" s="9" t="n">
        <x:v>0</x:v>
      </x:c>
      <x:c r="J752" s="9" t="n">
        <x:v>1631919</x:v>
      </x:c>
      <x:c r="K752" s="10" t="n">
        <x:v>543972.73</x:v>
      </x:c>
    </x:row>
    <x:row r="753">
      <x:c r="A753" t="inlineStr">
        <x:is>
          <x:t xml:space="preserve">PPFFLADIN063</x:t>
        </x:is>
      </x:c>
      <x:c r="B753" t="inlineStr">
        <x:is>
          <x:t xml:space="preserve">PP FLANGE 63 DIN</x:t>
        </x:is>
      </x:c>
      <x:c r="C753" s="8" t="n">
        <x:v>2</x:v>
      </x:c>
      <x:c r="D753" s="8" t="n">
        <x:v>0</x:v>
      </x:c>
      <x:c r="E753" s="8" t="n">
        <x:v>0</x:v>
      </x:c>
      <x:c r="F753" s="8" t="n">
        <x:v>2</x:v>
      </x:c>
      <x:c r="G753" s="9" t="n">
        <x:v>22046</x:v>
      </x:c>
      <x:c r="H753" s="9" t="n">
        <x:v>0</x:v>
      </x:c>
      <x:c r="I753" s="9" t="n">
        <x:v>0</x:v>
      </x:c>
      <x:c r="J753" s="9" t="n">
        <x:v>22046</x:v>
      </x:c>
      <x:c r="K753" s="10" t="n">
        <x:v>11023.808824</x:v>
      </x:c>
    </x:row>
    <x:row r="754">
      <x:c r="A754" t="inlineStr">
        <x:is>
          <x:t xml:space="preserve">PPFFLADIN110</x:t>
        </x:is>
      </x:c>
      <x:c r="B754" t="inlineStr">
        <x:is>
          <x:t xml:space="preserve">PP FLANGE 110 DIN</x:t>
        </x:is>
      </x:c>
      <x:c r="C754" s="8" t="n">
        <x:v>11</x:v>
      </x:c>
      <x:c r="D754" s="8" t="n">
        <x:v>0</x:v>
      </x:c>
      <x:c r="E754" s="8" t="n">
        <x:v>0</x:v>
      </x:c>
      <x:c r="F754" s="8" t="n">
        <x:v>11</x:v>
      </x:c>
      <x:c r="G754" s="9" t="n">
        <x:v>135300</x:v>
      </x:c>
      <x:c r="H754" s="9" t="n">
        <x:v>0</x:v>
      </x:c>
      <x:c r="I754" s="9" t="n">
        <x:v>0</x:v>
      </x:c>
      <x:c r="J754" s="9" t="n">
        <x:v>135300</x:v>
      </x:c>
      <x:c r="K754" s="10" t="n">
        <x:v>12300</x:v>
      </x:c>
    </x:row>
    <x:row r="755">
      <x:c r="A755" t="inlineStr">
        <x:is>
          <x:t xml:space="preserve">PPFFLADIN125</x:t>
        </x:is>
      </x:c>
      <x:c r="B755" t="inlineStr">
        <x:is>
          <x:t xml:space="preserve">PP FLANGE 125 DIN</x:t>
        </x:is>
      </x:c>
      <x:c r="C755" s="8" t="n">
        <x:v>184</x:v>
      </x:c>
      <x:c r="D755" s="8" t="n">
        <x:v>0</x:v>
      </x:c>
      <x:c r="E755" s="8" t="n">
        <x:v>0</x:v>
      </x:c>
      <x:c r="F755" s="8" t="n">
        <x:v>184</x:v>
      </x:c>
      <x:c r="G755" s="9" t="n">
        <x:v>940795</x:v>
      </x:c>
      <x:c r="H755" s="9" t="n">
        <x:v>0</x:v>
      </x:c>
      <x:c r="I755" s="9" t="n">
        <x:v>0</x:v>
      </x:c>
      <x:c r="J755" s="9" t="n">
        <x:v>940795</x:v>
      </x:c>
      <x:c r="K755" s="10" t="n">
        <x:v>5113.018381</x:v>
      </x:c>
    </x:row>
    <x:row r="756">
      <x:c r="A756" t="inlineStr">
        <x:is>
          <x:t xml:space="preserve">PPFFLADIN160</x:t>
        </x:is>
      </x:c>
      <x:c r="B756" t="inlineStr">
        <x:is>
          <x:t xml:space="preserve">PP FLANGE 160 DIN</x:t>
        </x:is>
      </x:c>
      <x:c r="C756" s="8" t="n">
        <x:v>15</x:v>
      </x:c>
      <x:c r="D756" s="8" t="n">
        <x:v>0</x:v>
      </x:c>
      <x:c r="E756" s="8" t="n">
        <x:v>0</x:v>
      </x:c>
      <x:c r="F756" s="8" t="n">
        <x:v>15</x:v>
      </x:c>
      <x:c r="G756" s="9" t="n">
        <x:v>291450</x:v>
      </x:c>
      <x:c r="H756" s="9" t="n">
        <x:v>0</x:v>
      </x:c>
      <x:c r="I756" s="9" t="n">
        <x:v>0</x:v>
      </x:c>
      <x:c r="J756" s="9" t="n">
        <x:v>291450</x:v>
      </x:c>
      <x:c r="K756" s="10" t="n">
        <x:v>19430</x:v>
      </x:c>
    </x:row>
    <x:row r="757">
      <x:c r="A757" t="inlineStr">
        <x:is>
          <x:t xml:space="preserve">PPFFLADIN200</x:t>
        </x:is>
      </x:c>
      <x:c r="B757" t="inlineStr">
        <x:is>
          <x:t xml:space="preserve">PP FLANGE 200 DIN</x:t>
        </x:is>
      </x:c>
      <x:c r="C757" s="8" t="n">
        <x:v>135</x:v>
      </x:c>
      <x:c r="D757" s="8" t="n">
        <x:v>0</x:v>
      </x:c>
      <x:c r="E757" s="8" t="n">
        <x:v>0</x:v>
      </x:c>
      <x:c r="F757" s="8" t="n">
        <x:v>135</x:v>
      </x:c>
      <x:c r="G757" s="9" t="n">
        <x:v>3241343</x:v>
      </x:c>
      <x:c r="H757" s="9" t="n">
        <x:v>0</x:v>
      </x:c>
      <x:c r="I757" s="9" t="n">
        <x:v>0</x:v>
      </x:c>
      <x:c r="J757" s="9" t="n">
        <x:v>3241343</x:v>
      </x:c>
      <x:c r="K757" s="10" t="n">
        <x:v>24009.944204</x:v>
      </x:c>
    </x:row>
    <x:row r="758">
      <x:c r="A758" t="inlineStr">
        <x:is>
          <x:t xml:space="preserve">PPFFLADIN250</x:t>
        </x:is>
      </x:c>
      <x:c r="B758" t="inlineStr">
        <x:is>
          <x:t xml:space="preserve">PP FLANGE 250 DIN</x:t>
        </x:is>
      </x:c>
      <x:c r="C758" s="8" t="n">
        <x:v>27</x:v>
      </x:c>
      <x:c r="D758" s="8" t="n">
        <x:v>0</x:v>
      </x:c>
      <x:c r="E758" s="8" t="n">
        <x:v>0</x:v>
      </x:c>
      <x:c r="F758" s="8" t="n">
        <x:v>27</x:v>
      </x:c>
      <x:c r="G758" s="9" t="n">
        <x:v>1289628</x:v>
      </x:c>
      <x:c r="H758" s="9" t="n">
        <x:v>0</x:v>
      </x:c>
      <x:c r="I758" s="9" t="n">
        <x:v>0</x:v>
      </x:c>
      <x:c r="J758" s="9" t="n">
        <x:v>1289628</x:v>
      </x:c>
      <x:c r="K758" s="10" t="n">
        <x:v>47764.012346</x:v>
      </x:c>
    </x:row>
    <x:row r="759">
      <x:c r="A759" t="inlineStr">
        <x:is>
          <x:t xml:space="preserve">PPFFLADIN355</x:t>
        </x:is>
      </x:c>
      <x:c r="B759" t="inlineStr">
        <x:is>
          <x:t xml:space="preserve">PP FLANGE 355 DIN</x:t>
        </x:is>
      </x:c>
      <x:c r="C759" s="8" t="n">
        <x:v>6</x:v>
      </x:c>
      <x:c r="D759" s="8" t="n">
        <x:v>0</x:v>
      </x:c>
      <x:c r="E759" s="8" t="n">
        <x:v>0</x:v>
      </x:c>
      <x:c r="F759" s="8" t="n">
        <x:v>6</x:v>
      </x:c>
      <x:c r="G759" s="9" t="n">
        <x:v>684144</x:v>
      </x:c>
      <x:c r="H759" s="9" t="n">
        <x:v>0</x:v>
      </x:c>
      <x:c r="I759" s="9" t="n">
        <x:v>0</x:v>
      </x:c>
      <x:c r="J759" s="9" t="n">
        <x:v>684144</x:v>
      </x:c>
      <x:c r="K759" s="10" t="n">
        <x:v>114023.933333</x:v>
      </x:c>
    </x:row>
    <x:row r="760">
      <x:c r="A760" t="inlineStr">
        <x:is>
          <x:t xml:space="preserve">PPFFLADIN400</x:t>
        </x:is>
      </x:c>
      <x:c r="B760" t="inlineStr">
        <x:is>
          <x:t xml:space="preserve">PP FLANGE 400 DIN</x:t>
        </x:is>
      </x:c>
      <x:c r="C760" s="8" t="n">
        <x:v>4</x:v>
      </x:c>
      <x:c r="D760" s="8" t="n">
        <x:v>0</x:v>
      </x:c>
      <x:c r="E760" s="8" t="n">
        <x:v>0</x:v>
      </x:c>
      <x:c r="F760" s="8" t="n">
        <x:v>4</x:v>
      </x:c>
      <x:c r="G760" s="9" t="n">
        <x:v>629245</x:v>
      </x:c>
      <x:c r="H760" s="9" t="n">
        <x:v>0</x:v>
      </x:c>
      <x:c r="I760" s="9" t="n">
        <x:v>0</x:v>
      </x:c>
      <x:c r="J760" s="9" t="n">
        <x:v>629245</x:v>
      </x:c>
      <x:c r="K760" s="10" t="n">
        <x:v>157311.438914</x:v>
      </x:c>
    </x:row>
    <x:row r="761">
      <x:c r="A761" t="inlineStr">
        <x:is>
          <x:t xml:space="preserve">PPFFLADINO32</x:t>
        </x:is>
      </x:c>
      <x:c r="B761" t="inlineStr">
        <x:is>
          <x:t xml:space="preserve">PP FLANGE 32 DIN</x:t>
        </x:is>
      </x:c>
      <x:c r="C761" s="8" t="n">
        <x:v>9</x:v>
      </x:c>
      <x:c r="D761" s="8" t="n">
        <x:v>0</x:v>
      </x:c>
      <x:c r="E761" s="8" t="n">
        <x:v>0</x:v>
      </x:c>
      <x:c r="F761" s="8" t="n">
        <x:v>9</x:v>
      </x:c>
      <x:c r="G761" s="9" t="n">
        <x:v>28800</x:v>
      </x:c>
      <x:c r="H761" s="9" t="n">
        <x:v>0</x:v>
      </x:c>
      <x:c r="I761" s="9" t="n">
        <x:v>0</x:v>
      </x:c>
      <x:c r="J761" s="9" t="n">
        <x:v>28800</x:v>
      </x:c>
      <x:c r="K761" s="10" t="n">
        <x:v>3200</x:v>
      </x:c>
    </x:row>
    <x:row r="762">
      <x:c r="A762" t="inlineStr">
        <x:is>
          <x:t xml:space="preserve">PPFFLADINO40</x:t>
        </x:is>
      </x:c>
      <x:c r="B762" t="inlineStr">
        <x:is>
          <x:t xml:space="preserve">PP FLANGE 40 DIN</x:t>
        </x:is>
      </x:c>
      <x:c r="C762" s="8" t="n">
        <x:v>13</x:v>
      </x:c>
      <x:c r="D762" s="8" t="n">
        <x:v>0</x:v>
      </x:c>
      <x:c r="E762" s="8" t="n">
        <x:v>0</x:v>
      </x:c>
      <x:c r="F762" s="8" t="n">
        <x:v>13</x:v>
      </x:c>
      <x:c r="G762" s="9" t="n">
        <x:v>50700</x:v>
      </x:c>
      <x:c r="H762" s="9" t="n">
        <x:v>0</x:v>
      </x:c>
      <x:c r="I762" s="9" t="n">
        <x:v>0</x:v>
      </x:c>
      <x:c r="J762" s="9" t="n">
        <x:v>50700</x:v>
      </x:c>
      <x:c r="K762" s="10" t="n">
        <x:v>3900</x:v>
      </x:c>
    </x:row>
    <x:row r="763">
      <x:c r="A763" t="inlineStr">
        <x:is>
          <x:t xml:space="preserve">PPFFLADINO50</x:t>
        </x:is>
      </x:c>
      <x:c r="B763" t="inlineStr">
        <x:is>
          <x:t xml:space="preserve">PP FLANGE 50 DIN</x:t>
        </x:is>
      </x:c>
      <x:c r="C763" s="8" t="n">
        <x:v>11</x:v>
      </x:c>
      <x:c r="D763" s="8" t="n">
        <x:v>0</x:v>
      </x:c>
      <x:c r="E763" s="8" t="n">
        <x:v>0</x:v>
      </x:c>
      <x:c r="F763" s="8" t="n">
        <x:v>11</x:v>
      </x:c>
      <x:c r="G763" s="9" t="n">
        <x:v>95335</x:v>
      </x:c>
      <x:c r="H763" s="9" t="n">
        <x:v>0</x:v>
      </x:c>
      <x:c r="I763" s="9" t="n">
        <x:v>0</x:v>
      </x:c>
      <x:c r="J763" s="9" t="n">
        <x:v>95335</x:v>
      </x:c>
      <x:c r="K763" s="10" t="n">
        <x:v>8666.828571</x:v>
      </x:c>
    </x:row>
    <x:row r="764">
      <x:c r="A764" t="inlineStr">
        <x:is>
          <x:t xml:space="preserve">PPFFLADINO63</x:t>
        </x:is>
      </x:c>
      <x:c r="B764" t="inlineStr">
        <x:is>
          <x:t xml:space="preserve">PP FLANGE 63 DIN</x:t>
        </x:is>
      </x:c>
      <x:c r="C764" s="8" t="n">
        <x:v>7</x:v>
      </x:c>
      <x:c r="D764" s="8" t="n">
        <x:v>0</x:v>
      </x:c>
      <x:c r="E764" s="8" t="n">
        <x:v>0</x:v>
      </x:c>
      <x:c r="F764" s="8" t="n">
        <x:v>7</x:v>
      </x:c>
      <x:c r="G764" s="9" t="n">
        <x:v>12600</x:v>
      </x:c>
      <x:c r="H764" s="9" t="n">
        <x:v>0</x:v>
      </x:c>
      <x:c r="I764" s="9" t="n">
        <x:v>0</x:v>
      </x:c>
      <x:c r="J764" s="9" t="n">
        <x:v>12600</x:v>
      </x:c>
      <x:c r="K764" s="10" t="n">
        <x:v>1800</x:v>
      </x:c>
    </x:row>
    <x:row r="765">
      <x:c r="A765" t="inlineStr">
        <x:is>
          <x:t xml:space="preserve">PPFFLADINO75</x:t>
        </x:is>
      </x:c>
      <x:c r="B765" t="inlineStr">
        <x:is>
          <x:t xml:space="preserve">PP FLANGE 75 DIN</x:t>
        </x:is>
      </x:c>
      <x:c r="C765" s="8" t="n">
        <x:v>1</x:v>
      </x:c>
      <x:c r="D765" s="8" t="n">
        <x:v>0</x:v>
      </x:c>
      <x:c r="E765" s="8" t="n">
        <x:v>0</x:v>
      </x:c>
      <x:c r="F765" s="8" t="n">
        <x:v>1</x:v>
      </x:c>
      <x:c r="G765" s="9" t="n">
        <x:v>1800</x:v>
      </x:c>
      <x:c r="H765" s="9" t="n">
        <x:v>0</x:v>
      </x:c>
      <x:c r="I765" s="9" t="n">
        <x:v>0</x:v>
      </x:c>
      <x:c r="J765" s="9" t="n">
        <x:v>1800</x:v>
      </x:c>
      <x:c r="K765" s="10" t="n">
        <x:v>1800</x:v>
      </x:c>
    </x:row>
    <x:row r="766">
      <x:c r="A766" t="inlineStr">
        <x:is>
          <x:t xml:space="preserve">PPFFLADINO90</x:t>
        </x:is>
      </x:c>
      <x:c r="B766" t="inlineStr">
        <x:is>
          <x:t xml:space="preserve">PP FLANGE 90 DIN</x:t>
        </x:is>
      </x:c>
      <x:c r="C766" s="8" t="n">
        <x:v>0</x:v>
      </x:c>
      <x:c r="D766" s="8" t="n">
        <x:v>10</x:v>
      </x:c>
      <x:c r="E766" s="8" t="n">
        <x:v>0</x:v>
      </x:c>
      <x:c r="F766" s="8" t="n">
        <x:v>10</x:v>
      </x:c>
      <x:c r="G766" s="9" t="n">
        <x:v>0</x:v>
      </x:c>
      <x:c r="H766" s="9" t="n">
        <x:v>100000</x:v>
      </x:c>
      <x:c r="I766" s="9" t="n">
        <x:v>0</x:v>
      </x:c>
      <x:c r="J766" s="9" t="n">
        <x:v>100000</x:v>
      </x:c>
      <x:c r="K766" s="10" t="n">
        <x:v>10000</x:v>
      </x:c>
    </x:row>
    <x:row r="767">
      <x:c r="A767" t="inlineStr">
        <x:is>
          <x:t xml:space="preserve">PPPPLA001002</x:t>
        </x:is>
      </x:c>
      <x:c r="B767" t="inlineStr">
        <x:is>
          <x:t xml:space="preserve">PLANCHAS DE POLIPROPILENO PP SIN BACKING 3000X1500X5 MM</x:t>
        </x:is>
      </x:c>
      <x:c r="C767" s="8" t="n">
        <x:v>2</x:v>
      </x:c>
      <x:c r="D767" s="8" t="n">
        <x:v>0</x:v>
      </x:c>
      <x:c r="E767" s="8" t="n">
        <x:v>0</x:v>
      </x:c>
      <x:c r="F767" s="8" t="n">
        <x:v>2</x:v>
      </x:c>
      <x:c r="G767" s="9" t="n">
        <x:v>371934</x:v>
      </x:c>
      <x:c r="H767" s="9" t="n">
        <x:v>0</x:v>
      </x:c>
      <x:c r="I767" s="9" t="n">
        <x:v>0</x:v>
      </x:c>
      <x:c r="J767" s="9" t="n">
        <x:v>371934</x:v>
      </x:c>
      <x:c r="K767" s="10" t="n">
        <x:v>185967.001189</x:v>
      </x:c>
    </x:row>
    <x:row r="768">
      <x:c r="A768" t="inlineStr">
        <x:is>
          <x:t xml:space="preserve">PPPPLA001006</x:t>
        </x:is>
      </x:c>
      <x:c r="B768" t="inlineStr">
        <x:is>
          <x:t xml:space="preserve">PLANCHAS DE POLIPROPILENO PP SIN BACKING 3000X1500X25mm</x:t>
        </x:is>
      </x:c>
      <x:c r="C768" s="8" t="n">
        <x:v>1.2</x:v>
      </x:c>
      <x:c r="D768" s="8" t="n">
        <x:v>0</x:v>
      </x:c>
      <x:c r="E768" s="8" t="n">
        <x:v>0</x:v>
      </x:c>
      <x:c r="F768" s="8" t="n">
        <x:v>1.2</x:v>
      </x:c>
      <x:c r="G768" s="9" t="n">
        <x:v>423360</x:v>
      </x:c>
      <x:c r="H768" s="9" t="n">
        <x:v>0</x:v>
      </x:c>
      <x:c r="I768" s="9" t="n">
        <x:v>0</x:v>
      </x:c>
      <x:c r="J768" s="9" t="n">
        <x:v>423360</x:v>
      </x:c>
      <x:c r="K768" s="10" t="n">
        <x:v>352800</x:v>
      </x:c>
    </x:row>
    <x:row r="769">
      <x:c r="A769" t="inlineStr">
        <x:is>
          <x:t xml:space="preserve">PPPPLA001007</x:t>
        </x:is>
      </x:c>
      <x:c r="B769" t="inlineStr">
        <x:is>
          <x:t xml:space="preserve">PLANCHAS DE POLIPROPILENO PP SIN BACKING 3000X1500X10 MM</x:t>
        </x:is>
      </x:c>
      <x:c r="C769" s="8" t="n">
        <x:v>3</x:v>
      </x:c>
      <x:c r="D769" s="8" t="n">
        <x:v>0</x:v>
      </x:c>
      <x:c r="E769" s="8" t="n">
        <x:v>0</x:v>
      </x:c>
      <x:c r="F769" s="8" t="n">
        <x:v>3</x:v>
      </x:c>
      <x:c r="G769" s="9" t="n">
        <x:v>397212</x:v>
      </x:c>
      <x:c r="H769" s="9" t="n">
        <x:v>0</x:v>
      </x:c>
      <x:c r="I769" s="9" t="n">
        <x:v>0</x:v>
      </x:c>
      <x:c r="J769" s="9" t="n">
        <x:v>397212</x:v>
      </x:c>
      <x:c r="K769" s="10" t="n">
        <x:v>132403</x:v>
      </x:c>
    </x:row>
    <x:row r="770">
      <x:c r="A770" t="inlineStr">
        <x:is>
          <x:t xml:space="preserve">PPPPLA001009</x:t>
        </x:is>
      </x:c>
      <x:c r="B770" t="inlineStr">
        <x:is>
          <x:t xml:space="preserve">PLANCHAS DE POLIPROPILENO PP CON BACKING 3000X1500X3 MM</x:t>
        </x:is>
      </x:c>
      <x:c r="C770" s="8" t="n">
        <x:v>7</x:v>
      </x:c>
      <x:c r="D770" s="8" t="n">
        <x:v>0</x:v>
      </x:c>
      <x:c r="E770" s="8" t="n">
        <x:v>0</x:v>
      </x:c>
      <x:c r="F770" s="8" t="n">
        <x:v>7</x:v>
      </x:c>
      <x:c r="G770" s="9" t="n">
        <x:v>651030</x:v>
      </x:c>
      <x:c r="H770" s="9" t="n">
        <x:v>0</x:v>
      </x:c>
      <x:c r="I770" s="9" t="n">
        <x:v>0</x:v>
      </x:c>
      <x:c r="J770" s="9" t="n">
        <x:v>651030</x:v>
      </x:c>
      <x:c r="K770" s="10" t="n">
        <x:v>93004</x:v>
      </x:c>
    </x:row>
    <x:row r="771">
      <x:c r="A771" t="inlineStr">
        <x:is>
          <x:t xml:space="preserve">PPPPLA001010</x:t>
        </x:is>
      </x:c>
      <x:c r="B771" t="inlineStr">
        <x:is>
          <x:t xml:space="preserve">PLANCHAS DE POLIPROPILENO PP CON BACKING 3000X1500X5 MM</x:t>
        </x:is>
      </x:c>
      <x:c r="C771" s="8" t="n">
        <x:v>19.7</x:v>
      </x:c>
      <x:c r="D771" s="8" t="n">
        <x:v>0</x:v>
      </x:c>
      <x:c r="E771" s="8" t="n">
        <x:v>0</x:v>
      </x:c>
      <x:c r="F771" s="8" t="n">
        <x:v>19.7</x:v>
      </x:c>
      <x:c r="G771" s="9" t="n">
        <x:v>3631319</x:v>
      </x:c>
      <x:c r="H771" s="9" t="n">
        <x:v>0</x:v>
      </x:c>
      <x:c r="I771" s="9" t="n">
        <x:v>0</x:v>
      </x:c>
      <x:c r="J771" s="9" t="n">
        <x:v>3631319</x:v>
      </x:c>
      <x:c r="K771" s="10" t="n">
        <x:v>184330.817259</x:v>
      </x:c>
    </x:row>
    <x:row r="772">
      <x:c r="A772" t="inlineStr">
        <x:is>
          <x:t xml:space="preserve">PPPPLA001011</x:t>
        </x:is>
      </x:c>
      <x:c r="B772" t="inlineStr">
        <x:is>
          <x:t xml:space="preserve">PLANCHAS DE POLIPROPILENO PP CON BACKING 3000X1500X12 MM</x:t>
        </x:is>
      </x:c>
      <x:c r="C772" s="8" t="n">
        <x:v>12</x:v>
      </x:c>
      <x:c r="D772" s="8" t="n">
        <x:v>0</x:v>
      </x:c>
      <x:c r="E772" s="8" t="n">
        <x:v>0</x:v>
      </x:c>
      <x:c r="F772" s="8" t="n">
        <x:v>12</x:v>
      </x:c>
      <x:c r="G772" s="9" t="n">
        <x:v>2334720</x:v>
      </x:c>
      <x:c r="H772" s="9" t="n">
        <x:v>0</x:v>
      </x:c>
      <x:c r="I772" s="9" t="n">
        <x:v>0</x:v>
      </x:c>
      <x:c r="J772" s="9" t="n">
        <x:v>2334720</x:v>
      </x:c>
      <x:c r="K772" s="10" t="n">
        <x:v>194560</x:v>
      </x:c>
    </x:row>
    <x:row r="773">
      <x:c r="A773" t="inlineStr">
        <x:is>
          <x:t xml:space="preserve">PPPPLA001012</x:t>
        </x:is>
      </x:c>
      <x:c r="B773" t="inlineStr">
        <x:is>
          <x:t xml:space="preserve">PLANCHAS DE POLIPROPILENO PP CON BACKING 3000X1500X20 MM</x:t>
        </x:is>
      </x:c>
      <x:c r="C773" s="8" t="n">
        <x:v>4</x:v>
      </x:c>
      <x:c r="D773" s="8" t="n">
        <x:v>0</x:v>
      </x:c>
      <x:c r="E773" s="8" t="n">
        <x:v>0</x:v>
      </x:c>
      <x:c r="F773" s="8" t="n">
        <x:v>4</x:v>
      </x:c>
      <x:c r="G773" s="9" t="n">
        <x:v>814256</x:v>
      </x:c>
      <x:c r="H773" s="9" t="n">
        <x:v>0</x:v>
      </x:c>
      <x:c r="I773" s="9" t="n">
        <x:v>0</x:v>
      </x:c>
      <x:c r="J773" s="9" t="n">
        <x:v>814256</x:v>
      </x:c>
      <x:c r="K773" s="10" t="n">
        <x:v>203564</x:v>
      </x:c>
    </x:row>
    <x:row r="774">
      <x:c r="A774" t="inlineStr">
        <x:is>
          <x:t xml:space="preserve">PPPPLA001013</x:t>
        </x:is>
      </x:c>
      <x:c r="B774" t="inlineStr">
        <x:is>
          <x:t xml:space="preserve">PLANCHAS DE POLIPROPILENO PP SIN BACKING 3000X1500X12 MM</x:t>
        </x:is>
      </x:c>
      <x:c r="C774" s="8" t="n">
        <x:v>6</x:v>
      </x:c>
      <x:c r="D774" s="8" t="n">
        <x:v>0</x:v>
      </x:c>
      <x:c r="E774" s="8" t="n">
        <x:v>0</x:v>
      </x:c>
      <x:c r="F774" s="8" t="n">
        <x:v>6</x:v>
      </x:c>
      <x:c r="G774" s="9" t="n">
        <x:v>859146</x:v>
      </x:c>
      <x:c r="H774" s="9" t="n">
        <x:v>0</x:v>
      </x:c>
      <x:c r="I774" s="9" t="n">
        <x:v>0</x:v>
      </x:c>
      <x:c r="J774" s="9" t="n">
        <x:v>859146</x:v>
      </x:c>
      <x:c r="K774" s="10" t="n">
        <x:v>143190.999129</x:v>
      </x:c>
    </x:row>
    <x:row r="775">
      <x:c r="A775" t="inlineStr">
        <x:is>
          <x:t xml:space="preserve">PPPPLA001014</x:t>
        </x:is>
      </x:c>
      <x:c r="B775" t="inlineStr">
        <x:is>
          <x:t xml:space="preserve">PLANCHAS DE POLIPROPILENO PP SIN BACKING 3000X1500X20 MM</x:t>
        </x:is>
      </x:c>
      <x:c r="C775" s="8" t="n">
        <x:v>1</x:v>
      </x:c>
      <x:c r="D775" s="8" t="n">
        <x:v>0</x:v>
      </x:c>
      <x:c r="E775" s="8" t="n">
        <x:v>0</x:v>
      </x:c>
      <x:c r="F775" s="8" t="n">
        <x:v>1</x:v>
      </x:c>
      <x:c r="G775" s="9" t="n">
        <x:v>245142</x:v>
      </x:c>
      <x:c r="H775" s="9" t="n">
        <x:v>0</x:v>
      </x:c>
      <x:c r="I775" s="9" t="n">
        <x:v>0</x:v>
      </x:c>
      <x:c r="J775" s="9" t="n">
        <x:v>245142</x:v>
      </x:c>
      <x:c r="K775" s="10" t="n">
        <x:v>245141.538462</x:v>
      </x:c>
    </x:row>
    <x:row r="776">
      <x:c r="A776" t="inlineStr">
        <x:is>
          <x:t xml:space="preserve">PPPPLA001015</x:t>
        </x:is>
      </x:c>
      <x:c r="B776" t="inlineStr">
        <x:is>
          <x:t xml:space="preserve">PLANCHAS DE POLIPROPILENO PP SIN BACKING 2000 X 1000 X 40 MM</x:t>
        </x:is>
      </x:c>
      <x:c r="C776" s="8" t="n">
        <x:v>0.43</x:v>
      </x:c>
      <x:c r="D776" s="8" t="n">
        <x:v>0</x:v>
      </x:c>
      <x:c r="E776" s="8" t="n">
        <x:v>0</x:v>
      </x:c>
      <x:c r="F776" s="8" t="n">
        <x:v>0.43</x:v>
      </x:c>
      <x:c r="G776" s="9" t="n">
        <x:v>169207</x:v>
      </x:c>
      <x:c r="H776" s="9" t="n">
        <x:v>0</x:v>
      </x:c>
      <x:c r="I776" s="9" t="n">
        <x:v>0</x:v>
      </x:c>
      <x:c r="J776" s="9" t="n">
        <x:v>169207</x:v>
      </x:c>
      <x:c r="K776" s="10" t="n">
        <x:v>393506</x:v>
      </x:c>
    </x:row>
    <x:row r="777">
      <x:c r="A777" t="inlineStr">
        <x:is>
          <x:t xml:space="preserve">PPPPLA001018</x:t>
        </x:is>
      </x:c>
      <x:c r="B777" t="inlineStr">
        <x:is>
          <x:t xml:space="preserve">PLANCHAS DE POLIPROPILENO PP CON BACKING 3000 X 1500 X 4 MM</x:t>
        </x:is>
      </x:c>
      <x:c r="C777" s="8" t="n">
        <x:v>18</x:v>
      </x:c>
      <x:c r="D777" s="8" t="n">
        <x:v>0</x:v>
      </x:c>
      <x:c r="E777" s="8" t="n">
        <x:v>0</x:v>
      </x:c>
      <x:c r="F777" s="8" t="n">
        <x:v>18</x:v>
      </x:c>
      <x:c r="G777" s="9" t="n">
        <x:v>2245933</x:v>
      </x:c>
      <x:c r="H777" s="9" t="n">
        <x:v>0</x:v>
      </x:c>
      <x:c r="I777" s="9" t="n">
        <x:v>0</x:v>
      </x:c>
      <x:c r="J777" s="9" t="n">
        <x:v>2245933</x:v>
      </x:c>
      <x:c r="K777" s="10" t="n">
        <x:v>124774.017062</x:v>
      </x:c>
    </x:row>
    <x:row r="778">
      <x:c r="A778" t="inlineStr">
        <x:is>
          <x:t xml:space="preserve">PPPPLA001019</x:t>
        </x:is>
      </x:c>
      <x:c r="B778" t="inlineStr">
        <x:is>
          <x:t xml:space="preserve">PLANCHA DE POLIPROPILENO PP CON BACKING EXTERIOR 25000 X 1500 X 3 MM (ROLLO)</x:t>
        </x:is>
      </x:c>
      <x:c r="C778" s="8" t="n">
        <x:v>100</x:v>
      </x:c>
      <x:c r="D778" s="8" t="n">
        <x:v>0</x:v>
      </x:c>
      <x:c r="E778" s="8" t="n">
        <x:v>0</x:v>
      </x:c>
      <x:c r="F778" s="8" t="n">
        <x:v>100</x:v>
      </x:c>
      <x:c r="G778" s="9" t="n">
        <x:v>2860000</x:v>
      </x:c>
      <x:c r="H778" s="9" t="n">
        <x:v>0</x:v>
      </x:c>
      <x:c r="I778" s="9" t="n">
        <x:v>0</x:v>
      </x:c>
      <x:c r="J778" s="9" t="n">
        <x:v>2860000</x:v>
      </x:c>
      <x:c r="K778" s="10" t="n">
        <x:v>28600</x:v>
      </x:c>
    </x:row>
    <x:row r="779">
      <x:c r="A779" t="inlineStr">
        <x:is>
          <x:t xml:space="preserve">PPPPLAHUE040</x:t>
        </x:is>
      </x:c>
      <x:c r="B779" t="inlineStr">
        <x:is>
          <x:t xml:space="preserve">PP PLANCHA CAMARA HUECA 40mm</x:t>
        </x:is>
      </x:c>
      <x:c r="C779" s="8" t="n">
        <x:v>10</x:v>
      </x:c>
      <x:c r="D779" s="8" t="n">
        <x:v>0</x:v>
      </x:c>
      <x:c r="E779" s="8" t="n">
        <x:v>0</x:v>
      </x:c>
      <x:c r="F779" s="8" t="n">
        <x:v>10</x:v>
      </x:c>
      <x:c r="G779" s="9" t="n">
        <x:v>1500000</x:v>
      </x:c>
      <x:c r="H779" s="9" t="n">
        <x:v>0</x:v>
      </x:c>
      <x:c r="I779" s="9" t="n">
        <x:v>0</x:v>
      </x:c>
      <x:c r="J779" s="9" t="n">
        <x:v>1500000</x:v>
      </x:c>
      <x:c r="K779" s="10" t="n">
        <x:v>150000</x:v>
      </x:c>
    </x:row>
    <x:row r="780">
      <x:c r="A780" t="inlineStr">
        <x:is>
          <x:t xml:space="preserve">PPPRED001003</x:t>
        </x:is>
      </x:c>
      <x:c r="B780" t="inlineStr">
        <x:is>
          <x:t xml:space="preserve">REDUCCION DE POLIPROPILENO 63X32</x:t>
        </x:is>
      </x:c>
      <x:c r="C780" s="8" t="n">
        <x:v>1</x:v>
      </x:c>
      <x:c r="D780" s="8" t="n">
        <x:v>0</x:v>
      </x:c>
      <x:c r="E780" s="8" t="n">
        <x:v>0</x:v>
      </x:c>
      <x:c r="F780" s="8" t="n">
        <x:v>1</x:v>
      </x:c>
      <x:c r="G780" s="9" t="n">
        <x:v>1800</x:v>
      </x:c>
      <x:c r="H780" s="9" t="n">
        <x:v>0</x:v>
      </x:c>
      <x:c r="I780" s="9" t="n">
        <x:v>0</x:v>
      </x:c>
      <x:c r="J780" s="9" t="n">
        <x:v>1800</x:v>
      </x:c>
      <x:c r="K780" s="10" t="n">
        <x:v>1800</x:v>
      </x:c>
    </x:row>
    <x:row r="781">
      <x:c r="A781" t="inlineStr">
        <x:is>
          <x:t xml:space="preserve">PPPRED001005</x:t>
        </x:is>
      </x:c>
      <x:c r="B781" t="inlineStr">
        <x:is>
          <x:t xml:space="preserve">REDUCCION DE POLIPROPILENO 110X63X10 SDR17</x:t>
        </x:is>
      </x:c>
      <x:c r="C781" s="8" t="n">
        <x:v>11</x:v>
      </x:c>
      <x:c r="D781" s="8" t="n">
        <x:v>0</x:v>
      </x:c>
      <x:c r="E781" s="8" t="n">
        <x:v>0</x:v>
      </x:c>
      <x:c r="F781" s="8" t="n">
        <x:v>11</x:v>
      </x:c>
      <x:c r="G781" s="9" t="n">
        <x:v>105600</x:v>
      </x:c>
      <x:c r="H781" s="9" t="n">
        <x:v>0</x:v>
      </x:c>
      <x:c r="I781" s="9" t="n">
        <x:v>0</x:v>
      </x:c>
      <x:c r="J781" s="9" t="n">
        <x:v>105600</x:v>
      </x:c>
      <x:c r="K781" s="10" t="n">
        <x:v>9600</x:v>
      </x:c>
    </x:row>
    <x:row r="782">
      <x:c r="A782" t="inlineStr">
        <x:is>
          <x:t xml:space="preserve">PPPRED001006</x:t>
        </x:is>
      </x:c>
      <x:c r="B782" t="inlineStr">
        <x:is>
          <x:t xml:space="preserve">REDUCCION DE POLIPROPILENO 110X90X10</x:t>
        </x:is>
      </x:c>
      <x:c r="C782" s="8" t="n">
        <x:v>13</x:v>
      </x:c>
      <x:c r="D782" s="8" t="n">
        <x:v>0</x:v>
      </x:c>
      <x:c r="E782" s="8" t="n">
        <x:v>0</x:v>
      </x:c>
      <x:c r="F782" s="8" t="n">
        <x:v>13</x:v>
      </x:c>
      <x:c r="G782" s="9" t="n">
        <x:v>102700</x:v>
      </x:c>
      <x:c r="H782" s="9" t="n">
        <x:v>0</x:v>
      </x:c>
      <x:c r="I782" s="9" t="n">
        <x:v>0</x:v>
      </x:c>
      <x:c r="J782" s="9" t="n">
        <x:v>102700</x:v>
      </x:c>
      <x:c r="K782" s="10" t="n">
        <x:v>7900</x:v>
      </x:c>
    </x:row>
    <x:row r="783">
      <x:c r="A783" t="inlineStr">
        <x:is>
          <x:t xml:space="preserve">PPPRED001012</x:t>
        </x:is>
      </x:c>
      <x:c r="B783" t="inlineStr">
        <x:is>
          <x:t xml:space="preserve">REDUCCION DE POLIPROPILENO 200X160X11 MM SDR33</x:t>
        </x:is>
      </x:c>
      <x:c r="C783" s="8" t="n">
        <x:v>12</x:v>
      </x:c>
      <x:c r="D783" s="8" t="n">
        <x:v>0</x:v>
      </x:c>
      <x:c r="E783" s="8" t="n">
        <x:v>0</x:v>
      </x:c>
      <x:c r="F783" s="8" t="n">
        <x:v>12</x:v>
      </x:c>
      <x:c r="G783" s="9" t="n">
        <x:v>442800</x:v>
      </x:c>
      <x:c r="H783" s="9" t="n">
        <x:v>0</x:v>
      </x:c>
      <x:c r="I783" s="9" t="n">
        <x:v>0</x:v>
      </x:c>
      <x:c r="J783" s="9" t="n">
        <x:v>442800</x:v>
      </x:c>
      <x:c r="K783" s="10" t="n">
        <x:v>36900</x:v>
      </x:c>
    </x:row>
    <x:row r="784">
      <x:c r="A784" t="inlineStr">
        <x:is>
          <x:t xml:space="preserve">PPPRED001014</x:t>
        </x:is>
      </x:c>
      <x:c r="B784" t="inlineStr">
        <x:is>
          <x:t xml:space="preserve">REDUCCION PP 50X63 SDR11</x:t>
        </x:is>
      </x:c>
      <x:c r="C784" s="8" t="n">
        <x:v>5</x:v>
      </x:c>
      <x:c r="D784" s="8" t="n">
        <x:v>0</x:v>
      </x:c>
      <x:c r="E784" s="8" t="n">
        <x:v>0</x:v>
      </x:c>
      <x:c r="F784" s="8" t="n">
        <x:v>5</x:v>
      </x:c>
      <x:c r="G784" s="9" t="n">
        <x:v>12495</x:v>
      </x:c>
      <x:c r="H784" s="9" t="n">
        <x:v>0</x:v>
      </x:c>
      <x:c r="I784" s="9" t="n">
        <x:v>0</x:v>
      </x:c>
      <x:c r="J784" s="9" t="n">
        <x:v>12495</x:v>
      </x:c>
      <x:c r="K784" s="10" t="n">
        <x:v>2499</x:v>
      </x:c>
    </x:row>
    <x:row r="785">
      <x:c r="A785" t="inlineStr">
        <x:is>
          <x:t xml:space="preserve">PPPRED001015</x:t>
        </x:is>
      </x:c>
      <x:c r="B785" t="inlineStr">
        <x:is>
          <x:t xml:space="preserve">REDUCCION PP 63 X 90</x:t>
        </x:is>
      </x:c>
      <x:c r="C785" s="8" t="n">
        <x:v>4</x:v>
      </x:c>
      <x:c r="D785" s="8" t="n">
        <x:v>0</x:v>
      </x:c>
      <x:c r="E785" s="8" t="n">
        <x:v>0</x:v>
      </x:c>
      <x:c r="F785" s="8" t="n">
        <x:v>4</x:v>
      </x:c>
      <x:c r="G785" s="9" t="n">
        <x:v>9996</x:v>
      </x:c>
      <x:c r="H785" s="9" t="n">
        <x:v>0</x:v>
      </x:c>
      <x:c r="I785" s="9" t="n">
        <x:v>0</x:v>
      </x:c>
      <x:c r="J785" s="9" t="n">
        <x:v>9996</x:v>
      </x:c>
      <x:c r="K785" s="10" t="n">
        <x:v>2499</x:v>
      </x:c>
    </x:row>
    <x:row r="786">
      <x:c r="A786" t="inlineStr">
        <x:is>
          <x:t xml:space="preserve">PPPRED001019</x:t>
        </x:is>
      </x:c>
      <x:c r="B786" t="inlineStr">
        <x:is>
          <x:t xml:space="preserve">REDUCCION CONCENTRICA 315/250 SDR17 PPR GRIS</x:t>
        </x:is>
      </x:c>
      <x:c r="C786" s="8" t="n">
        <x:v>2</x:v>
      </x:c>
      <x:c r="D786" s="8" t="n">
        <x:v>0</x:v>
      </x:c>
      <x:c r="E786" s="8" t="n">
        <x:v>0</x:v>
      </x:c>
      <x:c r="F786" s="8" t="n">
        <x:v>2</x:v>
      </x:c>
      <x:c r="G786" s="9" t="n">
        <x:v>215078</x:v>
      </x:c>
      <x:c r="H786" s="9" t="n">
        <x:v>0</x:v>
      </x:c>
      <x:c r="I786" s="9" t="n">
        <x:v>0</x:v>
      </x:c>
      <x:c r="J786" s="9" t="n">
        <x:v>215078</x:v>
      </x:c>
      <x:c r="K786" s="10" t="n">
        <x:v>107539</x:v>
      </x:c>
    </x:row>
    <x:row r="787">
      <x:c r="A787" t="inlineStr">
        <x:is>
          <x:t xml:space="preserve">PPPRED001021</x:t>
        </x:is>
      </x:c>
      <x:c r="B787" t="inlineStr">
        <x:is>
          <x:t xml:space="preserve">REDUCCION CONCENTRICA 250/160 SDR17 PPR GRIS</x:t>
        </x:is>
      </x:c>
      <x:c r="C787" s="8" t="n">
        <x:v>13</x:v>
      </x:c>
      <x:c r="D787" s="8" t="n">
        <x:v>0</x:v>
      </x:c>
      <x:c r="E787" s="8" t="n">
        <x:v>0</x:v>
      </x:c>
      <x:c r="F787" s="8" t="n">
        <x:v>13</x:v>
      </x:c>
      <x:c r="G787" s="9" t="n">
        <x:v>618709</x:v>
      </x:c>
      <x:c r="H787" s="9" t="n">
        <x:v>0</x:v>
      </x:c>
      <x:c r="I787" s="9" t="n">
        <x:v>0</x:v>
      </x:c>
      <x:c r="J787" s="9" t="n">
        <x:v>618709</x:v>
      </x:c>
      <x:c r="K787" s="10" t="n">
        <x:v>47593</x:v>
      </x:c>
    </x:row>
    <x:row r="788">
      <x:c r="A788" t="inlineStr">
        <x:is>
          <x:t xml:space="preserve">PPPRED001022</x:t>
        </x:is>
      </x:c>
      <x:c r="B788" t="inlineStr">
        <x:is>
          <x:t xml:space="preserve">REDUCCION CONCENTRICA 315/225 SDR33 PPR GRIS</x:t>
        </x:is>
      </x:c>
      <x:c r="C788" s="8" t="n">
        <x:v>2</x:v>
      </x:c>
      <x:c r="D788" s="8" t="n">
        <x:v>0</x:v>
      </x:c>
      <x:c r="E788" s="8" t="n">
        <x:v>0</x:v>
      </x:c>
      <x:c r="F788" s="8" t="n">
        <x:v>2</x:v>
      </x:c>
      <x:c r="G788" s="9" t="n">
        <x:v>96560</x:v>
      </x:c>
      <x:c r="H788" s="9" t="n">
        <x:v>0</x:v>
      </x:c>
      <x:c r="I788" s="9" t="n">
        <x:v>0</x:v>
      </x:c>
      <x:c r="J788" s="9" t="n">
        <x:v>96560</x:v>
      </x:c>
      <x:c r="K788" s="10" t="n">
        <x:v>48280</x:v>
      </x:c>
    </x:row>
    <x:row r="789">
      <x:c r="A789" t="inlineStr">
        <x:is>
          <x:t xml:space="preserve">PPPTUBS11003</x:t>
        </x:is>
      </x:c>
      <x:c r="B789" t="inlineStr">
        <x:is>
          <x:t xml:space="preserve">TUBO POLIPROPILENO DN 20  SDR 11</x:t>
        </x:is>
      </x:c>
      <x:c r="C789" s="8" t="n">
        <x:v>185</x:v>
      </x:c>
      <x:c r="D789" s="8" t="n">
        <x:v>0</x:v>
      </x:c>
      <x:c r="E789" s="8" t="n">
        <x:v>0</x:v>
      </x:c>
      <x:c r="F789" s="8" t="n">
        <x:v>185</x:v>
      </x:c>
      <x:c r="G789" s="9" t="n">
        <x:v>99900</x:v>
      </x:c>
      <x:c r="H789" s="9" t="n">
        <x:v>0</x:v>
      </x:c>
      <x:c r="I789" s="9" t="n">
        <x:v>0</x:v>
      </x:c>
      <x:c r="J789" s="9" t="n">
        <x:v>99900</x:v>
      </x:c>
      <x:c r="K789" s="10" t="n">
        <x:v>540</x:v>
      </x:c>
    </x:row>
    <x:row r="790">
      <x:c r="A790" t="inlineStr">
        <x:is>
          <x:t xml:space="preserve">PPPTUBS11125</x:t>
        </x:is>
      </x:c>
      <x:c r="B790" t="inlineStr">
        <x:is>
          <x:t xml:space="preserve">PP TUBO 125 MM SDR 11</x:t>
        </x:is>
      </x:c>
      <x:c r="C790" s="8" t="n">
        <x:v>55</x:v>
      </x:c>
      <x:c r="D790" s="8" t="n">
        <x:v>0</x:v>
      </x:c>
      <x:c r="E790" s="8" t="n">
        <x:v>0</x:v>
      </x:c>
      <x:c r="F790" s="8" t="n">
        <x:v>55</x:v>
      </x:c>
      <x:c r="G790" s="9" t="n">
        <x:v>3591665</x:v>
      </x:c>
      <x:c r="H790" s="9" t="n">
        <x:v>0</x:v>
      </x:c>
      <x:c r="I790" s="9" t="n">
        <x:v>0</x:v>
      </x:c>
      <x:c r="J790" s="9" t="n">
        <x:v>3591665</x:v>
      </x:c>
      <x:c r="K790" s="10" t="n">
        <x:v>65303</x:v>
      </x:c>
    </x:row>
    <x:row r="791">
      <x:c r="A791" t="inlineStr">
        <x:is>
          <x:t xml:space="preserve">PPPTUBS11200</x:t>
        </x:is>
      </x:c>
      <x:c r="B791" t="inlineStr">
        <x:is>
          <x:t xml:space="preserve">PP TUBO 200MM SDR 11</x:t>
        </x:is>
      </x:c>
      <x:c r="C791" s="8" t="n">
        <x:v>70</x:v>
      </x:c>
      <x:c r="D791" s="8" t="n">
        <x:v>0</x:v>
      </x:c>
      <x:c r="E791" s="8" t="n">
        <x:v>0</x:v>
      </x:c>
      <x:c r="F791" s="8" t="n">
        <x:v>70</x:v>
      </x:c>
      <x:c r="G791" s="9" t="n">
        <x:v>1016400</x:v>
      </x:c>
      <x:c r="H791" s="9" t="n">
        <x:v>0</x:v>
      </x:c>
      <x:c r="I791" s="9" t="n">
        <x:v>0</x:v>
      </x:c>
      <x:c r="J791" s="9" t="n">
        <x:v>1016400</x:v>
      </x:c>
      <x:c r="K791" s="10" t="n">
        <x:v>14520</x:v>
      </x:c>
    </x:row>
    <x:row r="792">
      <x:c r="A792" t="inlineStr">
        <x:is>
          <x:t xml:space="preserve">PPPTUBS11315</x:t>
        </x:is>
      </x:c>
      <x:c r="B792" t="inlineStr">
        <x:is>
          <x:t xml:space="preserve">PP TUBO 315X28.6 SDR11</x:t>
        </x:is>
      </x:c>
      <x:c r="C792" s="8" t="n">
        <x:v>20</x:v>
      </x:c>
      <x:c r="D792" s="8" t="n">
        <x:v>0</x:v>
      </x:c>
      <x:c r="E792" s="8" t="n">
        <x:v>0</x:v>
      </x:c>
      <x:c r="F792" s="8" t="n">
        <x:v>20</x:v>
      </x:c>
      <x:c r="G792" s="9" t="n">
        <x:v>1328000</x:v>
      </x:c>
      <x:c r="H792" s="9" t="n">
        <x:v>0</x:v>
      </x:c>
      <x:c r="I792" s="9" t="n">
        <x:v>0</x:v>
      </x:c>
      <x:c r="J792" s="9" t="n">
        <x:v>1328000</x:v>
      </x:c>
      <x:c r="K792" s="10" t="n">
        <x:v>66400</x:v>
      </x:c>
    </x:row>
    <x:row r="793">
      <x:c r="A793" t="inlineStr">
        <x:is>
          <x:t xml:space="preserve">PPPTUBS1163X</x:t>
        </x:is>
      </x:c>
      <x:c r="B793" t="inlineStr">
        <x:is>
          <x:t xml:space="preserve">PP TUBO 63MM SDR 11</x:t>
        </x:is>
      </x:c>
      <x:c r="C793" s="8" t="n">
        <x:v>117</x:v>
      </x:c>
      <x:c r="D793" s="8" t="n">
        <x:v>0</x:v>
      </x:c>
      <x:c r="E793" s="8" t="n">
        <x:v>0</x:v>
      </x:c>
      <x:c r="F793" s="8" t="n">
        <x:v>117</x:v>
      </x:c>
      <x:c r="G793" s="9" t="n">
        <x:v>1685874</x:v>
      </x:c>
      <x:c r="H793" s="9" t="n">
        <x:v>0</x:v>
      </x:c>
      <x:c r="I793" s="9" t="n">
        <x:v>0</x:v>
      </x:c>
      <x:c r="J793" s="9" t="n">
        <x:v>1685874</x:v>
      </x:c>
      <x:c r="K793" s="10" t="n">
        <x:v>14409.152323</x:v>
      </x:c>
    </x:row>
    <x:row r="794">
      <x:c r="A794" t="inlineStr">
        <x:is>
          <x:t xml:space="preserve">PPPTUBS1190X</x:t>
        </x:is>
      </x:c>
      <x:c r="B794" t="inlineStr">
        <x:is>
          <x:t xml:space="preserve">PP TUBO 90MM X 8,2 SDR 11</x:t>
        </x:is>
      </x:c>
      <x:c r="C794" s="8" t="n">
        <x:v>10</x:v>
      </x:c>
      <x:c r="D794" s="8" t="n">
        <x:v>0</x:v>
      </x:c>
      <x:c r="E794" s="8" t="n">
        <x:v>0</x:v>
      </x:c>
      <x:c r="F794" s="8" t="n">
        <x:v>10</x:v>
      </x:c>
      <x:c r="G794" s="9" t="n">
        <x:v>90000</x:v>
      </x:c>
      <x:c r="H794" s="9" t="n">
        <x:v>0</x:v>
      </x:c>
      <x:c r="I794" s="9" t="n">
        <x:v>0</x:v>
      </x:c>
      <x:c r="J794" s="9" t="n">
        <x:v>90000</x:v>
      </x:c>
      <x:c r="K794" s="10" t="n">
        <x:v>9000</x:v>
      </x:c>
    </x:row>
    <x:row r="795">
      <x:c r="A795" t="inlineStr">
        <x:is>
          <x:t xml:space="preserve">PPPTUBS17001</x:t>
        </x:is>
      </x:c>
      <x:c r="B795" t="inlineStr">
        <x:is>
          <x:t xml:space="preserve">TUBO DE POLIPROPILENO DE 50 X 2.9 SDR17</x:t>
        </x:is>
      </x:c>
      <x:c r="C795" s="8" t="n">
        <x:v>20</x:v>
      </x:c>
      <x:c r="D795" s="8" t="n">
        <x:v>0</x:v>
      </x:c>
      <x:c r="E795" s="8" t="n">
        <x:v>0</x:v>
      </x:c>
      <x:c r="F795" s="8" t="n">
        <x:v>20</x:v>
      </x:c>
      <x:c r="G795" s="9" t="n">
        <x:v>36000</x:v>
      </x:c>
      <x:c r="H795" s="9" t="n">
        <x:v>0</x:v>
      </x:c>
      <x:c r="I795" s="9" t="n">
        <x:v>0</x:v>
      </x:c>
      <x:c r="J795" s="9" t="n">
        <x:v>36000</x:v>
      </x:c>
      <x:c r="K795" s="10" t="n">
        <x:v>1800</x:v>
      </x:c>
    </x:row>
    <x:row r="796">
      <x:c r="A796" t="inlineStr">
        <x:is>
          <x:t xml:space="preserve">PPPTUBS17003</x:t>
        </x:is>
      </x:c>
      <x:c r="B796" t="inlineStr">
        <x:is>
          <x:t xml:space="preserve">TUBO POLIPROPILENO DE 90X35.1  SDR17</x:t>
        </x:is>
      </x:c>
      <x:c r="C796" s="8" t="n">
        <x:v>5</x:v>
      </x:c>
      <x:c r="D796" s="8" t="n">
        <x:v>0</x:v>
      </x:c>
      <x:c r="E796" s="8" t="n">
        <x:v>0</x:v>
      </x:c>
      <x:c r="F796" s="8" t="n">
        <x:v>5</x:v>
      </x:c>
      <x:c r="G796" s="9" t="n">
        <x:v>30000</x:v>
      </x:c>
      <x:c r="H796" s="9" t="n">
        <x:v>0</x:v>
      </x:c>
      <x:c r="I796" s="9" t="n">
        <x:v>0</x:v>
      </x:c>
      <x:c r="J796" s="9" t="n">
        <x:v>30000</x:v>
      </x:c>
      <x:c r="K796" s="10" t="n">
        <x:v>6000</x:v>
      </x:c>
    </x:row>
    <x:row r="797">
      <x:c r="A797" t="inlineStr">
        <x:is>
          <x:t xml:space="preserve">PPPTUBS17160</x:t>
        </x:is>
      </x:c>
      <x:c r="B797" t="inlineStr">
        <x:is>
          <x:t xml:space="preserve">PP TUBO 160X9.1 SDR17</x:t>
        </x:is>
      </x:c>
      <x:c r="C797" s="8" t="n">
        <x:v>85</x:v>
      </x:c>
      <x:c r="D797" s="8" t="n">
        <x:v>0</x:v>
      </x:c>
      <x:c r="E797" s="8" t="n">
        <x:v>0</x:v>
      </x:c>
      <x:c r="F797" s="8" t="n">
        <x:v>85</x:v>
      </x:c>
      <x:c r="G797" s="9" t="n">
        <x:v>3043000</x:v>
      </x:c>
      <x:c r="H797" s="9" t="n">
        <x:v>0</x:v>
      </x:c>
      <x:c r="I797" s="9" t="n">
        <x:v>0</x:v>
      </x:c>
      <x:c r="J797" s="9" t="n">
        <x:v>3043000</x:v>
      </x:c>
      <x:c r="K797" s="10" t="n">
        <x:v>35800</x:v>
      </x:c>
    </x:row>
    <x:row r="798">
      <x:c r="A798" t="inlineStr">
        <x:is>
          <x:t xml:space="preserve">PPPTUBS1750X</x:t>
        </x:is>
      </x:c>
      <x:c r="B798" t="inlineStr">
        <x:is>
          <x:t xml:space="preserve">PP TUBO 50X2.9 SDR 17</x:t>
        </x:is>
      </x:c>
      <x:c r="C798" s="8" t="n">
        <x:v>14.5</x:v>
      </x:c>
      <x:c r="D798" s="8" t="n">
        <x:v>0</x:v>
      </x:c>
      <x:c r="E798" s="8" t="n">
        <x:v>0</x:v>
      </x:c>
      <x:c r="F798" s="8" t="n">
        <x:v>14.5</x:v>
      </x:c>
      <x:c r="G798" s="9" t="n">
        <x:v>41513</x:v>
      </x:c>
      <x:c r="H798" s="9" t="n">
        <x:v>0</x:v>
      </x:c>
      <x:c r="I798" s="9" t="n">
        <x:v>0</x:v>
      </x:c>
      <x:c r="J798" s="9" t="n">
        <x:v>41513</x:v>
      </x:c>
      <x:c r="K798" s="10" t="n">
        <x:v>2863</x:v>
      </x:c>
    </x:row>
    <x:row r="799">
      <x:c r="A799" t="inlineStr">
        <x:is>
          <x:t xml:space="preserve">PPPTUBS33110</x:t>
        </x:is>
      </x:c>
      <x:c r="B799" t="inlineStr">
        <x:is>
          <x:t xml:space="preserve">PP TUBO 110X3.4 SDR33</x:t>
        </x:is>
      </x:c>
      <x:c r="C799" s="8" t="n">
        <x:v>15</x:v>
      </x:c>
      <x:c r="D799" s="8" t="n">
        <x:v>0</x:v>
      </x:c>
      <x:c r="E799" s="8" t="n">
        <x:v>0</x:v>
      </x:c>
      <x:c r="F799" s="8" t="n">
        <x:v>15</x:v>
      </x:c>
      <x:c r="G799" s="9" t="n">
        <x:v>102745</x:v>
      </x:c>
      <x:c r="H799" s="9" t="n">
        <x:v>0</x:v>
      </x:c>
      <x:c r="I799" s="9" t="n">
        <x:v>0</x:v>
      </x:c>
      <x:c r="J799" s="9" t="n">
        <x:v>102745</x:v>
      </x:c>
      <x:c r="K799" s="10" t="n">
        <x:v>6849.692308</x:v>
      </x:c>
    </x:row>
    <x:row r="800">
      <x:c r="A800" t="inlineStr">
        <x:is>
          <x:t xml:space="preserve">PPPTUBS33125</x:t>
        </x:is>
      </x:c>
      <x:c r="B800" t="inlineStr">
        <x:is>
          <x:t xml:space="preserve">PP TUBO 125MM SDR33</x:t>
        </x:is>
      </x:c>
      <x:c r="C800" s="8" t="n">
        <x:v>220</x:v>
      </x:c>
      <x:c r="D800" s="8" t="n">
        <x:v>0</x:v>
      </x:c>
      <x:c r="E800" s="8" t="n">
        <x:v>0</x:v>
      </x:c>
      <x:c r="F800" s="8" t="n">
        <x:v>220</x:v>
      </x:c>
      <x:c r="G800" s="9" t="n">
        <x:v>1621420</x:v>
      </x:c>
      <x:c r="H800" s="9" t="n">
        <x:v>0</x:v>
      </x:c>
      <x:c r="I800" s="9" t="n">
        <x:v>0</x:v>
      </x:c>
      <x:c r="J800" s="9" t="n">
        <x:v>1621420</x:v>
      </x:c>
      <x:c r="K800" s="10" t="n">
        <x:v>7370.091043</x:v>
      </x:c>
    </x:row>
    <x:row r="801">
      <x:c r="A801" t="inlineStr">
        <x:is>
          <x:t xml:space="preserve">PPPTUBS33160</x:t>
        </x:is>
      </x:c>
      <x:c r="B801" t="inlineStr">
        <x:is>
          <x:t xml:space="preserve">PP TUBO 160X4.9 SDR33 (METROS)</x:t>
        </x:is>
      </x:c>
      <x:c r="C801" s="8" t="n">
        <x:v>130</x:v>
      </x:c>
      <x:c r="D801" s="8" t="n">
        <x:v>0</x:v>
      </x:c>
      <x:c r="E801" s="8" t="n">
        <x:v>0</x:v>
      </x:c>
      <x:c r="F801" s="8" t="n">
        <x:v>130</x:v>
      </x:c>
      <x:c r="G801" s="9" t="n">
        <x:v>1928878</x:v>
      </x:c>
      <x:c r="H801" s="9" t="n">
        <x:v>0</x:v>
      </x:c>
      <x:c r="I801" s="9" t="n">
        <x:v>0</x:v>
      </x:c>
      <x:c r="J801" s="9" t="n">
        <x:v>1928878</x:v>
      </x:c>
      <x:c r="K801" s="10" t="n">
        <x:v>14837.486067</x:v>
      </x:c>
    </x:row>
    <x:row r="802">
      <x:c r="A802" t="inlineStr">
        <x:is>
          <x:t xml:space="preserve">PPPTUBS33200</x:t>
        </x:is>
      </x:c>
      <x:c r="B802" t="inlineStr">
        <x:is>
          <x:t xml:space="preserve">PP TUBO 200X6.2 SDR33</x:t>
        </x:is>
      </x:c>
      <x:c r="C802" s="8" t="n">
        <x:v>215</x:v>
      </x:c>
      <x:c r="D802" s="8" t="n">
        <x:v>0</x:v>
      </x:c>
      <x:c r="E802" s="8" t="n">
        <x:v>0</x:v>
      </x:c>
      <x:c r="F802" s="8" t="n">
        <x:v>215</x:v>
      </x:c>
      <x:c r="G802" s="9" t="n">
        <x:v>8516636</x:v>
      </x:c>
      <x:c r="H802" s="9" t="n">
        <x:v>0</x:v>
      </x:c>
      <x:c r="I802" s="9" t="n">
        <x:v>0</x:v>
      </x:c>
      <x:c r="J802" s="9" t="n">
        <x:v>8516636</x:v>
      </x:c>
      <x:c r="K802" s="10" t="n">
        <x:v>39612.263339</x:v>
      </x:c>
    </x:row>
    <x:row r="803">
      <x:c r="A803" t="inlineStr">
        <x:is>
          <x:t xml:space="preserve">PPPTUBS33250</x:t>
        </x:is>
      </x:c>
      <x:c r="B803" t="inlineStr">
        <x:is>
          <x:t xml:space="preserve">PP TUBO 250X7.7 SDR33 (METROS)</x:t>
        </x:is>
      </x:c>
      <x:c r="C803" s="8" t="n">
        <x:v>180</x:v>
      </x:c>
      <x:c r="D803" s="8" t="n">
        <x:v>0</x:v>
      </x:c>
      <x:c r="E803" s="8" t="n">
        <x:v>0</x:v>
      </x:c>
      <x:c r="F803" s="8" t="n">
        <x:v>180</x:v>
      </x:c>
      <x:c r="G803" s="9" t="n">
        <x:v>6116523</x:v>
      </x:c>
      <x:c r="H803" s="9" t="n">
        <x:v>0</x:v>
      </x:c>
      <x:c r="I803" s="9" t="n">
        <x:v>0</x:v>
      </x:c>
      <x:c r="J803" s="9" t="n">
        <x:v>6116523</x:v>
      </x:c>
      <x:c r="K803" s="10" t="n">
        <x:v>33980.688419</x:v>
      </x:c>
    </x:row>
    <x:row r="804">
      <x:c r="A804" t="inlineStr">
        <x:is>
          <x:t xml:space="preserve">PPPTUBS33315</x:t>
        </x:is>
      </x:c>
      <x:c r="B804" t="inlineStr">
        <x:is>
          <x:t xml:space="preserve">PP TUBO 315X9.7 SDR33</x:t>
        </x:is>
      </x:c>
      <x:c r="C804" s="8" t="n">
        <x:v>25</x:v>
      </x:c>
      <x:c r="D804" s="8" t="n">
        <x:v>0</x:v>
      </x:c>
      <x:c r="E804" s="8" t="n">
        <x:v>0</x:v>
      </x:c>
      <x:c r="F804" s="8" t="n">
        <x:v>25</x:v>
      </x:c>
      <x:c r="G804" s="9" t="n">
        <x:v>1402002</x:v>
      </x:c>
      <x:c r="H804" s="9" t="n">
        <x:v>0</x:v>
      </x:c>
      <x:c r="I804" s="9" t="n">
        <x:v>0</x:v>
      </x:c>
      <x:c r="J804" s="9" t="n">
        <x:v>1402002</x:v>
      </x:c>
      <x:c r="K804" s="10" t="n">
        <x:v>56079.963147</x:v>
      </x:c>
    </x:row>
    <x:row r="805">
      <x:c r="A805" t="inlineStr">
        <x:is>
          <x:t xml:space="preserve">PPPTUBS33355</x:t>
        </x:is>
      </x:c>
      <x:c r="B805" t="inlineStr">
        <x:is>
          <x:t xml:space="preserve">PP TUBO 355MM X 10,9 - SDR33 (METROS)</x:t>
        </x:is>
      </x:c>
      <x:c r="C805" s="8" t="n">
        <x:v>97</x:v>
      </x:c>
      <x:c r="D805" s="8" t="n">
        <x:v>0</x:v>
      </x:c>
      <x:c r="E805" s="8" t="n">
        <x:v>0</x:v>
      </x:c>
      <x:c r="F805" s="8" t="n">
        <x:v>97</x:v>
      </x:c>
      <x:c r="G805" s="9" t="n">
        <x:v>4701362</x:v>
      </x:c>
      <x:c r="H805" s="9" t="n">
        <x:v>0</x:v>
      </x:c>
      <x:c r="I805" s="9" t="n">
        <x:v>0</x:v>
      </x:c>
      <x:c r="J805" s="9" t="n">
        <x:v>4701362</x:v>
      </x:c>
      <x:c r="K805" s="10" t="n">
        <x:v>48467.658727</x:v>
      </x:c>
    </x:row>
    <x:row r="806">
      <x:c r="A806" t="inlineStr">
        <x:is>
          <x:t xml:space="preserve">PPPTUBS33400</x:t>
        </x:is>
      </x:c>
      <x:c r="B806" t="inlineStr">
        <x:is>
          <x:t xml:space="preserve">PP TUBO 400MM X 12,3 SDR33 (METROS)</x:t>
        </x:is>
      </x:c>
      <x:c r="C806" s="8" t="n">
        <x:v>144.5</x:v>
      </x:c>
      <x:c r="D806" s="8" t="n">
        <x:v>0</x:v>
      </x:c>
      <x:c r="E806" s="8" t="n">
        <x:v>0</x:v>
      </x:c>
      <x:c r="F806" s="8" t="n">
        <x:v>144.5</x:v>
      </x:c>
      <x:c r="G806" s="9" t="n">
        <x:v>10118893</x:v>
      </x:c>
      <x:c r="H806" s="9" t="n">
        <x:v>0</x:v>
      </x:c>
      <x:c r="I806" s="9" t="n">
        <x:v>0</x:v>
      </x:c>
      <x:c r="J806" s="9" t="n">
        <x:v>10118893</x:v>
      </x:c>
      <x:c r="K806" s="10" t="n">
        <x:v>70026.963176</x:v>
      </x:c>
    </x:row>
    <x:row r="807">
      <x:c r="A807" t="inlineStr">
        <x:is>
          <x:t xml:space="preserve">PPPTUBS33450</x:t>
        </x:is>
      </x:c>
      <x:c r="B807" t="inlineStr">
        <x:is>
          <x:t xml:space="preserve">PP TUBO 450MM X 13,8 - SDR33 (METROS)</x:t>
        </x:is>
      </x:c>
      <x:c r="C807" s="8" t="n">
        <x:v>5</x:v>
      </x:c>
      <x:c r="D807" s="8" t="n">
        <x:v>0</x:v>
      </x:c>
      <x:c r="E807" s="8" t="n">
        <x:v>0</x:v>
      </x:c>
      <x:c r="F807" s="8" t="n">
        <x:v>5</x:v>
      </x:c>
      <x:c r="G807" s="9" t="n">
        <x:v>423900</x:v>
      </x:c>
      <x:c r="H807" s="9" t="n">
        <x:v>0</x:v>
      </x:c>
      <x:c r="I807" s="9" t="n">
        <x:v>0</x:v>
      </x:c>
      <x:c r="J807" s="9" t="n">
        <x:v>423900</x:v>
      </x:c>
      <x:c r="K807" s="10" t="n">
        <x:v>84780</x:v>
      </x:c>
    </x:row>
    <x:row r="808">
      <x:c r="A808" t="inlineStr">
        <x:is>
          <x:t xml:space="preserve">PPPTUBS33500</x:t>
        </x:is>
      </x:c>
      <x:c r="B808" t="inlineStr">
        <x:is>
          <x:t xml:space="preserve">PP TUBO 500X17 SDR33</x:t>
        </x:is>
      </x:c>
      <x:c r="C808" s="8" t="n">
        <x:v>10</x:v>
      </x:c>
      <x:c r="D808" s="8" t="n">
        <x:v>0</x:v>
      </x:c>
      <x:c r="E808" s="8" t="n">
        <x:v>0</x:v>
      </x:c>
      <x:c r="F808" s="8" t="n">
        <x:v>10</x:v>
      </x:c>
      <x:c r="G808" s="9" t="n">
        <x:v>1339247</x:v>
      </x:c>
      <x:c r="H808" s="9" t="n">
        <x:v>0</x:v>
      </x:c>
      <x:c r="I808" s="9" t="n">
        <x:v>0</x:v>
      </x:c>
      <x:c r="J808" s="9" t="n">
        <x:v>1339247</x:v>
      </x:c>
      <x:c r="K808" s="10" t="n">
        <x:v>133924.805195</x:v>
      </x:c>
    </x:row>
    <x:row r="809">
      <x:c r="A809" t="inlineStr">
        <x:is>
          <x:t xml:space="preserve">PPPTUBVEN011</x:t>
        </x:is>
      </x:c>
      <x:c r="B809" t="inlineStr">
        <x:is>
          <x:t xml:space="preserve">TB 16x6 mt POLIFUSION-BETA S3. (TIRAS DE 6MTS)</x:t>
        </x:is>
      </x:c>
      <x:c r="C809" s="8" t="n">
        <x:v>0</x:v>
      </x:c>
      <x:c r="D809" s="8" t="n">
        <x:v>34</x:v>
      </x:c>
      <x:c r="E809" s="8" t="n">
        <x:v>0</x:v>
      </x:c>
      <x:c r="F809" s="8" t="n">
        <x:v>34</x:v>
      </x:c>
      <x:c r="G809" s="9" t="n">
        <x:v>0</x:v>
      </x:c>
      <x:c r="H809" s="9" t="n">
        <x:v>207060</x:v>
      </x:c>
      <x:c r="I809" s="9" t="n">
        <x:v>0</x:v>
      </x:c>
      <x:c r="J809" s="9" t="n">
        <x:v>207060</x:v>
      </x:c>
      <x:c r="K809" s="10" t="n">
        <x:v>6090</x:v>
      </x:c>
    </x:row>
    <x:row r="810">
      <x:c r="A810" t="inlineStr">
        <x:is>
          <x:t xml:space="preserve">PPSENDS11110</x:t>
        </x:is>
      </x:c>
      <x:c r="B810" t="inlineStr">
        <x:is>
          <x:t xml:space="preserve">PP STUB-END 110X10 SDR11</x:t>
        </x:is>
      </x:c>
      <x:c r="C810" s="8" t="n">
        <x:v>4</x:v>
      </x:c>
      <x:c r="D810" s="8" t="n">
        <x:v>0</x:v>
      </x:c>
      <x:c r="E810" s="8" t="n">
        <x:v>0</x:v>
      </x:c>
      <x:c r="F810" s="8" t="n">
        <x:v>4</x:v>
      </x:c>
      <x:c r="G810" s="9" t="n">
        <x:v>25109</x:v>
      </x:c>
      <x:c r="H810" s="9" t="n">
        <x:v>0</x:v>
      </x:c>
      <x:c r="I810" s="9" t="n">
        <x:v>0</x:v>
      </x:c>
      <x:c r="J810" s="9" t="n">
        <x:v>25109</x:v>
      </x:c>
      <x:c r="K810" s="10" t="n">
        <x:v>6277.044118</x:v>
      </x:c>
    </x:row>
    <x:row r="811">
      <x:c r="A811" t="inlineStr">
        <x:is>
          <x:t xml:space="preserve">PPSENDS11160</x:t>
        </x:is>
      </x:c>
      <x:c r="B811" t="inlineStr">
        <x:is>
          <x:t xml:space="preserve">PP STUB-END 160X14.6 SDR11</x:t>
        </x:is>
      </x:c>
      <x:c r="C811" s="8" t="n">
        <x:v>91</x:v>
      </x:c>
      <x:c r="D811" s="8" t="n">
        <x:v>0</x:v>
      </x:c>
      <x:c r="E811" s="8" t="n">
        <x:v>0</x:v>
      </x:c>
      <x:c r="F811" s="8" t="n">
        <x:v>91</x:v>
      </x:c>
      <x:c r="G811" s="9" t="n">
        <x:v>591500</x:v>
      </x:c>
      <x:c r="H811" s="9" t="n">
        <x:v>0</x:v>
      </x:c>
      <x:c r="I811" s="9" t="n">
        <x:v>0</x:v>
      </x:c>
      <x:c r="J811" s="9" t="n">
        <x:v>591500</x:v>
      </x:c>
      <x:c r="K811" s="10" t="n">
        <x:v>6500</x:v>
      </x:c>
    </x:row>
    <x:row r="812">
      <x:c r="A812" t="inlineStr">
        <x:is>
          <x:t xml:space="preserve">PPSENDS1120X</x:t>
        </x:is>
      </x:c>
      <x:c r="B812" t="inlineStr">
        <x:is>
          <x:t xml:space="preserve">PP STUB-END 20X1.9 SDR11</x:t>
        </x:is>
      </x:c>
      <x:c r="C812" s="8" t="n">
        <x:v>4</x:v>
      </x:c>
      <x:c r="D812" s="8" t="n">
        <x:v>0</x:v>
      </x:c>
      <x:c r="E812" s="8" t="n">
        <x:v>0</x:v>
      </x:c>
      <x:c r="F812" s="8" t="n">
        <x:v>4</x:v>
      </x:c>
      <x:c r="G812" s="9" t="n">
        <x:v>4948</x:v>
      </x:c>
      <x:c r="H812" s="9" t="n">
        <x:v>0</x:v>
      </x:c>
      <x:c r="I812" s="9" t="n">
        <x:v>0</x:v>
      </x:c>
      <x:c r="J812" s="9" t="n">
        <x:v>4948</x:v>
      </x:c>
      <x:c r="K812" s="10" t="n">
        <x:v>1237</x:v>
      </x:c>
    </x:row>
    <x:row r="813">
      <x:c r="A813" t="inlineStr">
        <x:is>
          <x:t xml:space="preserve">PPSENDS11250</x:t>
        </x:is>
      </x:c>
      <x:c r="B813" t="inlineStr">
        <x:is>
          <x:t xml:space="preserve">PP STUB-END 250X22.7 SDR11</x:t>
        </x:is>
      </x:c>
      <x:c r="C813" s="8" t="n">
        <x:v>2</x:v>
      </x:c>
      <x:c r="D813" s="8" t="n">
        <x:v>0</x:v>
      </x:c>
      <x:c r="E813" s="8" t="n">
        <x:v>0</x:v>
      </x:c>
      <x:c r="F813" s="8" t="n">
        <x:v>2</x:v>
      </x:c>
      <x:c r="G813" s="9" t="n">
        <x:v>-338629</x:v>
      </x:c>
      <x:c r="H813" s="9" t="n">
        <x:v>0</x:v>
      </x:c>
      <x:c r="I813" s="9" t="n">
        <x:v>0</x:v>
      </x:c>
      <x:c r="J813" s="9" t="n">
        <x:v>-338629</x:v>
      </x:c>
      <x:c r="K813" s="10" t="n">
        <x:v>33312.125217</x:v>
      </x:c>
    </x:row>
    <x:row r="814">
      <x:c r="A814" t="inlineStr">
        <x:is>
          <x:t xml:space="preserve">PPSENDS1132X</x:t>
        </x:is>
      </x:c>
      <x:c r="B814" t="inlineStr">
        <x:is>
          <x:t xml:space="preserve">PP STUB-END 32X2.9 SDR11</x:t>
        </x:is>
      </x:c>
      <x:c r="C814" s="8" t="n">
        <x:v>45</x:v>
      </x:c>
      <x:c r="D814" s="8" t="n">
        <x:v>0</x:v>
      </x:c>
      <x:c r="E814" s="8" t="n">
        <x:v>0</x:v>
      </x:c>
      <x:c r="F814" s="8" t="n">
        <x:v>45</x:v>
      </x:c>
      <x:c r="G814" s="9" t="n">
        <x:v>63572</x:v>
      </x:c>
      <x:c r="H814" s="9" t="n">
        <x:v>0</x:v>
      </x:c>
      <x:c r="I814" s="9" t="n">
        <x:v>0</x:v>
      </x:c>
      <x:c r="J814" s="9" t="n">
        <x:v>63572</x:v>
      </x:c>
      <x:c r="K814" s="10" t="n">
        <x:v>1412.738225</x:v>
      </x:c>
    </x:row>
    <x:row r="815">
      <x:c r="A815" t="inlineStr">
        <x:is>
          <x:t xml:space="preserve">PPSENDS1150X</x:t>
        </x:is>
      </x:c>
      <x:c r="B815" t="inlineStr">
        <x:is>
          <x:t xml:space="preserve">PP STUB-END 50X4.6 SDR11</x:t>
        </x:is>
      </x:c>
      <x:c r="C815" s="8" t="n">
        <x:v>30</x:v>
      </x:c>
      <x:c r="D815" s="8" t="n">
        <x:v>0</x:v>
      </x:c>
      <x:c r="E815" s="8" t="n">
        <x:v>0</x:v>
      </x:c>
      <x:c r="F815" s="8" t="n">
        <x:v>30</x:v>
      </x:c>
      <x:c r="G815" s="9" t="n">
        <x:v>82255</x:v>
      </x:c>
      <x:c r="H815" s="9" t="n">
        <x:v>0</x:v>
      </x:c>
      <x:c r="I815" s="9" t="n">
        <x:v>0</x:v>
      </x:c>
      <x:c r="J815" s="9" t="n">
        <x:v>82255</x:v>
      </x:c>
      <x:c r="K815" s="10" t="n">
        <x:v>2741.968333</x:v>
      </x:c>
    </x:row>
    <x:row r="816">
      <x:c r="A816" t="inlineStr">
        <x:is>
          <x:t xml:space="preserve">PPSENDS1163X</x:t>
        </x:is>
      </x:c>
      <x:c r="B816" t="inlineStr">
        <x:is>
          <x:t xml:space="preserve">PP STUB-END 63X5.8 SDR11</x:t>
        </x:is>
      </x:c>
      <x:c r="C816" s="8" t="n">
        <x:v>15</x:v>
      </x:c>
      <x:c r="D816" s="8" t="n">
        <x:v>0</x:v>
      </x:c>
      <x:c r="E816" s="8" t="n">
        <x:v>0</x:v>
      </x:c>
      <x:c r="F816" s="8" t="n">
        <x:v>15</x:v>
      </x:c>
      <x:c r="G816" s="9" t="n">
        <x:v>93201</x:v>
      </x:c>
      <x:c r="H816" s="9" t="n">
        <x:v>0</x:v>
      </x:c>
      <x:c r="I816" s="9" t="n">
        <x:v>0</x:v>
      </x:c>
      <x:c r="J816" s="9" t="n">
        <x:v>93201</x:v>
      </x:c>
      <x:c r="K816" s="10" t="n">
        <x:v>6213.333333</x:v>
      </x:c>
    </x:row>
    <x:row r="817">
      <x:c r="A817" t="inlineStr">
        <x:is>
          <x:t xml:space="preserve">PPSENDS1190X</x:t>
        </x:is>
      </x:c>
      <x:c r="B817" t="inlineStr">
        <x:is>
          <x:t xml:space="preserve">PP STUB-END 90X15 SDR11</x:t>
        </x:is>
      </x:c>
      <x:c r="C817" s="8" t="n">
        <x:v>9</x:v>
      </x:c>
      <x:c r="D817" s="8" t="n">
        <x:v>0</x:v>
      </x:c>
      <x:c r="E817" s="8" t="n">
        <x:v>0</x:v>
      </x:c>
      <x:c r="F817" s="8" t="n">
        <x:v>9</x:v>
      </x:c>
      <x:c r="G817" s="9" t="n">
        <x:v>34086</x:v>
      </x:c>
      <x:c r="H817" s="9" t="n">
        <x:v>0</x:v>
      </x:c>
      <x:c r="I817" s="9" t="n">
        <x:v>0</x:v>
      </x:c>
      <x:c r="J817" s="9" t="n">
        <x:v>34086</x:v>
      </x:c>
      <x:c r="K817" s="10" t="n">
        <x:v>5286</x:v>
      </x:c>
    </x:row>
    <x:row r="818">
      <x:c r="A818" t="inlineStr">
        <x:is>
          <x:t xml:space="preserve">PPSENDS17110</x:t>
        </x:is>
      </x:c>
      <x:c r="B818" t="inlineStr">
        <x:is>
          <x:t xml:space="preserve">PP STUB-END 110X6.6 SDR17</x:t>
        </x:is>
      </x:c>
      <x:c r="C818" s="8" t="n">
        <x:v>6</x:v>
      </x:c>
      <x:c r="D818" s="8" t="n">
        <x:v>0</x:v>
      </x:c>
      <x:c r="E818" s="8" t="n">
        <x:v>0</x:v>
      </x:c>
      <x:c r="F818" s="8" t="n">
        <x:v>6</x:v>
      </x:c>
      <x:c r="G818" s="9" t="n">
        <x:v>87721</x:v>
      </x:c>
      <x:c r="H818" s="9" t="n">
        <x:v>0</x:v>
      </x:c>
      <x:c r="I818" s="9" t="n">
        <x:v>0</x:v>
      </x:c>
      <x:c r="J818" s="9" t="n">
        <x:v>87721</x:v>
      </x:c>
      <x:c r="K818" s="10" t="n">
        <x:v>14620.555556</x:v>
      </x:c>
    </x:row>
    <x:row r="819">
      <x:c r="A819" t="inlineStr">
        <x:is>
          <x:t xml:space="preserve">PPSENDS17140</x:t>
        </x:is>
      </x:c>
      <x:c r="B819" t="inlineStr">
        <x:is>
          <x:t xml:space="preserve">PP STUB-END 140X7.0 SDR17</x:t>
        </x:is>
      </x:c>
      <x:c r="C819" s="8" t="n">
        <x:v>2</x:v>
      </x:c>
      <x:c r="D819" s="8" t="n">
        <x:v>0</x:v>
      </x:c>
      <x:c r="E819" s="8" t="n">
        <x:v>0</x:v>
      </x:c>
      <x:c r="F819" s="8" t="n">
        <x:v>2</x:v>
      </x:c>
      <x:c r="G819" s="9" t="n">
        <x:v>10000</x:v>
      </x:c>
      <x:c r="H819" s="9" t="n">
        <x:v>0</x:v>
      </x:c>
      <x:c r="I819" s="9" t="n">
        <x:v>0</x:v>
      </x:c>
      <x:c r="J819" s="9" t="n">
        <x:v>10000</x:v>
      </x:c>
      <x:c r="K819" s="10" t="n">
        <x:v>5000</x:v>
      </x:c>
    </x:row>
    <x:row r="820">
      <x:c r="A820" t="inlineStr">
        <x:is>
          <x:t xml:space="preserve">PPSENDS17200</x:t>
        </x:is>
      </x:c>
      <x:c r="B820" t="inlineStr">
        <x:is>
          <x:t xml:space="preserve">PP STUB END 200 x 11,9 SDR17</x:t>
        </x:is>
      </x:c>
      <x:c r="C820" s="8" t="n">
        <x:v>126</x:v>
      </x:c>
      <x:c r="D820" s="8" t="n">
        <x:v>0</x:v>
      </x:c>
      <x:c r="E820" s="8" t="n">
        <x:v>0</x:v>
      </x:c>
      <x:c r="F820" s="8" t="n">
        <x:v>126</x:v>
      </x:c>
      <x:c r="G820" s="9" t="n">
        <x:v>2340450</x:v>
      </x:c>
      <x:c r="H820" s="9" t="n">
        <x:v>0</x:v>
      </x:c>
      <x:c r="I820" s="9" t="n">
        <x:v>0</x:v>
      </x:c>
      <x:c r="J820" s="9" t="n">
        <x:v>2340450</x:v>
      </x:c>
      <x:c r="K820" s="10" t="n">
        <x:v>18575</x:v>
      </x:c>
    </x:row>
    <x:row r="821">
      <x:c r="A821" t="inlineStr">
        <x:is>
          <x:t xml:space="preserve">PPSENDS1725X</x:t>
        </x:is>
      </x:c>
      <x:c r="B821" t="inlineStr">
        <x:is>
          <x:t xml:space="preserve">PP STUB-END 25X2.3 SDR17</x:t>
        </x:is>
      </x:c>
      <x:c r="C821" s="8" t="n">
        <x:v>10</x:v>
      </x:c>
      <x:c r="D821" s="8" t="n">
        <x:v>0</x:v>
      </x:c>
      <x:c r="E821" s="8" t="n">
        <x:v>0</x:v>
      </x:c>
      <x:c r="F821" s="8" t="n">
        <x:v>10</x:v>
      </x:c>
      <x:c r="G821" s="9" t="n">
        <x:v>8350</x:v>
      </x:c>
      <x:c r="H821" s="9" t="n">
        <x:v>0</x:v>
      </x:c>
      <x:c r="I821" s="9" t="n">
        <x:v>0</x:v>
      </x:c>
      <x:c r="J821" s="9" t="n">
        <x:v>8350</x:v>
      </x:c>
      <x:c r="K821" s="10" t="n">
        <x:v>835</x:v>
      </x:c>
    </x:row>
    <x:row r="822">
      <x:c r="A822" t="inlineStr">
        <x:is>
          <x:t xml:space="preserve">PPSENDS17500</x:t>
        </x:is>
      </x:c>
      <x:c r="B822" t="inlineStr">
        <x:is>
          <x:t xml:space="preserve">STUB END DIN PPR GRIS 500X29.7 SDR17 LADOS CORTOS</x:t>
        </x:is>
      </x:c>
      <x:c r="C822" s="8" t="n">
        <x:v>3</x:v>
      </x:c>
      <x:c r="D822" s="8" t="n">
        <x:v>0</x:v>
      </x:c>
      <x:c r="E822" s="8" t="n">
        <x:v>0</x:v>
      </x:c>
      <x:c r="F822" s="8" t="n">
        <x:v>3</x:v>
      </x:c>
      <x:c r="G822" s="9" t="n">
        <x:v>760503</x:v>
      </x:c>
      <x:c r="H822" s="9" t="n">
        <x:v>0</x:v>
      </x:c>
      <x:c r="I822" s="9" t="n">
        <x:v>0</x:v>
      </x:c>
      <x:c r="J822" s="9" t="n">
        <x:v>760503</x:v>
      </x:c>
      <x:c r="K822" s="10" t="n">
        <x:v>253501</x:v>
      </x:c>
    </x:row>
    <x:row r="823">
      <x:c r="A823" t="inlineStr">
        <x:is>
          <x:t xml:space="preserve">PPSENDS1750X</x:t>
        </x:is>
      </x:c>
      <x:c r="B823" t="inlineStr">
        <x:is>
          <x:t xml:space="preserve">PP STUB-END 50X3.8 SDR17</x:t>
        </x:is>
      </x:c>
      <x:c r="C823" s="8" t="n">
        <x:v>24</x:v>
      </x:c>
      <x:c r="D823" s="8" t="n">
        <x:v>0</x:v>
      </x:c>
      <x:c r="E823" s="8" t="n">
        <x:v>0</x:v>
      </x:c>
      <x:c r="F823" s="8" t="n">
        <x:v>24</x:v>
      </x:c>
      <x:c r="G823" s="9" t="n">
        <x:v>28800</x:v>
      </x:c>
      <x:c r="H823" s="9" t="n">
        <x:v>0</x:v>
      </x:c>
      <x:c r="I823" s="9" t="n">
        <x:v>0</x:v>
      </x:c>
      <x:c r="J823" s="9" t="n">
        <x:v>28800</x:v>
      </x:c>
      <x:c r="K823" s="10" t="n">
        <x:v>1200</x:v>
      </x:c>
    </x:row>
    <x:row r="824">
      <x:c r="A824" t="inlineStr">
        <x:is>
          <x:t xml:space="preserve">PPSENDS1775X</x:t>
        </x:is>
      </x:c>
      <x:c r="B824" t="inlineStr">
        <x:is>
          <x:t xml:space="preserve">PP STUB-END 75X4.5 SDR17</x:t>
        </x:is>
      </x:c>
      <x:c r="C824" s="8" t="n">
        <x:v>22</x:v>
      </x:c>
      <x:c r="D824" s="8" t="n">
        <x:v>0</x:v>
      </x:c>
      <x:c r="E824" s="8" t="n">
        <x:v>0</x:v>
      </x:c>
      <x:c r="F824" s="8" t="n">
        <x:v>22</x:v>
      </x:c>
      <x:c r="G824" s="9" t="n">
        <x:v>102637</x:v>
      </x:c>
      <x:c r="H824" s="9" t="n">
        <x:v>0</x:v>
      </x:c>
      <x:c r="I824" s="9" t="n">
        <x:v>0</x:v>
      </x:c>
      <x:c r="J824" s="9" t="n">
        <x:v>102637</x:v>
      </x:c>
      <x:c r="K824" s="10" t="n">
        <x:v>4665.219814</x:v>
      </x:c>
    </x:row>
    <x:row r="825">
      <x:c r="A825" t="inlineStr">
        <x:is>
          <x:t xml:space="preserve">PPSENDS1790X</x:t>
        </x:is>
      </x:c>
      <x:c r="B825" t="inlineStr">
        <x:is>
          <x:t xml:space="preserve">PP STUB-END 90X5.4 SDR17</x:t>
        </x:is>
      </x:c>
      <x:c r="C825" s="8" t="n">
        <x:v>24</x:v>
      </x:c>
      <x:c r="D825" s="8" t="n">
        <x:v>0</x:v>
      </x:c>
      <x:c r="E825" s="8" t="n">
        <x:v>0</x:v>
      </x:c>
      <x:c r="F825" s="8" t="n">
        <x:v>24</x:v>
      </x:c>
      <x:c r="G825" s="9" t="n">
        <x:v>93600</x:v>
      </x:c>
      <x:c r="H825" s="9" t="n">
        <x:v>0</x:v>
      </x:c>
      <x:c r="I825" s="9" t="n">
        <x:v>0</x:v>
      </x:c>
      <x:c r="J825" s="9" t="n">
        <x:v>93600</x:v>
      </x:c>
      <x:c r="K825" s="10" t="n">
        <x:v>3900</x:v>
      </x:c>
    </x:row>
    <x:row r="826">
      <x:c r="A826" t="inlineStr">
        <x:is>
          <x:t xml:space="preserve">PPSENDS33110</x:t>
        </x:is>
      </x:c>
      <x:c r="B826" t="inlineStr">
        <x:is>
          <x:t xml:space="preserve">PP STUB-END 110X3.4 SDR33</x:t>
        </x:is>
      </x:c>
      <x:c r="C826" s="8" t="n">
        <x:v>3</x:v>
      </x:c>
      <x:c r="D826" s="8" t="n">
        <x:v>0</x:v>
      </x:c>
      <x:c r="E826" s="8" t="n">
        <x:v>0</x:v>
      </x:c>
      <x:c r="F826" s="8" t="n">
        <x:v>3</x:v>
      </x:c>
      <x:c r="G826" s="9" t="n">
        <x:v>16277</x:v>
      </x:c>
      <x:c r="H826" s="9" t="n">
        <x:v>0</x:v>
      </x:c>
      <x:c r="I826" s="9" t="n">
        <x:v>0</x:v>
      </x:c>
      <x:c r="J826" s="9" t="n">
        <x:v>16277</x:v>
      </x:c>
      <x:c r="K826" s="10" t="n">
        <x:v>5425.818182</x:v>
      </x:c>
    </x:row>
    <x:row r="827">
      <x:c r="A827" t="inlineStr">
        <x:is>
          <x:t xml:space="preserve">PPSENDS33125</x:t>
        </x:is>
      </x:c>
      <x:c r="B827" t="inlineStr">
        <x:is>
          <x:t xml:space="preserve">PP STUB-END 125X4.5 SDR33</x:t>
        </x:is>
      </x:c>
      <x:c r="C827" s="8" t="n">
        <x:v>112</x:v>
      </x:c>
      <x:c r="D827" s="8" t="n">
        <x:v>0</x:v>
      </x:c>
      <x:c r="E827" s="8" t="n">
        <x:v>0</x:v>
      </x:c>
      <x:c r="F827" s="8" t="n">
        <x:v>112</x:v>
      </x:c>
      <x:c r="G827" s="9" t="n">
        <x:v>702581</x:v>
      </x:c>
      <x:c r="H827" s="9" t="n">
        <x:v>0</x:v>
      </x:c>
      <x:c r="I827" s="9" t="n">
        <x:v>0</x:v>
      </x:c>
      <x:c r="J827" s="9" t="n">
        <x:v>702581</x:v>
      </x:c>
      <x:c r="K827" s="10" t="n">
        <x:v>6273.043478</x:v>
      </x:c>
    </x:row>
    <x:row r="828">
      <x:c r="A828" t="inlineStr">
        <x:is>
          <x:t xml:space="preserve">PPSENDS33160</x:t>
        </x:is>
      </x:c>
      <x:c r="B828" t="inlineStr">
        <x:is>
          <x:t xml:space="preserve">PP STUB-END 160MM SDR33</x:t>
        </x:is>
      </x:c>
      <x:c r="C828" s="8" t="n">
        <x:v>122</x:v>
      </x:c>
      <x:c r="D828" s="8" t="n">
        <x:v>0</x:v>
      </x:c>
      <x:c r="E828" s="8" t="n">
        <x:v>0</x:v>
      </x:c>
      <x:c r="F828" s="8" t="n">
        <x:v>122</x:v>
      </x:c>
      <x:c r="G828" s="9" t="n">
        <x:v>1861073</x:v>
      </x:c>
      <x:c r="H828" s="9" t="n">
        <x:v>0</x:v>
      </x:c>
      <x:c r="I828" s="9" t="n">
        <x:v>0</x:v>
      </x:c>
      <x:c r="J828" s="9" t="n">
        <x:v>1861073</x:v>
      </x:c>
      <x:c r="K828" s="10" t="n">
        <x:v>15254.72337</x:v>
      </x:c>
    </x:row>
    <x:row r="829">
      <x:c r="A829" t="inlineStr">
        <x:is>
          <x:t xml:space="preserve">PPSENDS33200</x:t>
        </x:is>
      </x:c>
      <x:c r="B829" t="inlineStr">
        <x:is>
          <x:t xml:space="preserve">PP STUB-END 200X6.2 SDR33</x:t>
        </x:is>
      </x:c>
      <x:c r="C829" s="8" t="n">
        <x:v>141</x:v>
      </x:c>
      <x:c r="D829" s="8" t="n">
        <x:v>0</x:v>
      </x:c>
      <x:c r="E829" s="8" t="n">
        <x:v>0</x:v>
      </x:c>
      <x:c r="F829" s="8" t="n">
        <x:v>141</x:v>
      </x:c>
      <x:c r="G829" s="9" t="n">
        <x:v>2063500</x:v>
      </x:c>
      <x:c r="H829" s="9" t="n">
        <x:v>0</x:v>
      </x:c>
      <x:c r="I829" s="9" t="n">
        <x:v>0</x:v>
      </x:c>
      <x:c r="J829" s="9" t="n">
        <x:v>2063500</x:v>
      </x:c>
      <x:c r="K829" s="10" t="n">
        <x:v>14634.751133</x:v>
      </x:c>
    </x:row>
    <x:row r="830">
      <x:c r="A830" t="inlineStr">
        <x:is>
          <x:t xml:space="preserve">PPSENDS33250</x:t>
        </x:is>
      </x:c>
      <x:c r="B830" t="inlineStr">
        <x:is>
          <x:t xml:space="preserve">PP STUB-END 250X7.7 SDR33</x:t>
        </x:is>
      </x:c>
      <x:c r="C830" s="8" t="n">
        <x:v>31</x:v>
      </x:c>
      <x:c r="D830" s="8" t="n">
        <x:v>0</x:v>
      </x:c>
      <x:c r="E830" s="8" t="n">
        <x:v>0</x:v>
      </x:c>
      <x:c r="F830" s="8" t="n">
        <x:v>31</x:v>
      </x:c>
      <x:c r="G830" s="9" t="n">
        <x:v>738203</x:v>
      </x:c>
      <x:c r="H830" s="9" t="n">
        <x:v>0</x:v>
      </x:c>
      <x:c r="I830" s="9" t="n">
        <x:v>0</x:v>
      </x:c>
      <x:c r="J830" s="9" t="n">
        <x:v>738203</x:v>
      </x:c>
      <x:c r="K830" s="10" t="n">
        <x:v>23813</x:v>
      </x:c>
    </x:row>
    <x:row r="831">
      <x:c r="A831" t="inlineStr">
        <x:is>
          <x:t xml:space="preserve">PPSENDS33280</x:t>
        </x:is>
      </x:c>
      <x:c r="B831" t="inlineStr">
        <x:is>
          <x:t xml:space="preserve">PP STUB-END 280X8.6 SDR33</x:t>
        </x:is>
      </x:c>
      <x:c r="C831" s="8" t="n">
        <x:v>4</x:v>
      </x:c>
      <x:c r="D831" s="8" t="n">
        <x:v>0</x:v>
      </x:c>
      <x:c r="E831" s="8" t="n">
        <x:v>0</x:v>
      </x:c>
      <x:c r="F831" s="8" t="n">
        <x:v>4</x:v>
      </x:c>
      <x:c r="G831" s="9" t="n">
        <x:v>101600</x:v>
      </x:c>
      <x:c r="H831" s="9" t="n">
        <x:v>0</x:v>
      </x:c>
      <x:c r="I831" s="9" t="n">
        <x:v>0</x:v>
      </x:c>
      <x:c r="J831" s="9" t="n">
        <x:v>101600</x:v>
      </x:c>
      <x:c r="K831" s="10" t="n">
        <x:v>25400</x:v>
      </x:c>
    </x:row>
    <x:row r="832">
      <x:c r="A832" t="inlineStr">
        <x:is>
          <x:t xml:space="preserve">PPSENDS33315</x:t>
        </x:is>
      </x:c>
      <x:c r="B832" t="inlineStr">
        <x:is>
          <x:t xml:space="preserve">PP STUB-END 315X9.7 SDR33</x:t>
        </x:is>
      </x:c>
      <x:c r="C832" s="8" t="n">
        <x:v>19</x:v>
      </x:c>
      <x:c r="D832" s="8" t="n">
        <x:v>0</x:v>
      </x:c>
      <x:c r="E832" s="8" t="n">
        <x:v>0</x:v>
      </x:c>
      <x:c r="F832" s="8" t="n">
        <x:v>19</x:v>
      </x:c>
      <x:c r="G832" s="9" t="n">
        <x:v>1060021</x:v>
      </x:c>
      <x:c r="H832" s="9" t="n">
        <x:v>0</x:v>
      </x:c>
      <x:c r="I832" s="9" t="n">
        <x:v>0</x:v>
      </x:c>
      <x:c r="J832" s="9" t="n">
        <x:v>1060021</x:v>
      </x:c>
      <x:c r="K832" s="10" t="n">
        <x:v>55790.24929</x:v>
      </x:c>
    </x:row>
    <x:row r="833">
      <x:c r="A833" t="inlineStr">
        <x:is>
          <x:t xml:space="preserve">PPSENDS33355</x:t>
        </x:is>
      </x:c>
      <x:c r="B833" t="inlineStr">
        <x:is>
          <x:t xml:space="preserve">PP STUB-END 355X10.9 SDR33</x:t>
        </x:is>
      </x:c>
      <x:c r="C833" s="8" t="n">
        <x:v>21</x:v>
      </x:c>
      <x:c r="D833" s="8" t="n">
        <x:v>0</x:v>
      </x:c>
      <x:c r="E833" s="8" t="n">
        <x:v>0</x:v>
      </x:c>
      <x:c r="F833" s="8" t="n">
        <x:v>21</x:v>
      </x:c>
      <x:c r="G833" s="9" t="n">
        <x:v>935865</x:v>
      </x:c>
      <x:c r="H833" s="9" t="n">
        <x:v>0</x:v>
      </x:c>
      <x:c r="I833" s="9" t="n">
        <x:v>0</x:v>
      </x:c>
      <x:c r="J833" s="9" t="n">
        <x:v>935865</x:v>
      </x:c>
      <x:c r="K833" s="10" t="n">
        <x:v>44565</x:v>
      </x:c>
    </x:row>
    <x:row r="834">
      <x:c r="A834" t="inlineStr">
        <x:is>
          <x:t xml:space="preserve">PPSENDS33400</x:t>
        </x:is>
      </x:c>
      <x:c r="B834" t="inlineStr">
        <x:is>
          <x:t xml:space="preserve">PP STUB-END 400X12.3 SDR33</x:t>
        </x:is>
      </x:c>
      <x:c r="C834" s="8" t="n">
        <x:v>34</x:v>
      </x:c>
      <x:c r="D834" s="8" t="n">
        <x:v>0</x:v>
      </x:c>
      <x:c r="E834" s="8" t="n">
        <x:v>0</x:v>
      </x:c>
      <x:c r="F834" s="8" t="n">
        <x:v>34</x:v>
      </x:c>
      <x:c r="G834" s="9" t="n">
        <x:v>4031175</x:v>
      </x:c>
      <x:c r="H834" s="9" t="n">
        <x:v>0</x:v>
      </x:c>
      <x:c r="I834" s="9" t="n">
        <x:v>0</x:v>
      </x:c>
      <x:c r="J834" s="9" t="n">
        <x:v>4031175</x:v>
      </x:c>
      <x:c r="K834" s="10" t="n">
        <x:v>118564</x:v>
      </x:c>
    </x:row>
    <x:row r="835">
      <x:c r="A835" t="inlineStr">
        <x:is>
          <x:t xml:space="preserve">PPSENDS33500</x:t>
        </x:is>
      </x:c>
      <x:c r="B835" t="inlineStr">
        <x:is>
          <x:t xml:space="preserve">PP STUB END 500 X 15.3 SDR33</x:t>
        </x:is>
      </x:c>
      <x:c r="C835" s="8" t="n">
        <x:v>12</x:v>
      </x:c>
      <x:c r="D835" s="8" t="n">
        <x:v>0</x:v>
      </x:c>
      <x:c r="E835" s="8" t="n">
        <x:v>0</x:v>
      </x:c>
      <x:c r="F835" s="8" t="n">
        <x:v>12</x:v>
      </x:c>
      <x:c r="G835" s="9" t="n">
        <x:v>1933260</x:v>
      </x:c>
      <x:c r="H835" s="9" t="n">
        <x:v>0</x:v>
      </x:c>
      <x:c r="I835" s="9" t="n">
        <x:v>0</x:v>
      </x:c>
      <x:c r="J835" s="9" t="n">
        <x:v>1933260</x:v>
      </x:c>
      <x:c r="K835" s="10" t="n">
        <x:v>161105.181356</x:v>
      </x:c>
    </x:row>
    <x:row r="836">
      <x:c r="A836" t="inlineStr">
        <x:is>
          <x:t xml:space="preserve">PPSENDS33630</x:t>
        </x:is>
      </x:c>
      <x:c r="B836" t="inlineStr">
        <x:is>
          <x:t xml:space="preserve">PP STUB-END 630X2.0 SDR33</x:t>
        </x:is>
      </x:c>
      <x:c r="C836" s="8" t="n">
        <x:v>4</x:v>
      </x:c>
      <x:c r="D836" s="8" t="n">
        <x:v>0</x:v>
      </x:c>
      <x:c r="E836" s="8" t="n">
        <x:v>0</x:v>
      </x:c>
      <x:c r="F836" s="8" t="n">
        <x:v>4</x:v>
      </x:c>
      <x:c r="G836" s="9" t="n">
        <x:v>133332</x:v>
      </x:c>
      <x:c r="H836" s="9" t="n">
        <x:v>0</x:v>
      </x:c>
      <x:c r="I836" s="9" t="n">
        <x:v>0</x:v>
      </x:c>
      <x:c r="J836" s="9" t="n">
        <x:v>133332</x:v>
      </x:c>
      <x:c r="K836" s="10" t="n">
        <x:v>33333</x:v>
      </x:c>
    </x:row>
    <x:row r="837">
      <x:c r="A837" t="inlineStr">
        <x:is>
          <x:t xml:space="preserve">PPTTEES11001</x:t>
        </x:is>
      </x:c>
      <x:c r="B837" t="inlineStr">
        <x:is>
          <x:t xml:space="preserve">TEE POLIPROPILENO 160 X 63 SDR11</x:t>
        </x:is>
      </x:c>
      <x:c r="C837" s="8" t="n">
        <x:v>19</x:v>
      </x:c>
      <x:c r="D837" s="8" t="n">
        <x:v>0</x:v>
      </x:c>
      <x:c r="E837" s="8" t="n">
        <x:v>0</x:v>
      </x:c>
      <x:c r="F837" s="8" t="n">
        <x:v>19</x:v>
      </x:c>
      <x:c r="G837" s="9" t="n">
        <x:v>385947</x:v>
      </x:c>
      <x:c r="H837" s="9" t="n">
        <x:v>0</x:v>
      </x:c>
      <x:c r="I837" s="9" t="n">
        <x:v>0</x:v>
      </x:c>
      <x:c r="J837" s="9" t="n">
        <x:v>385947</x:v>
      </x:c>
      <x:c r="K837" s="10" t="n">
        <x:v>20313</x:v>
      </x:c>
    </x:row>
    <x:row r="838">
      <x:c r="A838" t="inlineStr">
        <x:is>
          <x:t xml:space="preserve">PPTTEES11200</x:t>
        </x:is>
      </x:c>
      <x:c r="B838" t="inlineStr">
        <x:is>
          <x:t xml:space="preserve">PP TEE 200X18.2 SDR11</x:t>
        </x:is>
      </x:c>
      <x:c r="C838" s="8" t="n">
        <x:v>18</x:v>
      </x:c>
      <x:c r="D838" s="8" t="n">
        <x:v>0</x:v>
      </x:c>
      <x:c r="E838" s="8" t="n">
        <x:v>0</x:v>
      </x:c>
      <x:c r="F838" s="8" t="n">
        <x:v>18</x:v>
      </x:c>
      <x:c r="G838" s="9" t="n">
        <x:v>636138</x:v>
      </x:c>
      <x:c r="H838" s="9" t="n">
        <x:v>0</x:v>
      </x:c>
      <x:c r="I838" s="9" t="n">
        <x:v>0</x:v>
      </x:c>
      <x:c r="J838" s="9" t="n">
        <x:v>636138</x:v>
      </x:c>
      <x:c r="K838" s="10" t="n">
        <x:v>35341</x:v>
      </x:c>
    </x:row>
    <x:row r="839">
      <x:c r="A839" t="inlineStr">
        <x:is>
          <x:t xml:space="preserve">PPTTEES11250</x:t>
        </x:is>
      </x:c>
      <x:c r="B839" t="inlineStr">
        <x:is>
          <x:t xml:space="preserve">PP TEE 250X110X18.2 SDR11</x:t>
        </x:is>
      </x:c>
      <x:c r="C839" s="8" t="n">
        <x:v>5</x:v>
      </x:c>
      <x:c r="D839" s="8" t="n">
        <x:v>0</x:v>
      </x:c>
      <x:c r="E839" s="8" t="n">
        <x:v>0</x:v>
      </x:c>
      <x:c r="F839" s="8" t="n">
        <x:v>5</x:v>
      </x:c>
      <x:c r="G839" s="9" t="n">
        <x:v>250000</x:v>
      </x:c>
      <x:c r="H839" s="9" t="n">
        <x:v>0</x:v>
      </x:c>
      <x:c r="I839" s="9" t="n">
        <x:v>0</x:v>
      </x:c>
      <x:c r="J839" s="9" t="n">
        <x:v>250000</x:v>
      </x:c>
      <x:c r="K839" s="10" t="n">
        <x:v>50000</x:v>
      </x:c>
    </x:row>
    <x:row r="840">
      <x:c r="A840" t="inlineStr">
        <x:is>
          <x:t xml:space="preserve">PPTTEES1140X</x:t>
        </x:is>
      </x:c>
      <x:c r="B840" t="inlineStr">
        <x:is>
          <x:t xml:space="preserve">PP TEE 40X3.7 SDR11</x:t>
        </x:is>
      </x:c>
      <x:c r="C840" s="8" t="n">
        <x:v>3</x:v>
      </x:c>
      <x:c r="D840" s="8" t="n">
        <x:v>0</x:v>
      </x:c>
      <x:c r="E840" s="8" t="n">
        <x:v>0</x:v>
      </x:c>
      <x:c r="F840" s="8" t="n">
        <x:v>3</x:v>
      </x:c>
      <x:c r="G840" s="9" t="n">
        <x:v>3600</x:v>
      </x:c>
      <x:c r="H840" s="9" t="n">
        <x:v>0</x:v>
      </x:c>
      <x:c r="I840" s="9" t="n">
        <x:v>0</x:v>
      </x:c>
      <x:c r="J840" s="9" t="n">
        <x:v>3600</x:v>
      </x:c>
      <x:c r="K840" s="10" t="n">
        <x:v>1200</x:v>
      </x:c>
    </x:row>
    <x:row r="841">
      <x:c r="A841" t="inlineStr">
        <x:is>
          <x:t xml:space="preserve">PPTTEES1180X</x:t>
        </x:is>
      </x:c>
      <x:c r="B841" t="inlineStr">
        <x:is>
          <x:t xml:space="preserve">PP TEE 80X80 SDR11</x:t>
        </x:is>
      </x:c>
      <x:c r="C841" s="8" t="n">
        <x:v>2</x:v>
      </x:c>
      <x:c r="D841" s="8" t="n">
        <x:v>0</x:v>
      </x:c>
      <x:c r="E841" s="8" t="n">
        <x:v>0</x:v>
      </x:c>
      <x:c r="F841" s="8" t="n">
        <x:v>2</x:v>
      </x:c>
      <x:c r="G841" s="9" t="n">
        <x:v>2000</x:v>
      </x:c>
      <x:c r="H841" s="9" t="n">
        <x:v>0</x:v>
      </x:c>
      <x:c r="I841" s="9" t="n">
        <x:v>0</x:v>
      </x:c>
      <x:c r="J841" s="9" t="n">
        <x:v>2000</x:v>
      </x:c>
      <x:c r="K841" s="10" t="n">
        <x:v>1000</x:v>
      </x:c>
    </x:row>
    <x:row r="842">
      <x:c r="A842" t="inlineStr">
        <x:is>
          <x:t xml:space="preserve">PPTTEES17110</x:t>
        </x:is>
      </x:c>
      <x:c r="B842" t="inlineStr">
        <x:is>
          <x:t xml:space="preserve">PP TEE 110MM SDR17</x:t>
        </x:is>
      </x:c>
      <x:c r="C842" s="8" t="n">
        <x:v>17</x:v>
      </x:c>
      <x:c r="D842" s="8" t="n">
        <x:v>0</x:v>
      </x:c>
      <x:c r="E842" s="8" t="n">
        <x:v>0</x:v>
      </x:c>
      <x:c r="F842" s="8" t="n">
        <x:v>17</x:v>
      </x:c>
      <x:c r="G842" s="9" t="n">
        <x:v>21660</x:v>
      </x:c>
      <x:c r="H842" s="9" t="n">
        <x:v>0</x:v>
      </x:c>
      <x:c r="I842" s="9" t="n">
        <x:v>0</x:v>
      </x:c>
      <x:c r="J842" s="9" t="n">
        <x:v>21660</x:v>
      </x:c>
      <x:c r="K842" s="10" t="n">
        <x:v>1274.178075</x:v>
      </x:c>
    </x:row>
    <x:row r="843">
      <x:c r="A843" t="inlineStr">
        <x:is>
          <x:t xml:space="preserve">PPTTEES17160</x:t>
        </x:is>
      </x:c>
      <x:c r="B843" t="inlineStr">
        <x:is>
          <x:t xml:space="preserve">PP TEE 160MM SDR17</x:t>
        </x:is>
      </x:c>
      <x:c r="C843" s="8" t="n">
        <x:v>18</x:v>
      </x:c>
      <x:c r="D843" s="8" t="n">
        <x:v>0</x:v>
      </x:c>
      <x:c r="E843" s="8" t="n">
        <x:v>0</x:v>
      </x:c>
      <x:c r="F843" s="8" t="n">
        <x:v>18</x:v>
      </x:c>
      <x:c r="G843" s="9" t="n">
        <x:v>250000</x:v>
      </x:c>
      <x:c r="H843" s="9" t="n">
        <x:v>0</x:v>
      </x:c>
      <x:c r="I843" s="9" t="n">
        <x:v>0</x:v>
      </x:c>
      <x:c r="J843" s="9" t="n">
        <x:v>250000</x:v>
      </x:c>
      <x:c r="K843" s="10" t="n">
        <x:v>13888.888947</x:v>
      </x:c>
    </x:row>
    <x:row r="844">
      <x:c r="A844" t="inlineStr">
        <x:is>
          <x:t xml:space="preserve">PPTTEES17200</x:t>
        </x:is>
      </x:c>
      <x:c r="B844" t="inlineStr">
        <x:is>
          <x:t xml:space="preserve">PP TEE 200MM SDR17</x:t>
        </x:is>
      </x:c>
      <x:c r="C844" s="8" t="n">
        <x:v>18</x:v>
      </x:c>
      <x:c r="D844" s="8" t="n">
        <x:v>0</x:v>
      </x:c>
      <x:c r="E844" s="8" t="n">
        <x:v>0</x:v>
      </x:c>
      <x:c r="F844" s="8" t="n">
        <x:v>18</x:v>
      </x:c>
      <x:c r="G844" s="9" t="n">
        <x:v>636138</x:v>
      </x:c>
      <x:c r="H844" s="9" t="n">
        <x:v>0</x:v>
      </x:c>
      <x:c r="I844" s="9" t="n">
        <x:v>0</x:v>
      </x:c>
      <x:c r="J844" s="9" t="n">
        <x:v>636138</x:v>
      </x:c>
      <x:c r="K844" s="10" t="n">
        <x:v>35341</x:v>
      </x:c>
    </x:row>
    <x:row r="845">
      <x:c r="A845" t="inlineStr">
        <x:is>
          <x:t xml:space="preserve">PPTTEES17315</x:t>
        </x:is>
      </x:c>
      <x:c r="B845" t="inlineStr">
        <x:is>
          <x:t xml:space="preserve">PP TEE 315MM SDR17</x:t>
        </x:is>
      </x:c>
      <x:c r="C845" s="8" t="n">
        <x:v>4</x:v>
      </x:c>
      <x:c r="D845" s="8" t="n">
        <x:v>0</x:v>
      </x:c>
      <x:c r="E845" s="8" t="n">
        <x:v>0</x:v>
      </x:c>
      <x:c r="F845" s="8" t="n">
        <x:v>4</x:v>
      </x:c>
      <x:c r="G845" s="9" t="n">
        <x:v>553016</x:v>
      </x:c>
      <x:c r="H845" s="9" t="n">
        <x:v>0</x:v>
      </x:c>
      <x:c r="I845" s="9" t="n">
        <x:v>0</x:v>
      </x:c>
      <x:c r="J845" s="9" t="n">
        <x:v>553016</x:v>
      </x:c>
      <x:c r="K845" s="10" t="n">
        <x:v>138254</x:v>
      </x:c>
    </x:row>
    <x:row r="846">
      <x:c r="A846" t="inlineStr">
        <x:is>
          <x:t xml:space="preserve">PPTTEES17355</x:t>
        </x:is>
      </x:c>
      <x:c r="B846" t="inlineStr">
        <x:is>
          <x:t xml:space="preserve">PP TEE 355MM SDR17</x:t>
        </x:is>
      </x:c>
      <x:c r="C846" s="8" t="n">
        <x:v>10</x:v>
      </x:c>
      <x:c r="D846" s="8" t="n">
        <x:v>0</x:v>
      </x:c>
      <x:c r="E846" s="8" t="n">
        <x:v>0</x:v>
      </x:c>
      <x:c r="F846" s="8" t="n">
        <x:v>10</x:v>
      </x:c>
      <x:c r="G846" s="9" t="n">
        <x:v>353410</x:v>
      </x:c>
      <x:c r="H846" s="9" t="n">
        <x:v>0</x:v>
      </x:c>
      <x:c r="I846" s="9" t="n">
        <x:v>0</x:v>
      </x:c>
      <x:c r="J846" s="9" t="n">
        <x:v>353410</x:v>
      </x:c>
      <x:c r="K846" s="10" t="n">
        <x:v>35341</x:v>
      </x:c>
    </x:row>
    <x:row r="847">
      <x:c r="A847" t="inlineStr">
        <x:is>
          <x:t xml:space="preserve">PPTTEES17400</x:t>
        </x:is>
      </x:c>
      <x:c r="B847" t="inlineStr">
        <x:is>
          <x:t xml:space="preserve">PP TEE 400MM SDR17</x:t>
        </x:is>
      </x:c>
      <x:c r="C847" s="8" t="n">
        <x:v>1</x:v>
      </x:c>
      <x:c r="D847" s="8" t="n">
        <x:v>0</x:v>
      </x:c>
      <x:c r="E847" s="8" t="n">
        <x:v>0</x:v>
      </x:c>
      <x:c r="F847" s="8" t="n">
        <x:v>1</x:v>
      </x:c>
      <x:c r="G847" s="9" t="n">
        <x:v>288900</x:v>
      </x:c>
      <x:c r="H847" s="9" t="n">
        <x:v>0</x:v>
      </x:c>
      <x:c r="I847" s="9" t="n">
        <x:v>0</x:v>
      </x:c>
      <x:c r="J847" s="9" t="n">
        <x:v>288900</x:v>
      </x:c>
      <x:c r="K847" s="10" t="n">
        <x:v>288900</x:v>
      </x:c>
    </x:row>
    <x:row r="848">
      <x:c r="A848" t="inlineStr">
        <x:is>
          <x:t xml:space="preserve">PPTTEES17500</x:t>
        </x:is>
      </x:c>
      <x:c r="B848" t="inlineStr">
        <x:is>
          <x:t xml:space="preserve">PP TEE 500X30 SDR17</x:t>
        </x:is>
      </x:c>
      <x:c r="C848" s="8" t="n">
        <x:v>1</x:v>
      </x:c>
      <x:c r="D848" s="8" t="n">
        <x:v>0</x:v>
      </x:c>
      <x:c r="E848" s="8" t="n">
        <x:v>0</x:v>
      </x:c>
      <x:c r="F848" s="8" t="n">
        <x:v>1</x:v>
      </x:c>
      <x:c r="G848" s="9" t="n">
        <x:v>150000</x:v>
      </x:c>
      <x:c r="H848" s="9" t="n">
        <x:v>0</x:v>
      </x:c>
      <x:c r="I848" s="9" t="n">
        <x:v>0</x:v>
      </x:c>
      <x:c r="J848" s="9" t="n">
        <x:v>150000</x:v>
      </x:c>
      <x:c r="K848" s="10" t="n">
        <x:v>150000</x:v>
      </x:c>
    </x:row>
    <x:row r="849">
      <x:c r="A849" t="inlineStr">
        <x:is>
          <x:t xml:space="preserve">PPTTEES1750X</x:t>
        </x:is>
      </x:c>
      <x:c r="B849" t="inlineStr">
        <x:is>
          <x:t xml:space="preserve">PP TEE 50X2.9 SDR17</x:t>
        </x:is>
      </x:c>
      <x:c r="C849" s="8" t="n">
        <x:v>14</x:v>
      </x:c>
      <x:c r="D849" s="8" t="n">
        <x:v>0</x:v>
      </x:c>
      <x:c r="E849" s="8" t="n">
        <x:v>0</x:v>
      </x:c>
      <x:c r="F849" s="8" t="n">
        <x:v>14</x:v>
      </x:c>
      <x:c r="G849" s="9" t="n">
        <x:v>40600</x:v>
      </x:c>
      <x:c r="H849" s="9" t="n">
        <x:v>0</x:v>
      </x:c>
      <x:c r="I849" s="9" t="n">
        <x:v>0</x:v>
      </x:c>
      <x:c r="J849" s="9" t="n">
        <x:v>40600</x:v>
      </x:c>
      <x:c r="K849" s="10" t="n">
        <x:v>2900</x:v>
      </x:c>
    </x:row>
    <x:row r="850">
      <x:c r="A850" t="inlineStr">
        <x:is>
          <x:t xml:space="preserve">PPTTEES1763X</x:t>
        </x:is>
      </x:c>
      <x:c r="B850" t="inlineStr">
        <x:is>
          <x:t xml:space="preserve">PP TEE 63X3.8 SDR17</x:t>
        </x:is>
      </x:c>
      <x:c r="C850" s="8" t="n">
        <x:v>16</x:v>
      </x:c>
      <x:c r="D850" s="8" t="n">
        <x:v>0</x:v>
      </x:c>
      <x:c r="E850" s="8" t="n">
        <x:v>0</x:v>
      </x:c>
      <x:c r="F850" s="8" t="n">
        <x:v>16</x:v>
      </x:c>
      <x:c r="G850" s="9" t="n">
        <x:v>51200</x:v>
      </x:c>
      <x:c r="H850" s="9" t="n">
        <x:v>0</x:v>
      </x:c>
      <x:c r="I850" s="9" t="n">
        <x:v>0</x:v>
      </x:c>
      <x:c r="J850" s="9" t="n">
        <x:v>51200</x:v>
      </x:c>
      <x:c r="K850" s="10" t="n">
        <x:v>3200</x:v>
      </x:c>
    </x:row>
    <x:row r="851">
      <x:c r="A851" t="inlineStr">
        <x:is>
          <x:t xml:space="preserve">PPTTEES1775X</x:t>
        </x:is>
      </x:c>
      <x:c r="B851" t="inlineStr">
        <x:is>
          <x:t xml:space="preserve">PP TEE 75X4.3 SDR17</x:t>
        </x:is>
      </x:c>
      <x:c r="C851" s="8" t="n">
        <x:v>2</x:v>
      </x:c>
      <x:c r="D851" s="8" t="n">
        <x:v>0</x:v>
      </x:c>
      <x:c r="E851" s="8" t="n">
        <x:v>0</x:v>
      </x:c>
      <x:c r="F851" s="8" t="n">
        <x:v>2</x:v>
      </x:c>
      <x:c r="G851" s="9" t="n">
        <x:v>11600</x:v>
      </x:c>
      <x:c r="H851" s="9" t="n">
        <x:v>0</x:v>
      </x:c>
      <x:c r="I851" s="9" t="n">
        <x:v>0</x:v>
      </x:c>
      <x:c r="J851" s="9" t="n">
        <x:v>11600</x:v>
      </x:c>
      <x:c r="K851" s="10" t="n">
        <x:v>5800</x:v>
      </x:c>
    </x:row>
    <x:row r="852">
      <x:c r="A852" t="inlineStr">
        <x:is>
          <x:t xml:space="preserve">PPTTEES1790X</x:t>
        </x:is>
      </x:c>
      <x:c r="B852" t="inlineStr">
        <x:is>
          <x:t xml:space="preserve">PP TEE 90MM SDR17</x:t>
        </x:is>
      </x:c>
      <x:c r="C852" s="8" t="n">
        <x:v>89</x:v>
      </x:c>
      <x:c r="D852" s="8" t="n">
        <x:v>0</x:v>
      </x:c>
      <x:c r="E852" s="8" t="n">
        <x:v>0</x:v>
      </x:c>
      <x:c r="F852" s="8" t="n">
        <x:v>89</x:v>
      </x:c>
      <x:c r="G852" s="9" t="n">
        <x:v>1007332</x:v>
      </x:c>
      <x:c r="H852" s="9" t="n">
        <x:v>0</x:v>
      </x:c>
      <x:c r="I852" s="9" t="n">
        <x:v>0</x:v>
      </x:c>
      <x:c r="J852" s="9" t="n">
        <x:v>1007332</x:v>
      </x:c>
      <x:c r="K852" s="10" t="n">
        <x:v>11318.330097</x:v>
      </x:c>
    </x:row>
    <x:row r="853">
      <x:c r="A853" t="inlineStr">
        <x:is>
          <x:t xml:space="preserve">PPTTEES33002</x:t>
        </x:is>
      </x:c>
      <x:c r="B853" t="inlineStr">
        <x:is>
          <x:t xml:space="preserve">TEE POLIPROPILENO 200X63 SDR33</x:t>
        </x:is>
      </x:c>
      <x:c r="C853" s="8" t="n">
        <x:v>5</x:v>
      </x:c>
      <x:c r="D853" s="8" t="n">
        <x:v>0</x:v>
      </x:c>
      <x:c r="E853" s="8" t="n">
        <x:v>0</x:v>
      </x:c>
      <x:c r="F853" s="8" t="n">
        <x:v>5</x:v>
      </x:c>
      <x:c r="G853" s="9" t="n">
        <x:v>176705</x:v>
      </x:c>
      <x:c r="H853" s="9" t="n">
        <x:v>0</x:v>
      </x:c>
      <x:c r="I853" s="9" t="n">
        <x:v>0</x:v>
      </x:c>
      <x:c r="J853" s="9" t="n">
        <x:v>176705</x:v>
      </x:c>
      <x:c r="K853" s="10" t="n">
        <x:v>35341</x:v>
      </x:c>
    </x:row>
    <x:row r="854">
      <x:c r="A854" t="inlineStr">
        <x:is>
          <x:t xml:space="preserve">PPTTEES33110</x:t>
        </x:is>
      </x:c>
      <x:c r="B854" t="inlineStr">
        <x:is>
          <x:t xml:space="preserve">PP TEE 110X3.9 SDR33</x:t>
        </x:is>
      </x:c>
      <x:c r="C854" s="8" t="n">
        <x:v>42</x:v>
      </x:c>
      <x:c r="D854" s="8" t="n">
        <x:v>0</x:v>
      </x:c>
      <x:c r="E854" s="8" t="n">
        <x:v>0</x:v>
      </x:c>
      <x:c r="F854" s="8" t="n">
        <x:v>42</x:v>
      </x:c>
      <x:c r="G854" s="9" t="n">
        <x:v>309276</x:v>
      </x:c>
      <x:c r="H854" s="9" t="n">
        <x:v>0</x:v>
      </x:c>
      <x:c r="I854" s="9" t="n">
        <x:v>0</x:v>
      </x:c>
      <x:c r="J854" s="9" t="n">
        <x:v>309276</x:v>
      </x:c>
      <x:c r="K854" s="10" t="n">
        <x:v>7363.705628</x:v>
      </x:c>
    </x:row>
    <x:row r="855">
      <x:c r="A855" t="inlineStr">
        <x:is>
          <x:t xml:space="preserve">PPTTEES33160</x:t>
        </x:is>
      </x:c>
      <x:c r="B855" t="inlineStr">
        <x:is>
          <x:t xml:space="preserve">PP TEE 160X4.9 SDR33</x:t>
        </x:is>
      </x:c>
      <x:c r="C855" s="8" t="n">
        <x:v>1</x:v>
      </x:c>
      <x:c r="D855" s="8" t="n">
        <x:v>0</x:v>
      </x:c>
      <x:c r="E855" s="8" t="n">
        <x:v>0</x:v>
      </x:c>
      <x:c r="F855" s="8" t="n">
        <x:v>1</x:v>
      </x:c>
      <x:c r="G855" s="9" t="n">
        <x:v>20313</x:v>
      </x:c>
      <x:c r="H855" s="9" t="n">
        <x:v>0</x:v>
      </x:c>
      <x:c r="I855" s="9" t="n">
        <x:v>0</x:v>
      </x:c>
      <x:c r="J855" s="9" t="n">
        <x:v>20313</x:v>
      </x:c>
      <x:c r="K855" s="10" t="n">
        <x:v>20313</x:v>
      </x:c>
    </x:row>
    <x:row r="856">
      <x:c r="A856" t="inlineStr">
        <x:is>
          <x:t xml:space="preserve">PPTTEES33200</x:t>
        </x:is>
      </x:c>
      <x:c r="B856" t="inlineStr">
        <x:is>
          <x:t xml:space="preserve">PP TEE 200X6.2 SDR33</x:t>
        </x:is>
      </x:c>
      <x:c r="C856" s="8" t="n">
        <x:v>5</x:v>
      </x:c>
      <x:c r="D856" s="8" t="n">
        <x:v>0</x:v>
      </x:c>
      <x:c r="E856" s="8" t="n">
        <x:v>0</x:v>
      </x:c>
      <x:c r="F856" s="8" t="n">
        <x:v>5</x:v>
      </x:c>
      <x:c r="G856" s="9" t="n">
        <x:v>206705</x:v>
      </x:c>
      <x:c r="H856" s="9" t="n">
        <x:v>0</x:v>
      </x:c>
      <x:c r="I856" s="9" t="n">
        <x:v>0</x:v>
      </x:c>
      <x:c r="J856" s="9" t="n">
        <x:v>206705</x:v>
      </x:c>
      <x:c r="K856" s="10" t="n">
        <x:v>41341</x:v>
      </x:c>
    </x:row>
    <x:row r="857">
      <x:c r="A857" t="inlineStr">
        <x:is>
          <x:t xml:space="preserve">PPTTEES33355</x:t>
        </x:is>
      </x:c>
      <x:c r="B857" t="inlineStr">
        <x:is>
          <x:t xml:space="preserve">PP TEE 355X10.9 SDR33</x:t>
        </x:is>
      </x:c>
      <x:c r="C857" s="8" t="n">
        <x:v>5</x:v>
      </x:c>
      <x:c r="D857" s="8" t="n">
        <x:v>0</x:v>
      </x:c>
      <x:c r="E857" s="8" t="n">
        <x:v>0</x:v>
      </x:c>
      <x:c r="F857" s="8" t="n">
        <x:v>5</x:v>
      </x:c>
      <x:c r="G857" s="9" t="n">
        <x:v>962800</x:v>
      </x:c>
      <x:c r="H857" s="9" t="n">
        <x:v>0</x:v>
      </x:c>
      <x:c r="I857" s="9" t="n">
        <x:v>0</x:v>
      </x:c>
      <x:c r="J857" s="9" t="n">
        <x:v>962800</x:v>
      </x:c>
      <x:c r="K857" s="10" t="n">
        <x:v>192560</x:v>
      </x:c>
    </x:row>
    <x:row r="858">
      <x:c r="A858" t="inlineStr">
        <x:is>
          <x:t xml:space="preserve">PPTTEES33400</x:t>
        </x:is>
      </x:c>
      <x:c r="B858" t="inlineStr">
        <x:is>
          <x:t xml:space="preserve">PP TEE 400X12.3 SDR33</x:t>
        </x:is>
      </x:c>
      <x:c r="C858" s="8" t="n">
        <x:v>5</x:v>
      </x:c>
      <x:c r="D858" s="8" t="n">
        <x:v>0</x:v>
      </x:c>
      <x:c r="E858" s="8" t="n">
        <x:v>0</x:v>
      </x:c>
      <x:c r="F858" s="8" t="n">
        <x:v>5</x:v>
      </x:c>
      <x:c r="G858" s="9" t="n">
        <x:v>1571851</x:v>
      </x:c>
      <x:c r="H858" s="9" t="n">
        <x:v>0</x:v>
      </x:c>
      <x:c r="I858" s="9" t="n">
        <x:v>0</x:v>
      </x:c>
      <x:c r="J858" s="9" t="n">
        <x:v>1571851</x:v>
      </x:c>
      <x:c r="K858" s="10" t="n">
        <x:v>314370.557778</x:v>
      </x:c>
    </x:row>
    <x:row r="859">
      <x:c r="A859" t="inlineStr">
        <x:is>
          <x:t xml:space="preserve">PPTTEES33500</x:t>
        </x:is>
      </x:c>
      <x:c r="B859" t="inlineStr">
        <x:is>
          <x:t xml:space="preserve">TEE 90 GRD PPR GRIS 500X15.3 SDR33 LADOS CORTOS</x:t>
        </x:is>
      </x:c>
      <x:c r="C859" s="8" t="n">
        <x:v>3</x:v>
      </x:c>
      <x:c r="D859" s="8" t="n">
        <x:v>0</x:v>
      </x:c>
      <x:c r="E859" s="8" t="n">
        <x:v>0</x:v>
      </x:c>
      <x:c r="F859" s="8" t="n">
        <x:v>3</x:v>
      </x:c>
      <x:c r="G859" s="9" t="n">
        <x:v>2176917</x:v>
      </x:c>
      <x:c r="H859" s="9" t="n">
        <x:v>0</x:v>
      </x:c>
      <x:c r="I859" s="9" t="n">
        <x:v>0</x:v>
      </x:c>
      <x:c r="J859" s="9" t="n">
        <x:v>2176917</x:v>
      </x:c>
      <x:c r="K859" s="10" t="n">
        <x:v>725639</x:v>
      </x:c>
    </x:row>
    <x:row r="860">
      <x:c r="A860" t="inlineStr">
        <x:is>
          <x:t xml:space="preserve">PVP001001001</x:t>
        </x:is>
      </x:c>
      <x:c r="B860" t="inlineStr">
        <x:is>
          <x:t xml:space="preserve">ARENA ABRASIVA G-800 FLOW</x:t>
        </x:is>
      </x:c>
      <x:c r="C860" s="8" t="n">
        <x:v>33500</x:v>
      </x:c>
      <x:c r="D860" s="8" t="n">
        <x:v>0</x:v>
      </x:c>
      <x:c r="E860" s="8" t="n">
        <x:v>0</x:v>
      </x:c>
      <x:c r="F860" s="8" t="n">
        <x:v>33500</x:v>
      </x:c>
      <x:c r="G860" s="9" t="n">
        <x:v>17694997</x:v>
      </x:c>
      <x:c r="H860" s="9" t="n">
        <x:v>0</x:v>
      </x:c>
      <x:c r="I860" s="9" t="n">
        <x:v>0</x:v>
      </x:c>
      <x:c r="J860" s="9" t="n">
        <x:v>17694997</x:v>
      </x:c>
      <x:c r="K860" s="10" t="n">
        <x:v>528.208889</x:v>
      </x:c>
    </x:row>
    <x:row r="861">
      <x:c r="A861" t="inlineStr">
        <x:is>
          <x:t xml:space="preserve">RESISOSTD400</x:t>
        </x:is>
      </x:c>
      <x:c r="B861" t="inlineStr">
        <x:is>
          <x:t xml:space="preserve">RESINA PALATAL A400 - 230KG TAMBOR (ISOFTALICA)</x:t>
        </x:is>
      </x:c>
      <x:c r="C861" s="8" t="n">
        <x:v>1530</x:v>
      </x:c>
      <x:c r="D861" s="8" t="n">
        <x:v>460</x:v>
      </x:c>
      <x:c r="E861" s="8" t="n">
        <x:v>230</x:v>
      </x:c>
      <x:c r="F861" s="8" t="n">
        <x:v>1760</x:v>
      </x:c>
      <x:c r="G861" s="9" t="n">
        <x:v>4176631</x:v>
      </x:c>
      <x:c r="H861" s="9" t="n">
        <x:v>1221300</x:v>
      </x:c>
      <x:c r="I861" s="9" t="n">
        <x:v>627860</x:v>
      </x:c>
      <x:c r="J861" s="9" t="n">
        <x:v>4770071</x:v>
      </x:c>
      <x:c r="K861" s="10" t="n">
        <x:v>2710.269289</x:v>
      </x:c>
    </x:row>
    <x:row r="862">
      <x:c r="A862" t="inlineStr">
        <x:is>
          <x:t xml:space="preserve">RESVINBASAFR</x:t>
        </x:is>
      </x:c>
      <x:c r="B862" t="inlineStr">
        <x:is>
          <x:t xml:space="preserve">RESINA PALATAL A430FR (230 KG/TAMBOR)</x:t>
        </x:is>
      </x:c>
      <x:c r="C862" s="8" t="n">
        <x:v>960</x:v>
      </x:c>
      <x:c r="D862" s="8" t="n">
        <x:v>0</x:v>
      </x:c>
      <x:c r="E862" s="8" t="n">
        <x:v>0</x:v>
      </x:c>
      <x:c r="F862" s="8" t="n">
        <x:v>960</x:v>
      </x:c>
      <x:c r="G862" s="9" t="n">
        <x:v>6642265</x:v>
      </x:c>
      <x:c r="H862" s="9" t="n">
        <x:v>0</x:v>
      </x:c>
      <x:c r="I862" s="9" t="n">
        <x:v>0</x:v>
      </x:c>
      <x:c r="J862" s="9" t="n">
        <x:v>6642265</x:v>
      </x:c>
      <x:c r="K862" s="10" t="n">
        <x:v>6919.024982</x:v>
      </x:c>
    </x:row>
    <x:row r="863">
      <x:c r="A863" t="inlineStr">
        <x:is>
          <x:t xml:space="preserve">SALFIT001001</x:t>
        </x:is>
      </x:c>
      <x:c r="B863" t="inlineStr">
        <x:is>
          <x:t xml:space="preserve">STUB END DIAMETRO 1 PLG NATURAL RESINA DERAKANE 470 CHINO</x:t>
        </x:is>
      </x:c>
      <x:c r="C863" s="8" t="n">
        <x:v>3</x:v>
      </x:c>
      <x:c r="D863" s="8" t="n">
        <x:v>0</x:v>
      </x:c>
      <x:c r="E863" s="8" t="n">
        <x:v>0</x:v>
      </x:c>
      <x:c r="F863" s="8" t="n">
        <x:v>3</x:v>
      </x:c>
      <x:c r="G863" s="9" t="n">
        <x:v>56652</x:v>
      </x:c>
      <x:c r="H863" s="9" t="n">
        <x:v>0</x:v>
      </x:c>
      <x:c r="I863" s="9" t="n">
        <x:v>0</x:v>
      </x:c>
      <x:c r="J863" s="9" t="n">
        <x:v>56652</x:v>
      </x:c>
      <x:c r="K863" s="10" t="n">
        <x:v>18884</x:v>
      </x:c>
    </x:row>
    <x:row r="864">
      <x:c r="A864" t="inlineStr">
        <x:is>
          <x:t xml:space="preserve">SALFIT001003</x:t>
        </x:is>
      </x:c>
      <x:c r="B864" t="inlineStr">
        <x:is>
          <x:t xml:space="preserve">STUB END DIAMETRO 3 PLG NATURAL RESINA DERAKANE 470 CHINO</x:t>
        </x:is>
      </x:c>
      <x:c r="C864" s="8" t="n">
        <x:v>20</x:v>
      </x:c>
      <x:c r="D864" s="8" t="n">
        <x:v>0</x:v>
      </x:c>
      <x:c r="E864" s="8" t="n">
        <x:v>0</x:v>
      </x:c>
      <x:c r="F864" s="8" t="n">
        <x:v>20</x:v>
      </x:c>
      <x:c r="G864" s="9" t="n">
        <x:v>667640</x:v>
      </x:c>
      <x:c r="H864" s="9" t="n">
        <x:v>0</x:v>
      </x:c>
      <x:c r="I864" s="9" t="n">
        <x:v>0</x:v>
      </x:c>
      <x:c r="J864" s="9" t="n">
        <x:v>667640</x:v>
      </x:c>
      <x:c r="K864" s="10" t="n">
        <x:v>33382</x:v>
      </x:c>
    </x:row>
    <x:row r="865">
      <x:c r="A865" t="inlineStr">
        <x:is>
          <x:t xml:space="preserve">SALFIT001004</x:t>
        </x:is>
      </x:c>
      <x:c r="B865" t="inlineStr">
        <x:is>
          <x:t xml:space="preserve">STUB END DIAMETRO 4 PLG NATURAL RESINA DERAKANE 470 CHINO</x:t>
        </x:is>
      </x:c>
      <x:c r="C865" s="8" t="n">
        <x:v>20</x:v>
      </x:c>
      <x:c r="D865" s="8" t="n">
        <x:v>0</x:v>
      </x:c>
      <x:c r="E865" s="8" t="n">
        <x:v>0</x:v>
      </x:c>
      <x:c r="F865" s="8" t="n">
        <x:v>20</x:v>
      </x:c>
      <x:c r="G865" s="9" t="n">
        <x:v>932200</x:v>
      </x:c>
      <x:c r="H865" s="9" t="n">
        <x:v>0</x:v>
      </x:c>
      <x:c r="I865" s="9" t="n">
        <x:v>0</x:v>
      </x:c>
      <x:c r="J865" s="9" t="n">
        <x:v>932200</x:v>
      </x:c>
      <x:c r="K865" s="10" t="n">
        <x:v>46610</x:v>
      </x:c>
    </x:row>
    <x:row r="866">
      <x:c r="A866" t="inlineStr">
        <x:is>
          <x:t xml:space="preserve">SALFIT001005</x:t>
        </x:is>
      </x:c>
      <x:c r="B866" t="inlineStr">
        <x:is>
          <x:t xml:space="preserve">CODO90 GRD DE 3 PLG NATURAL RESINA DERAKANE 470 CHINO</x:t>
        </x:is>
      </x:c>
      <x:c r="C866" s="8" t="n">
        <x:v>27</x:v>
      </x:c>
      <x:c r="D866" s="8" t="n">
        <x:v>0</x:v>
      </x:c>
      <x:c r="E866" s="8" t="n">
        <x:v>0</x:v>
      </x:c>
      <x:c r="F866" s="8" t="n">
        <x:v>27</x:v>
      </x:c>
      <x:c r="G866" s="9" t="n">
        <x:v>626103</x:v>
      </x:c>
      <x:c r="H866" s="9" t="n">
        <x:v>0</x:v>
      </x:c>
      <x:c r="I866" s="9" t="n">
        <x:v>0</x:v>
      </x:c>
      <x:c r="J866" s="9" t="n">
        <x:v>626103</x:v>
      </x:c>
      <x:c r="K866" s="10" t="n">
        <x:v>23189</x:v>
      </x:c>
    </x:row>
    <x:row r="867">
      <x:c r="A867" t="inlineStr">
        <x:is>
          <x:t xml:space="preserve">SALFIT001006</x:t>
        </x:is>
      </x:c>
      <x:c r="B867" t="inlineStr">
        <x:is>
          <x:t xml:space="preserve">CODO90 GRD DE 6 PLG NATURAL RESINA DERAKANE 470 CHINO</x:t>
        </x:is>
      </x:c>
      <x:c r="C867" s="8" t="n">
        <x:v>9</x:v>
      </x:c>
      <x:c r="D867" s="8" t="n">
        <x:v>0</x:v>
      </x:c>
      <x:c r="E867" s="8" t="n">
        <x:v>0</x:v>
      </x:c>
      <x:c r="F867" s="8" t="n">
        <x:v>9</x:v>
      </x:c>
      <x:c r="G867" s="9" t="n">
        <x:v>611460</x:v>
      </x:c>
      <x:c r="H867" s="9" t="n">
        <x:v>0</x:v>
      </x:c>
      <x:c r="I867" s="9" t="n">
        <x:v>0</x:v>
      </x:c>
      <x:c r="J867" s="9" t="n">
        <x:v>611460</x:v>
      </x:c>
      <x:c r="K867" s="10" t="n">
        <x:v>67940</x:v>
      </x:c>
    </x:row>
    <x:row r="868">
      <x:c r="A868" t="inlineStr">
        <x:is>
          <x:t xml:space="preserve">SALFIT001007</x:t>
        </x:is>
      </x:c>
      <x:c r="B868" t="inlineStr">
        <x:is>
          <x:t xml:space="preserve">REDUCCION  DE 4 A 2 PLG NATURAL RESINA DERAKANE 470 CHINO</x:t>
        </x:is>
      </x:c>
      <x:c r="C868" s="8" t="n">
        <x:v>3</x:v>
      </x:c>
      <x:c r="D868" s="8" t="n">
        <x:v>0</x:v>
      </x:c>
      <x:c r="E868" s="8" t="n">
        <x:v>0</x:v>
      </x:c>
      <x:c r="F868" s="8" t="n">
        <x:v>3</x:v>
      </x:c>
      <x:c r="G868" s="9" t="n">
        <x:v>48375</x:v>
      </x:c>
      <x:c r="H868" s="9" t="n">
        <x:v>0</x:v>
      </x:c>
      <x:c r="I868" s="9" t="n">
        <x:v>0</x:v>
      </x:c>
      <x:c r="J868" s="9" t="n">
        <x:v>48375</x:v>
      </x:c>
      <x:c r="K868" s="10" t="n">
        <x:v>16125</x:v>
      </x:c>
    </x:row>
    <x:row r="869">
      <x:c r="A869" t="inlineStr">
        <x:is>
          <x:t xml:space="preserve">SALFIT001008</x:t>
        </x:is>
      </x:c>
      <x:c r="B869" t="inlineStr">
        <x:is>
          <x:t xml:space="preserve">REDUCCION  DE 3 A 2 PLG NATURAL RESINA DERAKANE 470 CHINO</x:t>
        </x:is>
      </x:c>
      <x:c r="C869" s="8" t="n">
        <x:v>3</x:v>
      </x:c>
      <x:c r="D869" s="8" t="n">
        <x:v>0</x:v>
      </x:c>
      <x:c r="E869" s="8" t="n">
        <x:v>0</x:v>
      </x:c>
      <x:c r="F869" s="8" t="n">
        <x:v>3</x:v>
      </x:c>
      <x:c r="G869" s="9" t="n">
        <x:v>37812</x:v>
      </x:c>
      <x:c r="H869" s="9" t="n">
        <x:v>0</x:v>
      </x:c>
      <x:c r="I869" s="9" t="n">
        <x:v>0</x:v>
      </x:c>
      <x:c r="J869" s="9" t="n">
        <x:v>37812</x:v>
      </x:c>
      <x:c r="K869" s="10" t="n">
        <x:v>12604</x:v>
      </x:c>
    </x:row>
    <x:row r="870">
      <x:c r="A870" t="inlineStr">
        <x:is>
          <x:t xml:space="preserve">SALFIT001009</x:t>
        </x:is>
      </x:c>
      <x:c r="B870" t="inlineStr">
        <x:is>
          <x:t xml:space="preserve">FLANGE CIEGO 6 PLG NATURAL RESINA DERAKANE 470 CHINO</x:t>
        </x:is>
      </x:c>
      <x:c r="C870" s="8" t="n">
        <x:v>3</x:v>
      </x:c>
      <x:c r="D870" s="8" t="n">
        <x:v>0</x:v>
      </x:c>
      <x:c r="E870" s="8" t="n">
        <x:v>0</x:v>
      </x:c>
      <x:c r="F870" s="8" t="n">
        <x:v>3</x:v>
      </x:c>
      <x:c r="G870" s="9" t="n">
        <x:v>4500</x:v>
      </x:c>
      <x:c r="H870" s="9" t="n">
        <x:v>0</x:v>
      </x:c>
      <x:c r="I870" s="9" t="n">
        <x:v>0</x:v>
      </x:c>
      <x:c r="J870" s="9" t="n">
        <x:v>4500</x:v>
      </x:c>
      <x:c r="K870" s="10" t="n">
        <x:v>1500</x:v>
      </x:c>
    </x:row>
    <x:row r="871">
      <x:c r="A871" t="inlineStr">
        <x:is>
          <x:t xml:space="preserve">SOLCPVVAR400</x:t>
        </x:is>
      </x:c>
      <x:c r="B871" t="inlineStr">
        <x:is>
          <x:t xml:space="preserve">SOLDADURA CPVC 4mm</x:t>
        </x:is>
      </x:c>
      <x:c r="C871" s="8" t="n">
        <x:v>40</x:v>
      </x:c>
      <x:c r="D871" s="8" t="n">
        <x:v>0</x:v>
      </x:c>
      <x:c r="E871" s="8" t="n">
        <x:v>0</x:v>
      </x:c>
      <x:c r="F871" s="8" t="n">
        <x:v>40</x:v>
      </x:c>
      <x:c r="G871" s="9" t="n">
        <x:v>260000</x:v>
      </x:c>
      <x:c r="H871" s="9" t="n">
        <x:v>0</x:v>
      </x:c>
      <x:c r="I871" s="9" t="n">
        <x:v>0</x:v>
      </x:c>
      <x:c r="J871" s="9" t="n">
        <x:v>260000</x:v>
      </x:c>
      <x:c r="K871" s="10" t="n">
        <x:v>6500</x:v>
      </x:c>
    </x:row>
    <x:row r="872">
      <x:c r="A872" t="inlineStr">
        <x:is>
          <x:t xml:space="preserve">SOLECT001001</x:t>
        </x:is>
      </x:c>
      <x:c r="B872" t="inlineStr">
        <x:is>
          <x:t xml:space="preserve">SOLDADURA ECTFE NATURAL 3 MM</x:t>
        </x:is>
      </x:c>
      <x:c r="C872" s="8" t="n">
        <x:v>2</x:v>
      </x:c>
      <x:c r="D872" s="8" t="n">
        <x:v>0</x:v>
      </x:c>
      <x:c r="E872" s="8" t="n">
        <x:v>0</x:v>
      </x:c>
      <x:c r="F872" s="8" t="n">
        <x:v>2</x:v>
      </x:c>
      <x:c r="G872" s="9" t="n">
        <x:v>120240</x:v>
      </x:c>
      <x:c r="H872" s="9" t="n">
        <x:v>0</x:v>
      </x:c>
      <x:c r="I872" s="9" t="n">
        <x:v>0</x:v>
      </x:c>
      <x:c r="J872" s="9" t="n">
        <x:v>120240</x:v>
      </x:c>
      <x:c r="K872" s="10" t="n">
        <x:v>60120</x:v>
      </x:c>
    </x:row>
    <x:row r="873">
      <x:c r="A873" t="inlineStr">
        <x:is>
          <x:t xml:space="preserve">SOLECT001002</x:t>
        </x:is>
      </x:c>
      <x:c r="B873" t="inlineStr">
        <x:is>
          <x:t xml:space="preserve">SOLDADURA ECTFE NATURAL 4 MM</x:t>
        </x:is>
      </x:c>
      <x:c r="C873" s="8" t="n">
        <x:v>14</x:v>
      </x:c>
      <x:c r="D873" s="8" t="n">
        <x:v>0</x:v>
      </x:c>
      <x:c r="E873" s="8" t="n">
        <x:v>0</x:v>
      </x:c>
      <x:c r="F873" s="8" t="n">
        <x:v>14</x:v>
      </x:c>
      <x:c r="G873" s="9" t="n">
        <x:v>996973</x:v>
      </x:c>
      <x:c r="H873" s="9" t="n">
        <x:v>0</x:v>
      </x:c>
      <x:c r="I873" s="9" t="n">
        <x:v>0</x:v>
      </x:c>
      <x:c r="J873" s="9" t="n">
        <x:v>996973</x:v>
      </x:c>
      <x:c r="K873" s="10" t="n">
        <x:v>71212.3</x:v>
      </x:c>
    </x:row>
    <x:row r="874">
      <x:c r="A874" t="inlineStr">
        <x:is>
          <x:t xml:space="preserve">SOLFEP001001</x:t>
        </x:is>
      </x:c>
      <x:c r="B874" t="inlineStr">
        <x:is>
          <x:t xml:space="preserve">SOLDADURA FEP NATURAL 3.5 MM</x:t>
        </x:is>
      </x:c>
      <x:c r="C874" s="8" t="n">
        <x:v>1</x:v>
      </x:c>
      <x:c r="D874" s="8" t="n">
        <x:v>0</x:v>
      </x:c>
      <x:c r="E874" s="8" t="n">
        <x:v>0</x:v>
      </x:c>
      <x:c r="F874" s="8" t="n">
        <x:v>1</x:v>
      </x:c>
      <x:c r="G874" s="9" t="n">
        <x:v>173261</x:v>
      </x:c>
      <x:c r="H874" s="9" t="n">
        <x:v>0</x:v>
      </x:c>
      <x:c r="I874" s="9" t="n">
        <x:v>0</x:v>
      </x:c>
      <x:c r="J874" s="9" t="n">
        <x:v>173261</x:v>
      </x:c>
      <x:c r="K874" s="10" t="n">
        <x:v>173261.333333</x:v>
      </x:c>
    </x:row>
    <x:row r="875">
      <x:c r="A875" t="inlineStr">
        <x:is>
          <x:t xml:space="preserve">SOLPFA001001</x:t>
        </x:is>
      </x:c>
      <x:c r="B875" t="inlineStr">
        <x:is>
          <x:t xml:space="preserve">SOLDADURA PFA HP NATUR 3.5 MM</x:t>
        </x:is>
      </x:c>
      <x:c r="C875" s="8" t="n">
        <x:v>1</x:v>
      </x:c>
      <x:c r="D875" s="8" t="n">
        <x:v>0</x:v>
      </x:c>
      <x:c r="E875" s="8" t="n">
        <x:v>0</x:v>
      </x:c>
      <x:c r="F875" s="8" t="n">
        <x:v>1</x:v>
      </x:c>
      <x:c r="G875" s="9" t="n">
        <x:v>54000</x:v>
      </x:c>
      <x:c r="H875" s="9" t="n">
        <x:v>0</x:v>
      </x:c>
      <x:c r="I875" s="9" t="n">
        <x:v>0</x:v>
      </x:c>
      <x:c r="J875" s="9" t="n">
        <x:v>54000</x:v>
      </x:c>
      <x:c r="K875" s="10" t="n">
        <x:v>54000</x:v>
      </x:c>
    </x:row>
    <x:row r="876">
      <x:c r="A876" t="inlineStr">
        <x:is>
          <x:t xml:space="preserve">SOLPPHGRA4MM</x:t>
        </x:is>
      </x:c>
      <x:c r="B876" t="inlineStr">
        <x:is>
          <x:t xml:space="preserve">SOLDADURA PPH GRAU 4mm</x:t>
        </x:is>
      </x:c>
      <x:c r="C876" s="8" t="n">
        <x:v>24.5</x:v>
      </x:c>
      <x:c r="D876" s="8" t="n">
        <x:v>0</x:v>
      </x:c>
      <x:c r="E876" s="8" t="n">
        <x:v>0</x:v>
      </x:c>
      <x:c r="F876" s="8" t="n">
        <x:v>24.5</x:v>
      </x:c>
      <x:c r="G876" s="9" t="n">
        <x:v>181302</x:v>
      </x:c>
      <x:c r="H876" s="9" t="n">
        <x:v>0</x:v>
      </x:c>
      <x:c r="I876" s="9" t="n">
        <x:v>0</x:v>
      </x:c>
      <x:c r="J876" s="9" t="n">
        <x:v>181302</x:v>
      </x:c>
      <x:c r="K876" s="10" t="n">
        <x:v>7400</x:v>
      </x:c>
    </x:row>
    <x:row r="877">
      <x:c r="A877" t="inlineStr">
        <x:is>
          <x:t xml:space="preserve">SOLPVDNAT3MM</x:t>
        </x:is>
      </x:c>
      <x:c r="B877" t="inlineStr">
        <x:is>
          <x:t xml:space="preserve">SOLDADURA PVDF NATURAL 3mm</x:t>
        </x:is>
      </x:c>
      <x:c r="C877" s="8" t="n">
        <x:v>9</x:v>
      </x:c>
      <x:c r="D877" s="8" t="n">
        <x:v>0</x:v>
      </x:c>
      <x:c r="E877" s="8" t="n">
        <x:v>0</x:v>
      </x:c>
      <x:c r="F877" s="8" t="n">
        <x:v>9</x:v>
      </x:c>
      <x:c r="G877" s="9" t="n">
        <x:v>250479</x:v>
      </x:c>
      <x:c r="H877" s="9" t="n">
        <x:v>0</x:v>
      </x:c>
      <x:c r="I877" s="9" t="n">
        <x:v>0</x:v>
      </x:c>
      <x:c r="J877" s="9" t="n">
        <x:v>250479</x:v>
      </x:c>
      <x:c r="K877" s="10" t="n">
        <x:v>27831</x:v>
      </x:c>
    </x:row>
    <x:row r="878">
      <x:c r="A878" t="inlineStr">
        <x:is>
          <x:t xml:space="preserve">SOLPVDNAT4MM</x:t>
        </x:is>
      </x:c>
      <x:c r="B878" t="inlineStr">
        <x:is>
          <x:t xml:space="preserve">SOLDADURA PVDF NATURAL 4mm</x:t>
        </x:is>
      </x:c>
      <x:c r="C878" s="8" t="n">
        <x:v>24.5</x:v>
      </x:c>
      <x:c r="D878" s="8" t="n">
        <x:v>8</x:v>
      </x:c>
      <x:c r="E878" s="8" t="n">
        <x:v>0</x:v>
      </x:c>
      <x:c r="F878" s="8" t="n">
        <x:v>32.5</x:v>
      </x:c>
      <x:c r="G878" s="9" t="n">
        <x:v>2320412</x:v>
      </x:c>
      <x:c r="H878" s="9" t="n">
        <x:v>1003686</x:v>
      </x:c>
      <x:c r="I878" s="9" t="n">
        <x:v>0</x:v>
      </x:c>
      <x:c r="J878" s="9" t="n">
        <x:v>3324098</x:v>
      </x:c>
      <x:c r="K878" s="10" t="n">
        <x:v>102280.145501</x:v>
      </x:c>
    </x:row>
    <x:row r="879">
      <x:c r="A879" t="inlineStr">
        <x:is>
          <x:t xml:space="preserve">SOLXPE001001</x:t>
        </x:is>
      </x:c>
      <x:c r="B879" t="inlineStr">
        <x:is>
          <x:t xml:space="preserve">SOLDADURA TIVAR 88 AZUL 4 MM</x:t>
        </x:is>
      </x:c>
      <x:c r="C879" s="8" t="n">
        <x:v>40</x:v>
      </x:c>
      <x:c r="D879" s="8" t="n">
        <x:v>0</x:v>
      </x:c>
      <x:c r="E879" s="8" t="n">
        <x:v>0</x:v>
      </x:c>
      <x:c r="F879" s="8" t="n">
        <x:v>40</x:v>
      </x:c>
      <x:c r="G879" s="9" t="n">
        <x:v>439000</x:v>
      </x:c>
      <x:c r="H879" s="9" t="n">
        <x:v>0</x:v>
      </x:c>
      <x:c r="I879" s="9" t="n">
        <x:v>0</x:v>
      </x:c>
      <x:c r="J879" s="9" t="n">
        <x:v>439000</x:v>
      </x:c>
      <x:c r="K879" s="10" t="n">
        <x:v>10975</x:v>
      </x:c>
    </x:row>
    <x:row r="880">
      <x:c r="A880" t="inlineStr">
        <x:is>
          <x:t xml:space="preserve">SOLXPE001002</x:t>
        </x:is>
      </x:c>
      <x:c r="B880" t="inlineStr">
        <x:is>
          <x:t xml:space="preserve">SOLDADURA HDPE PE AMARILLA DE 4 MM</x:t>
        </x:is>
      </x:c>
      <x:c r="C880" s="8" t="n">
        <x:v>2.8</x:v>
      </x:c>
      <x:c r="D880" s="8" t="n">
        <x:v>0</x:v>
      </x:c>
      <x:c r="E880" s="8" t="n">
        <x:v>0</x:v>
      </x:c>
      <x:c r="F880" s="8" t="n">
        <x:v>2.8</x:v>
      </x:c>
      <x:c r="G880" s="9" t="n">
        <x:v>12040</x:v>
      </x:c>
      <x:c r="H880" s="9" t="n">
        <x:v>0</x:v>
      </x:c>
      <x:c r="I880" s="9" t="n">
        <x:v>0</x:v>
      </x:c>
      <x:c r="J880" s="9" t="n">
        <x:v>12040</x:v>
      </x:c>
      <x:c r="K880" s="10" t="n">
        <x:v>4300</x:v>
      </x:c>
    </x:row>
    <x:row r="881">
      <x:c r="A881" t="inlineStr">
        <x:is>
          <x:t xml:space="preserve">SOLXPEBLA100</x:t>
        </x:is>
      </x:c>
      <x:c r="B881" t="inlineStr">
        <x:is>
          <x:t xml:space="preserve">SOLDADURA PE  100-RC NEGRO 4 MM PERFIL CIRCULAR</x:t>
        </x:is>
      </x:c>
      <x:c r="C881" s="8" t="n">
        <x:v>17</x:v>
      </x:c>
      <x:c r="D881" s="8" t="n">
        <x:v>0</x:v>
      </x:c>
      <x:c r="E881" s="8" t="n">
        <x:v>0</x:v>
      </x:c>
      <x:c r="F881" s="8" t="n">
        <x:v>17</x:v>
      </x:c>
      <x:c r="G881" s="9" t="n">
        <x:v>142630</x:v>
      </x:c>
      <x:c r="H881" s="9" t="n">
        <x:v>0</x:v>
      </x:c>
      <x:c r="I881" s="9" t="n">
        <x:v>0</x:v>
      </x:c>
      <x:c r="J881" s="9" t="n">
        <x:v>142630</x:v>
      </x:c>
      <x:c r="K881" s="10" t="n">
        <x:v>8390</x:v>
      </x:c>
    </x:row>
    <x:row r="882">
      <x:c r="A882" t="inlineStr">
        <x:is>
          <x:t xml:space="preserve">SOLXPENAT4MM</x:t>
        </x:is>
      </x:c>
      <x:c r="B882" t="inlineStr">
        <x:is>
          <x:t xml:space="preserve">SOLDADURA PE NATURAL 4mm</x:t>
        </x:is>
      </x:c>
      <x:c r="C882" s="8" t="n">
        <x:v>28</x:v>
      </x:c>
      <x:c r="D882" s="8" t="n">
        <x:v>0</x:v>
      </x:c>
      <x:c r="E882" s="8" t="n">
        <x:v>0</x:v>
      </x:c>
      <x:c r="F882" s="8" t="n">
        <x:v>28</x:v>
      </x:c>
      <x:c r="G882" s="9" t="n">
        <x:v>176764</x:v>
      </x:c>
      <x:c r="H882" s="9" t="n">
        <x:v>0</x:v>
      </x:c>
      <x:c r="I882" s="9" t="n">
        <x:v>0</x:v>
      </x:c>
      <x:c r="J882" s="9" t="n">
        <x:v>176764</x:v>
      </x:c>
      <x:c r="K882" s="10" t="n">
        <x:v>6313</x:v>
      </x:c>
    </x:row>
    <x:row r="883">
      <x:c r="A883" t="inlineStr">
        <x:is>
          <x:t xml:space="preserve">SOLXPPGRIPPR</x:t>
        </x:is>
      </x:c>
      <x:c r="B883" t="inlineStr">
        <x:is>
          <x:t xml:space="preserve">Soldadura PPR GRIS 4mm perfil circular</x:t>
        </x:is>
      </x:c>
      <x:c r="C883" s="8" t="n">
        <x:v>66</x:v>
      </x:c>
      <x:c r="D883" s="8" t="n">
        <x:v>0</x:v>
      </x:c>
      <x:c r="E883" s="8" t="n">
        <x:v>0</x:v>
      </x:c>
      <x:c r="F883" s="8" t="n">
        <x:v>66</x:v>
      </x:c>
      <x:c r="G883" s="9" t="n">
        <x:v>475200</x:v>
      </x:c>
      <x:c r="H883" s="9" t="n">
        <x:v>0</x:v>
      </x:c>
      <x:c r="I883" s="9" t="n">
        <x:v>0</x:v>
      </x:c>
      <x:c r="J883" s="9" t="n">
        <x:v>475200</x:v>
      </x:c>
      <x:c r="K883" s="10" t="n">
        <x:v>7200</x:v>
      </x:c>
    </x:row>
    <x:row r="884">
      <x:c r="A884" t="inlineStr">
        <x:is>
          <x:t xml:space="preserve">TEL001001001</x:t>
        </x:is>
      </x:c>
      <x:c r="B884" t="inlineStr">
        <x:is>
          <x:t xml:space="preserve">TELA SILTEMP 1/32 PL X 1 MTS</x:t>
        </x:is>
      </x:c>
      <x:c r="C884" s="8" t="n">
        <x:v>45</x:v>
      </x:c>
      <x:c r="D884" s="8" t="n">
        <x:v>0</x:v>
      </x:c>
      <x:c r="E884" s="8" t="n">
        <x:v>0</x:v>
      </x:c>
      <x:c r="F884" s="8" t="n">
        <x:v>45</x:v>
      </x:c>
      <x:c r="G884" s="9" t="n">
        <x:v>171000</x:v>
      </x:c>
      <x:c r="H884" s="9" t="n">
        <x:v>0</x:v>
      </x:c>
      <x:c r="I884" s="9" t="n">
        <x:v>0</x:v>
      </x:c>
      <x:c r="J884" s="9" t="n">
        <x:v>171000</x:v>
      </x:c>
      <x:c r="K884" s="10" t="n">
        <x:v>3800</x:v>
      </x:c>
    </x:row>
    <x:row r="885">
      <x:c r="A885" t="inlineStr">
        <x:is>
          <x:t xml:space="preserve">TEL001001004</x:t>
        </x:is>
      </x:c>
      <x:c r="B885" t="inlineStr">
        <x:is>
          <x:t xml:space="preserve">TELA FIBRA DE VIDRIO (ZETEX) 1/8 PLG ESPX 1000 MM</x:t>
        </x:is>
      </x:c>
      <x:c r="C885" s="8" t="n">
        <x:v>409</x:v>
      </x:c>
      <x:c r="D885" s="8" t="n">
        <x:v>0</x:v>
      </x:c>
      <x:c r="E885" s="8" t="n">
        <x:v>0</x:v>
      </x:c>
      <x:c r="F885" s="8" t="n">
        <x:v>409</x:v>
      </x:c>
      <x:c r="G885" s="9" t="n">
        <x:v>710842</x:v>
      </x:c>
      <x:c r="H885" s="9" t="n">
        <x:v>0</x:v>
      </x:c>
      <x:c r="I885" s="9" t="n">
        <x:v>0</x:v>
      </x:c>
      <x:c r="J885" s="9" t="n">
        <x:v>710842</x:v>
      </x:c>
      <x:c r="K885" s="10" t="n">
        <x:v>1738</x:v>
      </x:c>
    </x:row>
    <x:row r="886">
      <x:c r="A886" t="inlineStr">
        <x:is>
          <x:t xml:space="preserve">TEL001001006</x:t>
        </x:is>
      </x:c>
      <x:c r="B886" t="inlineStr">
        <x:is>
          <x:t xml:space="preserve">THERMALAN 100/1406 MARINE GREEN 1 MTS ANCHO (12452) TCI</x:t>
        </x:is>
      </x:c>
      <x:c r="C886" s="8" t="n">
        <x:v>10</x:v>
      </x:c>
      <x:c r="D886" s="8" t="n">
        <x:v>0</x:v>
      </x:c>
      <x:c r="E886" s="8" t="n">
        <x:v>0</x:v>
      </x:c>
      <x:c r="F886" s="8" t="n">
        <x:v>10</x:v>
      </x:c>
      <x:c r="G886" s="9" t="n">
        <x:v>1291640</x:v>
      </x:c>
      <x:c r="H886" s="9" t="n">
        <x:v>0</x:v>
      </x:c>
      <x:c r="I886" s="9" t="n">
        <x:v>0</x:v>
      </x:c>
      <x:c r="J886" s="9" t="n">
        <x:v>1291640</x:v>
      </x:c>
      <x:c r="K886" s="10" t="n">
        <x:v>129164</x:v>
      </x:c>
    </x:row>
    <x:row r="887">
      <x:c r="A887" t="inlineStr">
        <x:is>
          <x:t xml:space="preserve">TEL001001007</x:t>
        </x:is>
      </x:c>
      <x:c r="B887" t="inlineStr">
        <x:is>
          <x:t xml:space="preserve">AVSIL.STP110CH-40 BLUE 1 MTS ANCHO (ZETEX AZUL) (SO029199 AVS INDUSTRIES)</x:t>
        </x:is>
      </x:c>
      <x:c r="C887" s="8" t="n">
        <x:v>91</x:v>
      </x:c>
      <x:c r="D887" s="8" t="n">
        <x:v>0</x:v>
      </x:c>
      <x:c r="E887" s="8" t="n">
        <x:v>0</x:v>
      </x:c>
      <x:c r="F887" s="8" t="n">
        <x:v>91</x:v>
      </x:c>
      <x:c r="G887" s="9" t="n">
        <x:v>1675310</x:v>
      </x:c>
      <x:c r="H887" s="9" t="n">
        <x:v>0</x:v>
      </x:c>
      <x:c r="I887" s="9" t="n">
        <x:v>0</x:v>
      </x:c>
      <x:c r="J887" s="9" t="n">
        <x:v>1675310</x:v>
      </x:c>
      <x:c r="K887" s="10" t="n">
        <x:v>18410</x:v>
      </x:c>
    </x:row>
    <x:row r="888">
      <x:c r="A888" t="inlineStr">
        <x:is>
          <x:t xml:space="preserve">TEL001001008</x:t>
        </x:is>
      </x:c>
      <x:c r="B888" t="inlineStr">
        <x:is>
          <x:t xml:space="preserve">CROSSFILM 2140 BLACK 1.5 MTS ANCHO (12530) TCI</x:t>
        </x:is>
      </x:c>
      <x:c r="C888" s="8" t="n">
        <x:v>2.6</x:v>
      </x:c>
      <x:c r="D888" s="8" t="n">
        <x:v>0</x:v>
      </x:c>
      <x:c r="E888" s="8" t="n">
        <x:v>0</x:v>
      </x:c>
      <x:c r="F888" s="8" t="n">
        <x:v>2.6</x:v>
      </x:c>
      <x:c r="G888" s="9" t="n">
        <x:v>421632</x:v>
      </x:c>
      <x:c r="H888" s="9" t="n">
        <x:v>0</x:v>
      </x:c>
      <x:c r="I888" s="9" t="n">
        <x:v>0</x:v>
      </x:c>
      <x:c r="J888" s="9" t="n">
        <x:v>421632</x:v>
      </x:c>
      <x:c r="K888" s="10" t="n">
        <x:v>162166</x:v>
      </x:c>
    </x:row>
    <x:row r="889">
      <x:c r="A889" t="inlineStr">
        <x:is>
          <x:t xml:space="preserve">TRIPLABLAO25</x:t>
        </x:is>
      </x:c>
      <x:c r="B889" t="inlineStr">
        <x:is>
          <x:t xml:space="preserve">PLANCHA TRIXALON BLANCO 25mm x 1200 x 2000</x:t>
        </x:is>
      </x:c>
      <x:c r="C889" s="8" t="n">
        <x:v>1</x:v>
      </x:c>
      <x:c r="D889" s="8" t="n">
        <x:v>0</x:v>
      </x:c>
      <x:c r="E889" s="8" t="n">
        <x:v>0</x:v>
      </x:c>
      <x:c r="F889" s="8" t="n">
        <x:v>1</x:v>
      </x:c>
      <x:c r="G889" s="9" t="n">
        <x:v>132000</x:v>
      </x:c>
      <x:c r="H889" s="9" t="n">
        <x:v>0</x:v>
      </x:c>
      <x:c r="I889" s="9" t="n">
        <x:v>0</x:v>
      </x:c>
      <x:c r="J889" s="9" t="n">
        <x:v>132000</x:v>
      </x:c>
      <x:c r="K889" s="10" t="n">
        <x:v>132000</x:v>
      </x:c>
    </x:row>
    <x:row r="890">
      <x:c r="A890" t="inlineStr">
        <x:is>
          <x:t xml:space="preserve">TRIPLANEG001</x:t>
        </x:is>
      </x:c>
      <x:c r="B890" t="inlineStr">
        <x:is>
          <x:t xml:space="preserve">BOCINA DE TRIXALON NEGRO ZELLAMID 1100 MO (PA 6-MO) TUBE 260 X 180 X 1000 MM ANILLOS BBA W450</x:t>
        </x:is>
      </x:c>
      <x:c r="C890" s="8" t="n">
        <x:v>2</x:v>
      </x:c>
      <x:c r="D890" s="8" t="n">
        <x:v>0</x:v>
      </x:c>
      <x:c r="E890" s="8" t="n">
        <x:v>0</x:v>
      </x:c>
      <x:c r="F890" s="8" t="n">
        <x:v>2</x:v>
      </x:c>
      <x:c r="G890" s="9" t="n">
        <x:v>1602657</x:v>
      </x:c>
      <x:c r="H890" s="9" t="n">
        <x:v>0</x:v>
      </x:c>
      <x:c r="I890" s="9" t="n">
        <x:v>0</x:v>
      </x:c>
      <x:c r="J890" s="9" t="n">
        <x:v>1602657</x:v>
      </x:c>
      <x:c r="K890" s="10" t="n">
        <x:v>801328.846154</x:v>
      </x:c>
    </x:row>
    <x:row r="891">
      <x:c r="A891" t="inlineStr">
        <x:is>
          <x:t xml:space="preserve">TRIPLANEGO12</x:t>
        </x:is>
      </x:c>
      <x:c r="B891" t="inlineStr">
        <x:is>
          <x:t xml:space="preserve">PLANCHA TRIXALON NEGRO 12mm</x:t>
        </x:is>
      </x:c>
      <x:c r="C891" s="8" t="n">
        <x:v>12</x:v>
      </x:c>
      <x:c r="D891" s="8" t="n">
        <x:v>0</x:v>
      </x:c>
      <x:c r="E891" s="8" t="n">
        <x:v>0</x:v>
      </x:c>
      <x:c r="F891" s="8" t="n">
        <x:v>12</x:v>
      </x:c>
      <x:c r="G891" s="9" t="n">
        <x:v>518400</x:v>
      </x:c>
      <x:c r="H891" s="9" t="n">
        <x:v>0</x:v>
      </x:c>
      <x:c r="I891" s="9" t="n">
        <x:v>0</x:v>
      </x:c>
      <x:c r="J891" s="9" t="n">
        <x:v>518400</x:v>
      </x:c>
      <x:c r="K891" s="10" t="n">
        <x:v>43200</x:v>
      </x:c>
    </x:row>
    <x:row r="892">
      <x:c r="A892" t="inlineStr">
        <x:is>
          <x:t xml:space="preserve">TRIPLANEGO25</x:t>
        </x:is>
      </x:c>
      <x:c r="B892" t="inlineStr">
        <x:is>
          <x:t xml:space="preserve">PLANCHA TRIXALON NEGRO 25mm X 1200 MM X 2000 MM</x:t>
        </x:is>
      </x:c>
      <x:c r="C892" s="8" t="n">
        <x:v>12</x:v>
      </x:c>
      <x:c r="D892" s="8" t="n">
        <x:v>0</x:v>
      </x:c>
      <x:c r="E892" s="8" t="n">
        <x:v>0</x:v>
      </x:c>
      <x:c r="F892" s="8" t="n">
        <x:v>12</x:v>
      </x:c>
      <x:c r="G892" s="9" t="n">
        <x:v>6168564</x:v>
      </x:c>
      <x:c r="H892" s="9" t="n">
        <x:v>0</x:v>
      </x:c>
      <x:c r="I892" s="9" t="n">
        <x:v>0</x:v>
      </x:c>
      <x:c r="J892" s="9" t="n">
        <x:v>6168564</x:v>
      </x:c>
      <x:c r="K892" s="10" t="n">
        <x:v>514047.27451</x:v>
      </x:c>
    </x:row>
    <x:row r="893">
      <x:c r="A893" t="inlineStr">
        <x:is>
          <x:t xml:space="preserve">VELPLC001001</x:t>
        </x:is>
      </x:c>
      <x:c r="B893" t="inlineStr">
        <x:is>
          <x:t xml:space="preserve">VELLUMOIDE EN PLANCHA 1/32 PLG X 1 MTS X 1 MTS</x:t>
        </x:is>
      </x:c>
      <x:c r="C893" s="8" t="n">
        <x:v>6</x:v>
      </x:c>
      <x:c r="D893" s="8" t="n">
        <x:v>50</x:v>
      </x:c>
      <x:c r="E893" s="8" t="n">
        <x:v>0</x:v>
      </x:c>
      <x:c r="F893" s="8" t="n">
        <x:v>56</x:v>
      </x:c>
      <x:c r="G893" s="9" t="n">
        <x:v>45900</x:v>
      </x:c>
      <x:c r="H893" s="9" t="n">
        <x:v>480000</x:v>
      </x:c>
      <x:c r="I893" s="9" t="n">
        <x:v>0</x:v>
      </x:c>
      <x:c r="J893" s="9" t="n">
        <x:v>525900</x:v>
      </x:c>
      <x:c r="K893" s="10" t="n">
        <x:v>9391.071429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DURLON 7900 1/8</x:t>
        </x:is>
      </x:c>
      <x:c r="B1" t="inlineStr">
        <x:is>
          <x:t xml:space="preserve">FF150 1/2"</x:t>
        </x:is>
      </x:c>
      <x:c r="C1" t="n">
        <x:v>430</x:v>
      </x:c>
      <x:c r="D1" t="str">
        <x:v>"3/8"</x:v>
      </x:c>
      <x:c r="F1" t="str">
        <x:v>Clave</x:v>
      </x:c>
      <x:c r="G1" t="str">
        <x:v>Estilo</x:v>
      </x:c>
      <x:c r="H1" t="str">
        <x:v>Sección</x:v>
      </x:c>
      <x:c r="I1" t="str">
        <x:v>Código</x:v>
      </x:c>
      <x:c r="J1" t="str">
        <x:v>Costo/kg</x:v>
      </x:c>
    </x:row>
    <x:row r="2">
      <x:c r="A2" t="inlineStr">
        <x:is>
          <x:t xml:space="preserve">DURLON 7900 1/16</x:t>
        </x:is>
      </x:c>
      <x:c r="B2" t="inlineStr">
        <x:is>
          <x:t xml:space="preserve">FF150 3/4"</x:t>
        </x:is>
      </x:c>
      <x:c r="C2" t="str">
        <x:v>55-55</x:v>
      </x:c>
      <x:c r="D2" t="str">
        <x:v>"5/8"</x:v>
      </x:c>
      <x:c r="F2" t="str">
        <x:v>430|"3/8"</x:v>
      </x:c>
      <x:c r="G2" t="n">
        <x:v>430</x:v>
      </x:c>
      <x:c r="H2" t="str">
        <x:v>"3/8"</x:v>
      </x:c>
      <x:c r="I2" t="str">
        <x:v>EMPTRE430001</x:v>
      </x:c>
      <x:c r="J2" t="n">
        <x:v>22090.03626785</x:v>
      </x:c>
    </x:row>
    <x:row r="3">
      <x:c r="A3" t="inlineStr">
        <x:is>
          <x:t xml:space="preserve">DURLON 8500 1/8</x:t>
        </x:is>
      </x:c>
      <x:c r="B3" t="inlineStr">
        <x:is>
          <x:t xml:space="preserve">FF150 1"</x:t>
        </x:is>
      </x:c>
      <x:c r="C3" t="n">
        <x:v>2100</x:v>
      </x:c>
      <x:c r="D3" t="str">
        <x:v>"1/2"</x:v>
      </x:c>
      <x:c r="F3" t="str">
        <x:v>430|"5/8"</x:v>
      </x:c>
      <x:c r="G3" t="n">
        <x:v>430</x:v>
      </x:c>
      <x:c r="H3" t="str">
        <x:v>"5/8"</x:v>
      </x:c>
      <x:c r="I3" t="str">
        <x:v>EMPTRE430003</x:v>
      </x:c>
      <x:c r="J3" t="n">
        <x:v>20142</x:v>
      </x:c>
    </x:row>
    <x:row r="4">
      <x:c r="A4" t="inlineStr">
        <x:is>
          <x:t xml:space="preserve">DURLON 9000 1/8</x:t>
        </x:is>
      </x:c>
      <x:c r="B4" t="inlineStr">
        <x:is>
          <x:t xml:space="preserve">FF150 1-1/4"</x:t>
        </x:is>
      </x:c>
      <x:c r="D4" t="str">
        <x:v>"7/8"</x:v>
      </x:c>
      <x:c r="F4" t="str">
        <x:v>430|"1/2"</x:v>
      </x:c>
      <x:c r="G4" t="n">
        <x:v>430</x:v>
      </x:c>
      <x:c r="H4" t="str">
        <x:v>"1/2"</x:v>
      </x:c>
      <x:c r="I4" t="str">
        <x:v>EMPTRE430004</x:v>
      </x:c>
      <x:c r="J4" t="n">
        <x:v>20491</x:v>
      </x:c>
    </x:row>
    <x:row r="5">
      <x:c r="A5" t="inlineStr">
        <x:is>
          <x:t xml:space="preserve">DURLON 9000 1/16</x:t>
        </x:is>
      </x:c>
      <x:c r="B5" t="inlineStr">
        <x:is>
          <x:t xml:space="preserve">FF150 1/1/2"</x:t>
        </x:is>
      </x:c>
      <x:c r="D5" t="str">
        <x:v>"3/4"</x:v>
      </x:c>
      <x:c r="F5" t="str">
        <x:v>430|"7/8"</x:v>
      </x:c>
      <x:c r="G5" t="n">
        <x:v>430</x:v>
      </x:c>
      <x:c r="H5" t="str">
        <x:v>"7/8"</x:v>
      </x:c>
      <x:c r="I5" t="str">
        <x:v>EMPTRE430005</x:v>
      </x:c>
      <x:c r="J5" t="n">
        <x:v>20491</x:v>
      </x:c>
    </x:row>
    <x:row r="6">
      <x:c r="A6" t="inlineStr">
        <x:is>
          <x:t xml:space="preserve">DURLON 9000 3/32</x:t>
        </x:is>
      </x:c>
      <x:c r="B6" t="inlineStr">
        <x:is>
          <x:t xml:space="preserve">FF150 2"</x:t>
        </x:is>
      </x:c>
      <x:c r="D6" t="str">
        <x:v>"1"</x:v>
      </x:c>
      <x:c r="F6" t="str">
        <x:v>430|"3/4"</x:v>
      </x:c>
      <x:c r="G6" t="n">
        <x:v>430</x:v>
      </x:c>
      <x:c r="H6" t="str">
        <x:v>"3/4"</x:v>
      </x:c>
      <x:c r="I6" t="str">
        <x:v>EMPTRE430006</x:v>
      </x:c>
      <x:c r="J6" t="n">
        <x:v>21282.2</x:v>
      </x:c>
    </x:row>
    <x:row r="7">
      <x:c r="A7" t="inlineStr">
        <x:is>
          <x:t xml:space="preserve">DURLON 9000 1/32</x:t>
        </x:is>
      </x:c>
      <x:c r="B7" t="inlineStr">
        <x:is>
          <x:t xml:space="preserve">FF150 2-1/2"</x:t>
        </x:is>
      </x:c>
      <x:c r="D7" t="str">
        <x:v>"5/16"</x:v>
      </x:c>
      <x:c r="F7" t="str">
        <x:v>430|"1"</x:v>
      </x:c>
      <x:c r="G7" t="n">
        <x:v>430</x:v>
      </x:c>
      <x:c r="H7" t="str">
        <x:v>"1"</x:v>
      </x:c>
      <x:c r="I7" t="str">
        <x:v>EMPTRE430007</x:v>
      </x:c>
      <x:c r="J7" t="n">
        <x:v>27903.65217391</x:v>
      </x:c>
    </x:row>
    <x:row r="8">
      <x:c r="A8" t="inlineStr">
        <x:is>
          <x:t xml:space="preserve">DURLON 9007 1/8</x:t>
        </x:is>
      </x:c>
      <x:c r="B8" t="inlineStr">
        <x:is>
          <x:t xml:space="preserve">FF150 3"</x:t>
        </x:is>
      </x:c>
      <x:c r="D8" t="str">
        <x:v>"1/4"</x:v>
      </x:c>
      <x:c r="F8" t="str">
        <x:v>430|"5/16"</x:v>
      </x:c>
      <x:c r="G8" t="n">
        <x:v>430</x:v>
      </x:c>
      <x:c r="H8" t="str">
        <x:v>"5/16"</x:v>
      </x:c>
      <x:c r="I8" t="str">
        <x:v>EMPTRE430011</x:v>
      </x:c>
      <x:c r="J8" t="n">
        <x:v>22246.35294118</x:v>
      </x:c>
    </x:row>
    <x:row r="9">
      <x:c r="A9" t="inlineStr">
        <x:is>
          <x:t xml:space="preserve">PTFE EXP 1/8</x:t>
        </x:is>
      </x:c>
      <x:c r="B9" t="inlineStr">
        <x:is>
          <x:t xml:space="preserve">FF150 3-1/2"</x:t>
        </x:is>
      </x:c>
      <x:c r="F9" t="str">
        <x:v>55-55|"3/8"</x:v>
      </x:c>
      <x:c r="G9" t="str">
        <x:v>55-55</x:v>
      </x:c>
      <x:c r="H9" t="str">
        <x:v>"3/8"</x:v>
      </x:c>
      <x:c r="I9" t="str">
        <x:v>EMPTRE555002</x:v>
      </x:c>
      <x:c r="J9" t="n">
        <x:v>10721</x:v>
      </x:c>
    </x:row>
    <x:row r="10">
      <x:c r="A10" t="inlineStr">
        <x:is>
          <x:t xml:space="preserve">PTFE EXP 1/16</x:t>
        </x:is>
      </x:c>
      <x:c r="B10" t="inlineStr">
        <x:is>
          <x:t xml:space="preserve">FF150 4"</x:t>
        </x:is>
      </x:c>
      <x:c r="F10" t="str">
        <x:v>55-55|"1/2"</x:v>
      </x:c>
      <x:c r="G10" t="str">
        <x:v>55-55</x:v>
      </x:c>
      <x:c r="H10" t="str">
        <x:v>"1/2"</x:v>
      </x:c>
      <x:c r="I10" t="str">
        <x:v>EMPTRE555003</x:v>
      </x:c>
      <x:c r="J10" t="n">
        <x:v>10720.97568866</x:v>
      </x:c>
    </x:row>
    <x:row r="11">
      <x:c r="A11" t="inlineStr">
        <x:is>
          <x:t xml:space="preserve">PTFE EXP 1/4</x:t>
        </x:is>
      </x:c>
      <x:c r="B11" t="inlineStr">
        <x:is>
          <x:t xml:space="preserve">FF150 5"</x:t>
        </x:is>
      </x:c>
      <x:c r="F11" t="str">
        <x:v>55-55|"3/4"</x:v>
      </x:c>
      <x:c r="G11" t="str">
        <x:v>55-55</x:v>
      </x:c>
      <x:c r="H11" t="str">
        <x:v>"3/4"</x:v>
      </x:c>
      <x:c r="I11" t="str">
        <x:v>EMPTRE555004</x:v>
      </x:c>
      <x:c r="J11" t="n">
        <x:v>10750.01694981</x:v>
      </x:c>
    </x:row>
    <x:row r="12">
      <x:c r="A12" t="inlineStr">
        <x:is>
          <x:t xml:space="preserve">CAUCHO EPDM ESPESOR 1/8” (3.2MM) ANCHO 1MT</x:t>
        </x:is>
      </x:c>
      <x:c r="B12" t="inlineStr">
        <x:is>
          <x:t xml:space="preserve">FF150 6"</x:t>
        </x:is>
      </x:c>
      <x:c r="F12" t="str">
        <x:v>55-55|"5/8"</x:v>
      </x:c>
      <x:c r="G12" t="str">
        <x:v>55-55</x:v>
      </x:c>
      <x:c r="H12" t="str">
        <x:v>"5/8"</x:v>
      </x:c>
      <x:c r="I12" t="str">
        <x:v>EMPTRE555005</x:v>
      </x:c>
      <x:c r="J12" t="n">
        <x:v>11523.99523729</x:v>
      </x:c>
    </x:row>
    <x:row r="13">
      <x:c r="A13" t="inlineStr">
        <x:is>
          <x:t xml:space="preserve">EMPAQUETADURAS TRENZADAS ESTILO 430 3/8 SECCION</x:t>
        </x:is>
      </x:c>
      <x:c r="B13" t="inlineStr">
        <x:is>
          <x:t xml:space="preserve">FF150 8"</x:t>
        </x:is>
      </x:c>
      <x:c r="F13" t="str">
        <x:v>55-55|"1"</x:v>
      </x:c>
      <x:c r="G13" t="str">
        <x:v>55-55</x:v>
      </x:c>
      <x:c r="H13" t="str">
        <x:v>"1"</x:v>
      </x:c>
      <x:c r="I13" t="str">
        <x:v>EMPTRE555006</x:v>
      </x:c>
      <x:c r="J13" t="n">
        <x:v>11734.40129801</x:v>
      </x:c>
    </x:row>
    <x:row r="14">
      <x:c r="A14" t="inlineStr">
        <x:is>
          <x:t xml:space="preserve">EMPAQUETADURAS TRENZADAS ESTILO 430 DE 5/8 SECCION</x:t>
        </x:is>
      </x:c>
      <x:c r="B14" t="inlineStr">
        <x:is>
          <x:t xml:space="preserve">FF150 10"</x:t>
        </x:is>
      </x:c>
      <x:c r="F14" t="str">
        <x:v>55-55|"1/4"</x:v>
      </x:c>
      <x:c r="G14" t="str">
        <x:v>55-55</x:v>
      </x:c>
      <x:c r="H14" t="str">
        <x:v>"1/4"</x:v>
      </x:c>
      <x:c r="I14" t="str">
        <x:v>EMPTRE555009</x:v>
      </x:c>
      <x:c r="J14" t="n">
        <x:v>11674.10756419</x:v>
      </x:c>
    </x:row>
    <x:row r="15">
      <x:c r="A15" t="inlineStr">
        <x:is>
          <x:t xml:space="preserve">EMPAQUETADURAS TRENZADAS ESTILO 430 1/2 SECCION</x:t>
        </x:is>
      </x:c>
      <x:c r="B15" t="inlineStr">
        <x:is>
          <x:t xml:space="preserve">FF150 12"</x:t>
        </x:is>
      </x:c>
      <x:c r="F15" t="str">
        <x:v>2100|"1"</x:v>
      </x:c>
      <x:c r="G15" t="n">
        <x:v>2100</x:v>
      </x:c>
      <x:c r="H15" t="str">
        <x:v>"1"</x:v>
      </x:c>
      <x:c r="I15" t="str">
        <x:v>EMPTRE210001</x:v>
      </x:c>
      <x:c r="J15" t="n">
        <x:v>43377.005478</x:v>
      </x:c>
    </x:row>
    <x:row r="16">
      <x:c r="A16" t="inlineStr">
        <x:is>
          <x:t xml:space="preserve">EMPAQUETADURAS TRENZADAS ESTILO 430 7/8 SECCION</x:t>
        </x:is>
      </x:c>
      <x:c r="B16" t="inlineStr">
        <x:is>
          <x:t xml:space="preserve">FF150 14"</x:t>
        </x:is>
      </x:c>
      <x:c r="F16" t="str">
        <x:v>2100|"3/4"</x:v>
      </x:c>
      <x:c r="G16" t="n">
        <x:v>2100</x:v>
      </x:c>
      <x:c r="H16" t="str">
        <x:v>"3/4"</x:v>
      </x:c>
      <x:c r="I16" t="str">
        <x:v>EMPTRE210002</x:v>
      </x:c>
      <x:c r="J16" t="n">
        <x:v>41194.92019403</x:v>
      </x:c>
    </x:row>
    <x:row r="17">
      <x:c r="A17" t="inlineStr">
        <x:is>
          <x:t xml:space="preserve">EMPAQUETADURAS TRENZADAS ESTILO 430 3/4 SECCION</x:t>
        </x:is>
      </x:c>
      <x:c r="B17" t="inlineStr">
        <x:is>
          <x:t xml:space="preserve">FF150 16"</x:t>
        </x:is>
      </x:c>
      <x:c r="F17" t="str">
        <x:v>2100|"5/8"</x:v>
      </x:c>
      <x:c r="G17" t="n">
        <x:v>2100</x:v>
      </x:c>
      <x:c r="H17" t="str">
        <x:v>"5/8"</x:v>
      </x:c>
      <x:c r="I17" t="str">
        <x:v>EMPTRE210003</x:v>
      </x:c>
      <x:c r="J17" t="n">
        <x:v>28548</x:v>
      </x:c>
    </x:row>
    <x:row r="18">
      <x:c r="A18" t="inlineStr">
        <x:is>
          <x:t xml:space="preserve">EMPAQUETADURAS TRENZADAS ESTILO 430  DE 1 SECCION</x:t>
        </x:is>
      </x:c>
      <x:c r="B18" t="inlineStr">
        <x:is>
          <x:t xml:space="preserve">FF150 18"</x:t>
        </x:is>
      </x:c>
    </x:row>
    <x:row r="19">
      <x:c r="A19" t="inlineStr">
        <x:is>
          <x:t xml:space="preserve">EMPAQUETADURAS TRENZADAS ESTILO 430 5/16 PLG SECCION CUADRADA</x:t>
        </x:is>
      </x:c>
      <x:c r="B19" t="inlineStr">
        <x:is>
          <x:t xml:space="preserve">FF150 20"</x:t>
        </x:is>
      </x:c>
    </x:row>
    <x:row r="20">
      <x:c r="A20" t="inlineStr">
        <x:is>
          <x:t xml:space="preserve">EMPAQUETADURAS TRENZADAS ESTILO 55-55 DE 3/8 SECCION</x:t>
        </x:is>
      </x:c>
      <x:c r="B20" t="inlineStr">
        <x:is>
          <x:t xml:space="preserve">FF150 22"</x:t>
        </x:is>
      </x:c>
    </x:row>
    <x:row r="21">
      <x:c r="A21" t="inlineStr">
        <x:is>
          <x:t xml:space="preserve">EMPAQUETADURAS TRENZADAS ESTILO 55-55 DE 1/2 SECCION</x:t>
        </x:is>
      </x:c>
      <x:c r="B21" t="inlineStr">
        <x:is>
          <x:t xml:space="preserve">FF150 24"</x:t>
        </x:is>
      </x:c>
    </x:row>
    <x:row r="22">
      <x:c r="A22" t="inlineStr">
        <x:is>
          <x:t xml:space="preserve">EMPAQUETADURAS TRENZADAS ESTILO 55-55 3/4 SECCION</x:t>
        </x:is>
      </x:c>
      <x:c r="B22" t="inlineStr">
        <x:is>
          <x:t xml:space="preserve">FF150 32"</x:t>
        </x:is>
      </x:c>
    </x:row>
    <x:row r="23">
      <x:c r="A23" t="inlineStr">
        <x:is>
          <x:t xml:space="preserve">EMPAQUETADURAS TRENZADAS ESTILO 55-55 5/8 SECCION</x:t>
        </x:is>
      </x:c>
      <x:c r="B23" t="inlineStr">
        <x:is>
          <x:t xml:space="preserve">FF150 42"</x:t>
        </x:is>
      </x:c>
    </x:row>
    <x:row r="24">
      <x:c r="A24" t="inlineStr">
        <x:is>
          <x:t xml:space="preserve">EMPAQUETADURAS TRENZADAS 55-55 DE 1 SECCION</x:t>
        </x:is>
      </x:c>
      <x:c r="B24" t="inlineStr">
        <x:is>
          <x:t xml:space="preserve">FF300 1/2"</x:t>
        </x:is>
      </x:c>
    </x:row>
    <x:row r="25">
      <x:c r="A25" t="inlineStr">
        <x:is>
          <x:t xml:space="preserve">EMPAQUETADURA TRENZADAS ESTILO 55-55 1/4 PLG SECCION</x:t>
        </x:is>
      </x:c>
      <x:c r="B25" t="inlineStr">
        <x:is>
          <x:t xml:space="preserve">FF300 3/4"</x:t>
        </x:is>
      </x:c>
    </x:row>
    <x:row r="26">
      <x:c r="A26" t="inlineStr">
        <x:is>
          <x:t xml:space="preserve">EMPAQUETADURAS TRENZADAS ESTILO 2100 DE 1 SECCION</x:t>
        </x:is>
      </x:c>
      <x:c r="B26" t="inlineStr">
        <x:is>
          <x:t xml:space="preserve">FF300 1"</x:t>
        </x:is>
      </x:c>
    </x:row>
    <x:row r="27">
      <x:c r="A27" t="inlineStr">
        <x:is>
          <x:t xml:space="preserve">EMPAQUETADURAS TRENZADAS ESTILO 2100 DE 3/4 SECCION</x:t>
        </x:is>
      </x:c>
      <x:c r="B27" t="inlineStr">
        <x:is>
          <x:t xml:space="preserve">FF300 1-1/4"</x:t>
        </x:is>
      </x:c>
    </x:row>
    <x:row r="28">
      <x:c r="A28" t="inlineStr">
        <x:is>
          <x:t xml:space="preserve">EMPAQUETADURAS TRENZADAS ESTILO 2100 DE 5/8 SECCION</x:t>
        </x:is>
      </x:c>
      <x:c r="B28" t="inlineStr">
        <x:is>
          <x:t xml:space="preserve">FF300 1-1/2"</x:t>
        </x:is>
      </x:c>
    </x:row>
    <x:row r="29">
      <x:c r="A29" t="inlineStr">
        <x:is>
          <x:t xml:space="preserve">EMPAQUETADURA PUERTA DE RETORTA C/ALMA DE SILICONA N° PARTE ET30JC1900 COD 107296</x:t>
        </x:is>
      </x:c>
      <x:c r="B29" t="inlineStr">
        <x:is>
          <x:t xml:space="preserve">FF300 2"</x:t>
        </x:is>
      </x:c>
    </x:row>
    <x:row r="30">
      <x:c r="A30" t="inlineStr">
        <x:is>
          <x:t xml:space="preserve">PLA DE DURLON9002 1/8 X60X60</x:t>
        </x:is>
      </x:c>
      <x:c r="B30" t="inlineStr">
        <x:is>
          <x:t xml:space="preserve">FF300 2-1/2"</x:t>
        </x:is>
      </x:c>
    </x:row>
    <x:row r="31">
      <x:c r="B31" t="inlineStr">
        <x:is>
          <x:t xml:space="preserve">FF300 3"</x:t>
        </x:is>
      </x:c>
    </x:row>
    <x:row r="32">
      <x:c r="B32" t="inlineStr">
        <x:is>
          <x:t xml:space="preserve">FF300 3-1/2"</x:t>
        </x:is>
      </x:c>
    </x:row>
    <x:row r="33">
      <x:c r="B33" t="inlineStr">
        <x:is>
          <x:t xml:space="preserve">FF300 4"</x:t>
        </x:is>
      </x:c>
    </x:row>
    <x:row r="34">
      <x:c r="B34" t="inlineStr">
        <x:is>
          <x:t xml:space="preserve">FF300 5"</x:t>
        </x:is>
      </x:c>
    </x:row>
    <x:row r="35">
      <x:c r="B35" t="inlineStr">
        <x:is>
          <x:t xml:space="preserve">FF300 6"</x:t>
        </x:is>
      </x:c>
    </x:row>
    <x:row r="36">
      <x:c r="B36" t="inlineStr">
        <x:is>
          <x:t xml:space="preserve">FF300 8"</x:t>
        </x:is>
      </x:c>
    </x:row>
    <x:row r="37">
      <x:c r="B37" t="inlineStr">
        <x:is>
          <x:t xml:space="preserve">FF300 10"</x:t>
        </x:is>
      </x:c>
    </x:row>
    <x:row r="38">
      <x:c r="B38" t="inlineStr">
        <x:is>
          <x:t xml:space="preserve">FF300 12"</x:t>
        </x:is>
      </x:c>
    </x:row>
    <x:row r="39">
      <x:c r="B39" t="inlineStr">
        <x:is>
          <x:t xml:space="preserve">FF300 14"</x:t>
        </x:is>
      </x:c>
    </x:row>
    <x:row r="40">
      <x:c r="B40" t="inlineStr">
        <x:is>
          <x:t xml:space="preserve">FF300 16"</x:t>
        </x:is>
      </x:c>
    </x:row>
    <x:row r="41">
      <x:c r="B41" t="inlineStr">
        <x:is>
          <x:t xml:space="preserve">FF300 18"</x:t>
        </x:is>
      </x:c>
    </x:row>
    <x:row r="42">
      <x:c r="B42" t="inlineStr">
        <x:is>
          <x:t xml:space="preserve">FF300 20"</x:t>
        </x:is>
      </x:c>
    </x:row>
    <x:row r="43">
      <x:c r="B43" t="inlineStr">
        <x:is>
          <x:t xml:space="preserve">FF300 22"</x:t>
        </x:is>
      </x:c>
    </x:row>
    <x:row r="44">
      <x:c r="B44" t="inlineStr">
        <x:is>
          <x:t xml:space="preserve">FF300 24"</x:t>
        </x:is>
      </x:c>
    </x:row>
    <x:row r="45">
      <x:c r="B45" t="inlineStr">
        <x:is>
          <x:t xml:space="preserve">RF300 1/2"</x:t>
        </x:is>
      </x:c>
    </x:row>
    <x:row r="46">
      <x:c r="B46" t="inlineStr">
        <x:is>
          <x:t xml:space="preserve">RF300 3/4"</x:t>
        </x:is>
      </x:c>
    </x:row>
    <x:row r="47">
      <x:c r="B47" t="inlineStr">
        <x:is>
          <x:t xml:space="preserve">RF300 1"</x:t>
        </x:is>
      </x:c>
    </x:row>
    <x:row r="48">
      <x:c r="B48" t="inlineStr">
        <x:is>
          <x:t xml:space="preserve">RF300 1-1/4"</x:t>
        </x:is>
      </x:c>
    </x:row>
    <x:row r="49">
      <x:c r="B49" t="inlineStr">
        <x:is>
          <x:t xml:space="preserve">RF300 1/1/2"</x:t>
        </x:is>
      </x:c>
    </x:row>
    <x:row r="50">
      <x:c r="B50" t="inlineStr">
        <x:is>
          <x:t xml:space="preserve">RF300 2"</x:t>
        </x:is>
      </x:c>
    </x:row>
    <x:row r="51">
      <x:c r="B51" t="inlineStr">
        <x:is>
          <x:t xml:space="preserve">RF300 2-1/2"</x:t>
        </x:is>
      </x:c>
    </x:row>
    <x:row r="52">
      <x:c r="B52" t="inlineStr">
        <x:is>
          <x:t xml:space="preserve">RF300 3"</x:t>
        </x:is>
      </x:c>
    </x:row>
    <x:row r="53">
      <x:c r="B53" t="inlineStr">
        <x:is>
          <x:t xml:space="preserve">RF300 3-1/2"</x:t>
        </x:is>
      </x:c>
    </x:row>
    <x:row r="54">
      <x:c r="B54" t="inlineStr">
        <x:is>
          <x:t xml:space="preserve">RF300 4"</x:t>
        </x:is>
      </x:c>
    </x:row>
    <x:row r="55">
      <x:c r="B55" t="inlineStr">
        <x:is>
          <x:t xml:space="preserve">RF300 5"</x:t>
        </x:is>
      </x:c>
    </x:row>
    <x:row r="56">
      <x:c r="B56" t="inlineStr">
        <x:is>
          <x:t xml:space="preserve">RF300 6"</x:t>
        </x:is>
      </x:c>
    </x:row>
    <x:row r="57">
      <x:c r="B57" t="inlineStr">
        <x:is>
          <x:t xml:space="preserve">RF300 8"</x:t>
        </x:is>
      </x:c>
    </x:row>
    <x:row r="58">
      <x:c r="B58" t="inlineStr">
        <x:is>
          <x:t xml:space="preserve">RF300 10"</x:t>
        </x:is>
      </x:c>
    </x:row>
    <x:row r="59">
      <x:c r="B59" t="inlineStr">
        <x:is>
          <x:t xml:space="preserve">RF300 12"</x:t>
        </x:is>
      </x:c>
    </x:row>
    <x:row r="60">
      <x:c r="B60" t="inlineStr">
        <x:is>
          <x:t xml:space="preserve">RF300 14"</x:t>
        </x:is>
      </x:c>
    </x:row>
    <x:row r="61">
      <x:c r="B61" t="inlineStr">
        <x:is>
          <x:t xml:space="preserve">RF300 16"</x:t>
        </x:is>
      </x:c>
    </x:row>
    <x:row r="62">
      <x:c r="B62" t="inlineStr">
        <x:is>
          <x:t xml:space="preserve">RF300 18"</x:t>
        </x:is>
      </x:c>
    </x:row>
    <x:row r="63">
      <x:c r="B63" t="inlineStr">
        <x:is>
          <x:t xml:space="preserve">RF300 20"</x:t>
        </x:is>
      </x:c>
    </x:row>
    <x:row r="64">
      <x:c r="B64" t="inlineStr">
        <x:is>
          <x:t xml:space="preserve">RF300 22"</x:t>
        </x:is>
      </x:c>
    </x:row>
    <x:row r="65">
      <x:c r="B65" t="inlineStr">
        <x:is>
          <x:t xml:space="preserve">RF300 24"</x:t>
        </x:is>
      </x:c>
    </x:row>
    <x:row r="66">
      <x:c r="B66" t="inlineStr">
        <x:is>
          <x:t xml:space="preserve">RF150 1/2"</x:t>
        </x:is>
      </x:c>
    </x:row>
    <x:row r="67">
      <x:c r="B67" t="inlineStr">
        <x:is>
          <x:t xml:space="preserve">RF150 3/4"</x:t>
        </x:is>
      </x:c>
    </x:row>
    <x:row r="68">
      <x:c r="B68" t="inlineStr">
        <x:is>
          <x:t xml:space="preserve">RF150 1"</x:t>
        </x:is>
      </x:c>
    </x:row>
    <x:row r="69">
      <x:c r="B69" t="inlineStr">
        <x:is>
          <x:t xml:space="preserve">RF150 1-1/4"</x:t>
        </x:is>
      </x:c>
    </x:row>
    <x:row r="70">
      <x:c r="B70" t="inlineStr">
        <x:is>
          <x:t xml:space="preserve">RF150 1-1/2"</x:t>
        </x:is>
      </x:c>
    </x:row>
    <x:row r="71">
      <x:c r="B71" t="inlineStr">
        <x:is>
          <x:t xml:space="preserve">RF150 2"</x:t>
        </x:is>
      </x:c>
    </x:row>
    <x:row r="72">
      <x:c r="B72" t="inlineStr">
        <x:is>
          <x:t xml:space="preserve">RF150 2-1/2"</x:t>
        </x:is>
      </x:c>
    </x:row>
    <x:row r="73">
      <x:c r="B73" t="inlineStr">
        <x:is>
          <x:t xml:space="preserve">RF150 3"</x:t>
        </x:is>
      </x:c>
    </x:row>
    <x:row r="74">
      <x:c r="B74" t="inlineStr">
        <x:is>
          <x:t xml:space="preserve">RF150 3-1/2"</x:t>
        </x:is>
      </x:c>
    </x:row>
    <x:row r="75">
      <x:c r="B75" t="inlineStr">
        <x:is>
          <x:t xml:space="preserve">RF150 4"</x:t>
        </x:is>
      </x:c>
    </x:row>
    <x:row r="76">
      <x:c r="B76" t="inlineStr">
        <x:is>
          <x:t xml:space="preserve">RF150 5"</x:t>
        </x:is>
      </x:c>
    </x:row>
    <x:row r="77">
      <x:c r="B77" t="inlineStr">
        <x:is>
          <x:t xml:space="preserve">RF150 6"</x:t>
        </x:is>
      </x:c>
    </x:row>
    <x:row r="78">
      <x:c r="B78" t="inlineStr">
        <x:is>
          <x:t xml:space="preserve">RF150 8"</x:t>
        </x:is>
      </x:c>
    </x:row>
    <x:row r="79">
      <x:c r="B79" t="inlineStr">
        <x:is>
          <x:t xml:space="preserve">RF150 10"</x:t>
        </x:is>
      </x:c>
    </x:row>
    <x:row r="80">
      <x:c r="B80" t="inlineStr">
        <x:is>
          <x:t xml:space="preserve">RF150 12"</x:t>
        </x:is>
      </x:c>
    </x:row>
    <x:row r="81">
      <x:c r="B81" t="inlineStr">
        <x:is>
          <x:t xml:space="preserve">RF150 14"</x:t>
        </x:is>
      </x:c>
    </x:row>
    <x:row r="82">
      <x:c r="B82" t="inlineStr">
        <x:is>
          <x:t xml:space="preserve">RF150 16"</x:t>
        </x:is>
      </x:c>
    </x:row>
    <x:row r="83">
      <x:c r="B83" t="inlineStr">
        <x:is>
          <x:t xml:space="preserve">RF150 18"</x:t>
        </x:is>
      </x:c>
    </x:row>
    <x:row r="84">
      <x:c r="B84" t="inlineStr">
        <x:is>
          <x:t xml:space="preserve">RF150 20"</x:t>
        </x:is>
      </x:c>
    </x:row>
    <x:row r="85">
      <x:c r="B85" t="inlineStr">
        <x:is>
          <x:t xml:space="preserve">RF150 22"</x:t>
        </x:is>
      </x:c>
    </x:row>
    <x:row r="86">
      <x:c r="B86" t="inlineStr">
        <x:is>
          <x:t xml:space="preserve">RF150 24"</x:t>
        </x:is>
      </x:c>
    </x:row>
    <x:row r="87">
      <x:c r="B87" t="inlineStr">
        <x:is>
          <x:t xml:space="preserve">FF150 28"</x:t>
        </x:is>
      </x:c>
    </x:row>
  </x:sheetData>
  <x:pageMargins left="0.7" right="0.7" top="0.75" bottom="0.75" header="0.3" footer="0.3"/>
</x:worksheet>
</file>